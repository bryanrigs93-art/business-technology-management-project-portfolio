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DELL 5420\Downloads\excel_patient_bilingual_project_final\excel-patient-data-analysis\spanish\"/>
    </mc:Choice>
  </mc:AlternateContent>
  <xr:revisionPtr revIDLastSave="0" documentId="13_ncr:1_{170236FC-B866-4BEF-B998-E10960EDFA63}" xr6:coauthVersionLast="47" xr6:coauthVersionMax="47" xr10:uidLastSave="{00000000-0000-0000-0000-000000000000}"/>
  <bookViews>
    <workbookView xWindow="-108" yWindow="-108" windowWidth="30936" windowHeight="16776" activeTab="3" xr2:uid="{00000000-000D-0000-FFFF-FFFF00000000}"/>
  </bookViews>
  <sheets>
    <sheet name="Datos" sheetId="1" r:id="rId1"/>
    <sheet name="Estadísticas Básicas" sheetId="2" r:id="rId2"/>
    <sheet name="Tablas Resumen" sheetId="3" r:id="rId3"/>
    <sheet name="Graficos" sheetId="6" r:id="rId4"/>
  </sheets>
  <calcPr calcId="191029" forceFullCalc="1"/>
  <pivotCaches>
    <pivotCache cacheId="14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8" i="2" l="1"/>
  <c r="C17" i="2"/>
  <c r="C16" i="2"/>
  <c r="C14" i="2"/>
  <c r="C4981" i="1"/>
  <c r="D4977" i="1"/>
  <c r="C4964" i="1"/>
  <c r="C4958" i="1"/>
  <c r="C4956" i="1"/>
  <c r="C4949" i="1"/>
  <c r="C4940" i="1"/>
  <c r="D4921" i="1"/>
  <c r="C4921" i="1"/>
  <c r="C4893" i="1"/>
  <c r="D4942" i="1" s="1"/>
  <c r="C4878" i="1"/>
  <c r="D4859" i="1"/>
  <c r="C4851" i="1"/>
  <c r="D4828" i="1"/>
  <c r="C4822" i="1"/>
  <c r="D4770" i="1"/>
  <c r="D4768" i="1"/>
  <c r="C4746" i="1"/>
  <c r="D4743" i="1"/>
  <c r="C4724" i="1"/>
  <c r="C4706" i="1"/>
  <c r="D4704" i="1"/>
  <c r="D4702" i="1"/>
  <c r="C4683" i="1"/>
  <c r="D4672" i="1"/>
  <c r="C4668" i="1"/>
  <c r="C4645" i="1"/>
  <c r="D4636" i="1"/>
  <c r="C4629" i="1"/>
  <c r="D4614" i="1"/>
  <c r="D4613" i="1"/>
  <c r="C4613" i="1"/>
  <c r="D4610" i="1"/>
  <c r="D4586" i="1"/>
  <c r="C4573" i="1"/>
  <c r="D4572" i="1"/>
  <c r="D4564" i="1"/>
  <c r="D4559" i="1"/>
  <c r="D4554" i="1"/>
  <c r="D4549" i="1"/>
  <c r="C4589" i="1" s="1"/>
  <c r="C4544" i="1"/>
  <c r="D4541" i="1"/>
  <c r="D4531" i="1"/>
  <c r="D4525" i="1"/>
  <c r="D4503" i="1"/>
  <c r="D4485" i="1"/>
  <c r="C4483" i="1"/>
  <c r="D4449" i="1"/>
  <c r="C4445" i="1"/>
  <c r="D4410" i="1"/>
  <c r="D4385" i="1"/>
  <c r="C4377" i="1"/>
  <c r="D4366" i="1"/>
  <c r="C4352" i="1"/>
  <c r="C4351" i="1"/>
  <c r="D4350" i="1"/>
  <c r="C4338" i="1"/>
  <c r="C4337" i="1"/>
  <c r="D4386" i="1" s="1"/>
  <c r="D4326" i="1"/>
  <c r="C4302" i="1"/>
  <c r="C4293" i="1"/>
  <c r="D4342" i="1" s="1"/>
  <c r="C4285" i="1"/>
  <c r="D4270" i="1"/>
  <c r="C4270" i="1"/>
  <c r="D4268" i="1"/>
  <c r="D4256" i="1"/>
  <c r="C4256" i="1"/>
  <c r="D4247" i="1"/>
  <c r="C4178" i="1"/>
  <c r="D4172" i="1"/>
  <c r="C4169" i="1"/>
  <c r="C4105" i="1"/>
  <c r="C4101" i="1"/>
  <c r="D4089" i="1"/>
  <c r="C4088" i="1"/>
  <c r="D4077" i="1"/>
  <c r="C4068" i="1"/>
  <c r="D4117" i="1" s="1"/>
  <c r="D4063" i="1"/>
  <c r="C4053" i="1"/>
  <c r="C4045" i="1"/>
  <c r="D4043" i="1"/>
  <c r="D4021" i="1"/>
  <c r="D4012" i="1"/>
  <c r="D4010" i="1"/>
  <c r="D4008" i="1"/>
  <c r="C3995" i="1"/>
  <c r="D3985" i="1"/>
  <c r="D3966" i="1"/>
  <c r="C3949" i="1"/>
  <c r="C3938" i="1"/>
  <c r="C3926" i="1"/>
  <c r="D3923" i="1"/>
  <c r="D3917" i="1"/>
  <c r="C3912" i="1"/>
  <c r="D3910" i="1"/>
  <c r="D3903" i="1"/>
  <c r="C3885" i="1"/>
  <c r="D3860" i="1"/>
  <c r="D3848" i="1"/>
  <c r="D3838" i="1"/>
  <c r="D3833" i="1"/>
  <c r="D3820" i="1"/>
  <c r="C3800" i="1"/>
  <c r="D3779" i="1"/>
  <c r="D3773" i="1"/>
  <c r="C3762" i="1"/>
  <c r="C3761" i="1"/>
  <c r="D3750" i="1"/>
  <c r="D3742" i="1"/>
  <c r="C3740" i="1"/>
  <c r="D3718" i="1"/>
  <c r="D3703" i="1"/>
  <c r="D3693" i="1"/>
  <c r="C3690" i="1"/>
  <c r="D3681" i="1"/>
  <c r="D3679" i="1"/>
  <c r="D3666" i="1"/>
  <c r="C3655" i="1"/>
  <c r="D3651" i="1"/>
  <c r="D3622" i="1"/>
  <c r="C3596" i="1"/>
  <c r="C3593" i="1"/>
  <c r="D3587" i="1"/>
  <c r="D3578" i="1"/>
  <c r="D3573" i="1"/>
  <c r="D3569" i="1"/>
  <c r="D3568" i="1"/>
  <c r="C3559" i="1"/>
  <c r="D3551" i="1"/>
  <c r="C3537" i="1"/>
  <c r="C3533" i="1"/>
  <c r="C3530" i="1"/>
  <c r="D3527" i="1"/>
  <c r="C3522" i="1"/>
  <c r="C3521" i="1"/>
  <c r="D3484" i="1"/>
  <c r="D3475" i="1"/>
  <c r="D3465" i="1"/>
  <c r="D3462" i="1"/>
  <c r="C3434" i="1"/>
  <c r="C3429" i="1"/>
  <c r="D3423" i="1"/>
  <c r="D3400" i="1"/>
  <c r="C3400" i="1"/>
  <c r="C3395" i="1"/>
  <c r="D3391" i="1"/>
  <c r="D3371" i="1"/>
  <c r="D3366" i="1"/>
  <c r="C3363" i="1"/>
  <c r="C3354" i="1"/>
  <c r="D3344" i="1"/>
  <c r="C3340" i="1"/>
  <c r="C3334" i="1"/>
  <c r="C3329" i="1"/>
  <c r="D3284" i="1"/>
  <c r="C3283" i="1"/>
  <c r="C3275" i="1"/>
  <c r="D3271" i="1"/>
  <c r="D3270" i="1"/>
  <c r="C3310" i="1" s="1"/>
  <c r="C3263" i="1"/>
  <c r="C3254" i="1"/>
  <c r="D3244" i="1"/>
  <c r="C3284" i="1" s="1"/>
  <c r="C3230" i="1"/>
  <c r="D3220" i="1"/>
  <c r="C3213" i="1"/>
  <c r="C3208" i="1"/>
  <c r="C3203" i="1"/>
  <c r="D3197" i="1"/>
  <c r="C3196" i="1"/>
  <c r="D3193" i="1"/>
  <c r="C3233" i="1" s="1"/>
  <c r="C3183" i="1"/>
  <c r="D3182" i="1"/>
  <c r="C3177" i="1"/>
  <c r="C3176" i="1"/>
  <c r="C3175" i="1"/>
  <c r="D3224" i="1" s="1"/>
  <c r="C3172" i="1"/>
  <c r="D3167" i="1"/>
  <c r="C3147" i="1"/>
  <c r="C3145" i="1"/>
  <c r="C3134" i="1"/>
  <c r="C3132" i="1"/>
  <c r="D3130" i="1"/>
  <c r="D3127" i="1"/>
  <c r="D3098" i="1"/>
  <c r="D3090" i="1"/>
  <c r="D3083" i="1"/>
  <c r="D3071" i="1"/>
  <c r="C3071" i="1"/>
  <c r="C3060" i="1"/>
  <c r="C3029" i="1"/>
  <c r="C3015" i="1"/>
  <c r="D2976" i="1"/>
  <c r="D2966" i="1"/>
  <c r="D2949" i="1"/>
  <c r="C2989" i="1" s="1"/>
  <c r="C2947" i="1"/>
  <c r="C2946" i="1"/>
  <c r="C2940" i="1"/>
  <c r="D2926" i="1"/>
  <c r="C2919" i="1"/>
  <c r="D2916" i="1"/>
  <c r="D2911" i="1"/>
  <c r="C2898" i="1"/>
  <c r="C2876" i="1"/>
  <c r="D2859" i="1"/>
  <c r="D2857" i="1"/>
  <c r="C2856" i="1"/>
  <c r="D2853" i="1"/>
  <c r="C2852" i="1"/>
  <c r="C2849" i="1"/>
  <c r="C2826" i="1"/>
  <c r="D2823" i="1"/>
  <c r="D2818" i="1"/>
  <c r="D2788" i="1"/>
  <c r="C2777" i="1"/>
  <c r="D2826" i="1" s="1"/>
  <c r="C2768" i="1"/>
  <c r="C2765" i="1"/>
  <c r="C2760" i="1"/>
  <c r="D2755" i="1"/>
  <c r="C2755" i="1"/>
  <c r="C2750" i="1"/>
  <c r="C2749" i="1"/>
  <c r="C2738" i="1"/>
  <c r="D2727" i="1"/>
  <c r="C2716" i="1"/>
  <c r="D2711" i="1"/>
  <c r="C2711" i="1"/>
  <c r="C2694" i="1"/>
  <c r="C2693" i="1"/>
  <c r="C2674" i="1"/>
  <c r="D2665" i="1"/>
  <c r="D2655" i="1"/>
  <c r="D2651" i="1"/>
  <c r="D2610" i="1"/>
  <c r="C2610" i="1"/>
  <c r="C2599" i="1"/>
  <c r="D2592" i="1"/>
  <c r="D2583" i="1"/>
  <c r="D2578" i="1"/>
  <c r="C2576" i="1"/>
  <c r="D2569" i="1"/>
  <c r="C2569" i="1"/>
  <c r="C2544" i="1"/>
  <c r="D2542" i="1"/>
  <c r="C2527" i="1"/>
  <c r="C2515" i="1"/>
  <c r="D2506" i="1"/>
  <c r="C2498" i="1"/>
  <c r="D2490" i="1"/>
  <c r="D2473" i="1"/>
  <c r="D2448" i="1"/>
  <c r="C2419" i="1"/>
  <c r="D2468" i="1" s="1"/>
  <c r="C2508" i="1" s="1"/>
  <c r="D2557" i="1" s="1"/>
  <c r="D2417" i="1"/>
  <c r="C2412" i="1"/>
  <c r="D2410" i="1"/>
  <c r="C2397" i="1"/>
  <c r="C2396" i="1"/>
  <c r="C2395" i="1"/>
  <c r="C2392" i="1"/>
  <c r="C2373" i="1"/>
  <c r="D2368" i="1"/>
  <c r="D2363" i="1"/>
  <c r="C2353" i="1"/>
  <c r="C2345" i="1"/>
  <c r="D2342" i="1"/>
  <c r="C2337" i="1"/>
  <c r="C2325" i="1"/>
  <c r="D2295" i="1"/>
  <c r="D2291" i="1"/>
  <c r="D2275" i="1"/>
  <c r="D2273" i="1"/>
  <c r="D2266" i="1"/>
  <c r="D2262" i="1"/>
  <c r="C2262" i="1"/>
  <c r="D2256" i="1"/>
  <c r="D2245" i="1"/>
  <c r="C2241" i="1"/>
  <c r="D2233" i="1"/>
  <c r="C2228" i="1"/>
  <c r="C2208" i="1"/>
  <c r="D2257" i="1" s="1"/>
  <c r="D2193" i="1"/>
  <c r="D2180" i="1"/>
  <c r="D2179" i="1"/>
  <c r="D2173" i="1"/>
  <c r="C2165" i="1"/>
  <c r="D2214" i="1" s="1"/>
  <c r="D2147" i="1"/>
  <c r="D2120" i="1"/>
  <c r="D2118" i="1"/>
  <c r="C2079" i="1"/>
  <c r="D2052" i="1"/>
  <c r="D2009" i="1"/>
  <c r="D1987" i="1"/>
  <c r="D1969" i="1"/>
  <c r="D1967" i="1"/>
  <c r="C1955" i="1"/>
  <c r="C1954" i="1"/>
  <c r="C1930" i="1"/>
  <c r="D1927" i="1"/>
  <c r="D1909" i="1"/>
  <c r="C1904" i="1"/>
  <c r="C1903" i="1"/>
  <c r="C1873" i="1"/>
  <c r="D1859" i="1"/>
  <c r="C1844" i="1"/>
  <c r="C1803" i="1"/>
  <c r="C1786" i="1"/>
  <c r="C1778" i="1"/>
  <c r="C1771" i="1"/>
  <c r="C1753" i="1"/>
  <c r="D1732" i="1"/>
  <c r="C1772" i="1" s="1"/>
  <c r="C1729" i="1"/>
  <c r="C1723" i="1"/>
  <c r="D1715" i="1"/>
  <c r="C1714" i="1"/>
  <c r="D1691" i="1"/>
  <c r="C1684" i="1"/>
  <c r="C1661" i="1"/>
  <c r="C1658" i="1"/>
  <c r="D1638" i="1"/>
  <c r="C1626" i="1"/>
  <c r="C1604" i="1"/>
  <c r="D1579" i="1"/>
  <c r="D1556" i="1"/>
  <c r="C1556" i="1"/>
  <c r="D1553" i="1"/>
  <c r="D1548" i="1"/>
  <c r="D1534" i="1"/>
  <c r="C1529" i="1"/>
  <c r="C1525" i="1"/>
  <c r="D1510" i="1"/>
  <c r="D1504" i="1"/>
  <c r="D1500" i="1"/>
  <c r="D1499" i="1"/>
  <c r="D1486" i="1"/>
  <c r="D1483" i="1"/>
  <c r="D1470" i="1"/>
  <c r="D1468" i="1"/>
  <c r="D1460" i="1"/>
  <c r="C1458" i="1"/>
  <c r="C1443" i="1"/>
  <c r="C1435" i="1"/>
  <c r="C1432" i="1"/>
  <c r="D1430" i="1"/>
  <c r="C1410" i="1"/>
  <c r="D1409" i="1"/>
  <c r="C1408" i="1"/>
  <c r="C1395" i="1"/>
  <c r="D1390" i="1"/>
  <c r="D1388" i="1"/>
  <c r="D1379" i="1"/>
  <c r="C1374" i="1"/>
  <c r="C1373" i="1"/>
  <c r="D1361" i="1"/>
  <c r="C1356" i="1"/>
  <c r="C1328" i="1"/>
  <c r="D1377" i="1" s="1"/>
  <c r="D1324" i="1"/>
  <c r="C1299" i="1"/>
  <c r="C1285" i="1"/>
  <c r="D1270" i="1"/>
  <c r="D1228" i="1"/>
  <c r="C1211" i="1"/>
  <c r="C1202" i="1"/>
  <c r="C1201" i="1"/>
  <c r="D1184" i="1"/>
  <c r="D1180" i="1"/>
  <c r="C1170" i="1"/>
  <c r="D1167" i="1"/>
  <c r="D1165" i="1"/>
  <c r="D1152" i="1"/>
  <c r="C1147" i="1"/>
  <c r="D1142" i="1"/>
  <c r="D1104" i="1"/>
  <c r="C1079" i="1"/>
  <c r="D1128" i="1" s="1"/>
  <c r="D1052" i="1"/>
  <c r="C1039" i="1"/>
  <c r="D1020" i="1"/>
  <c r="C1017" i="1"/>
  <c r="C1010" i="1"/>
  <c r="D992" i="1"/>
  <c r="C966" i="1"/>
  <c r="D959" i="1"/>
  <c r="C950" i="1"/>
  <c r="D943" i="1"/>
  <c r="D940" i="1"/>
  <c r="D930" i="1"/>
  <c r="D914" i="1"/>
  <c r="D911" i="1"/>
  <c r="D902" i="1"/>
  <c r="D884" i="1"/>
  <c r="D880" i="1"/>
  <c r="C873" i="1"/>
  <c r="D862" i="1"/>
  <c r="C858" i="1"/>
  <c r="C851" i="1"/>
  <c r="C844" i="1"/>
  <c r="D841" i="1"/>
  <c r="C838" i="1"/>
  <c r="C829" i="1"/>
  <c r="D815" i="1"/>
  <c r="C855" i="1" s="1"/>
  <c r="C801" i="1"/>
  <c r="C796" i="1"/>
  <c r="C782" i="1"/>
  <c r="D769" i="1"/>
  <c r="C757" i="1"/>
  <c r="D748" i="1"/>
  <c r="C742" i="1"/>
  <c r="C733" i="1"/>
  <c r="D730" i="1"/>
  <c r="C726" i="1"/>
  <c r="D710" i="1"/>
  <c r="C750" i="1" s="1"/>
  <c r="D705" i="1"/>
  <c r="D700" i="1"/>
  <c r="D689" i="1"/>
  <c r="C676" i="1"/>
  <c r="C664" i="1"/>
  <c r="C638" i="1"/>
  <c r="C626" i="1"/>
  <c r="D618" i="1"/>
  <c r="C616" i="1"/>
  <c r="C615" i="1"/>
  <c r="C613" i="1"/>
  <c r="C605" i="1"/>
  <c r="D654" i="1" s="1"/>
  <c r="D585" i="1"/>
  <c r="C580" i="1"/>
  <c r="C579" i="1"/>
  <c r="C563" i="1"/>
  <c r="D549" i="1"/>
  <c r="C540" i="1"/>
  <c r="D496" i="1"/>
  <c r="D478" i="1"/>
  <c r="C471" i="1"/>
  <c r="C464" i="1"/>
  <c r="D449" i="1"/>
  <c r="D444" i="1"/>
  <c r="C484" i="1" s="1"/>
  <c r="D442" i="1"/>
  <c r="C441" i="1"/>
  <c r="D427" i="1"/>
  <c r="D426" i="1"/>
  <c r="D416" i="1"/>
  <c r="C414" i="1"/>
  <c r="C411" i="1"/>
  <c r="C404" i="1"/>
  <c r="C399" i="1"/>
  <c r="C384" i="1"/>
  <c r="C382" i="1"/>
  <c r="D381" i="1"/>
  <c r="C365" i="1"/>
  <c r="C326" i="1"/>
  <c r="D306" i="1"/>
  <c r="C305" i="1"/>
  <c r="C303" i="1"/>
  <c r="D295" i="1"/>
  <c r="D285" i="1"/>
  <c r="C267" i="1"/>
  <c r="D262" i="1"/>
  <c r="D240" i="1"/>
  <c r="D236" i="1"/>
  <c r="C222" i="1"/>
  <c r="D206" i="1"/>
  <c r="C202" i="1"/>
  <c r="D197" i="1"/>
  <c r="D194" i="1"/>
  <c r="D154" i="1"/>
  <c r="C143" i="1"/>
  <c r="D138" i="1"/>
  <c r="C135" i="1"/>
  <c r="C132" i="1"/>
  <c r="D129" i="1"/>
  <c r="C118" i="1"/>
  <c r="C117" i="1"/>
  <c r="C82" i="1"/>
  <c r="C79" i="1"/>
  <c r="D69" i="1"/>
  <c r="C65" i="1"/>
  <c r="C55" i="1"/>
  <c r="C51" i="1"/>
  <c r="C42" i="1"/>
  <c r="C21" i="1"/>
  <c r="C15" i="2" l="1"/>
</calcChain>
</file>

<file path=xl/sharedStrings.xml><?xml version="1.0" encoding="utf-8"?>
<sst xmlns="http://schemas.openxmlformats.org/spreadsheetml/2006/main" count="25071" uniqueCount="5201">
  <si>
    <t>PacienteID</t>
  </si>
  <si>
    <t>NombreCompleto</t>
  </si>
  <si>
    <t>FechaNacimiento</t>
  </si>
  <si>
    <t>Edad</t>
  </si>
  <si>
    <t>Genero</t>
  </si>
  <si>
    <t>Diagnostico</t>
  </si>
  <si>
    <t>FechaIngreso</t>
  </si>
  <si>
    <t>FechaAlta</t>
  </si>
  <si>
    <t>DiasHospitalizado</t>
  </si>
  <si>
    <t>SeguroMedico</t>
  </si>
  <si>
    <t>IngresosPreviosHospital</t>
  </si>
  <si>
    <t>NumeroProcedimientos</t>
  </si>
  <si>
    <t>CostoTratamiento_USD</t>
  </si>
  <si>
    <t>CostoMedicamentos_USD</t>
  </si>
  <si>
    <t>CostoEstimado_USD</t>
  </si>
  <si>
    <t>1</t>
  </si>
  <si>
    <t>Luisa Hernández</t>
  </si>
  <si>
    <t>F</t>
  </si>
  <si>
    <t>COVID-19</t>
  </si>
  <si>
    <t>2</t>
  </si>
  <si>
    <t>Pedro López</t>
  </si>
  <si>
    <t>M</t>
  </si>
  <si>
    <t>Neumonía</t>
  </si>
  <si>
    <t>3</t>
  </si>
  <si>
    <t>Miguel Martínez</t>
  </si>
  <si>
    <t>Asma</t>
  </si>
  <si>
    <t>Publico</t>
  </si>
  <si>
    <t>4</t>
  </si>
  <si>
    <t>Ana Pérez</t>
  </si>
  <si>
    <t>Diabetes</t>
  </si>
  <si>
    <t>5</t>
  </si>
  <si>
    <t>Jorge Sánchez</t>
  </si>
  <si>
    <t>N/A</t>
  </si>
  <si>
    <t>6</t>
  </si>
  <si>
    <t>Juan Martínez</t>
  </si>
  <si>
    <t>Privado</t>
  </si>
  <si>
    <t>7</t>
  </si>
  <si>
    <t>Laura Hernández</t>
  </si>
  <si>
    <t>8</t>
  </si>
  <si>
    <t>José Martínez</t>
  </si>
  <si>
    <t>9</t>
  </si>
  <si>
    <t>Carlos Martínez</t>
  </si>
  <si>
    <t>10</t>
  </si>
  <si>
    <t>11</t>
  </si>
  <si>
    <t>Ricardo Gómez</t>
  </si>
  <si>
    <t>12</t>
  </si>
  <si>
    <t>José Cruz</t>
  </si>
  <si>
    <t>13</t>
  </si>
  <si>
    <t>Pedro Sánchez</t>
  </si>
  <si>
    <t>Gripe</t>
  </si>
  <si>
    <t>14</t>
  </si>
  <si>
    <t>Pedro Ramírez</t>
  </si>
  <si>
    <t>15</t>
  </si>
  <si>
    <t>Pedro Hernández</t>
  </si>
  <si>
    <t>16</t>
  </si>
  <si>
    <t>María Gómez</t>
  </si>
  <si>
    <t>17</t>
  </si>
  <si>
    <t>Pedro Pérez</t>
  </si>
  <si>
    <t>18</t>
  </si>
  <si>
    <t>José Hernández</t>
  </si>
  <si>
    <t>19</t>
  </si>
  <si>
    <t>Carmen López</t>
  </si>
  <si>
    <t>20</t>
  </si>
  <si>
    <t>Jorge Morales</t>
  </si>
  <si>
    <t>21</t>
  </si>
  <si>
    <t>Carlos Rodríguez</t>
  </si>
  <si>
    <t>22</t>
  </si>
  <si>
    <t>Laura Pérez</t>
  </si>
  <si>
    <t>23</t>
  </si>
  <si>
    <t>Carlos López</t>
  </si>
  <si>
    <t>24</t>
  </si>
  <si>
    <t>Carmen Martínez</t>
  </si>
  <si>
    <t>25</t>
  </si>
  <si>
    <t>Carlos Hernández</t>
  </si>
  <si>
    <t>Hipertensión</t>
  </si>
  <si>
    <t>26</t>
  </si>
  <si>
    <t>27</t>
  </si>
  <si>
    <t>28</t>
  </si>
  <si>
    <t>José Sánchez</t>
  </si>
  <si>
    <t>29</t>
  </si>
  <si>
    <t>María Pérez</t>
  </si>
  <si>
    <t>30</t>
  </si>
  <si>
    <t>Ana Ramírez</t>
  </si>
  <si>
    <t>31</t>
  </si>
  <si>
    <t>Laura Morales</t>
  </si>
  <si>
    <t>32</t>
  </si>
  <si>
    <t>33</t>
  </si>
  <si>
    <t>Luis Martínez</t>
  </si>
  <si>
    <t>34</t>
  </si>
  <si>
    <t>Elena Morales</t>
  </si>
  <si>
    <t>35</t>
  </si>
  <si>
    <t>Carlos Cruz</t>
  </si>
  <si>
    <t>36</t>
  </si>
  <si>
    <t>Ana Rodríguez</t>
  </si>
  <si>
    <t>37</t>
  </si>
  <si>
    <t>Carmen Gómez</t>
  </si>
  <si>
    <t>38</t>
  </si>
  <si>
    <t>Miguel Cruz</t>
  </si>
  <si>
    <t>39</t>
  </si>
  <si>
    <t>40</t>
  </si>
  <si>
    <t>Luisa Sánchez</t>
  </si>
  <si>
    <t>41</t>
  </si>
  <si>
    <t>42</t>
  </si>
  <si>
    <t>Luisa Martínez</t>
  </si>
  <si>
    <t>43</t>
  </si>
  <si>
    <t>Laura Martínez</t>
  </si>
  <si>
    <t>44</t>
  </si>
  <si>
    <t>45</t>
  </si>
  <si>
    <t>Jorge Gómez</t>
  </si>
  <si>
    <t>46</t>
  </si>
  <si>
    <t>Ana Hernández</t>
  </si>
  <si>
    <t>47</t>
  </si>
  <si>
    <t>Juan Morales</t>
  </si>
  <si>
    <t>48</t>
  </si>
  <si>
    <t>49</t>
  </si>
  <si>
    <t>Sofía Gómez</t>
  </si>
  <si>
    <t>50</t>
  </si>
  <si>
    <t>Carmen Ramírez</t>
  </si>
  <si>
    <t>51</t>
  </si>
  <si>
    <t>José Gómez</t>
  </si>
  <si>
    <t>52</t>
  </si>
  <si>
    <t>53</t>
  </si>
  <si>
    <t>54</t>
  </si>
  <si>
    <t>Jorge Martínez</t>
  </si>
  <si>
    <t>55</t>
  </si>
  <si>
    <t>Luisa Cruz</t>
  </si>
  <si>
    <t>56</t>
  </si>
  <si>
    <t>Carmen Cruz</t>
  </si>
  <si>
    <t>57</t>
  </si>
  <si>
    <t>Sofía Hernández</t>
  </si>
  <si>
    <t>58</t>
  </si>
  <si>
    <t>Miguel Hernández</t>
  </si>
  <si>
    <t>59</t>
  </si>
  <si>
    <t>Carlos Pérez</t>
  </si>
  <si>
    <t>60</t>
  </si>
  <si>
    <t>Luisa López</t>
  </si>
  <si>
    <t>61</t>
  </si>
  <si>
    <t>Juan Sánchez</t>
  </si>
  <si>
    <t>62</t>
  </si>
  <si>
    <t>Jorge Hernández</t>
  </si>
  <si>
    <t>63</t>
  </si>
  <si>
    <t>64</t>
  </si>
  <si>
    <t>65</t>
  </si>
  <si>
    <t>Elena Gómez</t>
  </si>
  <si>
    <t>66</t>
  </si>
  <si>
    <t>Ana Gómez</t>
  </si>
  <si>
    <t>67</t>
  </si>
  <si>
    <t>Juan Ramírez</t>
  </si>
  <si>
    <t>68</t>
  </si>
  <si>
    <t>Carmen Sánchez</t>
  </si>
  <si>
    <t>69</t>
  </si>
  <si>
    <t>José López</t>
  </si>
  <si>
    <t>70</t>
  </si>
  <si>
    <t>Ricardo Hernández</t>
  </si>
  <si>
    <t>71</t>
  </si>
  <si>
    <t>Carlos Sánchez</t>
  </si>
  <si>
    <t>72</t>
  </si>
  <si>
    <t>Miguel Gómez</t>
  </si>
  <si>
    <t>73</t>
  </si>
  <si>
    <t>Luis Pérez</t>
  </si>
  <si>
    <t>74</t>
  </si>
  <si>
    <t>75</t>
  </si>
  <si>
    <t>76</t>
  </si>
  <si>
    <t>Miguel Sánchez</t>
  </si>
  <si>
    <t>77</t>
  </si>
  <si>
    <t>78</t>
  </si>
  <si>
    <t>Carmen Hernández</t>
  </si>
  <si>
    <t>79</t>
  </si>
  <si>
    <t>Ana Sánchez</t>
  </si>
  <si>
    <t>80</t>
  </si>
  <si>
    <t>Elena Sánchez</t>
  </si>
  <si>
    <t>81</t>
  </si>
  <si>
    <t>Miguel Pérez</t>
  </si>
  <si>
    <t>82</t>
  </si>
  <si>
    <t>Ana López</t>
  </si>
  <si>
    <t>83</t>
  </si>
  <si>
    <t>Luisa Ramírez</t>
  </si>
  <si>
    <t>84</t>
  </si>
  <si>
    <t>85</t>
  </si>
  <si>
    <t>86</t>
  </si>
  <si>
    <t>87</t>
  </si>
  <si>
    <t>Laura Cruz</t>
  </si>
  <si>
    <t>88</t>
  </si>
  <si>
    <t>89</t>
  </si>
  <si>
    <t>Ana Martínez</t>
  </si>
  <si>
    <t>90</t>
  </si>
  <si>
    <t>91</t>
  </si>
  <si>
    <t>Laura Ramírez</t>
  </si>
  <si>
    <t>92</t>
  </si>
  <si>
    <t>Sofía Sánchez</t>
  </si>
  <si>
    <t>93</t>
  </si>
  <si>
    <t>94</t>
  </si>
  <si>
    <t>Ricardo López</t>
  </si>
  <si>
    <t>95</t>
  </si>
  <si>
    <t>Jorge Ramírez</t>
  </si>
  <si>
    <t>96</t>
  </si>
  <si>
    <t>Luis Ramírez</t>
  </si>
  <si>
    <t>97</t>
  </si>
  <si>
    <t>Jorge Pérez</t>
  </si>
  <si>
    <t>98</t>
  </si>
  <si>
    <t>99</t>
  </si>
  <si>
    <t>Ricardo Rodríguez</t>
  </si>
  <si>
    <t>100</t>
  </si>
  <si>
    <t>101</t>
  </si>
  <si>
    <t>María Ramírez</t>
  </si>
  <si>
    <t>102</t>
  </si>
  <si>
    <t>103</t>
  </si>
  <si>
    <t>María López</t>
  </si>
  <si>
    <t>104</t>
  </si>
  <si>
    <t>María Hernández</t>
  </si>
  <si>
    <t>105</t>
  </si>
  <si>
    <t>Pedro Morales</t>
  </si>
  <si>
    <t>106</t>
  </si>
  <si>
    <t>107</t>
  </si>
  <si>
    <t>108</t>
  </si>
  <si>
    <t>Luis Cruz</t>
  </si>
  <si>
    <t>109</t>
  </si>
  <si>
    <t>110</t>
  </si>
  <si>
    <t>111</t>
  </si>
  <si>
    <t>112</t>
  </si>
  <si>
    <t>113</t>
  </si>
  <si>
    <t>114</t>
  </si>
  <si>
    <t>115</t>
  </si>
  <si>
    <t>Luisa Pérez</t>
  </si>
  <si>
    <t>116</t>
  </si>
  <si>
    <t>117</t>
  </si>
  <si>
    <t>Luis Morales</t>
  </si>
  <si>
    <t>118</t>
  </si>
  <si>
    <t>119</t>
  </si>
  <si>
    <t>Laura Gómez</t>
  </si>
  <si>
    <t>120</t>
  </si>
  <si>
    <t>121</t>
  </si>
  <si>
    <t>Laura Sánchez</t>
  </si>
  <si>
    <t>122</t>
  </si>
  <si>
    <t>123</t>
  </si>
  <si>
    <t>124</t>
  </si>
  <si>
    <t>125</t>
  </si>
  <si>
    <t>José Morales</t>
  </si>
  <si>
    <t>126</t>
  </si>
  <si>
    <t>127</t>
  </si>
  <si>
    <t>Carlos Ramírez</t>
  </si>
  <si>
    <t>128</t>
  </si>
  <si>
    <t>Juan Pérez</t>
  </si>
  <si>
    <t>129</t>
  </si>
  <si>
    <t>Luisa Morales</t>
  </si>
  <si>
    <t>130</t>
  </si>
  <si>
    <t>Sofía Ramírez</t>
  </si>
  <si>
    <t>131</t>
  </si>
  <si>
    <t>132</t>
  </si>
  <si>
    <t>Pedro Gómez</t>
  </si>
  <si>
    <t>133</t>
  </si>
  <si>
    <t>134</t>
  </si>
  <si>
    <t>Elena Cruz</t>
  </si>
  <si>
    <t>135</t>
  </si>
  <si>
    <t>María Rodríguez</t>
  </si>
  <si>
    <t>136</t>
  </si>
  <si>
    <t>137</t>
  </si>
  <si>
    <t>138</t>
  </si>
  <si>
    <t>139</t>
  </si>
  <si>
    <t>140</t>
  </si>
  <si>
    <t>141</t>
  </si>
  <si>
    <t>Ana Morales</t>
  </si>
  <si>
    <t>142</t>
  </si>
  <si>
    <t>143</t>
  </si>
  <si>
    <t>María Cruz</t>
  </si>
  <si>
    <t>144</t>
  </si>
  <si>
    <t>145</t>
  </si>
  <si>
    <t>146</t>
  </si>
  <si>
    <t>Sofía Rodríguez</t>
  </si>
  <si>
    <t>147</t>
  </si>
  <si>
    <t>148</t>
  </si>
  <si>
    <t>149</t>
  </si>
  <si>
    <t>150</t>
  </si>
  <si>
    <t>Ricardo Sánchez</t>
  </si>
  <si>
    <t>151</t>
  </si>
  <si>
    <t>Elena Pérez</t>
  </si>
  <si>
    <t>152</t>
  </si>
  <si>
    <t>153</t>
  </si>
  <si>
    <t>José Rodríguez</t>
  </si>
  <si>
    <t>154</t>
  </si>
  <si>
    <t>155</t>
  </si>
  <si>
    <t>156</t>
  </si>
  <si>
    <t>157</t>
  </si>
  <si>
    <t>158</t>
  </si>
  <si>
    <t>Pedro Cruz</t>
  </si>
  <si>
    <t>159</t>
  </si>
  <si>
    <t>Elena Hernández</t>
  </si>
  <si>
    <t>160</t>
  </si>
  <si>
    <t>161</t>
  </si>
  <si>
    <t>Pedro Martínez</t>
  </si>
  <si>
    <t>162</t>
  </si>
  <si>
    <t>163</t>
  </si>
  <si>
    <t>Jorge Rodríguez</t>
  </si>
  <si>
    <t>164</t>
  </si>
  <si>
    <t>165</t>
  </si>
  <si>
    <t>166</t>
  </si>
  <si>
    <t>167</t>
  </si>
  <si>
    <t>168</t>
  </si>
  <si>
    <t>169</t>
  </si>
  <si>
    <t>170</t>
  </si>
  <si>
    <t>Miguel Rodríguez</t>
  </si>
  <si>
    <t>171</t>
  </si>
  <si>
    <t>Carmen Pérez</t>
  </si>
  <si>
    <t>172</t>
  </si>
  <si>
    <t>173</t>
  </si>
  <si>
    <t>174</t>
  </si>
  <si>
    <t>Sofía Cruz</t>
  </si>
  <si>
    <t>175</t>
  </si>
  <si>
    <t>176</t>
  </si>
  <si>
    <t>Miguel López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</si>
  <si>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</si>
  <si>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</si>
  <si>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</si>
  <si>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</si>
  <si>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</si>
  <si>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</si>
  <si>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</si>
  <si>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</si>
  <si>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</si>
  <si>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</si>
  <si>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</si>
  <si>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</si>
  <si>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</si>
  <si>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</si>
  <si>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</si>
  <si>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</si>
  <si>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Jorge Cruz</t>
  </si>
  <si>
    <t>193</t>
  </si>
  <si>
    <t>Elena Ramírez</t>
  </si>
  <si>
    <t>194</t>
  </si>
  <si>
    <t>195</t>
  </si>
  <si>
    <t>196</t>
  </si>
  <si>
    <t>Ricardo Ramírez</t>
  </si>
  <si>
    <t>197</t>
  </si>
  <si>
    <t>198</t>
  </si>
  <si>
    <t>199</t>
  </si>
  <si>
    <t>Elena Martínez</t>
  </si>
  <si>
    <t>200</t>
  </si>
  <si>
    <t>Ricardo Martínez</t>
  </si>
  <si>
    <t>201</t>
  </si>
  <si>
    <t>202</t>
  </si>
  <si>
    <t>Pedro Rodríguez</t>
  </si>
  <si>
    <t>203</t>
  </si>
  <si>
    <t>Ana Cruz</t>
  </si>
  <si>
    <t>204</t>
  </si>
  <si>
    <t>205</t>
  </si>
  <si>
    <t>206</t>
  </si>
  <si>
    <t>207</t>
  </si>
  <si>
    <t>Ricardo Pérez</t>
  </si>
  <si>
    <t>208</t>
  </si>
  <si>
    <t>Sofía López</t>
  </si>
  <si>
    <t>209</t>
  </si>
  <si>
    <t>210</t>
  </si>
  <si>
    <t>211</t>
  </si>
  <si>
    <t>212</t>
  </si>
  <si>
    <t>213</t>
  </si>
  <si>
    <t>Sofía Pérez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</si>
  <si>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</si>
  <si>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</si>
  <si>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</si>
  <si>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</si>
  <si>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</si>
  <si>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</si>
  <si>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</si>
  <si>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</si>
  <si>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</si>
  <si>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</si>
  <si>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Luis Sánchez</t>
  </si>
  <si>
    <t>224</t>
  </si>
  <si>
    <t>225</t>
  </si>
  <si>
    <t>226</t>
  </si>
  <si>
    <t>227</t>
  </si>
  <si>
    <t>Luis Rodríguez</t>
  </si>
  <si>
    <t>228</t>
  </si>
  <si>
    <t>229</t>
  </si>
  <si>
    <t>230</t>
  </si>
  <si>
    <t>231</t>
  </si>
  <si>
    <t>232</t>
  </si>
  <si>
    <t>233</t>
  </si>
  <si>
    <t>Carlos Gómez</t>
  </si>
  <si>
    <t>234</t>
  </si>
  <si>
    <t>235</t>
  </si>
  <si>
    <t>236</t>
  </si>
  <si>
    <t>237</t>
  </si>
  <si>
    <t>238</t>
  </si>
  <si>
    <t>239</t>
  </si>
  <si>
    <t>240</t>
  </si>
  <si>
    <t>José Ramírez</t>
  </si>
  <si>
    <t>241</t>
  </si>
  <si>
    <t>242</t>
  </si>
  <si>
    <t>243</t>
  </si>
  <si>
    <t>244</t>
  </si>
  <si>
    <t>Juan López</t>
  </si>
  <si>
    <t>245</t>
  </si>
  <si>
    <t>246</t>
  </si>
  <si>
    <t>247</t>
  </si>
  <si>
    <t>248</t>
  </si>
  <si>
    <t>Luisa Rodríguez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</si>
  <si>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</si>
  <si>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</si>
  <si>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</si>
  <si>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</si>
  <si>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</si>
  <si>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</si>
  <si>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</si>
  <si>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</si>
  <si>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</si>
  <si>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</si>
  <si>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</si>
  <si>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</si>
  <si>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</si>
  <si>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</si>
  <si>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Carlos Morales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</si>
  <si>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</si>
  <si>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</si>
  <si>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</si>
  <si>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</si>
  <si>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</si>
  <si>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</si>
  <si>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</si>
  <si>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</si>
  <si>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</si>
  <si>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Laura Rodríguez</t>
  </si>
  <si>
    <t>272</t>
  </si>
  <si>
    <t>273</t>
  </si>
  <si>
    <t>274</t>
  </si>
  <si>
    <t>275</t>
  </si>
  <si>
    <t>Luisa Gómez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</si>
  <si>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</si>
  <si>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</si>
  <si>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</si>
  <si>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</si>
  <si>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</si>
  <si>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</si>
  <si>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</si>
  <si>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</si>
  <si>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</si>
  <si>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</si>
  <si>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</si>
  <si>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</si>
  <si>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</si>
  <si>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</si>
  <si>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</si>
  <si>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</si>
  <si>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Sofía Morales</t>
  </si>
  <si>
    <t>292</t>
  </si>
  <si>
    <t>Luis Hernández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</si>
  <si>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</si>
  <si>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</si>
  <si>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</si>
  <si>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</si>
  <si>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</si>
  <si>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</si>
  <si>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</si>
  <si>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</si>
  <si>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</si>
  <si>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</si>
  <si>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</si>
  <si>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</si>
  <si>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</si>
  <si>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</si>
  <si>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</si>
  <si>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</si>
  <si>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</si>
  <si>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</si>
  <si>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</si>
  <si>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</si>
  <si>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</si>
  <si>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</si>
  <si>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Ricardo Cruz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</si>
  <si>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</si>
  <si>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</si>
  <si>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</si>
  <si>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</si>
  <si>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</si>
  <si>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</si>
  <si>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</si>
  <si>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</si>
  <si>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</si>
  <si>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Juan Cruz</t>
  </si>
  <si>
    <t>324</t>
  </si>
  <si>
    <t>325</t>
  </si>
  <si>
    <t>326</t>
  </si>
  <si>
    <t>327</t>
  </si>
  <si>
    <t>328</t>
  </si>
  <si>
    <t>329</t>
  </si>
  <si>
    <t>330</t>
  </si>
  <si>
    <t>Juan Hernández</t>
  </si>
  <si>
    <t>331</t>
  </si>
  <si>
    <t>332</t>
  </si>
  <si>
    <t>José Pérez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</si>
  <si>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</si>
  <si>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</si>
  <si>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</si>
  <si>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</si>
  <si>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</si>
  <si>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</si>
  <si>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</si>
  <si>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</si>
  <si>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</si>
  <si>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</si>
  <si>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</si>
  <si>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María Morales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</si>
  <si>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</si>
  <si>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</si>
  <si>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</si>
  <si>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</si>
  <si>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</si>
  <si>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</si>
  <si>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</si>
  <si>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</si>
  <si>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</si>
  <si>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</si>
  <si>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</si>
  <si>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Juan Rodríguez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</si>
  <si>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</si>
  <si>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</si>
  <si>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</si>
  <si>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</si>
  <si>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</si>
  <si>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</si>
  <si>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</si>
  <si>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</si>
  <si>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</si>
  <si>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Laura López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</si>
  <si>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</si>
  <si>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</si>
  <si>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</si>
  <si>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</si>
  <si>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</si>
  <si>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</si>
  <si>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</si>
  <si>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</si>
  <si>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</si>
  <si>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</si>
  <si>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</si>
  <si>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</si>
  <si>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</si>
  <si>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</si>
  <si>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María Martínez</t>
  </si>
  <si>
    <t>378</t>
  </si>
  <si>
    <t>379</t>
  </si>
  <si>
    <t>380</t>
  </si>
  <si>
    <t>381</t>
  </si>
  <si>
    <t>382</t>
  </si>
  <si>
    <t>383</t>
  </si>
  <si>
    <t>Elena López</t>
  </si>
  <si>
    <t>384</t>
  </si>
  <si>
    <t>385</t>
  </si>
  <si>
    <t>386</t>
  </si>
  <si>
    <t>María Sánchez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</si>
  <si>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</si>
  <si>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</si>
  <si>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</si>
  <si>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</si>
  <si>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</si>
  <si>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</si>
  <si>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</si>
  <si>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</si>
  <si>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</si>
  <si>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</si>
  <si>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</si>
  <si>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</si>
  <si>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</si>
  <si>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</si>
  <si>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</si>
  <si>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</si>
  <si>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</si>
  <si>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</si>
  <si>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</si>
  <si>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</si>
  <si>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</si>
  <si>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</si>
  <si>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</si>
  <si>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</si>
  <si>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</si>
  <si>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</si>
  <si>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</si>
  <si>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Miguel Morales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</si>
  <si>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</si>
  <si>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</si>
  <si>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</si>
  <si>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</si>
  <si>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</si>
  <si>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</si>
  <si>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</si>
  <si>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</si>
  <si>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</si>
  <si>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</si>
  <si>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</si>
  <si>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</si>
  <si>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</si>
  <si>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</si>
  <si>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</si>
  <si>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</si>
  <si>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</si>
  <si>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Carmen Morales</t>
  </si>
  <si>
    <t>431</t>
  </si>
  <si>
    <t>432</t>
  </si>
  <si>
    <t>433</t>
  </si>
  <si>
    <t>Jorge López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</si>
  <si>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</si>
  <si>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</si>
  <si>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</si>
  <si>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</si>
  <si>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</si>
  <si>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</si>
  <si>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</si>
  <si>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</si>
  <si>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</si>
  <si>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</si>
  <si>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</si>
  <si>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</si>
  <si>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</si>
  <si>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</si>
  <si>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Ricardo Morales</t>
  </si>
  <si>
    <t>448</t>
  </si>
  <si>
    <t>449</t>
  </si>
  <si>
    <t>450</t>
  </si>
  <si>
    <t>Elena Rodríguez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</si>
  <si>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</si>
  <si>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</si>
  <si>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</si>
  <si>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</si>
  <si>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</si>
  <si>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</si>
  <si>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</si>
  <si>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</si>
  <si>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</si>
  <si>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</si>
  <si>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</si>
  <si>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</si>
  <si>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</si>
  <si>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</si>
  <si>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</si>
  <si>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</si>
  <si>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</si>
  <si>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</si>
  <si>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</si>
  <si>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</si>
  <si>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</si>
  <si>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</si>
  <si>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</si>
  <si>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</si>
  <si>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</si>
  <si>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</si>
  <si>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</si>
  <si>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</si>
  <si>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</si>
  <si>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</si>
  <si>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</si>
  <si>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</si>
  <si>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</si>
  <si>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</si>
  <si>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Sofía Martínez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</si>
  <si>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</si>
  <si>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</si>
  <si>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</si>
  <si>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</si>
  <si>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</si>
  <si>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</si>
  <si>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</si>
  <si>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</si>
  <si>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</si>
  <si>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Luis López</t>
  </si>
  <si>
    <t>494</t>
  </si>
  <si>
    <t>495</t>
  </si>
  <si>
    <t>496</t>
  </si>
  <si>
    <t>497</t>
  </si>
  <si>
    <t>498</t>
  </si>
  <si>
    <t>499</t>
  </si>
  <si>
    <t>Miguel Ramírez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</si>
  <si>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</si>
  <si>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</si>
  <si>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</si>
  <si>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</si>
  <si>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</si>
  <si>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</si>
  <si>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</si>
  <si>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</si>
  <si>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</si>
  <si>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Juan Gómez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</si>
  <si>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</si>
  <si>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</si>
  <si>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</si>
  <si>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</si>
  <si>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</si>
  <si>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</si>
  <si>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</si>
  <si>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</si>
  <si>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</si>
  <si>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</si>
  <si>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</si>
  <si>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</si>
  <si>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</si>
  <si>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</si>
  <si>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</si>
  <si>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</si>
  <si>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</si>
  <si>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</si>
  <si>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</si>
  <si>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</si>
  <si>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</si>
  <si>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</si>
  <si>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</si>
  <si>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</si>
  <si>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</si>
  <si>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</si>
  <si>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</si>
  <si>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</si>
  <si>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</si>
  <si>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</si>
  <si>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</si>
  <si>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</si>
  <si>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</si>
  <si>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</si>
  <si>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</si>
  <si>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</si>
  <si>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</si>
  <si>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</si>
  <si>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</si>
  <si>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</si>
  <si>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</si>
  <si>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</si>
  <si>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</si>
  <si>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</si>
  <si>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</si>
  <si>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</si>
  <si>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</si>
  <si>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</si>
  <si>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</si>
  <si>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</si>
  <si>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</si>
  <si>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</si>
  <si>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</si>
  <si>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</si>
  <si>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</si>
  <si>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</si>
  <si>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</si>
  <si>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</si>
  <si>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</si>
  <si>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</si>
  <si>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</si>
  <si>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</si>
  <si>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</si>
  <si>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</si>
  <si>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</si>
  <si>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</si>
  <si>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</si>
  <si>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</si>
  <si>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</si>
  <si>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</si>
  <si>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</si>
  <si>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</si>
  <si>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</si>
  <si>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</si>
  <si>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</si>
  <si>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</si>
  <si>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</si>
  <si>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</si>
  <si>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</si>
  <si>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</si>
  <si>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</si>
  <si>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</si>
  <si>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</si>
  <si>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</si>
  <si>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</si>
  <si>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</si>
  <si>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</si>
  <si>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</si>
  <si>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</si>
  <si>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</si>
  <si>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</si>
  <si>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</si>
  <si>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Carmen Rodríguez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</si>
  <si>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</si>
  <si>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</si>
  <si>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</si>
  <si>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</si>
  <si>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</si>
  <si>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</si>
  <si>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</si>
  <si>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</si>
  <si>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</si>
  <si>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</si>
  <si>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</si>
  <si>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</si>
  <si>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</si>
  <si>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</si>
  <si>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</si>
  <si>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</si>
  <si>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</si>
  <si>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</si>
  <si>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</si>
  <si>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</si>
  <si>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</si>
  <si>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</si>
  <si>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</si>
  <si>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</si>
  <si>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</si>
  <si>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</si>
  <si>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</si>
  <si>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</si>
  <si>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</si>
  <si>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</si>
  <si>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</si>
  <si>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</si>
  <si>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</si>
  <si>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</si>
  <si>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</si>
  <si>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</si>
  <si>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</si>
  <si>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</si>
  <si>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</si>
  <si>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</si>
  <si>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</si>
  <si>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</si>
  <si>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</si>
  <si>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</si>
  <si>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</si>
  <si>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</si>
  <si>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</si>
  <si>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</si>
  <si>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</si>
  <si>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</si>
  <si>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</si>
  <si>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</si>
  <si>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</si>
  <si>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</si>
  <si>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</si>
  <si>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</si>
  <si>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</si>
  <si>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</si>
  <si>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</si>
  <si>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</si>
  <si>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</si>
  <si>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</si>
  <si>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</si>
  <si>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</si>
  <si>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</si>
  <si>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</si>
  <si>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</si>
  <si>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</si>
  <si>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</si>
  <si>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</si>
  <si>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</si>
  <si>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</si>
  <si>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</si>
  <si>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</si>
  <si>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</si>
  <si>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</si>
  <si>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</si>
  <si>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</si>
  <si>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</si>
  <si>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</si>
  <si>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</si>
  <si>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</si>
  <si>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</si>
  <si>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</si>
  <si>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</si>
  <si>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</si>
  <si>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</si>
  <si>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</si>
  <si>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</si>
  <si>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</si>
  <si>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</si>
  <si>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</si>
  <si>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</si>
  <si>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</si>
  <si>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</si>
  <si>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</si>
  <si>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</si>
  <si>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</si>
  <si>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</si>
  <si>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</si>
  <si>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</si>
  <si>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</si>
  <si>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</si>
  <si>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</si>
  <si>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</si>
  <si>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</si>
  <si>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</si>
  <si>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</si>
  <si>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</si>
  <si>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</si>
  <si>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</si>
  <si>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</si>
  <si>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</si>
  <si>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</si>
  <si>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</si>
  <si>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</si>
  <si>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</si>
  <si>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</si>
  <si>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</si>
  <si>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</si>
  <si>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</si>
  <si>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</si>
  <si>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</si>
  <si>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</si>
  <si>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</si>
  <si>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</si>
  <si>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</si>
  <si>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</si>
  <si>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</si>
  <si>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</si>
  <si>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</si>
  <si>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</si>
  <si>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</si>
  <si>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</si>
  <si>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</si>
  <si>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</si>
  <si>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</si>
  <si>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</si>
  <si>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</si>
  <si>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</si>
  <si>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</si>
  <si>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</si>
  <si>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</si>
  <si>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</si>
  <si>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</si>
  <si>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</si>
  <si>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</si>
  <si>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</si>
  <si>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</si>
  <si>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</si>
  <si>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</si>
  <si>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</si>
  <si>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</si>
  <si>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</si>
  <si>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</si>
  <si>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</si>
  <si>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</si>
  <si>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</si>
  <si>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</si>
  <si>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</si>
  <si>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</si>
  <si>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</si>
  <si>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</si>
  <si>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</si>
  <si>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</si>
  <si>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</si>
  <si>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</si>
  <si>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</si>
  <si>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</si>
  <si>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</si>
  <si>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</si>
  <si>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</si>
  <si>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</si>
  <si>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</si>
  <si>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</si>
  <si>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</si>
  <si>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</si>
  <si>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</si>
  <si>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</si>
  <si>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</si>
  <si>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</si>
  <si>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</si>
  <si>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</si>
  <si>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</si>
  <si>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</si>
  <si>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</si>
  <si>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</si>
  <si>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</si>
  <si>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</si>
  <si>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</si>
  <si>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</si>
  <si>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</si>
  <si>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</si>
  <si>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</si>
  <si>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</si>
  <si>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</si>
  <si>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</si>
  <si>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</si>
  <si>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</si>
  <si>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</si>
  <si>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</si>
  <si>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</si>
  <si>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</si>
  <si>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</si>
  <si>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</si>
  <si>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</si>
  <si>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</si>
  <si>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</si>
  <si>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</si>
  <si>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</si>
  <si>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</si>
  <si>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</si>
  <si>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</si>
  <si>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</si>
  <si>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</si>
  <si>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</si>
  <si>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</si>
  <si>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</si>
  <si>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</si>
  <si>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</si>
  <si>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</si>
  <si>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</si>
  <si>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</si>
  <si>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</si>
  <si>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</si>
  <si>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</si>
  <si>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</si>
  <si>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</si>
  <si>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</si>
  <si>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</si>
  <si>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</si>
  <si>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</si>
  <si>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</si>
  <si>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</si>
  <si>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</si>
  <si>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</si>
  <si>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</si>
  <si>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</si>
  <si>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</si>
  <si>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</si>
  <si>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</si>
  <si>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</si>
  <si>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</si>
  <si>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</si>
  <si>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</si>
  <si>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</si>
  <si>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</si>
  <si>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</si>
  <si>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</si>
  <si>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</si>
  <si>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</si>
  <si>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</si>
  <si>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</si>
  <si>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</si>
  <si>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</si>
  <si>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</si>
  <si>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</si>
  <si>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</si>
  <si>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</si>
  <si>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</si>
  <si>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</si>
  <si>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</si>
  <si>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</si>
  <si>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</si>
  <si>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</si>
  <si>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</si>
  <si>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</si>
  <si>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</si>
  <si>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</si>
  <si>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</si>
  <si>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</si>
  <si>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</si>
  <si>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</si>
  <si>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</si>
  <si>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</si>
  <si>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</si>
  <si>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</si>
  <si>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</si>
  <si>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</si>
  <si>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</si>
  <si>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</si>
  <si>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</si>
  <si>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</si>
  <si>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</si>
  <si>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</si>
  <si>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</si>
  <si>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</si>
  <si>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</si>
  <si>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</si>
  <si>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</si>
  <si>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</si>
  <si>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</si>
  <si>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</si>
  <si>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</si>
  <si>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</si>
  <si>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</si>
  <si>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</si>
  <si>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</si>
  <si>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</si>
  <si>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</si>
  <si>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</si>
  <si>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</si>
  <si>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</si>
  <si>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</si>
  <si>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</si>
  <si>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</si>
  <si>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</si>
  <si>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</si>
  <si>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</si>
  <si>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</si>
  <si>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</si>
  <si>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</si>
  <si>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</si>
  <si>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</si>
  <si>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</si>
  <si>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</si>
  <si>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</si>
  <si>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</si>
  <si>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</si>
  <si>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</si>
  <si>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</si>
  <si>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</si>
  <si>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</si>
  <si>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</si>
  <si>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</si>
  <si>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</si>
  <si>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</si>
  <si>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</si>
  <si>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</si>
  <si>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</si>
  <si>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</si>
  <si>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</si>
  <si>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</si>
  <si>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</si>
  <si>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</si>
  <si>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</si>
  <si>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</si>
  <si>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</si>
  <si>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</si>
  <si>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</si>
  <si>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</si>
  <si>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</si>
  <si>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</si>
  <si>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</si>
  <si>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</si>
  <si>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</si>
  <si>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</si>
  <si>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</si>
  <si>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</si>
  <si>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</si>
  <si>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</si>
  <si>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</si>
  <si>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</si>
  <si>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</si>
  <si>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</si>
  <si>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</si>
  <si>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</si>
  <si>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</si>
  <si>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</si>
  <si>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</si>
  <si>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</si>
  <si>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</si>
  <si>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</si>
  <si>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</si>
  <si>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</si>
  <si>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</si>
  <si>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</si>
  <si>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</si>
  <si>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</si>
  <si>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</si>
  <si>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</si>
  <si>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</si>
  <si>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</si>
  <si>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Luis Gómez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</si>
  <si>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</si>
  <si>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</si>
  <si>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</si>
  <si>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</si>
  <si>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</si>
  <si>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</si>
  <si>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</si>
  <si>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</si>
  <si>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</si>
  <si>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</si>
  <si>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</si>
  <si>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</si>
  <si>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</si>
  <si>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</si>
  <si>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</si>
  <si>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</si>
  <si>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</si>
  <si>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</si>
  <si>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</si>
  <si>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</si>
  <si>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</si>
  <si>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</si>
  <si>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</si>
  <si>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</si>
  <si>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</si>
  <si>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</si>
  <si>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</si>
  <si>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</si>
  <si>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</si>
  <si>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</si>
  <si>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</si>
  <si>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</si>
  <si>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</si>
  <si>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</si>
  <si>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</si>
  <si>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</si>
  <si>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</si>
  <si>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</si>
  <si>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</si>
  <si>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</si>
  <si>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</si>
  <si>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</si>
  <si>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</si>
  <si>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</si>
  <si>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</si>
  <si>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</si>
  <si>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</si>
  <si>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</si>
  <si>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</si>
  <si>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</si>
  <si>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</si>
  <si>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</si>
  <si>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</si>
  <si>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</si>
  <si>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</si>
  <si>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</si>
  <si>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</si>
  <si>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</si>
  <si>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</si>
  <si>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</si>
  <si>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</si>
  <si>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</si>
  <si>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</si>
  <si>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</si>
  <si>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</si>
  <si>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</si>
  <si>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</si>
  <si>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</si>
  <si>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</si>
  <si>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</si>
  <si>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</si>
  <si>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</si>
  <si>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</si>
  <si>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</si>
  <si>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</si>
  <si>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</si>
  <si>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</si>
  <si>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</si>
  <si>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</si>
  <si>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</si>
  <si>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</si>
  <si>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</si>
  <si>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</si>
  <si>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</si>
  <si>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</si>
  <si>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</si>
  <si>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</si>
  <si>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</si>
  <si>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</si>
  <si>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</si>
  <si>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</si>
  <si>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</si>
  <si>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</si>
  <si>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</si>
  <si>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</si>
  <si>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</si>
  <si>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</si>
  <si>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</si>
  <si>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</si>
  <si>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</si>
  <si>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</si>
  <si>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</si>
  <si>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</si>
  <si>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</si>
  <si>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</si>
  <si>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</si>
  <si>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</si>
  <si>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</si>
  <si>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</si>
  <si>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</si>
  <si>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</si>
  <si>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</si>
  <si>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</si>
  <si>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</si>
  <si>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</si>
  <si>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</si>
  <si>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</si>
  <si>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</si>
  <si>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</si>
  <si>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</si>
  <si>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</si>
  <si>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</si>
  <si>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</si>
  <si>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</si>
  <si>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</si>
  <si>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</si>
  <si>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</si>
  <si>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</si>
  <si>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</si>
  <si>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</si>
  <si>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</si>
  <si>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</si>
  <si>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</si>
  <si>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</si>
  <si>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</si>
  <si>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</si>
  <si>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</si>
  <si>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</si>
  <si>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</si>
  <si>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</si>
  <si>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</si>
  <si>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</si>
  <si>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</si>
  <si>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</si>
  <si>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</si>
  <si>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</si>
  <si>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</si>
  <si>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</si>
  <si>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</si>
  <si>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</si>
  <si>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</si>
  <si>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</si>
  <si>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</si>
  <si>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</si>
  <si>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</si>
  <si>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</si>
  <si>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</si>
  <si>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</si>
  <si>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</si>
  <si>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</si>
  <si>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</si>
  <si>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</si>
  <si>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</si>
  <si>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</si>
  <si>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</si>
  <si>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</si>
  <si>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</si>
  <si>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</si>
  <si>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</si>
  <si>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</si>
  <si>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</si>
  <si>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</si>
  <si>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</si>
  <si>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</si>
  <si>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</si>
  <si>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</si>
  <si>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</si>
  <si>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</si>
  <si>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</si>
  <si>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</si>
  <si>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</si>
  <si>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</si>
  <si>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</si>
  <si>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</si>
  <si>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</si>
  <si>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</si>
  <si>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</si>
  <si>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</si>
  <si>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</si>
  <si>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</si>
  <si>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</si>
  <si>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</si>
  <si>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</si>
  <si>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</si>
  <si>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</si>
  <si>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</si>
  <si>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</si>
  <si>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</si>
  <si>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</si>
  <si>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</si>
  <si>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</si>
  <si>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</si>
  <si>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</si>
  <si>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</si>
  <si>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</si>
  <si>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</si>
  <si>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</si>
  <si>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</si>
  <si>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</si>
  <si>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</si>
  <si>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</si>
  <si>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</si>
  <si>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</si>
  <si>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</si>
  <si>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</si>
  <si>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</si>
  <si>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</si>
  <si>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</si>
  <si>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</si>
  <si>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</si>
  <si>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</si>
  <si>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</si>
  <si>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</si>
  <si>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</si>
  <si>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</si>
  <si>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</si>
  <si>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</si>
  <si>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</si>
  <si>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</si>
  <si>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</si>
  <si>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</si>
  <si>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</si>
  <si>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</si>
  <si>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</si>
  <si>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</si>
  <si>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</si>
  <si>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</si>
  <si>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</si>
  <si>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</si>
  <si>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</si>
  <si>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</si>
  <si>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</si>
  <si>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</si>
  <si>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</si>
  <si>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</si>
  <si>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</si>
  <si>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</si>
  <si>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</si>
  <si>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</si>
  <si>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</si>
  <si>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</si>
  <si>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</si>
  <si>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</si>
  <si>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</si>
  <si>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</si>
  <si>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</si>
  <si>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</si>
  <si>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</si>
  <si>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</si>
  <si>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</si>
  <si>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</si>
  <si>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</si>
  <si>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</si>
  <si>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</si>
  <si>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</si>
  <si>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</si>
  <si>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</si>
  <si>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</si>
  <si>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</si>
  <si>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</si>
  <si>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</si>
  <si>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</si>
  <si>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</si>
  <si>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</si>
  <si>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</si>
  <si>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</si>
  <si>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</si>
  <si>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</si>
  <si>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</si>
  <si>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</si>
  <si>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</si>
  <si>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</si>
  <si>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</si>
  <si>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</si>
  <si>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</si>
  <si>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</si>
  <si>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</si>
  <si>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</si>
  <si>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</si>
  <si>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</si>
  <si>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</si>
  <si>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</si>
  <si>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</si>
  <si>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</si>
  <si>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</si>
  <si>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</si>
  <si>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</si>
  <si>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</si>
  <si>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</si>
  <si>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</si>
  <si>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</si>
  <si>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</si>
  <si>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</si>
  <si>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</si>
  <si>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</si>
  <si>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</si>
  <si>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</si>
  <si>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</si>
  <si>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</si>
  <si>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</si>
  <si>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</si>
  <si>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</si>
  <si>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</si>
  <si>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</si>
  <si>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</si>
  <si>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</si>
  <si>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</si>
  <si>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</si>
  <si>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</si>
  <si>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</si>
  <si>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</si>
  <si>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</si>
  <si>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</si>
  <si>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</si>
  <si>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</si>
  <si>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</si>
  <si>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</si>
  <si>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</si>
  <si>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</si>
  <si>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</si>
  <si>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</si>
  <si>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</si>
  <si>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</si>
  <si>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</si>
  <si>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</si>
  <si>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</si>
  <si>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</si>
  <si>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</si>
  <si>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</si>
  <si>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</si>
  <si>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</si>
  <si>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</si>
  <si>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</si>
  <si>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</si>
  <si>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</si>
  <si>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</si>
  <si>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</si>
  <si>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</si>
  <si>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</si>
  <si>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</si>
  <si>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</si>
  <si>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</si>
  <si>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</si>
  <si>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</si>
  <si>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</si>
  <si>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</si>
  <si>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</si>
  <si>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</si>
  <si>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</si>
  <si>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</si>
  <si>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</si>
  <si>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</si>
  <si>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</si>
  <si>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</si>
  <si>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</si>
  <si>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</si>
  <si>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</si>
  <si>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</si>
  <si>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</si>
  <si>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</si>
  <si>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</si>
  <si>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</si>
  <si>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</si>
  <si>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</si>
  <si>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</si>
  <si>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</si>
  <si>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</si>
  <si>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</si>
  <si>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</si>
  <si>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</si>
  <si>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</si>
  <si>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</si>
  <si>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</si>
  <si>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</si>
  <si>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</si>
  <si>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</si>
  <si>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</si>
  <si>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</si>
  <si>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</si>
  <si>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</si>
  <si>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</si>
  <si>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</si>
  <si>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</si>
  <si>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</si>
  <si>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</si>
  <si>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</si>
  <si>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</si>
  <si>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</si>
  <si>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</si>
  <si>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</si>
  <si>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</si>
  <si>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</si>
  <si>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</si>
  <si>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</si>
  <si>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</si>
  <si>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</si>
  <si>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</si>
  <si>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</si>
  <si>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</si>
  <si>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1383</t>
  </si>
  <si>
    <t>1384</t>
  </si>
  <si>
    <t>1385</t>
  </si>
  <si>
    <t>1386</t>
  </si>
  <si>
    <t>1387</t>
  </si>
  <si>
    <t>1388</t>
  </si>
  <si>
    <t>1389</t>
  </si>
  <si>
    <t>1390</t>
  </si>
  <si>
    <t>1391</t>
  </si>
  <si>
    <t>1392</t>
  </si>
  <si>
    <t>1393</t>
  </si>
  <si>
    <t>1394</t>
  </si>
  <si>
    <t>1395</t>
  </si>
  <si>
    <t>1396</t>
  </si>
  <si>
    <t>1397</t>
  </si>
  <si>
    <t>1398</t>
  </si>
  <si>
    <t>1399</t>
  </si>
  <si>
    <t>1400</t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</si>
  <si>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</si>
  <si>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</si>
  <si>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</si>
  <si>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</si>
  <si>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</si>
  <si>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</si>
  <si>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</si>
  <si>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</si>
  <si>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</si>
  <si>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</si>
  <si>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</si>
  <si>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</si>
  <si>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</si>
  <si>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</si>
  <si>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</si>
  <si>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</si>
  <si>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</si>
  <si>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</si>
  <si>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</si>
  <si>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</si>
  <si>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</si>
  <si>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</si>
  <si>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</si>
  <si>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</si>
  <si>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1425</t>
  </si>
  <si>
    <t>1426</t>
  </si>
  <si>
    <t>1427</t>
  </si>
  <si>
    <t>1428</t>
  </si>
  <si>
    <t>1429</t>
  </si>
  <si>
    <t>1430</t>
  </si>
  <si>
    <t>1431</t>
  </si>
  <si>
    <t>1432</t>
  </si>
  <si>
    <t>1433</t>
  </si>
  <si>
    <t>1434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</si>
  <si>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</si>
  <si>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</si>
  <si>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</si>
  <si>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</si>
  <si>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</si>
  <si>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</si>
  <si>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</si>
  <si>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</si>
  <si>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</si>
  <si>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</si>
  <si>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</si>
  <si>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1446</t>
  </si>
  <si>
    <t>1447</t>
  </si>
  <si>
    <t>1448</t>
  </si>
  <si>
    <t>1449</t>
  </si>
  <si>
    <t>1450</t>
  </si>
  <si>
    <t>1451</t>
  </si>
  <si>
    <t>1452</t>
  </si>
  <si>
    <t>1453</t>
  </si>
  <si>
    <t>1454</t>
  </si>
  <si>
    <t>1455</t>
  </si>
  <si>
    <t>1456</t>
  </si>
  <si>
    <t>1457</t>
  </si>
  <si>
    <t>1458</t>
  </si>
  <si>
    <t>1459</t>
  </si>
  <si>
    <t>1460</t>
  </si>
  <si>
    <t>1461</t>
  </si>
  <si>
    <t>1462</t>
  </si>
  <si>
    <t>1463</t>
  </si>
  <si>
    <t>1464</t>
  </si>
  <si>
    <t>1465</t>
  </si>
  <si>
    <t>1466</t>
  </si>
  <si>
    <t>1467</t>
  </si>
  <si>
    <t>1468</t>
  </si>
  <si>
    <t>1469</t>
  </si>
  <si>
    <t>1470</t>
  </si>
  <si>
    <t>1471</t>
  </si>
  <si>
    <t>1472</t>
  </si>
  <si>
    <t>1473</t>
  </si>
  <si>
    <t>1474</t>
  </si>
  <si>
    <t>1475</t>
  </si>
  <si>
    <t>1476</t>
  </si>
  <si>
    <t>1477</t>
  </si>
  <si>
    <t>1478</t>
  </si>
  <si>
    <t>1479</t>
  </si>
  <si>
    <t>1480</t>
  </si>
  <si>
    <t>1481</t>
  </si>
  <si>
    <t>1482</t>
  </si>
  <si>
    <t>1483</t>
  </si>
  <si>
    <t>1484</t>
  </si>
  <si>
    <t>1485</t>
  </si>
  <si>
    <t>1486</t>
  </si>
  <si>
    <t>1487</t>
  </si>
  <si>
    <t>1488</t>
  </si>
  <si>
    <t>1489</t>
  </si>
  <si>
    <t>1490</t>
  </si>
  <si>
    <t>1491</t>
  </si>
  <si>
    <t>1492</t>
  </si>
  <si>
    <t>1493</t>
  </si>
  <si>
    <t>1494</t>
  </si>
  <si>
    <t>1495</t>
  </si>
  <si>
    <t>1496</t>
  </si>
  <si>
    <t>1497</t>
  </si>
  <si>
    <t>1498</t>
  </si>
  <si>
    <t>1499</t>
  </si>
  <si>
    <t>1500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</si>
  <si>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</si>
  <si>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</si>
  <si>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</si>
  <si>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</si>
  <si>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</si>
  <si>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</si>
  <si>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</si>
  <si>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</si>
  <si>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</si>
  <si>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1510</t>
  </si>
  <si>
    <t>1511</t>
  </si>
  <si>
    <t>1512</t>
  </si>
  <si>
    <t>1513</t>
  </si>
  <si>
    <t>1514</t>
  </si>
  <si>
    <t>1515</t>
  </si>
  <si>
    <t>1516</t>
  </si>
  <si>
    <t>1517</t>
  </si>
  <si>
    <t>1518</t>
  </si>
  <si>
    <t>1519</t>
  </si>
  <si>
    <t>1520</t>
  </si>
  <si>
    <t>1521</t>
  </si>
  <si>
    <t>1522</t>
  </si>
  <si>
    <t>1523</t>
  </si>
  <si>
    <t>1524</t>
  </si>
  <si>
    <t>1525</t>
  </si>
  <si>
    <t>1526</t>
  </si>
  <si>
    <t>1527</t>
  </si>
  <si>
    <t>1528</t>
  </si>
  <si>
    <t>1529</t>
  </si>
  <si>
    <t>1530</t>
  </si>
  <si>
    <t>1531</t>
  </si>
  <si>
    <t>1532</t>
  </si>
  <si>
    <t>1533</t>
  </si>
  <si>
    <t>1534</t>
  </si>
  <si>
    <t>1535</t>
  </si>
  <si>
    <t>1536</t>
  </si>
  <si>
    <t>1537</t>
  </si>
  <si>
    <t>1538</t>
  </si>
  <si>
    <t>1539</t>
  </si>
  <si>
    <t>1540</t>
  </si>
  <si>
    <t>1541</t>
  </si>
  <si>
    <t>1542</t>
  </si>
  <si>
    <t>1543</t>
  </si>
  <si>
    <t>1544</t>
  </si>
  <si>
    <t>1545</t>
  </si>
  <si>
    <t>1546</t>
  </si>
  <si>
    <t>1547</t>
  </si>
  <si>
    <t>1548</t>
  </si>
  <si>
    <t>1549</t>
  </si>
  <si>
    <t>1550</t>
  </si>
  <si>
    <t>1551</t>
  </si>
  <si>
    <t>1552</t>
  </si>
  <si>
    <t>1553</t>
  </si>
  <si>
    <t>1554</t>
  </si>
  <si>
    <t>1555</t>
  </si>
  <si>
    <t>1556</t>
  </si>
  <si>
    <t>1557</t>
  </si>
  <si>
    <t>1558</t>
  </si>
  <si>
    <t>1559</t>
  </si>
  <si>
    <t>1560</t>
  </si>
  <si>
    <t>1561</t>
  </si>
  <si>
    <t>1562</t>
  </si>
  <si>
    <t>1563</t>
  </si>
  <si>
    <t>1564</t>
  </si>
  <si>
    <t>1565</t>
  </si>
  <si>
    <t>1566</t>
  </si>
  <si>
    <t>1567</t>
  </si>
  <si>
    <t>1568</t>
  </si>
  <si>
    <t>1569</t>
  </si>
  <si>
    <t>1570</t>
  </si>
  <si>
    <t>1571</t>
  </si>
  <si>
    <t>1572</t>
  </si>
  <si>
    <t>1573</t>
  </si>
  <si>
    <t>1574</t>
  </si>
  <si>
    <t>1575</t>
  </si>
  <si>
    <t>1576</t>
  </si>
  <si>
    <t>1577</t>
  </si>
  <si>
    <t>1578</t>
  </si>
  <si>
    <t>1579</t>
  </si>
  <si>
    <t>1580</t>
  </si>
  <si>
    <t>1581</t>
  </si>
  <si>
    <t>1582</t>
  </si>
  <si>
    <t>1583</t>
  </si>
  <si>
    <t>1584</t>
  </si>
  <si>
    <t>1585</t>
  </si>
  <si>
    <t>1586</t>
  </si>
  <si>
    <t>1587</t>
  </si>
  <si>
    <t>1588</t>
  </si>
  <si>
    <t>1589</t>
  </si>
  <si>
    <t>1590</t>
  </si>
  <si>
    <t>1591</t>
  </si>
  <si>
    <t>1592</t>
  </si>
  <si>
    <t>1593</t>
  </si>
  <si>
    <t>1594</t>
  </si>
  <si>
    <t>1595</t>
  </si>
  <si>
    <t>1596</t>
  </si>
  <si>
    <t>1597</t>
  </si>
  <si>
    <t>1598</t>
  </si>
  <si>
    <t>1599</t>
  </si>
  <si>
    <t>1600</t>
  </si>
  <si>
    <t>1601</t>
  </si>
  <si>
    <t>1602</t>
  </si>
  <si>
    <t>1603</t>
  </si>
  <si>
    <t>1604</t>
  </si>
  <si>
    <t>1605</t>
  </si>
  <si>
    <t>1606</t>
  </si>
  <si>
    <t>1607</t>
  </si>
  <si>
    <t>1608</t>
  </si>
  <si>
    <t>1609</t>
  </si>
  <si>
    <t>1610</t>
  </si>
  <si>
    <t>1611</t>
  </si>
  <si>
    <t>1612</t>
  </si>
  <si>
    <t>1613</t>
  </si>
  <si>
    <t>1614</t>
  </si>
  <si>
    <t>1615</t>
  </si>
  <si>
    <t>1616</t>
  </si>
  <si>
    <t>1617</t>
  </si>
  <si>
    <t>1618</t>
  </si>
  <si>
    <t>1619</t>
  </si>
  <si>
    <t>1620</t>
  </si>
  <si>
    <t>1621</t>
  </si>
  <si>
    <t>1622</t>
  </si>
  <si>
    <t>1623</t>
  </si>
  <si>
    <t>1624</t>
  </si>
  <si>
    <t>1625</t>
  </si>
  <si>
    <t>1626</t>
  </si>
  <si>
    <t>1627</t>
  </si>
  <si>
    <t>1628</t>
  </si>
  <si>
    <t>1629</t>
  </si>
  <si>
    <t>1630</t>
  </si>
  <si>
    <t>1631</t>
  </si>
  <si>
    <t>1632</t>
  </si>
  <si>
    <t>1633</t>
  </si>
  <si>
    <t>1634</t>
  </si>
  <si>
    <t>1635</t>
  </si>
  <si>
    <t>1636</t>
  </si>
  <si>
    <t>1637</t>
  </si>
  <si>
    <t>1638</t>
  </si>
  <si>
    <t>1639</t>
  </si>
  <si>
    <t>1640</t>
  </si>
  <si>
    <t>1641</t>
  </si>
  <si>
    <t>1642</t>
  </si>
  <si>
    <t>1643</t>
  </si>
  <si>
    <t>1644</t>
  </si>
  <si>
    <t>1645</t>
  </si>
  <si>
    <t>1646</t>
  </si>
  <si>
    <t>1647</t>
  </si>
  <si>
    <t>1648</t>
  </si>
  <si>
    <t>1649</t>
  </si>
  <si>
    <t>1650</t>
  </si>
  <si>
    <t>1651</t>
  </si>
  <si>
    <t>1652</t>
  </si>
  <si>
    <t>1653</t>
  </si>
  <si>
    <t>1654</t>
  </si>
  <si>
    <t>1655</t>
  </si>
  <si>
    <t>1656</t>
  </si>
  <si>
    <t>1657</t>
  </si>
  <si>
    <t>1658</t>
  </si>
  <si>
    <t>1659</t>
  </si>
  <si>
    <t>1660</t>
  </si>
  <si>
    <t>1661</t>
  </si>
  <si>
    <t>1662</t>
  </si>
  <si>
    <t>1663</t>
  </si>
  <si>
    <t>1664</t>
  </si>
  <si>
    <t>1665</t>
  </si>
  <si>
    <t>1666</t>
  </si>
  <si>
    <t>1667</t>
  </si>
  <si>
    <t>1668</t>
  </si>
  <si>
    <t>1669</t>
  </si>
  <si>
    <t>1670</t>
  </si>
  <si>
    <t>1671</t>
  </si>
  <si>
    <t>1672</t>
  </si>
  <si>
    <t>1673</t>
  </si>
  <si>
    <t>1674</t>
  </si>
  <si>
    <t>1675</t>
  </si>
  <si>
    <t>1676</t>
  </si>
  <si>
    <t>1677</t>
  </si>
  <si>
    <t>1678</t>
  </si>
  <si>
    <t>1679</t>
  </si>
  <si>
    <t>1680</t>
  </si>
  <si>
    <t>1681</t>
  </si>
  <si>
    <t>1682</t>
  </si>
  <si>
    <t>1683</t>
  </si>
  <si>
    <t>1684</t>
  </si>
  <si>
    <t>1685</t>
  </si>
  <si>
    <t>1686</t>
  </si>
  <si>
    <t>1687</t>
  </si>
  <si>
    <t>1688</t>
  </si>
  <si>
    <t>1689</t>
  </si>
  <si>
    <t>1690</t>
  </si>
  <si>
    <t>1691</t>
  </si>
  <si>
    <t>1692</t>
  </si>
  <si>
    <t>1693</t>
  </si>
  <si>
    <t>1694</t>
  </si>
  <si>
    <t>1695</t>
  </si>
  <si>
    <t>1696</t>
  </si>
  <si>
    <t>1697</t>
  </si>
  <si>
    <t>1698</t>
  </si>
  <si>
    <t>1699</t>
  </si>
  <si>
    <t>1700</t>
  </si>
  <si>
    <t>1701</t>
  </si>
  <si>
    <t>1702</t>
  </si>
  <si>
    <t>1703</t>
  </si>
  <si>
    <t>1704</t>
  </si>
  <si>
    <t>1705</t>
  </si>
  <si>
    <t>1706</t>
  </si>
  <si>
    <t>1707</t>
  </si>
  <si>
    <t>1708</t>
  </si>
  <si>
    <t>1709</t>
  </si>
  <si>
    <t>1710</t>
  </si>
  <si>
    <t>1711</t>
  </si>
  <si>
    <t>1712</t>
  </si>
  <si>
    <t>1713</t>
  </si>
  <si>
    <t>1714</t>
  </si>
  <si>
    <t>1715</t>
  </si>
  <si>
    <t>1716</t>
  </si>
  <si>
    <t>1717</t>
  </si>
  <si>
    <t>1718</t>
  </si>
  <si>
    <t>1719</t>
  </si>
  <si>
    <t>1720</t>
  </si>
  <si>
    <t>1721</t>
  </si>
  <si>
    <t>1722</t>
  </si>
  <si>
    <t>1723</t>
  </si>
  <si>
    <t>1724</t>
  </si>
  <si>
    <t>1725</t>
  </si>
  <si>
    <t>1726</t>
  </si>
  <si>
    <t>1727</t>
  </si>
  <si>
    <t>1728</t>
  </si>
  <si>
    <t>1729</t>
  </si>
  <si>
    <t>1730</t>
  </si>
  <si>
    <t>1731</t>
  </si>
  <si>
    <t>1732</t>
  </si>
  <si>
    <t>1733</t>
  </si>
  <si>
    <t>1734</t>
  </si>
  <si>
    <t>1735</t>
  </si>
  <si>
    <t>1736</t>
  </si>
  <si>
    <t>1737</t>
  </si>
  <si>
    <t>1738</t>
  </si>
  <si>
    <t>1739</t>
  </si>
  <si>
    <t>1740</t>
  </si>
  <si>
    <t>1741</t>
  </si>
  <si>
    <t>1742</t>
  </si>
  <si>
    <t>1743</t>
  </si>
  <si>
    <t>1744</t>
  </si>
  <si>
    <t>1745</t>
  </si>
  <si>
    <t>1746</t>
  </si>
  <si>
    <t>1747</t>
  </si>
  <si>
    <t>1748</t>
  </si>
  <si>
    <t>1749</t>
  </si>
  <si>
    <t>1750</t>
  </si>
  <si>
    <t>1751</t>
  </si>
  <si>
    <t>1752</t>
  </si>
  <si>
    <t>1753</t>
  </si>
  <si>
    <t>1754</t>
  </si>
  <si>
    <t>1755</t>
  </si>
  <si>
    <t>1756</t>
  </si>
  <si>
    <t>1757</t>
  </si>
  <si>
    <t>1758</t>
  </si>
  <si>
    <t>1759</t>
  </si>
  <si>
    <t>1760</t>
  </si>
  <si>
    <t>1761</t>
  </si>
  <si>
    <t>1762</t>
  </si>
  <si>
    <t>1763</t>
  </si>
  <si>
    <t>1764</t>
  </si>
  <si>
    <t>1765</t>
  </si>
  <si>
    <t>1766</t>
  </si>
  <si>
    <t>1767</t>
  </si>
  <si>
    <t>1768</t>
  </si>
  <si>
    <t>1769</t>
  </si>
  <si>
    <t>1770</t>
  </si>
  <si>
    <t>1771</t>
  </si>
  <si>
    <t>1772</t>
  </si>
  <si>
    <t>1773</t>
  </si>
  <si>
    <t>1774</t>
  </si>
  <si>
    <t>1775</t>
  </si>
  <si>
    <t>1776</t>
  </si>
  <si>
    <t>1777</t>
  </si>
  <si>
    <t>1778</t>
  </si>
  <si>
    <t>1779</t>
  </si>
  <si>
    <t>1780</t>
  </si>
  <si>
    <t>1781</t>
  </si>
  <si>
    <t>1782</t>
  </si>
  <si>
    <t>1783</t>
  </si>
  <si>
    <t>1784</t>
  </si>
  <si>
    <t>1785</t>
  </si>
  <si>
    <t>1786</t>
  </si>
  <si>
    <t>1787</t>
  </si>
  <si>
    <t>1788</t>
  </si>
  <si>
    <t>1789</t>
  </si>
  <si>
    <t>1790</t>
  </si>
  <si>
    <t>1791</t>
  </si>
  <si>
    <t>1792</t>
  </si>
  <si>
    <t>1793</t>
  </si>
  <si>
    <t>1794</t>
  </si>
  <si>
    <t>1795</t>
  </si>
  <si>
    <t>1796</t>
  </si>
  <si>
    <t>1797</t>
  </si>
  <si>
    <t>1798</t>
  </si>
  <si>
    <t>1799</t>
  </si>
  <si>
    <t>1800</t>
  </si>
  <si>
    <t>1801</t>
  </si>
  <si>
    <t>1802</t>
  </si>
  <si>
    <t>1803</t>
  </si>
  <si>
    <t>1804</t>
  </si>
  <si>
    <t>1805</t>
  </si>
  <si>
    <t>1806</t>
  </si>
  <si>
    <t>1807</t>
  </si>
  <si>
    <t>1808</t>
  </si>
  <si>
    <t>1809</t>
  </si>
  <si>
    <t>1810</t>
  </si>
  <si>
    <t>1811</t>
  </si>
  <si>
    <t>1812</t>
  </si>
  <si>
    <t>1813</t>
  </si>
  <si>
    <t>1814</t>
  </si>
  <si>
    <t>1815</t>
  </si>
  <si>
    <t>1816</t>
  </si>
  <si>
    <t>1817</t>
  </si>
  <si>
    <t>1818</t>
  </si>
  <si>
    <t>1819</t>
  </si>
  <si>
    <t>1820</t>
  </si>
  <si>
    <t>1821</t>
  </si>
  <si>
    <t>1822</t>
  </si>
  <si>
    <t>1823</t>
  </si>
  <si>
    <t>1824</t>
  </si>
  <si>
    <t>1825</t>
  </si>
  <si>
    <t>1826</t>
  </si>
  <si>
    <t>1827</t>
  </si>
  <si>
    <t>1828</t>
  </si>
  <si>
    <t>1829</t>
  </si>
  <si>
    <t>1830</t>
  </si>
  <si>
    <t>1831</t>
  </si>
  <si>
    <t>1832</t>
  </si>
  <si>
    <t>1833</t>
  </si>
  <si>
    <t>1834</t>
  </si>
  <si>
    <t>1835</t>
  </si>
  <si>
    <t>1836</t>
  </si>
  <si>
    <t>1837</t>
  </si>
  <si>
    <t>1838</t>
  </si>
  <si>
    <t>1839</t>
  </si>
  <si>
    <t>1840</t>
  </si>
  <si>
    <t>1841</t>
  </si>
  <si>
    <t>1842</t>
  </si>
  <si>
    <t>1843</t>
  </si>
  <si>
    <t>1844</t>
  </si>
  <si>
    <t>1845</t>
  </si>
  <si>
    <t>1846</t>
  </si>
  <si>
    <t>1847</t>
  </si>
  <si>
    <t>1848</t>
  </si>
  <si>
    <t>1849</t>
  </si>
  <si>
    <t>1850</t>
  </si>
  <si>
    <t>1851</t>
  </si>
  <si>
    <t>1852</t>
  </si>
  <si>
    <t>1853</t>
  </si>
  <si>
    <t>1854</t>
  </si>
  <si>
    <t>1855</t>
  </si>
  <si>
    <t>1856</t>
  </si>
  <si>
    <t>1857</t>
  </si>
  <si>
    <t>1858</t>
  </si>
  <si>
    <t>1859</t>
  </si>
  <si>
    <t>1860</t>
  </si>
  <si>
    <t>1861</t>
  </si>
  <si>
    <t>1862</t>
  </si>
  <si>
    <t>1863</t>
  </si>
  <si>
    <t>1864</t>
  </si>
  <si>
    <t>1865</t>
  </si>
  <si>
    <t>1866</t>
  </si>
  <si>
    <t>1867</t>
  </si>
  <si>
    <t>1868</t>
  </si>
  <si>
    <t>1869</t>
  </si>
  <si>
    <t>1870</t>
  </si>
  <si>
    <t>1871</t>
  </si>
  <si>
    <t>1872</t>
  </si>
  <si>
    <t>1873</t>
  </si>
  <si>
    <t>1874</t>
  </si>
  <si>
    <t>1875</t>
  </si>
  <si>
    <t>1876</t>
  </si>
  <si>
    <t>1877</t>
  </si>
  <si>
    <t>1878</t>
  </si>
  <si>
    <t>1879</t>
  </si>
  <si>
    <t>1880</t>
  </si>
  <si>
    <t>1881</t>
  </si>
  <si>
    <t>1882</t>
  </si>
  <si>
    <t>1883</t>
  </si>
  <si>
    <t>1884</t>
  </si>
  <si>
    <t>1885</t>
  </si>
  <si>
    <t>1886</t>
  </si>
  <si>
    <t>1887</t>
  </si>
  <si>
    <t>1888</t>
  </si>
  <si>
    <t>1889</t>
  </si>
  <si>
    <t>1890</t>
  </si>
  <si>
    <t>1891</t>
  </si>
  <si>
    <t>1892</t>
  </si>
  <si>
    <t>1893</t>
  </si>
  <si>
    <t>1894</t>
  </si>
  <si>
    <t>1895</t>
  </si>
  <si>
    <t>1896</t>
  </si>
  <si>
    <t>1897</t>
  </si>
  <si>
    <t>1898</t>
  </si>
  <si>
    <t>1899</t>
  </si>
  <si>
    <t>1900</t>
  </si>
  <si>
    <t>1901</t>
  </si>
  <si>
    <t>1902</t>
  </si>
  <si>
    <t>1903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</si>
  <si>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</si>
  <si>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</si>
  <si>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</si>
  <si>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</si>
  <si>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</si>
  <si>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</si>
  <si>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</si>
  <si>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</si>
  <si>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</si>
  <si>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</si>
  <si>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</si>
  <si>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</si>
  <si>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</si>
  <si>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</si>
  <si>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</si>
  <si>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</si>
  <si>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</si>
  <si>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</si>
  <si>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</si>
  <si>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</si>
  <si>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1924</t>
  </si>
  <si>
    <t>1925</t>
  </si>
  <si>
    <t>1926</t>
  </si>
  <si>
    <t>1927</t>
  </si>
  <si>
    <t>1928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</si>
  <si>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</si>
  <si>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</si>
  <si>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</si>
  <si>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</si>
  <si>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</si>
  <si>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</si>
  <si>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</si>
  <si>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</si>
  <si>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</si>
  <si>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</si>
  <si>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</si>
  <si>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</si>
  <si>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</si>
  <si>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</si>
  <si>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</si>
  <si>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</si>
  <si>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</si>
  <si>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</si>
  <si>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</si>
  <si>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</si>
  <si>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</si>
  <si>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</si>
  <si>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</si>
  <si>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</si>
  <si>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</si>
  <si>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</si>
  <si>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</si>
  <si>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</si>
  <si>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</si>
  <si>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</si>
  <si>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</si>
  <si>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</si>
  <si>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</si>
  <si>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</si>
  <si>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</si>
  <si>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</si>
  <si>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</si>
  <si>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</si>
  <si>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</si>
  <si>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</si>
  <si>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</si>
  <si>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</si>
  <si>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</si>
  <si>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</si>
  <si>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</si>
  <si>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</si>
  <si>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</si>
  <si>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</si>
  <si>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</si>
  <si>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</si>
  <si>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</si>
  <si>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</si>
  <si>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</si>
  <si>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</si>
  <si>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</si>
  <si>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</si>
  <si>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</si>
  <si>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</si>
  <si>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</si>
  <si>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</si>
  <si>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</si>
  <si>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</si>
  <si>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</si>
  <si>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</si>
  <si>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</si>
  <si>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</si>
  <si>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</si>
  <si>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</si>
  <si>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</si>
  <si>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</si>
  <si>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</si>
  <si>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</si>
  <si>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</si>
  <si>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</si>
  <si>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</si>
  <si>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</si>
  <si>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</si>
  <si>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</si>
  <si>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</si>
  <si>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</si>
  <si>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</si>
  <si>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</si>
  <si>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</si>
  <si>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</si>
  <si>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</si>
  <si>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</si>
  <si>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</si>
  <si>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</si>
  <si>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</si>
  <si>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</si>
  <si>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</si>
  <si>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</si>
  <si>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</si>
  <si>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</si>
  <si>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</si>
  <si>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</si>
  <si>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</si>
  <si>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</si>
  <si>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</si>
  <si>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</si>
  <si>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</si>
  <si>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</si>
  <si>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</si>
  <si>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</si>
  <si>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</si>
  <si>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</si>
  <si>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</si>
  <si>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</si>
  <si>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</si>
  <si>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</si>
  <si>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</si>
  <si>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</si>
  <si>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</si>
  <si>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</si>
  <si>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</si>
  <si>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</si>
  <si>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</si>
  <si>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</si>
  <si>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</si>
  <si>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</si>
  <si>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</si>
  <si>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</si>
  <si>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2051</t>
  </si>
  <si>
    <t>2052</t>
  </si>
  <si>
    <t>2053</t>
  </si>
  <si>
    <t>2054</t>
  </si>
  <si>
    <t>2055</t>
  </si>
  <si>
    <t>2056</t>
  </si>
  <si>
    <t>2057</t>
  </si>
  <si>
    <t>2058</t>
  </si>
  <si>
    <t>2059</t>
  </si>
  <si>
    <t>2060</t>
  </si>
  <si>
    <t>2061</t>
  </si>
  <si>
    <t>2062</t>
  </si>
  <si>
    <t>2063</t>
  </si>
  <si>
    <t>2064</t>
  </si>
  <si>
    <t>2065</t>
  </si>
  <si>
    <t>2066</t>
  </si>
  <si>
    <t>2067</t>
  </si>
  <si>
    <t>2068</t>
  </si>
  <si>
    <t>2069</t>
  </si>
  <si>
    <t>2070</t>
  </si>
  <si>
    <t>2071</t>
  </si>
  <si>
    <t>2072</t>
  </si>
  <si>
    <t>2073</t>
  </si>
  <si>
    <t>2074</t>
  </si>
  <si>
    <t>2075</t>
  </si>
  <si>
    <t>2076</t>
  </si>
  <si>
    <t>2077</t>
  </si>
  <si>
    <t>2078</t>
  </si>
  <si>
    <t>2079</t>
  </si>
  <si>
    <t>2080</t>
  </si>
  <si>
    <t>2081</t>
  </si>
  <si>
    <t>2082</t>
  </si>
  <si>
    <t>2083</t>
  </si>
  <si>
    <t>2084</t>
  </si>
  <si>
    <t>2085</t>
  </si>
  <si>
    <t>2086</t>
  </si>
  <si>
    <t>2087</t>
  </si>
  <si>
    <t>2088</t>
  </si>
  <si>
    <t>2089</t>
  </si>
  <si>
    <t>2090</t>
  </si>
  <si>
    <t>2091</t>
  </si>
  <si>
    <t>2092</t>
  </si>
  <si>
    <t>2093</t>
  </si>
  <si>
    <t>2094</t>
  </si>
  <si>
    <t>2095</t>
  </si>
  <si>
    <t>2096</t>
  </si>
  <si>
    <t>2097</t>
  </si>
  <si>
    <t>2098</t>
  </si>
  <si>
    <t>2099</t>
  </si>
  <si>
    <t>2100</t>
  </si>
  <si>
    <t>2101</t>
  </si>
  <si>
    <t>2102</t>
  </si>
  <si>
    <t>2103</t>
  </si>
  <si>
    <t>2104</t>
  </si>
  <si>
    <t>2105</t>
  </si>
  <si>
    <t>2106</t>
  </si>
  <si>
    <t>2107</t>
  </si>
  <si>
    <t>2108</t>
  </si>
  <si>
    <t>2109</t>
  </si>
  <si>
    <t>2110</t>
  </si>
  <si>
    <t>2111</t>
  </si>
  <si>
    <t>2112</t>
  </si>
  <si>
    <t>2113</t>
  </si>
  <si>
    <t>2114</t>
  </si>
  <si>
    <t>2115</t>
  </si>
  <si>
    <t>2116</t>
  </si>
  <si>
    <t>2117</t>
  </si>
  <si>
    <t>2118</t>
  </si>
  <si>
    <t>2119</t>
  </si>
  <si>
    <t>2120</t>
  </si>
  <si>
    <t>2121</t>
  </si>
  <si>
    <t>2122</t>
  </si>
  <si>
    <t>2123</t>
  </si>
  <si>
    <t>2124</t>
  </si>
  <si>
    <t>2125</t>
  </si>
  <si>
    <t>2126</t>
  </si>
  <si>
    <t>2127</t>
  </si>
  <si>
    <t>2128</t>
  </si>
  <si>
    <t>2129</t>
  </si>
  <si>
    <t>2130</t>
  </si>
  <si>
    <t>2131</t>
  </si>
  <si>
    <t>2132</t>
  </si>
  <si>
    <t>2133</t>
  </si>
  <si>
    <t>2134</t>
  </si>
  <si>
    <t>2135</t>
  </si>
  <si>
    <t>2136</t>
  </si>
  <si>
    <t>2137</t>
  </si>
  <si>
    <t>2138</t>
  </si>
  <si>
    <t>2139</t>
  </si>
  <si>
    <t>2140</t>
  </si>
  <si>
    <t>2141</t>
  </si>
  <si>
    <t>2142</t>
  </si>
  <si>
    <t>2143</t>
  </si>
  <si>
    <t>2144</t>
  </si>
  <si>
    <t>2145</t>
  </si>
  <si>
    <t>2146</t>
  </si>
  <si>
    <t>2147</t>
  </si>
  <si>
    <t>2148</t>
  </si>
  <si>
    <t>2149</t>
  </si>
  <si>
    <t>2150</t>
  </si>
  <si>
    <t>2151</t>
  </si>
  <si>
    <t>2152</t>
  </si>
  <si>
    <t>2153</t>
  </si>
  <si>
    <t>2154</t>
  </si>
  <si>
    <t>2155</t>
  </si>
  <si>
    <t>2156</t>
  </si>
  <si>
    <t>2157</t>
  </si>
  <si>
    <t>2158</t>
  </si>
  <si>
    <t>2159</t>
  </si>
  <si>
    <t>2160</t>
  </si>
  <si>
    <t>2161</t>
  </si>
  <si>
    <t>2162</t>
  </si>
  <si>
    <t>2163</t>
  </si>
  <si>
    <t>2164</t>
  </si>
  <si>
    <t>2165</t>
  </si>
  <si>
    <t>2166</t>
  </si>
  <si>
    <t>2167</t>
  </si>
  <si>
    <t>2168</t>
  </si>
  <si>
    <t>2169</t>
  </si>
  <si>
    <t>2170</t>
  </si>
  <si>
    <t>2171</t>
  </si>
  <si>
    <t>2172</t>
  </si>
  <si>
    <t>2173</t>
  </si>
  <si>
    <t>2174</t>
  </si>
  <si>
    <t>2175</t>
  </si>
  <si>
    <t>2176</t>
  </si>
  <si>
    <t>2177</t>
  </si>
  <si>
    <t>2178</t>
  </si>
  <si>
    <t>2179</t>
  </si>
  <si>
    <t>2180</t>
  </si>
  <si>
    <t>2181</t>
  </si>
  <si>
    <t>2182</t>
  </si>
  <si>
    <t>2183</t>
  </si>
  <si>
    <t>2184</t>
  </si>
  <si>
    <t>2185</t>
  </si>
  <si>
    <t>2186</t>
  </si>
  <si>
    <t>2187</t>
  </si>
  <si>
    <t>2188</t>
  </si>
  <si>
    <t>2189</t>
  </si>
  <si>
    <t>2190</t>
  </si>
  <si>
    <t>2191</t>
  </si>
  <si>
    <t>2192</t>
  </si>
  <si>
    <t>2193</t>
  </si>
  <si>
    <t>2194</t>
  </si>
  <si>
    <t>2195</t>
  </si>
  <si>
    <t>2196</t>
  </si>
  <si>
    <t>2197</t>
  </si>
  <si>
    <t>2198</t>
  </si>
  <si>
    <t>2199</t>
  </si>
  <si>
    <t>2200</t>
  </si>
  <si>
    <t>2201</t>
  </si>
  <si>
    <t>2202</t>
  </si>
  <si>
    <t>2203</t>
  </si>
  <si>
    <t>2204</t>
  </si>
  <si>
    <t>2205</t>
  </si>
  <si>
    <t>2206</t>
  </si>
  <si>
    <t>2207</t>
  </si>
  <si>
    <t>2208</t>
  </si>
  <si>
    <t>2209</t>
  </si>
  <si>
    <t>2210</t>
  </si>
  <si>
    <t>2211</t>
  </si>
  <si>
    <t>2212</t>
  </si>
  <si>
    <t>2213</t>
  </si>
  <si>
    <t>2214</t>
  </si>
  <si>
    <t>2215</t>
  </si>
  <si>
    <t>2216</t>
  </si>
  <si>
    <t>2217</t>
  </si>
  <si>
    <t>2218</t>
  </si>
  <si>
    <t>2219</t>
  </si>
  <si>
    <t>2220</t>
  </si>
  <si>
    <t>2221</t>
  </si>
  <si>
    <t>2222</t>
  </si>
  <si>
    <t>2223</t>
  </si>
  <si>
    <t>2224</t>
  </si>
  <si>
    <t>2225</t>
  </si>
  <si>
    <t>2226</t>
  </si>
  <si>
    <t>2227</t>
  </si>
  <si>
    <t>2228</t>
  </si>
  <si>
    <t>2229</t>
  </si>
  <si>
    <t>2230</t>
  </si>
  <si>
    <t>2231</t>
  </si>
  <si>
    <t>2232</t>
  </si>
  <si>
    <t>2233</t>
  </si>
  <si>
    <t>2234</t>
  </si>
  <si>
    <t>2235</t>
  </si>
  <si>
    <t>2236</t>
  </si>
  <si>
    <t>2237</t>
  </si>
  <si>
    <t>2238</t>
  </si>
  <si>
    <t>2239</t>
  </si>
  <si>
    <t>2240</t>
  </si>
  <si>
    <t>2241</t>
  </si>
  <si>
    <t>2242</t>
  </si>
  <si>
    <t>2243</t>
  </si>
  <si>
    <t>2244</t>
  </si>
  <si>
    <t>2245</t>
  </si>
  <si>
    <t>2246</t>
  </si>
  <si>
    <t>2247</t>
  </si>
  <si>
    <t>2248</t>
  </si>
  <si>
    <t>2249</t>
  </si>
  <si>
    <t>2250</t>
  </si>
  <si>
    <t>2251</t>
  </si>
  <si>
    <t>2252</t>
  </si>
  <si>
    <t>2253</t>
  </si>
  <si>
    <t>2254</t>
  </si>
  <si>
    <t>2255</t>
  </si>
  <si>
    <t>2256</t>
  </si>
  <si>
    <t>2257</t>
  </si>
  <si>
    <t>2258</t>
  </si>
  <si>
    <t>2259</t>
  </si>
  <si>
    <t>2260</t>
  </si>
  <si>
    <t>2261</t>
  </si>
  <si>
    <t>2262</t>
  </si>
  <si>
    <t>2263</t>
  </si>
  <si>
    <t>2264</t>
  </si>
  <si>
    <t>2265</t>
  </si>
  <si>
    <t>2266</t>
  </si>
  <si>
    <t>2267</t>
  </si>
  <si>
    <t>2268</t>
  </si>
  <si>
    <t>2269</t>
  </si>
  <si>
    <t>2270</t>
  </si>
  <si>
    <t>2271</t>
  </si>
  <si>
    <t>2272</t>
  </si>
  <si>
    <t>2273</t>
  </si>
  <si>
    <t>2274</t>
  </si>
  <si>
    <t>2275</t>
  </si>
  <si>
    <t>2276</t>
  </si>
  <si>
    <t>2277</t>
  </si>
  <si>
    <t>2278</t>
  </si>
  <si>
    <t>2279</t>
  </si>
  <si>
    <t>2280</t>
  </si>
  <si>
    <t>2281</t>
  </si>
  <si>
    <t>2282</t>
  </si>
  <si>
    <t>2283</t>
  </si>
  <si>
    <t>2284</t>
  </si>
  <si>
    <t>2285</t>
  </si>
  <si>
    <t>2286</t>
  </si>
  <si>
    <t>2287</t>
  </si>
  <si>
    <t>2288</t>
  </si>
  <si>
    <t>2289</t>
  </si>
  <si>
    <t>2290</t>
  </si>
  <si>
    <t>2291</t>
  </si>
  <si>
    <t>2292</t>
  </si>
  <si>
    <t>2293</t>
  </si>
  <si>
    <t>2294</t>
  </si>
  <si>
    <t>2295</t>
  </si>
  <si>
    <t>2296</t>
  </si>
  <si>
    <t>2297</t>
  </si>
  <si>
    <t>2298</t>
  </si>
  <si>
    <t>2299</t>
  </si>
  <si>
    <t>2300</t>
  </si>
  <si>
    <t>2301</t>
  </si>
  <si>
    <t>2302</t>
  </si>
  <si>
    <t>2303</t>
  </si>
  <si>
    <t>2304</t>
  </si>
  <si>
    <t>2305</t>
  </si>
  <si>
    <t>2306</t>
  </si>
  <si>
    <t>2307</t>
  </si>
  <si>
    <t>2308</t>
  </si>
  <si>
    <t>2309</t>
  </si>
  <si>
    <t>2310</t>
  </si>
  <si>
    <t>2311</t>
  </si>
  <si>
    <t>2312</t>
  </si>
  <si>
    <t>2313</t>
  </si>
  <si>
    <t>2314</t>
  </si>
  <si>
    <t>2315</t>
  </si>
  <si>
    <t>2316</t>
  </si>
  <si>
    <t>2317</t>
  </si>
  <si>
    <t>2318</t>
  </si>
  <si>
    <t>2319</t>
  </si>
  <si>
    <t>2320</t>
  </si>
  <si>
    <t>2321</t>
  </si>
  <si>
    <t>2322</t>
  </si>
  <si>
    <t>2323</t>
  </si>
  <si>
    <t>2324</t>
  </si>
  <si>
    <t>2325</t>
  </si>
  <si>
    <t>2326</t>
  </si>
  <si>
    <t>2327</t>
  </si>
  <si>
    <t>2328</t>
  </si>
  <si>
    <t>2329</t>
  </si>
  <si>
    <t>2330</t>
  </si>
  <si>
    <t>2331</t>
  </si>
  <si>
    <t>2332</t>
  </si>
  <si>
    <t>2333</t>
  </si>
  <si>
    <t>2334</t>
  </si>
  <si>
    <t>2335</t>
  </si>
  <si>
    <t>2336</t>
  </si>
  <si>
    <t>2337</t>
  </si>
  <si>
    <t>2338</t>
  </si>
  <si>
    <t>2339</t>
  </si>
  <si>
    <t>2340</t>
  </si>
  <si>
    <t>2341</t>
  </si>
  <si>
    <t>2342</t>
  </si>
  <si>
    <t>2343</t>
  </si>
  <si>
    <t>2344</t>
  </si>
  <si>
    <t>2345</t>
  </si>
  <si>
    <t>2346</t>
  </si>
  <si>
    <t>2347</t>
  </si>
  <si>
    <t>2348</t>
  </si>
  <si>
    <t>2349</t>
  </si>
  <si>
    <t>2350</t>
  </si>
  <si>
    <t>2351</t>
  </si>
  <si>
    <t>2352</t>
  </si>
  <si>
    <t>2353</t>
  </si>
  <si>
    <t>2354</t>
  </si>
  <si>
    <t>2355</t>
  </si>
  <si>
    <t>2356</t>
  </si>
  <si>
    <t>2357</t>
  </si>
  <si>
    <t>2358</t>
  </si>
  <si>
    <t>2359</t>
  </si>
  <si>
    <t>2360</t>
  </si>
  <si>
    <t>2361</t>
  </si>
  <si>
    <t>2362</t>
  </si>
  <si>
    <t>2363</t>
  </si>
  <si>
    <t>2364</t>
  </si>
  <si>
    <t>2365</t>
  </si>
  <si>
    <t>2366</t>
  </si>
  <si>
    <t>2367</t>
  </si>
  <si>
    <t>2368</t>
  </si>
  <si>
    <t>2369</t>
  </si>
  <si>
    <t>2370</t>
  </si>
  <si>
    <t>2371</t>
  </si>
  <si>
    <t>2372</t>
  </si>
  <si>
    <t>2373</t>
  </si>
  <si>
    <t>2374</t>
  </si>
  <si>
    <t>2375</t>
  </si>
  <si>
    <t>2376</t>
  </si>
  <si>
    <t>2377</t>
  </si>
  <si>
    <t>2378</t>
  </si>
  <si>
    <t>2379</t>
  </si>
  <si>
    <t>2380</t>
  </si>
  <si>
    <t>2381</t>
  </si>
  <si>
    <t>2382</t>
  </si>
  <si>
    <t>2383</t>
  </si>
  <si>
    <t>2384</t>
  </si>
  <si>
    <t>2385</t>
  </si>
  <si>
    <t>2386</t>
  </si>
  <si>
    <t>2387</t>
  </si>
  <si>
    <t>2388</t>
  </si>
  <si>
    <t>2389</t>
  </si>
  <si>
    <t>2390</t>
  </si>
  <si>
    <t>2391</t>
  </si>
  <si>
    <t>2392</t>
  </si>
  <si>
    <t>2393</t>
  </si>
  <si>
    <t>2394</t>
  </si>
  <si>
    <t>2395</t>
  </si>
  <si>
    <t>2396</t>
  </si>
  <si>
    <t>2397</t>
  </si>
  <si>
    <t>2398</t>
  </si>
  <si>
    <t>2399</t>
  </si>
  <si>
    <t>2400</t>
  </si>
  <si>
    <t>2401</t>
  </si>
  <si>
    <t>2402</t>
  </si>
  <si>
    <t>2403</t>
  </si>
  <si>
    <t>2404</t>
  </si>
  <si>
    <t>2405</t>
  </si>
  <si>
    <t>2406</t>
  </si>
  <si>
    <t>2407</t>
  </si>
  <si>
    <t>2408</t>
  </si>
  <si>
    <t>2409</t>
  </si>
  <si>
    <t>2410</t>
  </si>
  <si>
    <t>2411</t>
  </si>
  <si>
    <t>2412</t>
  </si>
  <si>
    <t>2413</t>
  </si>
  <si>
    <t>2414</t>
  </si>
  <si>
    <t>2415</t>
  </si>
  <si>
    <t>2416</t>
  </si>
  <si>
    <t>2417</t>
  </si>
  <si>
    <t>2418</t>
  </si>
  <si>
    <t>2419</t>
  </si>
  <si>
    <t>2420</t>
  </si>
  <si>
    <t>2421</t>
  </si>
  <si>
    <t>2422</t>
  </si>
  <si>
    <t>2423</t>
  </si>
  <si>
    <t>2424</t>
  </si>
  <si>
    <t>2425</t>
  </si>
  <si>
    <t>2426</t>
  </si>
  <si>
    <t>2427</t>
  </si>
  <si>
    <t>2428</t>
  </si>
  <si>
    <t>2429</t>
  </si>
  <si>
    <t>2430</t>
  </si>
  <si>
    <t>2431</t>
  </si>
  <si>
    <t>2432</t>
  </si>
  <si>
    <t>2433</t>
  </si>
  <si>
    <t>2434</t>
  </si>
  <si>
    <t>2435</t>
  </si>
  <si>
    <t>2436</t>
  </si>
  <si>
    <t>2437</t>
  </si>
  <si>
    <t>2438</t>
  </si>
  <si>
    <t>2439</t>
  </si>
  <si>
    <t>2440</t>
  </si>
  <si>
    <t>2441</t>
  </si>
  <si>
    <t>2442</t>
  </si>
  <si>
    <t>2443</t>
  </si>
  <si>
    <t>2444</t>
  </si>
  <si>
    <t>2445</t>
  </si>
  <si>
    <t>2446</t>
  </si>
  <si>
    <t>2447</t>
  </si>
  <si>
    <t>2448</t>
  </si>
  <si>
    <t>2449</t>
  </si>
  <si>
    <t>2450</t>
  </si>
  <si>
    <t>2451</t>
  </si>
  <si>
    <t>2452</t>
  </si>
  <si>
    <t>2453</t>
  </si>
  <si>
    <t>2454</t>
  </si>
  <si>
    <t>2455</t>
  </si>
  <si>
    <t>2456</t>
  </si>
  <si>
    <t>2457</t>
  </si>
  <si>
    <t>2458</t>
  </si>
  <si>
    <t>2459</t>
  </si>
  <si>
    <t>2460</t>
  </si>
  <si>
    <t>2461</t>
  </si>
  <si>
    <t>2462</t>
  </si>
  <si>
    <t>2463</t>
  </si>
  <si>
    <t>2464</t>
  </si>
  <si>
    <t>2465</t>
  </si>
  <si>
    <t>2466</t>
  </si>
  <si>
    <t>2467</t>
  </si>
  <si>
    <t>2468</t>
  </si>
  <si>
    <t>2469</t>
  </si>
  <si>
    <t>2470</t>
  </si>
  <si>
    <t>2471</t>
  </si>
  <si>
    <t>2472</t>
  </si>
  <si>
    <t>2473</t>
  </si>
  <si>
    <t>2474</t>
  </si>
  <si>
    <t>2475</t>
  </si>
  <si>
    <t>2476</t>
  </si>
  <si>
    <t>2477</t>
  </si>
  <si>
    <t>2478</t>
  </si>
  <si>
    <t>2479</t>
  </si>
  <si>
    <t>2480</t>
  </si>
  <si>
    <t>2481</t>
  </si>
  <si>
    <t>2482</t>
  </si>
  <si>
    <t>2483</t>
  </si>
  <si>
    <t>2484</t>
  </si>
  <si>
    <t>2485</t>
  </si>
  <si>
    <t>2486</t>
  </si>
  <si>
    <t>2487</t>
  </si>
  <si>
    <t>2488</t>
  </si>
  <si>
    <t>2489</t>
  </si>
  <si>
    <t>2490</t>
  </si>
  <si>
    <t>2491</t>
  </si>
  <si>
    <t>2492</t>
  </si>
  <si>
    <t>2493</t>
  </si>
  <si>
    <t>2494</t>
  </si>
  <si>
    <t>2495</t>
  </si>
  <si>
    <t>2496</t>
  </si>
  <si>
    <t>2497</t>
  </si>
  <si>
    <t>2498</t>
  </si>
  <si>
    <t>2499</t>
  </si>
  <si>
    <t>2500</t>
  </si>
  <si>
    <t>2501</t>
  </si>
  <si>
    <t>2502</t>
  </si>
  <si>
    <t>2503</t>
  </si>
  <si>
    <t>2504</t>
  </si>
  <si>
    <t>2505</t>
  </si>
  <si>
    <t>2506</t>
  </si>
  <si>
    <t>2507</t>
  </si>
  <si>
    <t>2508</t>
  </si>
  <si>
    <t>2509</t>
  </si>
  <si>
    <t>2510</t>
  </si>
  <si>
    <t>2511</t>
  </si>
  <si>
    <t>2512</t>
  </si>
  <si>
    <t>2513</t>
  </si>
  <si>
    <t>2514</t>
  </si>
  <si>
    <t>2515</t>
  </si>
  <si>
    <t>2516</t>
  </si>
  <si>
    <t>2517</t>
  </si>
  <si>
    <t>2518</t>
  </si>
  <si>
    <t>2519</t>
  </si>
  <si>
    <t>2520</t>
  </si>
  <si>
    <t>2521</t>
  </si>
  <si>
    <t>2522</t>
  </si>
  <si>
    <t>2523</t>
  </si>
  <si>
    <t>2524</t>
  </si>
  <si>
    <t>2525</t>
  </si>
  <si>
    <t>2526</t>
  </si>
  <si>
    <t>2527</t>
  </si>
  <si>
    <t>2528</t>
  </si>
  <si>
    <t>2529</t>
  </si>
  <si>
    <t>2530</t>
  </si>
  <si>
    <t>2531</t>
  </si>
  <si>
    <t>2532</t>
  </si>
  <si>
    <t>2533</t>
  </si>
  <si>
    <t>2534</t>
  </si>
  <si>
    <t>2535</t>
  </si>
  <si>
    <t>2536</t>
  </si>
  <si>
    <t>2537</t>
  </si>
  <si>
    <t>2538</t>
  </si>
  <si>
    <t>2539</t>
  </si>
  <si>
    <t>2540</t>
  </si>
  <si>
    <t>2541</t>
  </si>
  <si>
    <t>2542</t>
  </si>
  <si>
    <t>2543</t>
  </si>
  <si>
    <t>2544</t>
  </si>
  <si>
    <t>2545</t>
  </si>
  <si>
    <t>2546</t>
  </si>
  <si>
    <t>2547</t>
  </si>
  <si>
    <t>2548</t>
  </si>
  <si>
    <t>2549</t>
  </si>
  <si>
    <t>2550</t>
  </si>
  <si>
    <t>2551</t>
  </si>
  <si>
    <t>2552</t>
  </si>
  <si>
    <t>2553</t>
  </si>
  <si>
    <t>2554</t>
  </si>
  <si>
    <t>2555</t>
  </si>
  <si>
    <t>2556</t>
  </si>
  <si>
    <t>2557</t>
  </si>
  <si>
    <t>2558</t>
  </si>
  <si>
    <t>2559</t>
  </si>
  <si>
    <t>2560</t>
  </si>
  <si>
    <t>2561</t>
  </si>
  <si>
    <t>2562</t>
  </si>
  <si>
    <t>2563</t>
  </si>
  <si>
    <t>2564</t>
  </si>
  <si>
    <t>2565</t>
  </si>
  <si>
    <t>2566</t>
  </si>
  <si>
    <t>2567</t>
  </si>
  <si>
    <t>2568</t>
  </si>
  <si>
    <t>2569</t>
  </si>
  <si>
    <t>2570</t>
  </si>
  <si>
    <t>2571</t>
  </si>
  <si>
    <t>2572</t>
  </si>
  <si>
    <t>2573</t>
  </si>
  <si>
    <t>2574</t>
  </si>
  <si>
    <t>2575</t>
  </si>
  <si>
    <t>2576</t>
  </si>
  <si>
    <t>2577</t>
  </si>
  <si>
    <t>2578</t>
  </si>
  <si>
    <t>2579</t>
  </si>
  <si>
    <t>2580</t>
  </si>
  <si>
    <t>2581</t>
  </si>
  <si>
    <t>2582</t>
  </si>
  <si>
    <t>2583</t>
  </si>
  <si>
    <t>2584</t>
  </si>
  <si>
    <t>2585</t>
  </si>
  <si>
    <t>2586</t>
  </si>
  <si>
    <t>2587</t>
  </si>
  <si>
    <t>2588</t>
  </si>
  <si>
    <t>2589</t>
  </si>
  <si>
    <t>2590</t>
  </si>
  <si>
    <t>2591</t>
  </si>
  <si>
    <t>2592</t>
  </si>
  <si>
    <t>2593</t>
  </si>
  <si>
    <t>2594</t>
  </si>
  <si>
    <t>2595</t>
  </si>
  <si>
    <t>2596</t>
  </si>
  <si>
    <t>2597</t>
  </si>
  <si>
    <t>2598</t>
  </si>
  <si>
    <t>2599</t>
  </si>
  <si>
    <t>2600</t>
  </si>
  <si>
    <t>2601</t>
  </si>
  <si>
    <t>2602</t>
  </si>
  <si>
    <t>2603</t>
  </si>
  <si>
    <t>2604</t>
  </si>
  <si>
    <t>2605</t>
  </si>
  <si>
    <t>2606</t>
  </si>
  <si>
    <t>2607</t>
  </si>
  <si>
    <t>2608</t>
  </si>
  <si>
    <t>2609</t>
  </si>
  <si>
    <t>2610</t>
  </si>
  <si>
    <t>2611</t>
  </si>
  <si>
    <t>2612</t>
  </si>
  <si>
    <t>2613</t>
  </si>
  <si>
    <t>2614</t>
  </si>
  <si>
    <t>2615</t>
  </si>
  <si>
    <t>2616</t>
  </si>
  <si>
    <t>2617</t>
  </si>
  <si>
    <t>2618</t>
  </si>
  <si>
    <t>2619</t>
  </si>
  <si>
    <t>2620</t>
  </si>
  <si>
    <t>2621</t>
  </si>
  <si>
    <t>2622</t>
  </si>
  <si>
    <t>2623</t>
  </si>
  <si>
    <t>2624</t>
  </si>
  <si>
    <t>2625</t>
  </si>
  <si>
    <t>2626</t>
  </si>
  <si>
    <t>2627</t>
  </si>
  <si>
    <t>2628</t>
  </si>
  <si>
    <t>2629</t>
  </si>
  <si>
    <t>2630</t>
  </si>
  <si>
    <t>2631</t>
  </si>
  <si>
    <t>2632</t>
  </si>
  <si>
    <t>2633</t>
  </si>
  <si>
    <t>2634</t>
  </si>
  <si>
    <t>2635</t>
  </si>
  <si>
    <t>2636</t>
  </si>
  <si>
    <t>2637</t>
  </si>
  <si>
    <t>2638</t>
  </si>
  <si>
    <t>2639</t>
  </si>
  <si>
    <t>2640</t>
  </si>
  <si>
    <t>2641</t>
  </si>
  <si>
    <t>2642</t>
  </si>
  <si>
    <t>2643</t>
  </si>
  <si>
    <t>2644</t>
  </si>
  <si>
    <t>2645</t>
  </si>
  <si>
    <t>2646</t>
  </si>
  <si>
    <t>2647</t>
  </si>
  <si>
    <t>2648</t>
  </si>
  <si>
    <t>2649</t>
  </si>
  <si>
    <t>2650</t>
  </si>
  <si>
    <t>2651</t>
  </si>
  <si>
    <t>2652</t>
  </si>
  <si>
    <t>2653</t>
  </si>
  <si>
    <t>2654</t>
  </si>
  <si>
    <t>2655</t>
  </si>
  <si>
    <t>2656</t>
  </si>
  <si>
    <t>2657</t>
  </si>
  <si>
    <t>2658</t>
  </si>
  <si>
    <t>2659</t>
  </si>
  <si>
    <t>2660</t>
  </si>
  <si>
    <t>2661</t>
  </si>
  <si>
    <t>2662</t>
  </si>
  <si>
    <t>2663</t>
  </si>
  <si>
    <t>2664</t>
  </si>
  <si>
    <t>2665</t>
  </si>
  <si>
    <t>2666</t>
  </si>
  <si>
    <t>2667</t>
  </si>
  <si>
    <t>2668</t>
  </si>
  <si>
    <t>2669</t>
  </si>
  <si>
    <t>2670</t>
  </si>
  <si>
    <t>2671</t>
  </si>
  <si>
    <t>2672</t>
  </si>
  <si>
    <t>2673</t>
  </si>
  <si>
    <t>2674</t>
  </si>
  <si>
    <t>2675</t>
  </si>
  <si>
    <t>2676</t>
  </si>
  <si>
    <t>2677</t>
  </si>
  <si>
    <t>2678</t>
  </si>
  <si>
    <t>2679</t>
  </si>
  <si>
    <t>2680</t>
  </si>
  <si>
    <t>2681</t>
  </si>
  <si>
    <t>2682</t>
  </si>
  <si>
    <t>2683</t>
  </si>
  <si>
    <t>2684</t>
  </si>
  <si>
    <t>2685</t>
  </si>
  <si>
    <t>2686</t>
  </si>
  <si>
    <t>2687</t>
  </si>
  <si>
    <t>2688</t>
  </si>
  <si>
    <t>2689</t>
  </si>
  <si>
    <t>2690</t>
  </si>
  <si>
    <t>2691</t>
  </si>
  <si>
    <t>2692</t>
  </si>
  <si>
    <t>2693</t>
  </si>
  <si>
    <t>2694</t>
  </si>
  <si>
    <t>2695</t>
  </si>
  <si>
    <t>2696</t>
  </si>
  <si>
    <t>2697</t>
  </si>
  <si>
    <t>2698</t>
  </si>
  <si>
    <t>2699</t>
  </si>
  <si>
    <t>2700</t>
  </si>
  <si>
    <t>2701</t>
  </si>
  <si>
    <t>2702</t>
  </si>
  <si>
    <t>2703</t>
  </si>
  <si>
    <t>2704</t>
  </si>
  <si>
    <t>2705</t>
  </si>
  <si>
    <t>2706</t>
  </si>
  <si>
    <t>2707</t>
  </si>
  <si>
    <t>2708</t>
  </si>
  <si>
    <t>2709</t>
  </si>
  <si>
    <t>2710</t>
  </si>
  <si>
    <t>2711</t>
  </si>
  <si>
    <t>2712</t>
  </si>
  <si>
    <t>2713</t>
  </si>
  <si>
    <t>2714</t>
  </si>
  <si>
    <t>2715</t>
  </si>
  <si>
    <t>2716</t>
  </si>
  <si>
    <t>2717</t>
  </si>
  <si>
    <t>2718</t>
  </si>
  <si>
    <t>2719</t>
  </si>
  <si>
    <t>2720</t>
  </si>
  <si>
    <t>2721</t>
  </si>
  <si>
    <t>2722</t>
  </si>
  <si>
    <t>2723</t>
  </si>
  <si>
    <t>2724</t>
  </si>
  <si>
    <t>2725</t>
  </si>
  <si>
    <t>2726</t>
  </si>
  <si>
    <t>2727</t>
  </si>
  <si>
    <t>2728</t>
  </si>
  <si>
    <t>2729</t>
  </si>
  <si>
    <t>2730</t>
  </si>
  <si>
    <t>2731</t>
  </si>
  <si>
    <t>2732</t>
  </si>
  <si>
    <t>2733</t>
  </si>
  <si>
    <t>2734</t>
  </si>
  <si>
    <t>2735</t>
  </si>
  <si>
    <t>2736</t>
  </si>
  <si>
    <t>2737</t>
  </si>
  <si>
    <t>2738</t>
  </si>
  <si>
    <t>2739</t>
  </si>
  <si>
    <t>2740</t>
  </si>
  <si>
    <t>2741</t>
  </si>
  <si>
    <t>2742</t>
  </si>
  <si>
    <t>2743</t>
  </si>
  <si>
    <t>2744</t>
  </si>
  <si>
    <t>2745</t>
  </si>
  <si>
    <t>2746</t>
  </si>
  <si>
    <t>2747</t>
  </si>
  <si>
    <t>2748</t>
  </si>
  <si>
    <t>2749</t>
  </si>
  <si>
    <t>2750</t>
  </si>
  <si>
    <t>2751</t>
  </si>
  <si>
    <t>2752</t>
  </si>
  <si>
    <t>2753</t>
  </si>
  <si>
    <t>2754</t>
  </si>
  <si>
    <t>2755</t>
  </si>
  <si>
    <t>2756</t>
  </si>
  <si>
    <t>2757</t>
  </si>
  <si>
    <t>2758</t>
  </si>
  <si>
    <t>2759</t>
  </si>
  <si>
    <t>2760</t>
  </si>
  <si>
    <t>2761</t>
  </si>
  <si>
    <t>2762</t>
  </si>
  <si>
    <t>2763</t>
  </si>
  <si>
    <t>2764</t>
  </si>
  <si>
    <t>2765</t>
  </si>
  <si>
    <t>2766</t>
  </si>
  <si>
    <t>2767</t>
  </si>
  <si>
    <t>2768</t>
  </si>
  <si>
    <t>2769</t>
  </si>
  <si>
    <t>2770</t>
  </si>
  <si>
    <t>2771</t>
  </si>
  <si>
    <t>2772</t>
  </si>
  <si>
    <t>2773</t>
  </si>
  <si>
    <t>2774</t>
  </si>
  <si>
    <t>2775</t>
  </si>
  <si>
    <t>2776</t>
  </si>
  <si>
    <t>2777</t>
  </si>
  <si>
    <t>2778</t>
  </si>
  <si>
    <t>2779</t>
  </si>
  <si>
    <t>2780</t>
  </si>
  <si>
    <t>2781</t>
  </si>
  <si>
    <t>2782</t>
  </si>
  <si>
    <t>2783</t>
  </si>
  <si>
    <t>2784</t>
  </si>
  <si>
    <t>2785</t>
  </si>
  <si>
    <t>2786</t>
  </si>
  <si>
    <t>2787</t>
  </si>
  <si>
    <t>2788</t>
  </si>
  <si>
    <t>2789</t>
  </si>
  <si>
    <t>2790</t>
  </si>
  <si>
    <t>2791</t>
  </si>
  <si>
    <t>2792</t>
  </si>
  <si>
    <t>2793</t>
  </si>
  <si>
    <t>2794</t>
  </si>
  <si>
    <t>2795</t>
  </si>
  <si>
    <t>2796</t>
  </si>
  <si>
    <t>2797</t>
  </si>
  <si>
    <t>2798</t>
  </si>
  <si>
    <t>2799</t>
  </si>
  <si>
    <t>2800</t>
  </si>
  <si>
    <t>2801</t>
  </si>
  <si>
    <t>2802</t>
  </si>
  <si>
    <t>2803</t>
  </si>
  <si>
    <t>2804</t>
  </si>
  <si>
    <t>2805</t>
  </si>
  <si>
    <t>2806</t>
  </si>
  <si>
    <t>2807</t>
  </si>
  <si>
    <t>2808</t>
  </si>
  <si>
    <t>2809</t>
  </si>
  <si>
    <t>2810</t>
  </si>
  <si>
    <t>2811</t>
  </si>
  <si>
    <t>2812</t>
  </si>
  <si>
    <t>2813</t>
  </si>
  <si>
    <t>2814</t>
  </si>
  <si>
    <t>2815</t>
  </si>
  <si>
    <t>2816</t>
  </si>
  <si>
    <t>2817</t>
  </si>
  <si>
    <t>2818</t>
  </si>
  <si>
    <t>2819</t>
  </si>
  <si>
    <t>2820</t>
  </si>
  <si>
    <t>2821</t>
  </si>
  <si>
    <t>2822</t>
  </si>
  <si>
    <t>2823</t>
  </si>
  <si>
    <t>2824</t>
  </si>
  <si>
    <t>2825</t>
  </si>
  <si>
    <t>2826</t>
  </si>
  <si>
    <t>2827</t>
  </si>
  <si>
    <t>2828</t>
  </si>
  <si>
    <t>2829</t>
  </si>
  <si>
    <t>2830</t>
  </si>
  <si>
    <t>2831</t>
  </si>
  <si>
    <t>2832</t>
  </si>
  <si>
    <t>2833</t>
  </si>
  <si>
    <t>2834</t>
  </si>
  <si>
    <t>2835</t>
  </si>
  <si>
    <t>2836</t>
  </si>
  <si>
    <t>2837</t>
  </si>
  <si>
    <t>2838</t>
  </si>
  <si>
    <t>2839</t>
  </si>
  <si>
    <t>2840</t>
  </si>
  <si>
    <t>2841</t>
  </si>
  <si>
    <t>2842</t>
  </si>
  <si>
    <t>2843</t>
  </si>
  <si>
    <t>2844</t>
  </si>
  <si>
    <t>2845</t>
  </si>
  <si>
    <t>2846</t>
  </si>
  <si>
    <t>2847</t>
  </si>
  <si>
    <t>2848</t>
  </si>
  <si>
    <t>2849</t>
  </si>
  <si>
    <t>2850</t>
  </si>
  <si>
    <t>2851</t>
  </si>
  <si>
    <t>2852</t>
  </si>
  <si>
    <t>2853</t>
  </si>
  <si>
    <t>2854</t>
  </si>
  <si>
    <t>2855</t>
  </si>
  <si>
    <t>2856</t>
  </si>
  <si>
    <t>2857</t>
  </si>
  <si>
    <t>2858</t>
  </si>
  <si>
    <t>2859</t>
  </si>
  <si>
    <t>2860</t>
  </si>
  <si>
    <t>2861</t>
  </si>
  <si>
    <t>2862</t>
  </si>
  <si>
    <t>2863</t>
  </si>
  <si>
    <t>2864</t>
  </si>
  <si>
    <t>2865</t>
  </si>
  <si>
    <t>2866</t>
  </si>
  <si>
    <t>2867</t>
  </si>
  <si>
    <t>2868</t>
  </si>
  <si>
    <t>2869</t>
  </si>
  <si>
    <t>2870</t>
  </si>
  <si>
    <t>2871</t>
  </si>
  <si>
    <t>2872</t>
  </si>
  <si>
    <t>2873</t>
  </si>
  <si>
    <t>2874</t>
  </si>
  <si>
    <t>2875</t>
  </si>
  <si>
    <t>2876</t>
  </si>
  <si>
    <t>2877</t>
  </si>
  <si>
    <t>2878</t>
  </si>
  <si>
    <t>2879</t>
  </si>
  <si>
    <t>2880</t>
  </si>
  <si>
    <t>2881</t>
  </si>
  <si>
    <t>2882</t>
  </si>
  <si>
    <t>2883</t>
  </si>
  <si>
    <t>2884</t>
  </si>
  <si>
    <t>2885</t>
  </si>
  <si>
    <t>2886</t>
  </si>
  <si>
    <t>2887</t>
  </si>
  <si>
    <t>2888</t>
  </si>
  <si>
    <t>2889</t>
  </si>
  <si>
    <t>2890</t>
  </si>
  <si>
    <t>2891</t>
  </si>
  <si>
    <t>2892</t>
  </si>
  <si>
    <t>2893</t>
  </si>
  <si>
    <t>2894</t>
  </si>
  <si>
    <t>2895</t>
  </si>
  <si>
    <t>2896</t>
  </si>
  <si>
    <t>2897</t>
  </si>
  <si>
    <t>2898</t>
  </si>
  <si>
    <t>2899</t>
  </si>
  <si>
    <t>2900</t>
  </si>
  <si>
    <t>2901</t>
  </si>
  <si>
    <t>2902</t>
  </si>
  <si>
    <t>2903</t>
  </si>
  <si>
    <t>2904</t>
  </si>
  <si>
    <t>2905</t>
  </si>
  <si>
    <t>2906</t>
  </si>
  <si>
    <t>2907</t>
  </si>
  <si>
    <t>2908</t>
  </si>
  <si>
    <t>2909</t>
  </si>
  <si>
    <t>2910</t>
  </si>
  <si>
    <t>2911</t>
  </si>
  <si>
    <t>2912</t>
  </si>
  <si>
    <t>2913</t>
  </si>
  <si>
    <t>2914</t>
  </si>
  <si>
    <t>2915</t>
  </si>
  <si>
    <t>2916</t>
  </si>
  <si>
    <t>2917</t>
  </si>
  <si>
    <t>2918</t>
  </si>
  <si>
    <t>2919</t>
  </si>
  <si>
    <t>2920</t>
  </si>
  <si>
    <t>2921</t>
  </si>
  <si>
    <t>2922</t>
  </si>
  <si>
    <t>2923</t>
  </si>
  <si>
    <t>2924</t>
  </si>
  <si>
    <t>2925</t>
  </si>
  <si>
    <t>2926</t>
  </si>
  <si>
    <t>2927</t>
  </si>
  <si>
    <t>2928</t>
  </si>
  <si>
    <t>2929</t>
  </si>
  <si>
    <t>2930</t>
  </si>
  <si>
    <t>2931</t>
  </si>
  <si>
    <t>2932</t>
  </si>
  <si>
    <t>2933</t>
  </si>
  <si>
    <t>2934</t>
  </si>
  <si>
    <t>2935</t>
  </si>
  <si>
    <t>2936</t>
  </si>
  <si>
    <t>2937</t>
  </si>
  <si>
    <t>2938</t>
  </si>
  <si>
    <t>2939</t>
  </si>
  <si>
    <t>2940</t>
  </si>
  <si>
    <t>2941</t>
  </si>
  <si>
    <t>2942</t>
  </si>
  <si>
    <t>2943</t>
  </si>
  <si>
    <t>2944</t>
  </si>
  <si>
    <t>2945</t>
  </si>
  <si>
    <t>2946</t>
  </si>
  <si>
    <t>2947</t>
  </si>
  <si>
    <t>2948</t>
  </si>
  <si>
    <t>2949</t>
  </si>
  <si>
    <t>2950</t>
  </si>
  <si>
    <t>2951</t>
  </si>
  <si>
    <t>2952</t>
  </si>
  <si>
    <t>2953</t>
  </si>
  <si>
    <t>2954</t>
  </si>
  <si>
    <t>2955</t>
  </si>
  <si>
    <t>2956</t>
  </si>
  <si>
    <t>2957</t>
  </si>
  <si>
    <t>2958</t>
  </si>
  <si>
    <t>2959</t>
  </si>
  <si>
    <t>2960</t>
  </si>
  <si>
    <t>2961</t>
  </si>
  <si>
    <t>2962</t>
  </si>
  <si>
    <t>2963</t>
  </si>
  <si>
    <t>2964</t>
  </si>
  <si>
    <t>2965</t>
  </si>
  <si>
    <t>2966</t>
  </si>
  <si>
    <t>2967</t>
  </si>
  <si>
    <t>2968</t>
  </si>
  <si>
    <t>2969</t>
  </si>
  <si>
    <t>2970</t>
  </si>
  <si>
    <t>2971</t>
  </si>
  <si>
    <t>2972</t>
  </si>
  <si>
    <t>2973</t>
  </si>
  <si>
    <t>2974</t>
  </si>
  <si>
    <t>2975</t>
  </si>
  <si>
    <t>2976</t>
  </si>
  <si>
    <t>2977</t>
  </si>
  <si>
    <t>2978</t>
  </si>
  <si>
    <t>2979</t>
  </si>
  <si>
    <t>2980</t>
  </si>
  <si>
    <t>2981</t>
  </si>
  <si>
    <t>2982</t>
  </si>
  <si>
    <t>2983</t>
  </si>
  <si>
    <t>2984</t>
  </si>
  <si>
    <t>2985</t>
  </si>
  <si>
    <t>2986</t>
  </si>
  <si>
    <t>2987</t>
  </si>
  <si>
    <t>2988</t>
  </si>
  <si>
    <t>2989</t>
  </si>
  <si>
    <t>2990</t>
  </si>
  <si>
    <t>2991</t>
  </si>
  <si>
    <t>2992</t>
  </si>
  <si>
    <t>2993</t>
  </si>
  <si>
    <t>2994</t>
  </si>
  <si>
    <t>2995</t>
  </si>
  <si>
    <t>2996</t>
  </si>
  <si>
    <t>2997</t>
  </si>
  <si>
    <t>2998</t>
  </si>
  <si>
    <t>2999</t>
  </si>
  <si>
    <t>3000</t>
  </si>
  <si>
    <t>3001</t>
  </si>
  <si>
    <t>3002</t>
  </si>
  <si>
    <t>3003</t>
  </si>
  <si>
    <t>3004</t>
  </si>
  <si>
    <t>3005</t>
  </si>
  <si>
    <t>3006</t>
  </si>
  <si>
    <t>3007</t>
  </si>
  <si>
    <t>3008</t>
  </si>
  <si>
    <t>3009</t>
  </si>
  <si>
    <t>3010</t>
  </si>
  <si>
    <t>3011</t>
  </si>
  <si>
    <t>3012</t>
  </si>
  <si>
    <t>3013</t>
  </si>
  <si>
    <t>3014</t>
  </si>
  <si>
    <t>3015</t>
  </si>
  <si>
    <t>3016</t>
  </si>
  <si>
    <t>3017</t>
  </si>
  <si>
    <t>3018</t>
  </si>
  <si>
    <t>3019</t>
  </si>
  <si>
    <t>3020</t>
  </si>
  <si>
    <t>3021</t>
  </si>
  <si>
    <t>3022</t>
  </si>
  <si>
    <t>3023</t>
  </si>
  <si>
    <t>3024</t>
  </si>
  <si>
    <t>3025</t>
  </si>
  <si>
    <t>3026</t>
  </si>
  <si>
    <t>3027</t>
  </si>
  <si>
    <t>3028</t>
  </si>
  <si>
    <t>3029</t>
  </si>
  <si>
    <t>3030</t>
  </si>
  <si>
    <t>3031</t>
  </si>
  <si>
    <t>3032</t>
  </si>
  <si>
    <t>3033</t>
  </si>
  <si>
    <t>3034</t>
  </si>
  <si>
    <t>3035</t>
  </si>
  <si>
    <t>3036</t>
  </si>
  <si>
    <t>3037</t>
  </si>
  <si>
    <t>3038</t>
  </si>
  <si>
    <t>3039</t>
  </si>
  <si>
    <t>3040</t>
  </si>
  <si>
    <t>3041</t>
  </si>
  <si>
    <t>3042</t>
  </si>
  <si>
    <t>3043</t>
  </si>
  <si>
    <t>3044</t>
  </si>
  <si>
    <t>3045</t>
  </si>
  <si>
    <t>3046</t>
  </si>
  <si>
    <t>3047</t>
  </si>
  <si>
    <t>3048</t>
  </si>
  <si>
    <t>3049</t>
  </si>
  <si>
    <t>3050</t>
  </si>
  <si>
    <t>3051</t>
  </si>
  <si>
    <t>3052</t>
  </si>
  <si>
    <t>3053</t>
  </si>
  <si>
    <t>3054</t>
  </si>
  <si>
    <t>3055</t>
  </si>
  <si>
    <t>3056</t>
  </si>
  <si>
    <t>3057</t>
  </si>
  <si>
    <t>3058</t>
  </si>
  <si>
    <t>3059</t>
  </si>
  <si>
    <t>3060</t>
  </si>
  <si>
    <t>3061</t>
  </si>
  <si>
    <t>3062</t>
  </si>
  <si>
    <t>3063</t>
  </si>
  <si>
    <t>3064</t>
  </si>
  <si>
    <t>3065</t>
  </si>
  <si>
    <t>3066</t>
  </si>
  <si>
    <t>3067</t>
  </si>
  <si>
    <t>3068</t>
  </si>
  <si>
    <t>3069</t>
  </si>
  <si>
    <t>3070</t>
  </si>
  <si>
    <t>3071</t>
  </si>
  <si>
    <t>3072</t>
  </si>
  <si>
    <t>3073</t>
  </si>
  <si>
    <t>3074</t>
  </si>
  <si>
    <t>3075</t>
  </si>
  <si>
    <t>3076</t>
  </si>
  <si>
    <t>3077</t>
  </si>
  <si>
    <t>3078</t>
  </si>
  <si>
    <t>3079</t>
  </si>
  <si>
    <t>3080</t>
  </si>
  <si>
    <t>3081</t>
  </si>
  <si>
    <t>3082</t>
  </si>
  <si>
    <t>3083</t>
  </si>
  <si>
    <t>3084</t>
  </si>
  <si>
    <t>3085</t>
  </si>
  <si>
    <t>3086</t>
  </si>
  <si>
    <t>3087</t>
  </si>
  <si>
    <t>3088</t>
  </si>
  <si>
    <t>3089</t>
  </si>
  <si>
    <t>3090</t>
  </si>
  <si>
    <t>3091</t>
  </si>
  <si>
    <t>3092</t>
  </si>
  <si>
    <t>3093</t>
  </si>
  <si>
    <t>3094</t>
  </si>
  <si>
    <t>3095</t>
  </si>
  <si>
    <t>3096</t>
  </si>
  <si>
    <t>3097</t>
  </si>
  <si>
    <t>3098</t>
  </si>
  <si>
    <t>3099</t>
  </si>
  <si>
    <t>3100</t>
  </si>
  <si>
    <t>3101</t>
  </si>
  <si>
    <t>3102</t>
  </si>
  <si>
    <t>3103</t>
  </si>
  <si>
    <t>3104</t>
  </si>
  <si>
    <t>3105</t>
  </si>
  <si>
    <t>3106</t>
  </si>
  <si>
    <t>3107</t>
  </si>
  <si>
    <t>3108</t>
  </si>
  <si>
    <t>3109</t>
  </si>
  <si>
    <t>3110</t>
  </si>
  <si>
    <t>3111</t>
  </si>
  <si>
    <t>3112</t>
  </si>
  <si>
    <t>3113</t>
  </si>
  <si>
    <t>3114</t>
  </si>
  <si>
    <t>3115</t>
  </si>
  <si>
    <t>3116</t>
  </si>
  <si>
    <t>3117</t>
  </si>
  <si>
    <t>3118</t>
  </si>
  <si>
    <t>3119</t>
  </si>
  <si>
    <t>3120</t>
  </si>
  <si>
    <t>3121</t>
  </si>
  <si>
    <t>3122</t>
  </si>
  <si>
    <t>3123</t>
  </si>
  <si>
    <t>3124</t>
  </si>
  <si>
    <t>3125</t>
  </si>
  <si>
    <t>3126</t>
  </si>
  <si>
    <t>3127</t>
  </si>
  <si>
    <t>3128</t>
  </si>
  <si>
    <t>3129</t>
  </si>
  <si>
    <t>3130</t>
  </si>
  <si>
    <t>3131</t>
  </si>
  <si>
    <t>3132</t>
  </si>
  <si>
    <t>3133</t>
  </si>
  <si>
    <t>3134</t>
  </si>
  <si>
    <t>3135</t>
  </si>
  <si>
    <t>3136</t>
  </si>
  <si>
    <t>3137</t>
  </si>
  <si>
    <t>3138</t>
  </si>
  <si>
    <t>3139</t>
  </si>
  <si>
    <t>3140</t>
  </si>
  <si>
    <t>3141</t>
  </si>
  <si>
    <t>3142</t>
  </si>
  <si>
    <t>3143</t>
  </si>
  <si>
    <t>3144</t>
  </si>
  <si>
    <t>3145</t>
  </si>
  <si>
    <t>3146</t>
  </si>
  <si>
    <t>3147</t>
  </si>
  <si>
    <t>3148</t>
  </si>
  <si>
    <t>3149</t>
  </si>
  <si>
    <t>3150</t>
  </si>
  <si>
    <t>3151</t>
  </si>
  <si>
    <t>3152</t>
  </si>
  <si>
    <t>3153</t>
  </si>
  <si>
    <t>3154</t>
  </si>
  <si>
    <t>3155</t>
  </si>
  <si>
    <t>3156</t>
  </si>
  <si>
    <t>3157</t>
  </si>
  <si>
    <t>3158</t>
  </si>
  <si>
    <t>3159</t>
  </si>
  <si>
    <t>3160</t>
  </si>
  <si>
    <t>3161</t>
  </si>
  <si>
    <t>3162</t>
  </si>
  <si>
    <t>3163</t>
  </si>
  <si>
    <t>3164</t>
  </si>
  <si>
    <t>3165</t>
  </si>
  <si>
    <t>3166</t>
  </si>
  <si>
    <t>3167</t>
  </si>
  <si>
    <t>3168</t>
  </si>
  <si>
    <t>3169</t>
  </si>
  <si>
    <t>3170</t>
  </si>
  <si>
    <t>3171</t>
  </si>
  <si>
    <t>3172</t>
  </si>
  <si>
    <t>3173</t>
  </si>
  <si>
    <t>3174</t>
  </si>
  <si>
    <t>3175</t>
  </si>
  <si>
    <t>3176</t>
  </si>
  <si>
    <t>3177</t>
  </si>
  <si>
    <t>3178</t>
  </si>
  <si>
    <t>3179</t>
  </si>
  <si>
    <t>3180</t>
  </si>
  <si>
    <t>3181</t>
  </si>
  <si>
    <t>3182</t>
  </si>
  <si>
    <t>3183</t>
  </si>
  <si>
    <t>3184</t>
  </si>
  <si>
    <t>3185</t>
  </si>
  <si>
    <t>3186</t>
  </si>
  <si>
    <t>3187</t>
  </si>
  <si>
    <t>3188</t>
  </si>
  <si>
    <t>3189</t>
  </si>
  <si>
    <t>3190</t>
  </si>
  <si>
    <t>3191</t>
  </si>
  <si>
    <t>3192</t>
  </si>
  <si>
    <t>3193</t>
  </si>
  <si>
    <t>3194</t>
  </si>
  <si>
    <t>3195</t>
  </si>
  <si>
    <t>3196</t>
  </si>
  <si>
    <t>3197</t>
  </si>
  <si>
    <t>3198</t>
  </si>
  <si>
    <t>3199</t>
  </si>
  <si>
    <t>3200</t>
  </si>
  <si>
    <t>3201</t>
  </si>
  <si>
    <t>3202</t>
  </si>
  <si>
    <t>3203</t>
  </si>
  <si>
    <t>3204</t>
  </si>
  <si>
    <t>3205</t>
  </si>
  <si>
    <t>3206</t>
  </si>
  <si>
    <t>3207</t>
  </si>
  <si>
    <t>3208</t>
  </si>
  <si>
    <t>3209</t>
  </si>
  <si>
    <t>3210</t>
  </si>
  <si>
    <t>3211</t>
  </si>
  <si>
    <t>3212</t>
  </si>
  <si>
    <t>3213</t>
  </si>
  <si>
    <t>3214</t>
  </si>
  <si>
    <t>3215</t>
  </si>
  <si>
    <t>3216</t>
  </si>
  <si>
    <t>3217</t>
  </si>
  <si>
    <t>3218</t>
  </si>
  <si>
    <t>3219</t>
  </si>
  <si>
    <t>3220</t>
  </si>
  <si>
    <t>3221</t>
  </si>
  <si>
    <t>3222</t>
  </si>
  <si>
    <t>3223</t>
  </si>
  <si>
    <t>3224</t>
  </si>
  <si>
    <t>3225</t>
  </si>
  <si>
    <t>3226</t>
  </si>
  <si>
    <t>3227</t>
  </si>
  <si>
    <t>3228</t>
  </si>
  <si>
    <t>3229</t>
  </si>
  <si>
    <t>3230</t>
  </si>
  <si>
    <t>3231</t>
  </si>
  <si>
    <t>3232</t>
  </si>
  <si>
    <t>3233</t>
  </si>
  <si>
    <t>3234</t>
  </si>
  <si>
    <t>3235</t>
  </si>
  <si>
    <t>3236</t>
  </si>
  <si>
    <t>3237</t>
  </si>
  <si>
    <t>3238</t>
  </si>
  <si>
    <t>3239</t>
  </si>
  <si>
    <t>3240</t>
  </si>
  <si>
    <t>3241</t>
  </si>
  <si>
    <t>3242</t>
  </si>
  <si>
    <t>3243</t>
  </si>
  <si>
    <t>3244</t>
  </si>
  <si>
    <t>3245</t>
  </si>
  <si>
    <t>3246</t>
  </si>
  <si>
    <t>3247</t>
  </si>
  <si>
    <t>3248</t>
  </si>
  <si>
    <t>3249</t>
  </si>
  <si>
    <t>3250</t>
  </si>
  <si>
    <t>3251</t>
  </si>
  <si>
    <t>3252</t>
  </si>
  <si>
    <t>3253</t>
  </si>
  <si>
    <t>3254</t>
  </si>
  <si>
    <t>3255</t>
  </si>
  <si>
    <t>3256</t>
  </si>
  <si>
    <t>3257</t>
  </si>
  <si>
    <t>3258</t>
  </si>
  <si>
    <t>3259</t>
  </si>
  <si>
    <t>3260</t>
  </si>
  <si>
    <t>3261</t>
  </si>
  <si>
    <t>3262</t>
  </si>
  <si>
    <t>3263</t>
  </si>
  <si>
    <t>3264</t>
  </si>
  <si>
    <t>3265</t>
  </si>
  <si>
    <t>3266</t>
  </si>
  <si>
    <t>3267</t>
  </si>
  <si>
    <t>3268</t>
  </si>
  <si>
    <t>3269</t>
  </si>
  <si>
    <t>3270</t>
  </si>
  <si>
    <t>3271</t>
  </si>
  <si>
    <t>3272</t>
  </si>
  <si>
    <t>3273</t>
  </si>
  <si>
    <t>3274</t>
  </si>
  <si>
    <t>3275</t>
  </si>
  <si>
    <t>3276</t>
  </si>
  <si>
    <t>3277</t>
  </si>
  <si>
    <t>3278</t>
  </si>
  <si>
    <t>3279</t>
  </si>
  <si>
    <t>3280</t>
  </si>
  <si>
    <t>3281</t>
  </si>
  <si>
    <t>3282</t>
  </si>
  <si>
    <t>3283</t>
  </si>
  <si>
    <t>3284</t>
  </si>
  <si>
    <t>3285</t>
  </si>
  <si>
    <t>3286</t>
  </si>
  <si>
    <t>3287</t>
  </si>
  <si>
    <t>3288</t>
  </si>
  <si>
    <t>3289</t>
  </si>
  <si>
    <t>3290</t>
  </si>
  <si>
    <t>3291</t>
  </si>
  <si>
    <t>3292</t>
  </si>
  <si>
    <t>3293</t>
  </si>
  <si>
    <t>3294</t>
  </si>
  <si>
    <t>3295</t>
  </si>
  <si>
    <t>3296</t>
  </si>
  <si>
    <t>3297</t>
  </si>
  <si>
    <t>3298</t>
  </si>
  <si>
    <t>3299</t>
  </si>
  <si>
    <t>3300</t>
  </si>
  <si>
    <t>3301</t>
  </si>
  <si>
    <t>3302</t>
  </si>
  <si>
    <t>3303</t>
  </si>
  <si>
    <t>3304</t>
  </si>
  <si>
    <t>3305</t>
  </si>
  <si>
    <t>3306</t>
  </si>
  <si>
    <t>3307</t>
  </si>
  <si>
    <t>3308</t>
  </si>
  <si>
    <t>3309</t>
  </si>
  <si>
    <t>3310</t>
  </si>
  <si>
    <t>3311</t>
  </si>
  <si>
    <t>3312</t>
  </si>
  <si>
    <t>3313</t>
  </si>
  <si>
    <t>3314</t>
  </si>
  <si>
    <t>3315</t>
  </si>
  <si>
    <t>3316</t>
  </si>
  <si>
    <t>3317</t>
  </si>
  <si>
    <t>3318</t>
  </si>
  <si>
    <t>3319</t>
  </si>
  <si>
    <t>3320</t>
  </si>
  <si>
    <t>3321</t>
  </si>
  <si>
    <t>3322</t>
  </si>
  <si>
    <t>3323</t>
  </si>
  <si>
    <t>3324</t>
  </si>
  <si>
    <t>3325</t>
  </si>
  <si>
    <t>3326</t>
  </si>
  <si>
    <t>3327</t>
  </si>
  <si>
    <t>3328</t>
  </si>
  <si>
    <t>3329</t>
  </si>
  <si>
    <t>3330</t>
  </si>
  <si>
    <t>3331</t>
  </si>
  <si>
    <t>3332</t>
  </si>
  <si>
    <t>3333</t>
  </si>
  <si>
    <t>3334</t>
  </si>
  <si>
    <t>3335</t>
  </si>
  <si>
    <t>3336</t>
  </si>
  <si>
    <t>3337</t>
  </si>
  <si>
    <t>3338</t>
  </si>
  <si>
    <t>3339</t>
  </si>
  <si>
    <t>3340</t>
  </si>
  <si>
    <t>3341</t>
  </si>
  <si>
    <t>3342</t>
  </si>
  <si>
    <t>3343</t>
  </si>
  <si>
    <t>3344</t>
  </si>
  <si>
    <t>3345</t>
  </si>
  <si>
    <t>3346</t>
  </si>
  <si>
    <t>3347</t>
  </si>
  <si>
    <t>3348</t>
  </si>
  <si>
    <t>3349</t>
  </si>
  <si>
    <t>3350</t>
  </si>
  <si>
    <t>3351</t>
  </si>
  <si>
    <t>3352</t>
  </si>
  <si>
    <t>3353</t>
  </si>
  <si>
    <t>3354</t>
  </si>
  <si>
    <t>3355</t>
  </si>
  <si>
    <t>3356</t>
  </si>
  <si>
    <t>3357</t>
  </si>
  <si>
    <t>3358</t>
  </si>
  <si>
    <t>3359</t>
  </si>
  <si>
    <t>3360</t>
  </si>
  <si>
    <t>3361</t>
  </si>
  <si>
    <t>3362</t>
  </si>
  <si>
    <t>3363</t>
  </si>
  <si>
    <t>3364</t>
  </si>
  <si>
    <t>3365</t>
  </si>
  <si>
    <t>3366</t>
  </si>
  <si>
    <t>3367</t>
  </si>
  <si>
    <t>3368</t>
  </si>
  <si>
    <t>3369</t>
  </si>
  <si>
    <t>3370</t>
  </si>
  <si>
    <t>3371</t>
  </si>
  <si>
    <t>3372</t>
  </si>
  <si>
    <t>3373</t>
  </si>
  <si>
    <t>3374</t>
  </si>
  <si>
    <t>3375</t>
  </si>
  <si>
    <t>3376</t>
  </si>
  <si>
    <t>3377</t>
  </si>
  <si>
    <t>3378</t>
  </si>
  <si>
    <t>3379</t>
  </si>
  <si>
    <t>3380</t>
  </si>
  <si>
    <t>3381</t>
  </si>
  <si>
    <t>3382</t>
  </si>
  <si>
    <t>3383</t>
  </si>
  <si>
    <t>3384</t>
  </si>
  <si>
    <t>3385</t>
  </si>
  <si>
    <t>3386</t>
  </si>
  <si>
    <t>3387</t>
  </si>
  <si>
    <t>3388</t>
  </si>
  <si>
    <t>3389</t>
  </si>
  <si>
    <t>3390</t>
  </si>
  <si>
    <t>3391</t>
  </si>
  <si>
    <t>3392</t>
  </si>
  <si>
    <t>3393</t>
  </si>
  <si>
    <t>3394</t>
  </si>
  <si>
    <t>3395</t>
  </si>
  <si>
    <t>3396</t>
  </si>
  <si>
    <t>3397</t>
  </si>
  <si>
    <t>3398</t>
  </si>
  <si>
    <t>3399</t>
  </si>
  <si>
    <t>3400</t>
  </si>
  <si>
    <t>3401</t>
  </si>
  <si>
    <t>3402</t>
  </si>
  <si>
    <t>3403</t>
  </si>
  <si>
    <t>3404</t>
  </si>
  <si>
    <t>3405</t>
  </si>
  <si>
    <t>3406</t>
  </si>
  <si>
    <t>3407</t>
  </si>
  <si>
    <t>3408</t>
  </si>
  <si>
    <t>3409</t>
  </si>
  <si>
    <t>3410</t>
  </si>
  <si>
    <t>3411</t>
  </si>
  <si>
    <t>3412</t>
  </si>
  <si>
    <t>3413</t>
  </si>
  <si>
    <t>3414</t>
  </si>
  <si>
    <t>3415</t>
  </si>
  <si>
    <t>3416</t>
  </si>
  <si>
    <t>3417</t>
  </si>
  <si>
    <t>3418</t>
  </si>
  <si>
    <t>3419</t>
  </si>
  <si>
    <t>3420</t>
  </si>
  <si>
    <t>3421</t>
  </si>
  <si>
    <t>3422</t>
  </si>
  <si>
    <t>3423</t>
  </si>
  <si>
    <t>3424</t>
  </si>
  <si>
    <t>3425</t>
  </si>
  <si>
    <t>3426</t>
  </si>
  <si>
    <t>3427</t>
  </si>
  <si>
    <t>3428</t>
  </si>
  <si>
    <t>3429</t>
  </si>
  <si>
    <t>3430</t>
  </si>
  <si>
    <t>3431</t>
  </si>
  <si>
    <t>3432</t>
  </si>
  <si>
    <t>3433</t>
  </si>
  <si>
    <t>3434</t>
  </si>
  <si>
    <t>3435</t>
  </si>
  <si>
    <t>3436</t>
  </si>
  <si>
    <t>3437</t>
  </si>
  <si>
    <t>3438</t>
  </si>
  <si>
    <t>3439</t>
  </si>
  <si>
    <t>3440</t>
  </si>
  <si>
    <t>3441</t>
  </si>
  <si>
    <t>3442</t>
  </si>
  <si>
    <t>3443</t>
  </si>
  <si>
    <t>3444</t>
  </si>
  <si>
    <t>3445</t>
  </si>
  <si>
    <t>3446</t>
  </si>
  <si>
    <t>3447</t>
  </si>
  <si>
    <t>3448</t>
  </si>
  <si>
    <t>3449</t>
  </si>
  <si>
    <t>3450</t>
  </si>
  <si>
    <t>3451</t>
  </si>
  <si>
    <t>3452</t>
  </si>
  <si>
    <t>3453</t>
  </si>
  <si>
    <t>3454</t>
  </si>
  <si>
    <t>3455</t>
  </si>
  <si>
    <t>3456</t>
  </si>
  <si>
    <t>3457</t>
  </si>
  <si>
    <t>3458</t>
  </si>
  <si>
    <t>3459</t>
  </si>
  <si>
    <t>3460</t>
  </si>
  <si>
    <t>3461</t>
  </si>
  <si>
    <t>3462</t>
  </si>
  <si>
    <t>3463</t>
  </si>
  <si>
    <t>3464</t>
  </si>
  <si>
    <t>3465</t>
  </si>
  <si>
    <t>3466</t>
  </si>
  <si>
    <t>3467</t>
  </si>
  <si>
    <t>3468</t>
  </si>
  <si>
    <t>3469</t>
  </si>
  <si>
    <t>3470</t>
  </si>
  <si>
    <t>3471</t>
  </si>
  <si>
    <t>3472</t>
  </si>
  <si>
    <t>3473</t>
  </si>
  <si>
    <t>3474</t>
  </si>
  <si>
    <t>3475</t>
  </si>
  <si>
    <t>3476</t>
  </si>
  <si>
    <t>3477</t>
  </si>
  <si>
    <t>3478</t>
  </si>
  <si>
    <t>3479</t>
  </si>
  <si>
    <t>3480</t>
  </si>
  <si>
    <t>3481</t>
  </si>
  <si>
    <t>3482</t>
  </si>
  <si>
    <t>3483</t>
  </si>
  <si>
    <t>3484</t>
  </si>
  <si>
    <t>3485</t>
  </si>
  <si>
    <t>3486</t>
  </si>
  <si>
    <t>3487</t>
  </si>
  <si>
    <t>3488</t>
  </si>
  <si>
    <t>3489</t>
  </si>
  <si>
    <t>3490</t>
  </si>
  <si>
    <t>3491</t>
  </si>
  <si>
    <t>3492</t>
  </si>
  <si>
    <t>3493</t>
  </si>
  <si>
    <t>3494</t>
  </si>
  <si>
    <t>3495</t>
  </si>
  <si>
    <t>3496</t>
  </si>
  <si>
    <t>3497</t>
  </si>
  <si>
    <t>3498</t>
  </si>
  <si>
    <t>3499</t>
  </si>
  <si>
    <t>3500</t>
  </si>
  <si>
    <t>3501</t>
  </si>
  <si>
    <t>3502</t>
  </si>
  <si>
    <t>3503</t>
  </si>
  <si>
    <t>3504</t>
  </si>
  <si>
    <t>3505</t>
  </si>
  <si>
    <t>3506</t>
  </si>
  <si>
    <t>3507</t>
  </si>
  <si>
    <t>3508</t>
  </si>
  <si>
    <t>3509</t>
  </si>
  <si>
    <t>3510</t>
  </si>
  <si>
    <t>3511</t>
  </si>
  <si>
    <t>3512</t>
  </si>
  <si>
    <t>3513</t>
  </si>
  <si>
    <t>3514</t>
  </si>
  <si>
    <t>3515</t>
  </si>
  <si>
    <t>3516</t>
  </si>
  <si>
    <t>3517</t>
  </si>
  <si>
    <t>3518</t>
  </si>
  <si>
    <t>3519</t>
  </si>
  <si>
    <t>3520</t>
  </si>
  <si>
    <t>3521</t>
  </si>
  <si>
    <t>3522</t>
  </si>
  <si>
    <t>3523</t>
  </si>
  <si>
    <t>3524</t>
  </si>
  <si>
    <t>3525</t>
  </si>
  <si>
    <t>3526</t>
  </si>
  <si>
    <t>3527</t>
  </si>
  <si>
    <t>3528</t>
  </si>
  <si>
    <t>3529</t>
  </si>
  <si>
    <t>3530</t>
  </si>
  <si>
    <t>3531</t>
  </si>
  <si>
    <t>3532</t>
  </si>
  <si>
    <t>3533</t>
  </si>
  <si>
    <t>3534</t>
  </si>
  <si>
    <t>3535</t>
  </si>
  <si>
    <t>3536</t>
  </si>
  <si>
    <t>3537</t>
  </si>
  <si>
    <t>3538</t>
  </si>
  <si>
    <t>3539</t>
  </si>
  <si>
    <t>3540</t>
  </si>
  <si>
    <t>3541</t>
  </si>
  <si>
    <t>3542</t>
  </si>
  <si>
    <t>3543</t>
  </si>
  <si>
    <t>3544</t>
  </si>
  <si>
    <t>3545</t>
  </si>
  <si>
    <t>3546</t>
  </si>
  <si>
    <t>3547</t>
  </si>
  <si>
    <t>3548</t>
  </si>
  <si>
    <t>3549</t>
  </si>
  <si>
    <t>3550</t>
  </si>
  <si>
    <t>3551</t>
  </si>
  <si>
    <t>3552</t>
  </si>
  <si>
    <t>3553</t>
  </si>
  <si>
    <t>3554</t>
  </si>
  <si>
    <t>3555</t>
  </si>
  <si>
    <t>3556</t>
  </si>
  <si>
    <t>3557</t>
  </si>
  <si>
    <t>3558</t>
  </si>
  <si>
    <t>3559</t>
  </si>
  <si>
    <t>3560</t>
  </si>
  <si>
    <t>3561</t>
  </si>
  <si>
    <t>3562</t>
  </si>
  <si>
    <t>3563</t>
  </si>
  <si>
    <t>3564</t>
  </si>
  <si>
    <t>3565</t>
  </si>
  <si>
    <t>3566</t>
  </si>
  <si>
    <t>3567</t>
  </si>
  <si>
    <t>3568</t>
  </si>
  <si>
    <t>3569</t>
  </si>
  <si>
    <t>3570</t>
  </si>
  <si>
    <t>3571</t>
  </si>
  <si>
    <t>3572</t>
  </si>
  <si>
    <t>3573</t>
  </si>
  <si>
    <t>3574</t>
  </si>
  <si>
    <t>3575</t>
  </si>
  <si>
    <t>3576</t>
  </si>
  <si>
    <t>3577</t>
  </si>
  <si>
    <t>3578</t>
  </si>
  <si>
    <t>3579</t>
  </si>
  <si>
    <t>3580</t>
  </si>
  <si>
    <t>3581</t>
  </si>
  <si>
    <t>3582</t>
  </si>
  <si>
    <t>3583</t>
  </si>
  <si>
    <t>3584</t>
  </si>
  <si>
    <t>3585</t>
  </si>
  <si>
    <t>3586</t>
  </si>
  <si>
    <t>3587</t>
  </si>
  <si>
    <t>3588</t>
  </si>
  <si>
    <t>3589</t>
  </si>
  <si>
    <t>3590</t>
  </si>
  <si>
    <t>3591</t>
  </si>
  <si>
    <t>3592</t>
  </si>
  <si>
    <t>3593</t>
  </si>
  <si>
    <t>3594</t>
  </si>
  <si>
    <t>3595</t>
  </si>
  <si>
    <t>3596</t>
  </si>
  <si>
    <t>3597</t>
  </si>
  <si>
    <t>3598</t>
  </si>
  <si>
    <t>3599</t>
  </si>
  <si>
    <t>3600</t>
  </si>
  <si>
    <t>3601</t>
  </si>
  <si>
    <t>3602</t>
  </si>
  <si>
    <t>3603</t>
  </si>
  <si>
    <t>3604</t>
  </si>
  <si>
    <t>3605</t>
  </si>
  <si>
    <t>3606</t>
  </si>
  <si>
    <t>3607</t>
  </si>
  <si>
    <t>3608</t>
  </si>
  <si>
    <t>3609</t>
  </si>
  <si>
    <t>3610</t>
  </si>
  <si>
    <t>3611</t>
  </si>
  <si>
    <t>3612</t>
  </si>
  <si>
    <t>3613</t>
  </si>
  <si>
    <t>3614</t>
  </si>
  <si>
    <t>3615</t>
  </si>
  <si>
    <t>3616</t>
  </si>
  <si>
    <t>3617</t>
  </si>
  <si>
    <t>3618</t>
  </si>
  <si>
    <t>3619</t>
  </si>
  <si>
    <t>3620</t>
  </si>
  <si>
    <t>3621</t>
  </si>
  <si>
    <t>3622</t>
  </si>
  <si>
    <t>3623</t>
  </si>
  <si>
    <t>3624</t>
  </si>
  <si>
    <t>3625</t>
  </si>
  <si>
    <t>3626</t>
  </si>
  <si>
    <t>3627</t>
  </si>
  <si>
    <t>3628</t>
  </si>
  <si>
    <t>3629</t>
  </si>
  <si>
    <t>3630</t>
  </si>
  <si>
    <t>3631</t>
  </si>
  <si>
    <t>3632</t>
  </si>
  <si>
    <t>3633</t>
  </si>
  <si>
    <t>3634</t>
  </si>
  <si>
    <t>3635</t>
  </si>
  <si>
    <t>3636</t>
  </si>
  <si>
    <t>3637</t>
  </si>
  <si>
    <t>3638</t>
  </si>
  <si>
    <t>3639</t>
  </si>
  <si>
    <t>3640</t>
  </si>
  <si>
    <t>3641</t>
  </si>
  <si>
    <t>3642</t>
  </si>
  <si>
    <t>3643</t>
  </si>
  <si>
    <t>3644</t>
  </si>
  <si>
    <t>3645</t>
  </si>
  <si>
    <t>3646</t>
  </si>
  <si>
    <t>3647</t>
  </si>
  <si>
    <t>3648</t>
  </si>
  <si>
    <t>3649</t>
  </si>
  <si>
    <t>3650</t>
  </si>
  <si>
    <t>3651</t>
  </si>
  <si>
    <t>3652</t>
  </si>
  <si>
    <t>3653</t>
  </si>
  <si>
    <t>3654</t>
  </si>
  <si>
    <t>3655</t>
  </si>
  <si>
    <t>3656</t>
  </si>
  <si>
    <t>3657</t>
  </si>
  <si>
    <t>3658</t>
  </si>
  <si>
    <t>3659</t>
  </si>
  <si>
    <t>3660</t>
  </si>
  <si>
    <t>3661</t>
  </si>
  <si>
    <t>3662</t>
  </si>
  <si>
    <t>3663</t>
  </si>
  <si>
    <t>3664</t>
  </si>
  <si>
    <t>3665</t>
  </si>
  <si>
    <t>3666</t>
  </si>
  <si>
    <t>3667</t>
  </si>
  <si>
    <t>3668</t>
  </si>
  <si>
    <t>3669</t>
  </si>
  <si>
    <t>3670</t>
  </si>
  <si>
    <t>3671</t>
  </si>
  <si>
    <t>3672</t>
  </si>
  <si>
    <t>3673</t>
  </si>
  <si>
    <t>3674</t>
  </si>
  <si>
    <t>3675</t>
  </si>
  <si>
    <t>3676</t>
  </si>
  <si>
    <t>3677</t>
  </si>
  <si>
    <t>3678</t>
  </si>
  <si>
    <t>3679</t>
  </si>
  <si>
    <t>3680</t>
  </si>
  <si>
    <t>3681</t>
  </si>
  <si>
    <t>3682</t>
  </si>
  <si>
    <t>3683</t>
  </si>
  <si>
    <t>3684</t>
  </si>
  <si>
    <t>3685</t>
  </si>
  <si>
    <t>3686</t>
  </si>
  <si>
    <t>3687</t>
  </si>
  <si>
    <t>3688</t>
  </si>
  <si>
    <t>3689</t>
  </si>
  <si>
    <t>3690</t>
  </si>
  <si>
    <t>3691</t>
  </si>
  <si>
    <t>3692</t>
  </si>
  <si>
    <t>3693</t>
  </si>
  <si>
    <t>3694</t>
  </si>
  <si>
    <t>3695</t>
  </si>
  <si>
    <t>3696</t>
  </si>
  <si>
    <t>3697</t>
  </si>
  <si>
    <t>3698</t>
  </si>
  <si>
    <t>3699</t>
  </si>
  <si>
    <t>3700</t>
  </si>
  <si>
    <t>3701</t>
  </si>
  <si>
    <t>3702</t>
  </si>
  <si>
    <t>3703</t>
  </si>
  <si>
    <t>3704</t>
  </si>
  <si>
    <t>3705</t>
  </si>
  <si>
    <t>3706</t>
  </si>
  <si>
    <t>3707</t>
  </si>
  <si>
    <t>3708</t>
  </si>
  <si>
    <t>3709</t>
  </si>
  <si>
    <t>3710</t>
  </si>
  <si>
    <t>3711</t>
  </si>
  <si>
    <t>3712</t>
  </si>
  <si>
    <t>3713</t>
  </si>
  <si>
    <t>3714</t>
  </si>
  <si>
    <t>3715</t>
  </si>
  <si>
    <t>3716</t>
  </si>
  <si>
    <t>3717</t>
  </si>
  <si>
    <t>3718</t>
  </si>
  <si>
    <t>3719</t>
  </si>
  <si>
    <t>3720</t>
  </si>
  <si>
    <t>3721</t>
  </si>
  <si>
    <t>3722</t>
  </si>
  <si>
    <t>3723</t>
  </si>
  <si>
    <t>3724</t>
  </si>
  <si>
    <t>3725</t>
  </si>
  <si>
    <t>3726</t>
  </si>
  <si>
    <t>3727</t>
  </si>
  <si>
    <t>3728</t>
  </si>
  <si>
    <t>3729</t>
  </si>
  <si>
    <t>3730</t>
  </si>
  <si>
    <t>3731</t>
  </si>
  <si>
    <t>3732</t>
  </si>
  <si>
    <t>3733</t>
  </si>
  <si>
    <t>3734</t>
  </si>
  <si>
    <t>3735</t>
  </si>
  <si>
    <t>3736</t>
  </si>
  <si>
    <t>3737</t>
  </si>
  <si>
    <t>3738</t>
  </si>
  <si>
    <t>3739</t>
  </si>
  <si>
    <t>3740</t>
  </si>
  <si>
    <t>3741</t>
  </si>
  <si>
    <t>3742</t>
  </si>
  <si>
    <t>3743</t>
  </si>
  <si>
    <t>3744</t>
  </si>
  <si>
    <t>3745</t>
  </si>
  <si>
    <t>3746</t>
  </si>
  <si>
    <t>3747</t>
  </si>
  <si>
    <t>3748</t>
  </si>
  <si>
    <t>3749</t>
  </si>
  <si>
    <t>3750</t>
  </si>
  <si>
    <t>3751</t>
  </si>
  <si>
    <t>3752</t>
  </si>
  <si>
    <t>3753</t>
  </si>
  <si>
    <t>3754</t>
  </si>
  <si>
    <t>3755</t>
  </si>
  <si>
    <t>3756</t>
  </si>
  <si>
    <t>3757</t>
  </si>
  <si>
    <t>3758</t>
  </si>
  <si>
    <t>3759</t>
  </si>
  <si>
    <t>3760</t>
  </si>
  <si>
    <t>3761</t>
  </si>
  <si>
    <t>3762</t>
  </si>
  <si>
    <t>3763</t>
  </si>
  <si>
    <t>3764</t>
  </si>
  <si>
    <t>3765</t>
  </si>
  <si>
    <t>3766</t>
  </si>
  <si>
    <t>3767</t>
  </si>
  <si>
    <t>3768</t>
  </si>
  <si>
    <t>3769</t>
  </si>
  <si>
    <t>3770</t>
  </si>
  <si>
    <t>3771</t>
  </si>
  <si>
    <t>3772</t>
  </si>
  <si>
    <t>3773</t>
  </si>
  <si>
    <t>3774</t>
  </si>
  <si>
    <t>3775</t>
  </si>
  <si>
    <t>3776</t>
  </si>
  <si>
    <t>3777</t>
  </si>
  <si>
    <t>3778</t>
  </si>
  <si>
    <t>3779</t>
  </si>
  <si>
    <t>3780</t>
  </si>
  <si>
    <t>3781</t>
  </si>
  <si>
    <t>3782</t>
  </si>
  <si>
    <t>3783</t>
  </si>
  <si>
    <t>3784</t>
  </si>
  <si>
    <t>3785</t>
  </si>
  <si>
    <t>3786</t>
  </si>
  <si>
    <t>3787</t>
  </si>
  <si>
    <t>3788</t>
  </si>
  <si>
    <t>3789</t>
  </si>
  <si>
    <t>3790</t>
  </si>
  <si>
    <t>3791</t>
  </si>
  <si>
    <t>3792</t>
  </si>
  <si>
    <t>3793</t>
  </si>
  <si>
    <t>3794</t>
  </si>
  <si>
    <t>3795</t>
  </si>
  <si>
    <t>3796</t>
  </si>
  <si>
    <t>3797</t>
  </si>
  <si>
    <t>3798</t>
  </si>
  <si>
    <t>3799</t>
  </si>
  <si>
    <t>3800</t>
  </si>
  <si>
    <t>3801</t>
  </si>
  <si>
    <t>3802</t>
  </si>
  <si>
    <t>3803</t>
  </si>
  <si>
    <t>3804</t>
  </si>
  <si>
    <t>3805</t>
  </si>
  <si>
    <t>3806</t>
  </si>
  <si>
    <t>3807</t>
  </si>
  <si>
    <t>3808</t>
  </si>
  <si>
    <t>3809</t>
  </si>
  <si>
    <t>3810</t>
  </si>
  <si>
    <t>3811</t>
  </si>
  <si>
    <t>3812</t>
  </si>
  <si>
    <t>3813</t>
  </si>
  <si>
    <t>3814</t>
  </si>
  <si>
    <t>3815</t>
  </si>
  <si>
    <t>3816</t>
  </si>
  <si>
    <t>3817</t>
  </si>
  <si>
    <t>3818</t>
  </si>
  <si>
    <t>3819</t>
  </si>
  <si>
    <t>3820</t>
  </si>
  <si>
    <t>3821</t>
  </si>
  <si>
    <t>3822</t>
  </si>
  <si>
    <t>3823</t>
  </si>
  <si>
    <t>3824</t>
  </si>
  <si>
    <t>3825</t>
  </si>
  <si>
    <t>3826</t>
  </si>
  <si>
    <t>3827</t>
  </si>
  <si>
    <t>3828</t>
  </si>
  <si>
    <t>3829</t>
  </si>
  <si>
    <t>3830</t>
  </si>
  <si>
    <t>3831</t>
  </si>
  <si>
    <t>3832</t>
  </si>
  <si>
    <t>3833</t>
  </si>
  <si>
    <t>3834</t>
  </si>
  <si>
    <t>3835</t>
  </si>
  <si>
    <t>3836</t>
  </si>
  <si>
    <t>3837</t>
  </si>
  <si>
    <t>3838</t>
  </si>
  <si>
    <t>3839</t>
  </si>
  <si>
    <t>3840</t>
  </si>
  <si>
    <t>3841</t>
  </si>
  <si>
    <t>3842</t>
  </si>
  <si>
    <t>3843</t>
  </si>
  <si>
    <t>3844</t>
  </si>
  <si>
    <t>3845</t>
  </si>
  <si>
    <t>3846</t>
  </si>
  <si>
    <t>3847</t>
  </si>
  <si>
    <t>3848</t>
  </si>
  <si>
    <t>3849</t>
  </si>
  <si>
    <t>3850</t>
  </si>
  <si>
    <t>3851</t>
  </si>
  <si>
    <t>3852</t>
  </si>
  <si>
    <t>3853</t>
  </si>
  <si>
    <t>3854</t>
  </si>
  <si>
    <t>3855</t>
  </si>
  <si>
    <t>3856</t>
  </si>
  <si>
    <t>3857</t>
  </si>
  <si>
    <t>3858</t>
  </si>
  <si>
    <t>3859</t>
  </si>
  <si>
    <t>3860</t>
  </si>
  <si>
    <t>3861</t>
  </si>
  <si>
    <t>3862</t>
  </si>
  <si>
    <t>3863</t>
  </si>
  <si>
    <t>3864</t>
  </si>
  <si>
    <t>3865</t>
  </si>
  <si>
    <t>3866</t>
  </si>
  <si>
    <t>3867</t>
  </si>
  <si>
    <t>3868</t>
  </si>
  <si>
    <t>3869</t>
  </si>
  <si>
    <t>3870</t>
  </si>
  <si>
    <t>3871</t>
  </si>
  <si>
    <t>3872</t>
  </si>
  <si>
    <t>3873</t>
  </si>
  <si>
    <t>3874</t>
  </si>
  <si>
    <t>3875</t>
  </si>
  <si>
    <t>3876</t>
  </si>
  <si>
    <t>3877</t>
  </si>
  <si>
    <t>3878</t>
  </si>
  <si>
    <t>3879</t>
  </si>
  <si>
    <t>3880</t>
  </si>
  <si>
    <t>3881</t>
  </si>
  <si>
    <t>3882</t>
  </si>
  <si>
    <t>3883</t>
  </si>
  <si>
    <t>3884</t>
  </si>
  <si>
    <t>3885</t>
  </si>
  <si>
    <t>3886</t>
  </si>
  <si>
    <t>3887</t>
  </si>
  <si>
    <t>3888</t>
  </si>
  <si>
    <t>3889</t>
  </si>
  <si>
    <t>3890</t>
  </si>
  <si>
    <t>3891</t>
  </si>
  <si>
    <t>3892</t>
  </si>
  <si>
    <t>3893</t>
  </si>
  <si>
    <t>3894</t>
  </si>
  <si>
    <t>3895</t>
  </si>
  <si>
    <t>3896</t>
  </si>
  <si>
    <t>3897</t>
  </si>
  <si>
    <t>3898</t>
  </si>
  <si>
    <t>3899</t>
  </si>
  <si>
    <t>3900</t>
  </si>
  <si>
    <t>3901</t>
  </si>
  <si>
    <t>3902</t>
  </si>
  <si>
    <t>3903</t>
  </si>
  <si>
    <t>3904</t>
  </si>
  <si>
    <t>3905</t>
  </si>
  <si>
    <t>3906</t>
  </si>
  <si>
    <t>3907</t>
  </si>
  <si>
    <t>3908</t>
  </si>
  <si>
    <t>3909</t>
  </si>
  <si>
    <t>3910</t>
  </si>
  <si>
    <t>3911</t>
  </si>
  <si>
    <t>3912</t>
  </si>
  <si>
    <t>3913</t>
  </si>
  <si>
    <t>3914</t>
  </si>
  <si>
    <t>3915</t>
  </si>
  <si>
    <t>3916</t>
  </si>
  <si>
    <t>3917</t>
  </si>
  <si>
    <t>3918</t>
  </si>
  <si>
    <t>3919</t>
  </si>
  <si>
    <t>3920</t>
  </si>
  <si>
    <t>3921</t>
  </si>
  <si>
    <t>3922</t>
  </si>
  <si>
    <t>3923</t>
  </si>
  <si>
    <t>3924</t>
  </si>
  <si>
    <t>3925</t>
  </si>
  <si>
    <t>3926</t>
  </si>
  <si>
    <t>3927</t>
  </si>
  <si>
    <t>3928</t>
  </si>
  <si>
    <t>3929</t>
  </si>
  <si>
    <t>3930</t>
  </si>
  <si>
    <t>3931</t>
  </si>
  <si>
    <t>3932</t>
  </si>
  <si>
    <t>3933</t>
  </si>
  <si>
    <t>3934</t>
  </si>
  <si>
    <t>3935</t>
  </si>
  <si>
    <t>3936</t>
  </si>
  <si>
    <t>3937</t>
  </si>
  <si>
    <t>3938</t>
  </si>
  <si>
    <t>3939</t>
  </si>
  <si>
    <t>3940</t>
  </si>
  <si>
    <t>3941</t>
  </si>
  <si>
    <t>3942</t>
  </si>
  <si>
    <t>3943</t>
  </si>
  <si>
    <t>3944</t>
  </si>
  <si>
    <t>3945</t>
  </si>
  <si>
    <t>3946</t>
  </si>
  <si>
    <t>3947</t>
  </si>
  <si>
    <t>3948</t>
  </si>
  <si>
    <t>3949</t>
  </si>
  <si>
    <t>3950</t>
  </si>
  <si>
    <t>3951</t>
  </si>
  <si>
    <t>3952</t>
  </si>
  <si>
    <t>3953</t>
  </si>
  <si>
    <t>3954</t>
  </si>
  <si>
    <t>3955</t>
  </si>
  <si>
    <t>3956</t>
  </si>
  <si>
    <t>3957</t>
  </si>
  <si>
    <t>3958</t>
  </si>
  <si>
    <t>3959</t>
  </si>
  <si>
    <t>3960</t>
  </si>
  <si>
    <t>3961</t>
  </si>
  <si>
    <t>3962</t>
  </si>
  <si>
    <t>3963</t>
  </si>
  <si>
    <t>3964</t>
  </si>
  <si>
    <t>3965</t>
  </si>
  <si>
    <t>3966</t>
  </si>
  <si>
    <t>3967</t>
  </si>
  <si>
    <t>3968</t>
  </si>
  <si>
    <t>3969</t>
  </si>
  <si>
    <t>3970</t>
  </si>
  <si>
    <t>3971</t>
  </si>
  <si>
    <t>3972</t>
  </si>
  <si>
    <t>3973</t>
  </si>
  <si>
    <t>3974</t>
  </si>
  <si>
    <t>3975</t>
  </si>
  <si>
    <t>3976</t>
  </si>
  <si>
    <t>3977</t>
  </si>
  <si>
    <t>3978</t>
  </si>
  <si>
    <t>3979</t>
  </si>
  <si>
    <t>3980</t>
  </si>
  <si>
    <t>3981</t>
  </si>
  <si>
    <t>3982</t>
  </si>
  <si>
    <t>3983</t>
  </si>
  <si>
    <t>3984</t>
  </si>
  <si>
    <t>3985</t>
  </si>
  <si>
    <t>3986</t>
  </si>
  <si>
    <t>3987</t>
  </si>
  <si>
    <t>3988</t>
  </si>
  <si>
    <t>3989</t>
  </si>
  <si>
    <t>3990</t>
  </si>
  <si>
    <t>3991</t>
  </si>
  <si>
    <t>3992</t>
  </si>
  <si>
    <t>3993</t>
  </si>
  <si>
    <t>3994</t>
  </si>
  <si>
    <t>3995</t>
  </si>
  <si>
    <t>3996</t>
  </si>
  <si>
    <t>3997</t>
  </si>
  <si>
    <t>3998</t>
  </si>
  <si>
    <t>3999</t>
  </si>
  <si>
    <t>4000</t>
  </si>
  <si>
    <t>4001</t>
  </si>
  <si>
    <t>4002</t>
  </si>
  <si>
    <t>4003</t>
  </si>
  <si>
    <t>4004</t>
  </si>
  <si>
    <t>4005</t>
  </si>
  <si>
    <t>4006</t>
  </si>
  <si>
    <t>4007</t>
  </si>
  <si>
    <t>4008</t>
  </si>
  <si>
    <t>4009</t>
  </si>
  <si>
    <t>4010</t>
  </si>
  <si>
    <t>4011</t>
  </si>
  <si>
    <t>4012</t>
  </si>
  <si>
    <t>4013</t>
  </si>
  <si>
    <t>4014</t>
  </si>
  <si>
    <t>4015</t>
  </si>
  <si>
    <t>4016</t>
  </si>
  <si>
    <t>4017</t>
  </si>
  <si>
    <t>4018</t>
  </si>
  <si>
    <t>4019</t>
  </si>
  <si>
    <t>4020</t>
  </si>
  <si>
    <t>4021</t>
  </si>
  <si>
    <t>4022</t>
  </si>
  <si>
    <t>4023</t>
  </si>
  <si>
    <t>4024</t>
  </si>
  <si>
    <t>4025</t>
  </si>
  <si>
    <t>4026</t>
  </si>
  <si>
    <t>4027</t>
  </si>
  <si>
    <t>4028</t>
  </si>
  <si>
    <t>4029</t>
  </si>
  <si>
    <t>4030</t>
  </si>
  <si>
    <t>4031</t>
  </si>
  <si>
    <t>4032</t>
  </si>
  <si>
    <t>4033</t>
  </si>
  <si>
    <t>4034</t>
  </si>
  <si>
    <t>4035</t>
  </si>
  <si>
    <t>4036</t>
  </si>
  <si>
    <t>4037</t>
  </si>
  <si>
    <t>4038</t>
  </si>
  <si>
    <t>4039</t>
  </si>
  <si>
    <t>4040</t>
  </si>
  <si>
    <t>4041</t>
  </si>
  <si>
    <t>4042</t>
  </si>
  <si>
    <t>4043</t>
  </si>
  <si>
    <t>4044</t>
  </si>
  <si>
    <t>4045</t>
  </si>
  <si>
    <t>4046</t>
  </si>
  <si>
    <t>4047</t>
  </si>
  <si>
    <t>4048</t>
  </si>
  <si>
    <t>4049</t>
  </si>
  <si>
    <t>4050</t>
  </si>
  <si>
    <t>4051</t>
  </si>
  <si>
    <t>4052</t>
  </si>
  <si>
    <t>4053</t>
  </si>
  <si>
    <t>4054</t>
  </si>
  <si>
    <t>4055</t>
  </si>
  <si>
    <t>4056</t>
  </si>
  <si>
    <t>4057</t>
  </si>
  <si>
    <t>4058</t>
  </si>
  <si>
    <t>4059</t>
  </si>
  <si>
    <t>4060</t>
  </si>
  <si>
    <t>4061</t>
  </si>
  <si>
    <t>4062</t>
  </si>
  <si>
    <t>4063</t>
  </si>
  <si>
    <t>4064</t>
  </si>
  <si>
    <t>4065</t>
  </si>
  <si>
    <t>4066</t>
  </si>
  <si>
    <t>4067</t>
  </si>
  <si>
    <t>4068</t>
  </si>
  <si>
    <t>4069</t>
  </si>
  <si>
    <t>4070</t>
  </si>
  <si>
    <t>4071</t>
  </si>
  <si>
    <t>4072</t>
  </si>
  <si>
    <t>4073</t>
  </si>
  <si>
    <t>4074</t>
  </si>
  <si>
    <t>4075</t>
  </si>
  <si>
    <t>4076</t>
  </si>
  <si>
    <t>4077</t>
  </si>
  <si>
    <t>4078</t>
  </si>
  <si>
    <t>4079</t>
  </si>
  <si>
    <t>4080</t>
  </si>
  <si>
    <t>4081</t>
  </si>
  <si>
    <t>4082</t>
  </si>
  <si>
    <t>4083</t>
  </si>
  <si>
    <t>4084</t>
  </si>
  <si>
    <t>4085</t>
  </si>
  <si>
    <t>4086</t>
  </si>
  <si>
    <t>4087</t>
  </si>
  <si>
    <t>4088</t>
  </si>
  <si>
    <t>4089</t>
  </si>
  <si>
    <t>4090</t>
  </si>
  <si>
    <t>4091</t>
  </si>
  <si>
    <t>4092</t>
  </si>
  <si>
    <t>4093</t>
  </si>
  <si>
    <t>4094</t>
  </si>
  <si>
    <t>4095</t>
  </si>
  <si>
    <t>4096</t>
  </si>
  <si>
    <t>4097</t>
  </si>
  <si>
    <t>4098</t>
  </si>
  <si>
    <t>4099</t>
  </si>
  <si>
    <t>4100</t>
  </si>
  <si>
    <t>4101</t>
  </si>
  <si>
    <t>4102</t>
  </si>
  <si>
    <t>4103</t>
  </si>
  <si>
    <t>4104</t>
  </si>
  <si>
    <t>4105</t>
  </si>
  <si>
    <t>4106</t>
  </si>
  <si>
    <t>4107</t>
  </si>
  <si>
    <t>4108</t>
  </si>
  <si>
    <t>4109</t>
  </si>
  <si>
    <t>4110</t>
  </si>
  <si>
    <t>4111</t>
  </si>
  <si>
    <t>4112</t>
  </si>
  <si>
    <t>4113</t>
  </si>
  <si>
    <t>4114</t>
  </si>
  <si>
    <t>4115</t>
  </si>
  <si>
    <t>4116</t>
  </si>
  <si>
    <t>4117</t>
  </si>
  <si>
    <t>4118</t>
  </si>
  <si>
    <t>4119</t>
  </si>
  <si>
    <t>4120</t>
  </si>
  <si>
    <t>4121</t>
  </si>
  <si>
    <t>4122</t>
  </si>
  <si>
    <t>4123</t>
  </si>
  <si>
    <t>4124</t>
  </si>
  <si>
    <t>4125</t>
  </si>
  <si>
    <t>4126</t>
  </si>
  <si>
    <t>4127</t>
  </si>
  <si>
    <t>4128</t>
  </si>
  <si>
    <t>4129</t>
  </si>
  <si>
    <t>4130</t>
  </si>
  <si>
    <t>4131</t>
  </si>
  <si>
    <t>4132</t>
  </si>
  <si>
    <t>4133</t>
  </si>
  <si>
    <t>4134</t>
  </si>
  <si>
    <t>4135</t>
  </si>
  <si>
    <t>4136</t>
  </si>
  <si>
    <t>4137</t>
  </si>
  <si>
    <t>4138</t>
  </si>
  <si>
    <t>4139</t>
  </si>
  <si>
    <t>4140</t>
  </si>
  <si>
    <t>4141</t>
  </si>
  <si>
    <t>4142</t>
  </si>
  <si>
    <t>4143</t>
  </si>
  <si>
    <t>4144</t>
  </si>
  <si>
    <t>4145</t>
  </si>
  <si>
    <t>4146</t>
  </si>
  <si>
    <t>4147</t>
  </si>
  <si>
    <t>4148</t>
  </si>
  <si>
    <t>4149</t>
  </si>
  <si>
    <t>4150</t>
  </si>
  <si>
    <t>4151</t>
  </si>
  <si>
    <t>4152</t>
  </si>
  <si>
    <t>4153</t>
  </si>
  <si>
    <t>4154</t>
  </si>
  <si>
    <t>4155</t>
  </si>
  <si>
    <t>4156</t>
  </si>
  <si>
    <t>4157</t>
  </si>
  <si>
    <t>4158</t>
  </si>
  <si>
    <t>4159</t>
  </si>
  <si>
    <t>4160</t>
  </si>
  <si>
    <t>4161</t>
  </si>
  <si>
    <t>4162</t>
  </si>
  <si>
    <t>4163</t>
  </si>
  <si>
    <t>4164</t>
  </si>
  <si>
    <t>4165</t>
  </si>
  <si>
    <t>4166</t>
  </si>
  <si>
    <t>4167</t>
  </si>
  <si>
    <t>4168</t>
  </si>
  <si>
    <t>4169</t>
  </si>
  <si>
    <t>4170</t>
  </si>
  <si>
    <t>4171</t>
  </si>
  <si>
    <t>4172</t>
  </si>
  <si>
    <t>4173</t>
  </si>
  <si>
    <t>4174</t>
  </si>
  <si>
    <t>4175</t>
  </si>
  <si>
    <t>4176</t>
  </si>
  <si>
    <t>4177</t>
  </si>
  <si>
    <t>4178</t>
  </si>
  <si>
    <t>4179</t>
  </si>
  <si>
    <t>4180</t>
  </si>
  <si>
    <t>4181</t>
  </si>
  <si>
    <t>4182</t>
  </si>
  <si>
    <t>4183</t>
  </si>
  <si>
    <t>4184</t>
  </si>
  <si>
    <t>4185</t>
  </si>
  <si>
    <t>4186</t>
  </si>
  <si>
    <t>4187</t>
  </si>
  <si>
    <t>4188</t>
  </si>
  <si>
    <t>4189</t>
  </si>
  <si>
    <t>4190</t>
  </si>
  <si>
    <t>4191</t>
  </si>
  <si>
    <t>4192</t>
  </si>
  <si>
    <t>4193</t>
  </si>
  <si>
    <t>4194</t>
  </si>
  <si>
    <t>4195</t>
  </si>
  <si>
    <t>4196</t>
  </si>
  <si>
    <t>4197</t>
  </si>
  <si>
    <t>4198</t>
  </si>
  <si>
    <t>4199</t>
  </si>
  <si>
    <t>4200</t>
  </si>
  <si>
    <t>4201</t>
  </si>
  <si>
    <t>4202</t>
  </si>
  <si>
    <t>4203</t>
  </si>
  <si>
    <t>4204</t>
  </si>
  <si>
    <t>4205</t>
  </si>
  <si>
    <t>4206</t>
  </si>
  <si>
    <t>4207</t>
  </si>
  <si>
    <t>4208</t>
  </si>
  <si>
    <t>4209</t>
  </si>
  <si>
    <t>4210</t>
  </si>
  <si>
    <t>4211</t>
  </si>
  <si>
    <t>4212</t>
  </si>
  <si>
    <t>4213</t>
  </si>
  <si>
    <t>4214</t>
  </si>
  <si>
    <t>4215</t>
  </si>
  <si>
    <t>4216</t>
  </si>
  <si>
    <t>4217</t>
  </si>
  <si>
    <t>4218</t>
  </si>
  <si>
    <t>4219</t>
  </si>
  <si>
    <t>4220</t>
  </si>
  <si>
    <t>4221</t>
  </si>
  <si>
    <t>4222</t>
  </si>
  <si>
    <t>4223</t>
  </si>
  <si>
    <t>4224</t>
  </si>
  <si>
    <t>4225</t>
  </si>
  <si>
    <t>4226</t>
  </si>
  <si>
    <t>4227</t>
  </si>
  <si>
    <t>4228</t>
  </si>
  <si>
    <t>4229</t>
  </si>
  <si>
    <t>4230</t>
  </si>
  <si>
    <t>4231</t>
  </si>
  <si>
    <t>4232</t>
  </si>
  <si>
    <t>4233</t>
  </si>
  <si>
    <t>4234</t>
  </si>
  <si>
    <t>4235</t>
  </si>
  <si>
    <t>4236</t>
  </si>
  <si>
    <t>4237</t>
  </si>
  <si>
    <t>4238</t>
  </si>
  <si>
    <t>4239</t>
  </si>
  <si>
    <t>4240</t>
  </si>
  <si>
    <t>4241</t>
  </si>
  <si>
    <t>4242</t>
  </si>
  <si>
    <t>4243</t>
  </si>
  <si>
    <t>4244</t>
  </si>
  <si>
    <t>4245</t>
  </si>
  <si>
    <t>4246</t>
  </si>
  <si>
    <t>4247</t>
  </si>
  <si>
    <t>4248</t>
  </si>
  <si>
    <t>4249</t>
  </si>
  <si>
    <t>4250</t>
  </si>
  <si>
    <t>4251</t>
  </si>
  <si>
    <t>4252</t>
  </si>
  <si>
    <t>4253</t>
  </si>
  <si>
    <t>4254</t>
  </si>
  <si>
    <t>4255</t>
  </si>
  <si>
    <t>4256</t>
  </si>
  <si>
    <t>4257</t>
  </si>
  <si>
    <t>4258</t>
  </si>
  <si>
    <t>4259</t>
  </si>
  <si>
    <t>4260</t>
  </si>
  <si>
    <t>4261</t>
  </si>
  <si>
    <t>4262</t>
  </si>
  <si>
    <t>4263</t>
  </si>
  <si>
    <t>4264</t>
  </si>
  <si>
    <t>4265</t>
  </si>
  <si>
    <t>4266</t>
  </si>
  <si>
    <t>4267</t>
  </si>
  <si>
    <t>4268</t>
  </si>
  <si>
    <t>4269</t>
  </si>
  <si>
    <t>4270</t>
  </si>
  <si>
    <t>4271</t>
  </si>
  <si>
    <t>4272</t>
  </si>
  <si>
    <t>4273</t>
  </si>
  <si>
    <t>4274</t>
  </si>
  <si>
    <t>4275</t>
  </si>
  <si>
    <t>4276</t>
  </si>
  <si>
    <t>4277</t>
  </si>
  <si>
    <t>4278</t>
  </si>
  <si>
    <t>4279</t>
  </si>
  <si>
    <t>4280</t>
  </si>
  <si>
    <t>4281</t>
  </si>
  <si>
    <t>4282</t>
  </si>
  <si>
    <t>4283</t>
  </si>
  <si>
    <t>4284</t>
  </si>
  <si>
    <t>4285</t>
  </si>
  <si>
    <t>4286</t>
  </si>
  <si>
    <t>4287</t>
  </si>
  <si>
    <t>4288</t>
  </si>
  <si>
    <t>4289</t>
  </si>
  <si>
    <t>4290</t>
  </si>
  <si>
    <t>4291</t>
  </si>
  <si>
    <t>4292</t>
  </si>
  <si>
    <t>4293</t>
  </si>
  <si>
    <t>4294</t>
  </si>
  <si>
    <t>4295</t>
  </si>
  <si>
    <t>4296</t>
  </si>
  <si>
    <t>4297</t>
  </si>
  <si>
    <t>4298</t>
  </si>
  <si>
    <t>4299</t>
  </si>
  <si>
    <t>4300</t>
  </si>
  <si>
    <t>4301</t>
  </si>
  <si>
    <t>4302</t>
  </si>
  <si>
    <t>4303</t>
  </si>
  <si>
    <t>4304</t>
  </si>
  <si>
    <t>4305</t>
  </si>
  <si>
    <t>4306</t>
  </si>
  <si>
    <t>4307</t>
  </si>
  <si>
    <t>4308</t>
  </si>
  <si>
    <t>4309</t>
  </si>
  <si>
    <t>4310</t>
  </si>
  <si>
    <t>4311</t>
  </si>
  <si>
    <t>4312</t>
  </si>
  <si>
    <t>4313</t>
  </si>
  <si>
    <t>4314</t>
  </si>
  <si>
    <t>4315</t>
  </si>
  <si>
    <t>4316</t>
  </si>
  <si>
    <t>4317</t>
  </si>
  <si>
    <t>4318</t>
  </si>
  <si>
    <t>4319</t>
  </si>
  <si>
    <t>4320</t>
  </si>
  <si>
    <t>4321</t>
  </si>
  <si>
    <t>4322</t>
  </si>
  <si>
    <t>4323</t>
  </si>
  <si>
    <t>4324</t>
  </si>
  <si>
    <t>4325</t>
  </si>
  <si>
    <t>4326</t>
  </si>
  <si>
    <t>4327</t>
  </si>
  <si>
    <t>4328</t>
  </si>
  <si>
    <t>4329</t>
  </si>
  <si>
    <t>4330</t>
  </si>
  <si>
    <t>4331</t>
  </si>
  <si>
    <t>4332</t>
  </si>
  <si>
    <t>4333</t>
  </si>
  <si>
    <t>4334</t>
  </si>
  <si>
    <t>4335</t>
  </si>
  <si>
    <t>4336</t>
  </si>
  <si>
    <t>4337</t>
  </si>
  <si>
    <t>4338</t>
  </si>
  <si>
    <t>4339</t>
  </si>
  <si>
    <t>4340</t>
  </si>
  <si>
    <t>4341</t>
  </si>
  <si>
    <t>4342</t>
  </si>
  <si>
    <t>4343</t>
  </si>
  <si>
    <t>4344</t>
  </si>
  <si>
    <t>4345</t>
  </si>
  <si>
    <t>4346</t>
  </si>
  <si>
    <t>4347</t>
  </si>
  <si>
    <t>4348</t>
  </si>
  <si>
    <t>4349</t>
  </si>
  <si>
    <t>4350</t>
  </si>
  <si>
    <t>4351</t>
  </si>
  <si>
    <t>4352</t>
  </si>
  <si>
    <t>4353</t>
  </si>
  <si>
    <t>4354</t>
  </si>
  <si>
    <t>4355</t>
  </si>
  <si>
    <t>4356</t>
  </si>
  <si>
    <t>4357</t>
  </si>
  <si>
    <t>4358</t>
  </si>
  <si>
    <t>4359</t>
  </si>
  <si>
    <t>4360</t>
  </si>
  <si>
    <t>4361</t>
  </si>
  <si>
    <t>4362</t>
  </si>
  <si>
    <t>4363</t>
  </si>
  <si>
    <t>4364</t>
  </si>
  <si>
    <t>4365</t>
  </si>
  <si>
    <t>4366</t>
  </si>
  <si>
    <t>4367</t>
  </si>
  <si>
    <t>4368</t>
  </si>
  <si>
    <t>4369</t>
  </si>
  <si>
    <t>4370</t>
  </si>
  <si>
    <t>4371</t>
  </si>
  <si>
    <t>4372</t>
  </si>
  <si>
    <t>4373</t>
  </si>
  <si>
    <t>4374</t>
  </si>
  <si>
    <t>4375</t>
  </si>
  <si>
    <t>4376</t>
  </si>
  <si>
    <t>4377</t>
  </si>
  <si>
    <t>4378</t>
  </si>
  <si>
    <t>4379</t>
  </si>
  <si>
    <t>4380</t>
  </si>
  <si>
    <t>4381</t>
  </si>
  <si>
    <t>4382</t>
  </si>
  <si>
    <t>4383</t>
  </si>
  <si>
    <t>4384</t>
  </si>
  <si>
    <t>4385</t>
  </si>
  <si>
    <t>4386</t>
  </si>
  <si>
    <t>4387</t>
  </si>
  <si>
    <t>4388</t>
  </si>
  <si>
    <t>4389</t>
  </si>
  <si>
    <t>4390</t>
  </si>
  <si>
    <t>4391</t>
  </si>
  <si>
    <t>4392</t>
  </si>
  <si>
    <t>4393</t>
  </si>
  <si>
    <t>4394</t>
  </si>
  <si>
    <t>4395</t>
  </si>
  <si>
    <t>4396</t>
  </si>
  <si>
    <t>4397</t>
  </si>
  <si>
    <t>4398</t>
  </si>
  <si>
    <t>4399</t>
  </si>
  <si>
    <t>4400</t>
  </si>
  <si>
    <t>4401</t>
  </si>
  <si>
    <t>4402</t>
  </si>
  <si>
    <t>4403</t>
  </si>
  <si>
    <t>4404</t>
  </si>
  <si>
    <t>4405</t>
  </si>
  <si>
    <t>4406</t>
  </si>
  <si>
    <t>4407</t>
  </si>
  <si>
    <t>4408</t>
  </si>
  <si>
    <t>4409</t>
  </si>
  <si>
    <t>4410</t>
  </si>
  <si>
    <t>4411</t>
  </si>
  <si>
    <t>4412</t>
  </si>
  <si>
    <t>4413</t>
  </si>
  <si>
    <t>4414</t>
  </si>
  <si>
    <t>4415</t>
  </si>
  <si>
    <t>4416</t>
  </si>
  <si>
    <t>4417</t>
  </si>
  <si>
    <t>4418</t>
  </si>
  <si>
    <t>4419</t>
  </si>
  <si>
    <t>4420</t>
  </si>
  <si>
    <t>4421</t>
  </si>
  <si>
    <t>4422</t>
  </si>
  <si>
    <t>4423</t>
  </si>
  <si>
    <t>4424</t>
  </si>
  <si>
    <t>4425</t>
  </si>
  <si>
    <t>4426</t>
  </si>
  <si>
    <t>4427</t>
  </si>
  <si>
    <t>4428</t>
  </si>
  <si>
    <t>4429</t>
  </si>
  <si>
    <t>4430</t>
  </si>
  <si>
    <t>4431</t>
  </si>
  <si>
    <t>4432</t>
  </si>
  <si>
    <t>4433</t>
  </si>
  <si>
    <t>4434</t>
  </si>
  <si>
    <t>4435</t>
  </si>
  <si>
    <t>4436</t>
  </si>
  <si>
    <t>4437</t>
  </si>
  <si>
    <t>4438</t>
  </si>
  <si>
    <t>4439</t>
  </si>
  <si>
    <t>4440</t>
  </si>
  <si>
    <t>4441</t>
  </si>
  <si>
    <t>4442</t>
  </si>
  <si>
    <t>4443</t>
  </si>
  <si>
    <t>4444</t>
  </si>
  <si>
    <t>4445</t>
  </si>
  <si>
    <t>4446</t>
  </si>
  <si>
    <t>4447</t>
  </si>
  <si>
    <t>4448</t>
  </si>
  <si>
    <t>4449</t>
  </si>
  <si>
    <t>4450</t>
  </si>
  <si>
    <t>4451</t>
  </si>
  <si>
    <t>4452</t>
  </si>
  <si>
    <t>4453</t>
  </si>
  <si>
    <t>4454</t>
  </si>
  <si>
    <t>4455</t>
  </si>
  <si>
    <t>4456</t>
  </si>
  <si>
    <t>4457</t>
  </si>
  <si>
    <t>4458</t>
  </si>
  <si>
    <t>4459</t>
  </si>
  <si>
    <t>4460</t>
  </si>
  <si>
    <t>4461</t>
  </si>
  <si>
    <t>4462</t>
  </si>
  <si>
    <t>4463</t>
  </si>
  <si>
    <t>4464</t>
  </si>
  <si>
    <t>4465</t>
  </si>
  <si>
    <t>4466</t>
  </si>
  <si>
    <t>4467</t>
  </si>
  <si>
    <t>4468</t>
  </si>
  <si>
    <t>4469</t>
  </si>
  <si>
    <t>4470</t>
  </si>
  <si>
    <t>4471</t>
  </si>
  <si>
    <t>4472</t>
  </si>
  <si>
    <t>4473</t>
  </si>
  <si>
    <t>4474</t>
  </si>
  <si>
    <t>4475</t>
  </si>
  <si>
    <t>4476</t>
  </si>
  <si>
    <t>4477</t>
  </si>
  <si>
    <t>4478</t>
  </si>
  <si>
    <t>4479</t>
  </si>
  <si>
    <t>4480</t>
  </si>
  <si>
    <t>4481</t>
  </si>
  <si>
    <t>4482</t>
  </si>
  <si>
    <t>4483</t>
  </si>
  <si>
    <t>4484</t>
  </si>
  <si>
    <t>4485</t>
  </si>
  <si>
    <t>4486</t>
  </si>
  <si>
    <t>4487</t>
  </si>
  <si>
    <t>4488</t>
  </si>
  <si>
    <t>4489</t>
  </si>
  <si>
    <t>4490</t>
  </si>
  <si>
    <t>4491</t>
  </si>
  <si>
    <t>4492</t>
  </si>
  <si>
    <t>4493</t>
  </si>
  <si>
    <t>4494</t>
  </si>
  <si>
    <t>4495</t>
  </si>
  <si>
    <t>4496</t>
  </si>
  <si>
    <t>4497</t>
  </si>
  <si>
    <t>4498</t>
  </si>
  <si>
    <t>4499</t>
  </si>
  <si>
    <t>4500</t>
  </si>
  <si>
    <t>4501</t>
  </si>
  <si>
    <t>4502</t>
  </si>
  <si>
    <t>4503</t>
  </si>
  <si>
    <t>4504</t>
  </si>
  <si>
    <t>4505</t>
  </si>
  <si>
    <t>4506</t>
  </si>
  <si>
    <t>4507</t>
  </si>
  <si>
    <t>4508</t>
  </si>
  <si>
    <t>4509</t>
  </si>
  <si>
    <t>4510</t>
  </si>
  <si>
    <t>4511</t>
  </si>
  <si>
    <t>4512</t>
  </si>
  <si>
    <t>4513</t>
  </si>
  <si>
    <t>4514</t>
  </si>
  <si>
    <t>4515</t>
  </si>
  <si>
    <t>4516</t>
  </si>
  <si>
    <t>4517</t>
  </si>
  <si>
    <t>4518</t>
  </si>
  <si>
    <t>4519</t>
  </si>
  <si>
    <t>4520</t>
  </si>
  <si>
    <t>4521</t>
  </si>
  <si>
    <t>4522</t>
  </si>
  <si>
    <t>4523</t>
  </si>
  <si>
    <t>4524</t>
  </si>
  <si>
    <t>4525</t>
  </si>
  <si>
    <t>4526</t>
  </si>
  <si>
    <t>4527</t>
  </si>
  <si>
    <t>4528</t>
  </si>
  <si>
    <t>4529</t>
  </si>
  <si>
    <t>4530</t>
  </si>
  <si>
    <t>4531</t>
  </si>
  <si>
    <t>4532</t>
  </si>
  <si>
    <t>4533</t>
  </si>
  <si>
    <t>4534</t>
  </si>
  <si>
    <t>4535</t>
  </si>
  <si>
    <t>4536</t>
  </si>
  <si>
    <t>4537</t>
  </si>
  <si>
    <t>4538</t>
  </si>
  <si>
    <t>4539</t>
  </si>
  <si>
    <t>4540</t>
  </si>
  <si>
    <t>4541</t>
  </si>
  <si>
    <t>4542</t>
  </si>
  <si>
    <t>4543</t>
  </si>
  <si>
    <t>4544</t>
  </si>
  <si>
    <t>4545</t>
  </si>
  <si>
    <t>4546</t>
  </si>
  <si>
    <t>4547</t>
  </si>
  <si>
    <t>4548</t>
  </si>
  <si>
    <t>4549</t>
  </si>
  <si>
    <t>4550</t>
  </si>
  <si>
    <t>4551</t>
  </si>
  <si>
    <t>4552</t>
  </si>
  <si>
    <t>4553</t>
  </si>
  <si>
    <t>4554</t>
  </si>
  <si>
    <t>4555</t>
  </si>
  <si>
    <t>4556</t>
  </si>
  <si>
    <t>4557</t>
  </si>
  <si>
    <t>4558</t>
  </si>
  <si>
    <t>4559</t>
  </si>
  <si>
    <t>4560</t>
  </si>
  <si>
    <t>4561</t>
  </si>
  <si>
    <t>4562</t>
  </si>
  <si>
    <t>4563</t>
  </si>
  <si>
    <t>4564</t>
  </si>
  <si>
    <t>4565</t>
  </si>
  <si>
    <t>4566</t>
  </si>
  <si>
    <t>4567</t>
  </si>
  <si>
    <t>4568</t>
  </si>
  <si>
    <t>4569</t>
  </si>
  <si>
    <t>4570</t>
  </si>
  <si>
    <t>4571</t>
  </si>
  <si>
    <t>4572</t>
  </si>
  <si>
    <t>4573</t>
  </si>
  <si>
    <t>4574</t>
  </si>
  <si>
    <t>4575</t>
  </si>
  <si>
    <t>4576</t>
  </si>
  <si>
    <t>4577</t>
  </si>
  <si>
    <t>4578</t>
  </si>
  <si>
    <t>4579</t>
  </si>
  <si>
    <t>4580</t>
  </si>
  <si>
    <t>4581</t>
  </si>
  <si>
    <t>4582</t>
  </si>
  <si>
    <t>4583</t>
  </si>
  <si>
    <t>4584</t>
  </si>
  <si>
    <t>4585</t>
  </si>
  <si>
    <t>4586</t>
  </si>
  <si>
    <t>4587</t>
  </si>
  <si>
    <t>4588</t>
  </si>
  <si>
    <t>4589</t>
  </si>
  <si>
    <t>4590</t>
  </si>
  <si>
    <t>4591</t>
  </si>
  <si>
    <t>4592</t>
  </si>
  <si>
    <t>4593</t>
  </si>
  <si>
    <t>4594</t>
  </si>
  <si>
    <t>4595</t>
  </si>
  <si>
    <t>4596</t>
  </si>
  <si>
    <t>4597</t>
  </si>
  <si>
    <t>4598</t>
  </si>
  <si>
    <t>4599</t>
  </si>
  <si>
    <t>4600</t>
  </si>
  <si>
    <t>4601</t>
  </si>
  <si>
    <t>4602</t>
  </si>
  <si>
    <t>4603</t>
  </si>
  <si>
    <t>4604</t>
  </si>
  <si>
    <t>4605</t>
  </si>
  <si>
    <t>4606</t>
  </si>
  <si>
    <t>4607</t>
  </si>
  <si>
    <t>4608</t>
  </si>
  <si>
    <t>4609</t>
  </si>
  <si>
    <t>4610</t>
  </si>
  <si>
    <t>4611</t>
  </si>
  <si>
    <t>4612</t>
  </si>
  <si>
    <t>4613</t>
  </si>
  <si>
    <t>4614</t>
  </si>
  <si>
    <t>4615</t>
  </si>
  <si>
    <t>4616</t>
  </si>
  <si>
    <t>4617</t>
  </si>
  <si>
    <t>4618</t>
  </si>
  <si>
    <t>4619</t>
  </si>
  <si>
    <t>4620</t>
  </si>
  <si>
    <t>4621</t>
  </si>
  <si>
    <t>4622</t>
  </si>
  <si>
    <t>4623</t>
  </si>
  <si>
    <t>4624</t>
  </si>
  <si>
    <t>4625</t>
  </si>
  <si>
    <t>4626</t>
  </si>
  <si>
    <t>4627</t>
  </si>
  <si>
    <t>4628</t>
  </si>
  <si>
    <t>4629</t>
  </si>
  <si>
    <t>4630</t>
  </si>
  <si>
    <t>4631</t>
  </si>
  <si>
    <t>4632</t>
  </si>
  <si>
    <t>4633</t>
  </si>
  <si>
    <t>4634</t>
  </si>
  <si>
    <t>4635</t>
  </si>
  <si>
    <t>4636</t>
  </si>
  <si>
    <t>4637</t>
  </si>
  <si>
    <t>4638</t>
  </si>
  <si>
    <t>4639</t>
  </si>
  <si>
    <t>4640</t>
  </si>
  <si>
    <t>4641</t>
  </si>
  <si>
    <t>4642</t>
  </si>
  <si>
    <t>4643</t>
  </si>
  <si>
    <t>4644</t>
  </si>
  <si>
    <t>4645</t>
  </si>
  <si>
    <t>4646</t>
  </si>
  <si>
    <t>4647</t>
  </si>
  <si>
    <t>4648</t>
  </si>
  <si>
    <t>4649</t>
  </si>
  <si>
    <t>4650</t>
  </si>
  <si>
    <t>4651</t>
  </si>
  <si>
    <t>4652</t>
  </si>
  <si>
    <t>4653</t>
  </si>
  <si>
    <t>4654</t>
  </si>
  <si>
    <t>4655</t>
  </si>
  <si>
    <t>4656</t>
  </si>
  <si>
    <t>4657</t>
  </si>
  <si>
    <t>4658</t>
  </si>
  <si>
    <t>4659</t>
  </si>
  <si>
    <t>4660</t>
  </si>
  <si>
    <t>4661</t>
  </si>
  <si>
    <t>4662</t>
  </si>
  <si>
    <t>4663</t>
  </si>
  <si>
    <t>4664</t>
  </si>
  <si>
    <t>4665</t>
  </si>
  <si>
    <t>4666</t>
  </si>
  <si>
    <t>4667</t>
  </si>
  <si>
    <t>4668</t>
  </si>
  <si>
    <t>4669</t>
  </si>
  <si>
    <t>4670</t>
  </si>
  <si>
    <t>4671</t>
  </si>
  <si>
    <t>4672</t>
  </si>
  <si>
    <t>4673</t>
  </si>
  <si>
    <t>4674</t>
  </si>
  <si>
    <t>4675</t>
  </si>
  <si>
    <t>4676</t>
  </si>
  <si>
    <t>4677</t>
  </si>
  <si>
    <t>4678</t>
  </si>
  <si>
    <t>4679</t>
  </si>
  <si>
    <t>4680</t>
  </si>
  <si>
    <t>4681</t>
  </si>
  <si>
    <t>4682</t>
  </si>
  <si>
    <t>4683</t>
  </si>
  <si>
    <t>4684</t>
  </si>
  <si>
    <t>4685</t>
  </si>
  <si>
    <t>4686</t>
  </si>
  <si>
    <t>4687</t>
  </si>
  <si>
    <t>4688</t>
  </si>
  <si>
    <t>4689</t>
  </si>
  <si>
    <t>4690</t>
  </si>
  <si>
    <t>4691</t>
  </si>
  <si>
    <t>4692</t>
  </si>
  <si>
    <t>4693</t>
  </si>
  <si>
    <t>4694</t>
  </si>
  <si>
    <t>4695</t>
  </si>
  <si>
    <t>4696</t>
  </si>
  <si>
    <t>4697</t>
  </si>
  <si>
    <t>4698</t>
  </si>
  <si>
    <t>4699</t>
  </si>
  <si>
    <t>4700</t>
  </si>
  <si>
    <t>4701</t>
  </si>
  <si>
    <t>4702</t>
  </si>
  <si>
    <t>4703</t>
  </si>
  <si>
    <t>4704</t>
  </si>
  <si>
    <t>4705</t>
  </si>
  <si>
    <t>4706</t>
  </si>
  <si>
    <t>4707</t>
  </si>
  <si>
    <t>4708</t>
  </si>
  <si>
    <t>4709</t>
  </si>
  <si>
    <t>4710</t>
  </si>
  <si>
    <t>4711</t>
  </si>
  <si>
    <t>4712</t>
  </si>
  <si>
    <t>4713</t>
  </si>
  <si>
    <t>4714</t>
  </si>
  <si>
    <t>4715</t>
  </si>
  <si>
    <t>4716</t>
  </si>
  <si>
    <t>4717</t>
  </si>
  <si>
    <t>4718</t>
  </si>
  <si>
    <t>4719</t>
  </si>
  <si>
    <t>4720</t>
  </si>
  <si>
    <t>4721</t>
  </si>
  <si>
    <t>4722</t>
  </si>
  <si>
    <t>4723</t>
  </si>
  <si>
    <t>4724</t>
  </si>
  <si>
    <t>4725</t>
  </si>
  <si>
    <t>4726</t>
  </si>
  <si>
    <t>4727</t>
  </si>
  <si>
    <t>4728</t>
  </si>
  <si>
    <t>4729</t>
  </si>
  <si>
    <t>4730</t>
  </si>
  <si>
    <t>4731</t>
  </si>
  <si>
    <t>4732</t>
  </si>
  <si>
    <t>4733</t>
  </si>
  <si>
    <t>4734</t>
  </si>
  <si>
    <t>4735</t>
  </si>
  <si>
    <t>4736</t>
  </si>
  <si>
    <t>4737</t>
  </si>
  <si>
    <t>4738</t>
  </si>
  <si>
    <t>4739</t>
  </si>
  <si>
    <t>4740</t>
  </si>
  <si>
    <t>4741</t>
  </si>
  <si>
    <t>4742</t>
  </si>
  <si>
    <t>4743</t>
  </si>
  <si>
    <t>4744</t>
  </si>
  <si>
    <t>4745</t>
  </si>
  <si>
    <t>4746</t>
  </si>
  <si>
    <t>4747</t>
  </si>
  <si>
    <t>4748</t>
  </si>
  <si>
    <t>4749</t>
  </si>
  <si>
    <t>4750</t>
  </si>
  <si>
    <t>4751</t>
  </si>
  <si>
    <t>4752</t>
  </si>
  <si>
    <t>4753</t>
  </si>
  <si>
    <t>4754</t>
  </si>
  <si>
    <t>4755</t>
  </si>
  <si>
    <t>4756</t>
  </si>
  <si>
    <t>4757</t>
  </si>
  <si>
    <t>4758</t>
  </si>
  <si>
    <t>4759</t>
  </si>
  <si>
    <t>4760</t>
  </si>
  <si>
    <t>4761</t>
  </si>
  <si>
    <t>4762</t>
  </si>
  <si>
    <t>4763</t>
  </si>
  <si>
    <t>4764</t>
  </si>
  <si>
    <t>4765</t>
  </si>
  <si>
    <t>4766</t>
  </si>
  <si>
    <t>4767</t>
  </si>
  <si>
    <t>4768</t>
  </si>
  <si>
    <t>4769</t>
  </si>
  <si>
    <t>4770</t>
  </si>
  <si>
    <t>4771</t>
  </si>
  <si>
    <t>4772</t>
  </si>
  <si>
    <t>4773</t>
  </si>
  <si>
    <t>4774</t>
  </si>
  <si>
    <t>4775</t>
  </si>
  <si>
    <t>4776</t>
  </si>
  <si>
    <t>4777</t>
  </si>
  <si>
    <t>4778</t>
  </si>
  <si>
    <t>4779</t>
  </si>
  <si>
    <t>4780</t>
  </si>
  <si>
    <t>4781</t>
  </si>
  <si>
    <t>4782</t>
  </si>
  <si>
    <t>4783</t>
  </si>
  <si>
    <t>4784</t>
  </si>
  <si>
    <t>4785</t>
  </si>
  <si>
    <t>4786</t>
  </si>
  <si>
    <t>4787</t>
  </si>
  <si>
    <t>4788</t>
  </si>
  <si>
    <t>4789</t>
  </si>
  <si>
    <t>4790</t>
  </si>
  <si>
    <t>4791</t>
  </si>
  <si>
    <t>4792</t>
  </si>
  <si>
    <t>4793</t>
  </si>
  <si>
    <t>4794</t>
  </si>
  <si>
    <t>4795</t>
  </si>
  <si>
    <t>4796</t>
  </si>
  <si>
    <t>4797</t>
  </si>
  <si>
    <t>4798</t>
  </si>
  <si>
    <t>4799</t>
  </si>
  <si>
    <t>4800</t>
  </si>
  <si>
    <t>4801</t>
  </si>
  <si>
    <t>4802</t>
  </si>
  <si>
    <t>4803</t>
  </si>
  <si>
    <t>4804</t>
  </si>
  <si>
    <t>4805</t>
  </si>
  <si>
    <t>4806</t>
  </si>
  <si>
    <t>4807</t>
  </si>
  <si>
    <t>4808</t>
  </si>
  <si>
    <t>4809</t>
  </si>
  <si>
    <t>4810</t>
  </si>
  <si>
    <t>4811</t>
  </si>
  <si>
    <t>4812</t>
  </si>
  <si>
    <t>4813</t>
  </si>
  <si>
    <t>4814</t>
  </si>
  <si>
    <t>4815</t>
  </si>
  <si>
    <t>4816</t>
  </si>
  <si>
    <t>4817</t>
  </si>
  <si>
    <t>4818</t>
  </si>
  <si>
    <t>4819</t>
  </si>
  <si>
    <t>4820</t>
  </si>
  <si>
    <t>4821</t>
  </si>
  <si>
    <t>4822</t>
  </si>
  <si>
    <t>4823</t>
  </si>
  <si>
    <t>4824</t>
  </si>
  <si>
    <t>4825</t>
  </si>
  <si>
    <t>4826</t>
  </si>
  <si>
    <t>4827</t>
  </si>
  <si>
    <t>4828</t>
  </si>
  <si>
    <t>4829</t>
  </si>
  <si>
    <t>4830</t>
  </si>
  <si>
    <t>4831</t>
  </si>
  <si>
    <t>4832</t>
  </si>
  <si>
    <t>4833</t>
  </si>
  <si>
    <t>4834</t>
  </si>
  <si>
    <t>4835</t>
  </si>
  <si>
    <t>4836</t>
  </si>
  <si>
    <t>4837</t>
  </si>
  <si>
    <t>4838</t>
  </si>
  <si>
    <t>4839</t>
  </si>
  <si>
    <t>4840</t>
  </si>
  <si>
    <t>4841</t>
  </si>
  <si>
    <t>4842</t>
  </si>
  <si>
    <t>4843</t>
  </si>
  <si>
    <t>4844</t>
  </si>
  <si>
    <t>4845</t>
  </si>
  <si>
    <t>4846</t>
  </si>
  <si>
    <t>4847</t>
  </si>
  <si>
    <t>4848</t>
  </si>
  <si>
    <t>4849</t>
  </si>
  <si>
    <t>4850</t>
  </si>
  <si>
    <t>4851</t>
  </si>
  <si>
    <t>4852</t>
  </si>
  <si>
    <t>4853</t>
  </si>
  <si>
    <t>4854</t>
  </si>
  <si>
    <t>4855</t>
  </si>
  <si>
    <t>4856</t>
  </si>
  <si>
    <t>4857</t>
  </si>
  <si>
    <t>4858</t>
  </si>
  <si>
    <t>4859</t>
  </si>
  <si>
    <t>4860</t>
  </si>
  <si>
    <t>4861</t>
  </si>
  <si>
    <t>4862</t>
  </si>
  <si>
    <t>4863</t>
  </si>
  <si>
    <t>4864</t>
  </si>
  <si>
    <t>4865</t>
  </si>
  <si>
    <t>4866</t>
  </si>
  <si>
    <t>4867</t>
  </si>
  <si>
    <t>4868</t>
  </si>
  <si>
    <t>4869</t>
  </si>
  <si>
    <t>4870</t>
  </si>
  <si>
    <t>4871</t>
  </si>
  <si>
    <t>4872</t>
  </si>
  <si>
    <t>4873</t>
  </si>
  <si>
    <t>4874</t>
  </si>
  <si>
    <t>4875</t>
  </si>
  <si>
    <t>4876</t>
  </si>
  <si>
    <t>4877</t>
  </si>
  <si>
    <t>4878</t>
  </si>
  <si>
    <t>4879</t>
  </si>
  <si>
    <t>4880</t>
  </si>
  <si>
    <t>4881</t>
  </si>
  <si>
    <t>4882</t>
  </si>
  <si>
    <t>4883</t>
  </si>
  <si>
    <t>4884</t>
  </si>
  <si>
    <t>4885</t>
  </si>
  <si>
    <t>4886</t>
  </si>
  <si>
    <t>4887</t>
  </si>
  <si>
    <t>4888</t>
  </si>
  <si>
    <t>4889</t>
  </si>
  <si>
    <t>4890</t>
  </si>
  <si>
    <t>4891</t>
  </si>
  <si>
    <t>4892</t>
  </si>
  <si>
    <t>4893</t>
  </si>
  <si>
    <t>4894</t>
  </si>
  <si>
    <t>4895</t>
  </si>
  <si>
    <t>4896</t>
  </si>
  <si>
    <t>4897</t>
  </si>
  <si>
    <t>4898</t>
  </si>
  <si>
    <t>4899</t>
  </si>
  <si>
    <t>4900</t>
  </si>
  <si>
    <t>4901</t>
  </si>
  <si>
    <t>4902</t>
  </si>
  <si>
    <t>4903</t>
  </si>
  <si>
    <t>4904</t>
  </si>
  <si>
    <t>4905</t>
  </si>
  <si>
    <t>4906</t>
  </si>
  <si>
    <t>4907</t>
  </si>
  <si>
    <t>4908</t>
  </si>
  <si>
    <t>4909</t>
  </si>
  <si>
    <t>4910</t>
  </si>
  <si>
    <t>4911</t>
  </si>
  <si>
    <t>4912</t>
  </si>
  <si>
    <t>4913</t>
  </si>
  <si>
    <t>4914</t>
  </si>
  <si>
    <t>4915</t>
  </si>
  <si>
    <t>4916</t>
  </si>
  <si>
    <t>4917</t>
  </si>
  <si>
    <t>4918</t>
  </si>
  <si>
    <t>4919</t>
  </si>
  <si>
    <t>4920</t>
  </si>
  <si>
    <t>4921</t>
  </si>
  <si>
    <t>4922</t>
  </si>
  <si>
    <t>4923</t>
  </si>
  <si>
    <t>4924</t>
  </si>
  <si>
    <t>4925</t>
  </si>
  <si>
    <t>4926</t>
  </si>
  <si>
    <t>4927</t>
  </si>
  <si>
    <t>4928</t>
  </si>
  <si>
    <t>4929</t>
  </si>
  <si>
    <t>4930</t>
  </si>
  <si>
    <t>4931</t>
  </si>
  <si>
    <t>4932</t>
  </si>
  <si>
    <t>4933</t>
  </si>
  <si>
    <t>4934</t>
  </si>
  <si>
    <t>4935</t>
  </si>
  <si>
    <t>4936</t>
  </si>
  <si>
    <t>4937</t>
  </si>
  <si>
    <t>4938</t>
  </si>
  <si>
    <t>4939</t>
  </si>
  <si>
    <t>4940</t>
  </si>
  <si>
    <t>4941</t>
  </si>
  <si>
    <t>4942</t>
  </si>
  <si>
    <t>4943</t>
  </si>
  <si>
    <t>4944</t>
  </si>
  <si>
    <t>4945</t>
  </si>
  <si>
    <t>4946</t>
  </si>
  <si>
    <t>4947</t>
  </si>
  <si>
    <t>4948</t>
  </si>
  <si>
    <t>4949</t>
  </si>
  <si>
    <t>4950</t>
  </si>
  <si>
    <t>4951</t>
  </si>
  <si>
    <t>4952</t>
  </si>
  <si>
    <t>4953</t>
  </si>
  <si>
    <t>4954</t>
  </si>
  <si>
    <t>4955</t>
  </si>
  <si>
    <t>4956</t>
  </si>
  <si>
    <t>4957</t>
  </si>
  <si>
    <t>4958</t>
  </si>
  <si>
    <t>4959</t>
  </si>
  <si>
    <t>4960</t>
  </si>
  <si>
    <t>4961</t>
  </si>
  <si>
    <t>4962</t>
  </si>
  <si>
    <t>4963</t>
  </si>
  <si>
    <t>4964</t>
  </si>
  <si>
    <t>4965</t>
  </si>
  <si>
    <t>4966</t>
  </si>
  <si>
    <t>4967</t>
  </si>
  <si>
    <t>4968</t>
  </si>
  <si>
    <t>4969</t>
  </si>
  <si>
    <t>4970</t>
  </si>
  <si>
    <t>4971</t>
  </si>
  <si>
    <t>4972</t>
  </si>
  <si>
    <t>4973</t>
  </si>
  <si>
    <t>4974</t>
  </si>
  <si>
    <t>4975</t>
  </si>
  <si>
    <t>4976</t>
  </si>
  <si>
    <t>4977</t>
  </si>
  <si>
    <t>4978</t>
  </si>
  <si>
    <t>4979</t>
  </si>
  <si>
    <t>4980</t>
  </si>
  <si>
    <t>4981</t>
  </si>
  <si>
    <t>4982</t>
  </si>
  <si>
    <t>4983</t>
  </si>
  <si>
    <t>4984</t>
  </si>
  <si>
    <t>4985</t>
  </si>
  <si>
    <t>4986</t>
  </si>
  <si>
    <t>4987</t>
  </si>
  <si>
    <t>4988</t>
  </si>
  <si>
    <t>4989</t>
  </si>
  <si>
    <t>4990</t>
  </si>
  <si>
    <t>4991</t>
  </si>
  <si>
    <t>4992</t>
  </si>
  <si>
    <t>4993</t>
  </si>
  <si>
    <t>4994</t>
  </si>
  <si>
    <t>4995</t>
  </si>
  <si>
    <t>4996</t>
  </si>
  <si>
    <t>4997</t>
  </si>
  <si>
    <t>4998</t>
  </si>
  <si>
    <t>4999</t>
  </si>
  <si>
    <t>5000</t>
  </si>
  <si>
    <t>Estadísticas básicas del dataset</t>
  </si>
  <si>
    <t>CONTAR</t>
  </si>
  <si>
    <t>PROMEDIO</t>
  </si>
  <si>
    <t>MÍNIMO</t>
  </si>
  <si>
    <t>MÁXIMO</t>
  </si>
  <si>
    <t>Tablas resumen para el análisis</t>
  </si>
  <si>
    <t>Resumen por diagnóstico</t>
  </si>
  <si>
    <t>Visualizaciones descriptivas</t>
  </si>
  <si>
    <t>No registrado</t>
  </si>
  <si>
    <t>No definido</t>
  </si>
  <si>
    <t>Pregunta</t>
  </si>
  <si>
    <t>Fórmula</t>
  </si>
  <si>
    <t>Resultado</t>
  </si>
  <si>
    <t>¿Cuántos pacientes hay en total?</t>
  </si>
  <si>
    <t>¿Cuál es la edad promedio de los pacientes?</t>
  </si>
  <si>
    <t>¿Cuál fue la menor cantidad de días hospitalizados?</t>
  </si>
  <si>
    <t>¿Cuál es el costo promedio de tratamiento?</t>
  </si>
  <si>
    <t>¿Cuál es el costo máximo estimado registrado?</t>
  </si>
  <si>
    <t>Grand Total</t>
  </si>
  <si>
    <t>Total de Pacientes</t>
  </si>
  <si>
    <t>Pacientes por género</t>
  </si>
  <si>
    <t>Costo promedio por diagnóstico</t>
  </si>
  <si>
    <t>Costo promedio</t>
  </si>
  <si>
    <t>Pacientes por seguro medico</t>
  </si>
  <si>
    <t>Total de pacientes por diagnóstico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</si>
</sst>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164" formatCode="yyyy\-mm\-dd"/>
    <numFmt numFmtId="165" formatCode="\$#,##0.00"/>
    <numFmt numFmtId="166" formatCode="&quot;$&quot;#,##0.00"/>
  </numFmts>
  <fonts count="7">
    <font>
      <sz val="11"/>
      <name val="Carlito"/>
    </font>
    <font>
      <b/>
      <sz val="11"/>
      <color rgb="FFFFFFFF"/>
      <name val="Carlito"/>
    </font>
    <font>
      <b/>
      <sz val="14"/>
      <color rgb="FFFFFFFF"/>
      <name val="Carlito"/>
    </font>
    <font>
      <b/>
      <sz val="11"/>
      <name val="Carlito"/>
    </font>
    <font>
      <sz val="11"/>
      <name val="Carlito"/>
    </font>
    <font>
      <b/>
      <sz val="14"/>
      <color theme="1"/>
      <name val="Carlito"/>
    </font>
    <font>
      <b/>
      <sz val="16"/>
      <color rgb="FFFFFFFF"/>
      <name val="Carlito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CE4D6"/>
      </patternFill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4" fillId="0" borderId="0" applyFont="0" applyFill="0" applyBorder="0" applyAlignment="0" applyProtection="0"/>
  </cellStyleXfs>
  <cellXfs count="2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164" fontId="1" fillId="2" borderId="0" xfId="0" applyNumberFormat="1" applyFont="1" applyFill="1" applyAlignment="1">
      <alignment horizontal="center" vertical="center" wrapText="1"/>
    </xf>
    <xf numFmtId="1" fontId="1" fillId="2" borderId="0" xfId="0" applyNumberFormat="1" applyFont="1" applyFill="1" applyAlignment="1">
      <alignment horizontal="center" vertical="center" wrapText="1"/>
    </xf>
    <xf numFmtId="2" fontId="1" fillId="2" borderId="0" xfId="0" applyNumberFormat="1" applyFont="1" applyFill="1" applyAlignment="1">
      <alignment horizontal="center" vertical="center" wrapText="1"/>
    </xf>
    <xf numFmtId="165" fontId="1" fillId="2" borderId="0" xfId="0" applyNumberFormat="1" applyFont="1" applyFill="1" applyAlignment="1">
      <alignment horizontal="center" vertical="center" wrapText="1"/>
    </xf>
    <xf numFmtId="0" fontId="3" fillId="3" borderId="0" xfId="0" applyFont="1" applyFill="1" applyAlignment="1">
      <alignment horizontal="center"/>
    </xf>
    <xf numFmtId="2" fontId="0" fillId="0" borderId="0" xfId="0" applyNumberFormat="1"/>
    <xf numFmtId="0" fontId="3" fillId="4" borderId="0" xfId="0" applyFont="1" applyFill="1" applyAlignment="1">
      <alignment horizontal="center"/>
    </xf>
    <xf numFmtId="14" fontId="0" fillId="0" borderId="0" xfId="0" applyNumberFormat="1"/>
    <xf numFmtId="44" fontId="0" fillId="0" borderId="0" xfId="1" applyFont="1"/>
    <xf numFmtId="166" fontId="0" fillId="0" borderId="0" xfId="1" applyNumberFormat="1" applyFont="1"/>
    <xf numFmtId="166" fontId="0" fillId="0" borderId="0" xfId="0" applyNumberFormat="1"/>
    <xf numFmtId="1" fontId="0" fillId="0" borderId="0" xfId="0" applyNumberFormat="1"/>
    <xf numFmtId="0" fontId="0" fillId="0" borderId="0" xfId="0" applyAlignment="1">
      <alignment vertical="center" wrapText="1"/>
    </xf>
    <xf numFmtId="0" fontId="0" fillId="0" borderId="0" xfId="0" pivotButton="1"/>
    <xf numFmtId="0" fontId="6" fillId="2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0" fillId="0" borderId="0" xfId="0"/>
    <xf numFmtId="0" fontId="3" fillId="3" borderId="0" xfId="0" applyFont="1" applyFill="1" applyAlignment="1">
      <alignment horizontal="center"/>
    </xf>
    <xf numFmtId="0" fontId="3" fillId="3" borderId="0" xfId="0" applyFont="1" applyFill="1" applyAlignment="1"/>
    <xf numFmtId="0" fontId="0" fillId="0" borderId="0" xfId="0" applyNumberFormat="1"/>
  </cellXfs>
  <cellStyles count="2">
    <cellStyle name="Currency" xfId="1" builtinId="4"/>
    <cellStyle name="Normal" xfId="0" builtinId="0"/>
  </cellStyles>
  <dxfs count="6">
    <dxf>
      <numFmt numFmtId="166" formatCode="&quot;$&quot;#,##0.00"/>
    </dxf>
    <dxf>
      <numFmt numFmtId="166" formatCode="&quot;$&quot;#,##0.00"/>
    </dxf>
    <dxf>
      <numFmt numFmtId="166" formatCode="&quot;$&quot;#,##0.00"/>
    </dxf>
    <dxf>
      <numFmt numFmtId="19" formatCode="m/d/yyyy"/>
    </dxf>
    <dxf>
      <numFmt numFmtId="19" formatCode="m/d/yyyy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'Tablas Resumen'!PivotTable3</c:name>
    <c:fmtId val="4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'Tablas Resumen'!$B$4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E0C-4BD8-9205-CE21CFA7CC0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E0C-4BD8-9205-CE21CFA7CC0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4E0C-4BD8-9205-CE21CFA7CC09}"/>
              </c:ext>
            </c:extLst>
          </c:dPt>
          <c:cat>
            <c:strRef>
              <c:f>'Tablas Resumen'!$A$5:$A$8</c:f>
              <c:strCache>
                <c:ptCount val="3"/>
                <c:pt idx="0">
                  <c:v>F</c:v>
                </c:pt>
                <c:pt idx="1">
                  <c:v>M</c:v>
                </c:pt>
                <c:pt idx="2">
                  <c:v>No definido</c:v>
                </c:pt>
              </c:strCache>
            </c:strRef>
          </c:cat>
          <c:val>
            <c:numRef>
              <c:f>'Tablas Resumen'!$B$5:$B$8</c:f>
              <c:numCache>
                <c:formatCode>General</c:formatCode>
                <c:ptCount val="3"/>
                <c:pt idx="0">
                  <c:v>2371</c:v>
                </c:pt>
                <c:pt idx="1">
                  <c:v>2428</c:v>
                </c:pt>
                <c:pt idx="2">
                  <c:v>201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E0C-4BD8-9205-CE21CFA7CC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'Tablas Resumen'!PivotTable5</c:name>
    <c:fmtId val="6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9.1914260717410323E-2"/>
          <c:y val="0.24476633129192185"/>
          <c:w val="0.76112270341207344"/>
          <c:h val="0.5377438757655292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'Tablas Resumen'!$E$4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'Tablas Resumen'!$D$5:$D$8</c:f>
              <c:strCache>
                <c:ptCount val="3"/>
                <c:pt idx="0">
                  <c:v>N/A</c:v>
                </c:pt>
                <c:pt idx="1">
                  <c:v>Privado</c:v>
                </c:pt>
                <c:pt idx="2">
                  <c:v>Publico</c:v>
                </c:pt>
              </c:strCache>
            </c:strRef>
          </c:cat>
          <c:val>
            <c:numRef>
              <c:f>'Tablas Resumen'!$E$5:$E$8</c:f>
              <c:numCache>
                <c:formatCode>General</c:formatCode>
                <c:ptCount val="3"/>
                <c:pt idx="0">
                  <c:v>2518</c:v>
                </c:pt>
                <c:pt idx="1">
                  <c:v>1259</c:v>
                </c:pt>
                <c:pt idx="2">
                  <c:v>1223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01F-4AF9-87C6-C7B4017DC9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4223776"/>
        <c:axId val="144223296"/>
      </c:barChart>
      <c:catAx>
        <c:axId val="144223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223296"/>
        <c:crosses val="autoZero"/>
        <c:auto val="1"/>
        <c:lblAlgn val="ctr"/>
        <c:lblOffset val="100"/>
        <c:noMultiLvlLbl val="0"/>
      </c:catAx>
      <c:valAx>
        <c:axId val="144223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2237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[02_analisis_pacientes_excel_ES.xlsx]Tablas Resumen!PivotTable4</c:name>
    <c:fmtId val="19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'Tablas Resumen'!$B$16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'Tablas Resumen'!$A$17:$A$24</c:f>
              <c:strCache>
                <c:ptCount val="7"/>
                <c:pt idx="0">
                  <c:v>Asma</c:v>
                </c:pt>
                <c:pt idx="1">
                  <c:v>COVID-19</c:v>
                </c:pt>
                <c:pt idx="2">
                  <c:v>Diabetes</c:v>
                </c:pt>
                <c:pt idx="3">
                  <c:v>Gripe</c:v>
                </c:pt>
                <c:pt idx="4">
                  <c:v>Hipertensión</c:v>
                </c:pt>
                <c:pt idx="5">
                  <c:v>Neumonía</c:v>
                </c:pt>
                <c:pt idx="6">
                  <c:v>No registrado</c:v>
                </c:pt>
              </c:strCache>
            </c:strRef>
          </c:cat>
          <c:val>
            <c:numRef>
              <c:f>'Tablas Resumen'!$B$17:$B$24</c:f>
              <c:numCache>
                <c:formatCode>"$"#,##0.00</c:formatCode>
                <c:ptCount val="7"/>
                <c:pt idx="0">
                  <c:v>14194.585847953218</c:v>
                </c:pt>
                <c:pt idx="1">
                  <c:v>14066.887624999994</c:v>
                </c:pt>
                <c:pt idx="2">
                  <c:v>13741.229165580184</c:v>
                </c:pt>
                <c:pt idx="3">
                  <c:v>13792.098154311636</c:v>
                </c:pt>
                <c:pt idx="4">
                  <c:v>13822.423283378739</c:v>
                </c:pt>
                <c:pt idx="5">
                  <c:v>14425.795612104539</c:v>
                </c:pt>
                <c:pt idx="6">
                  <c:v>14154.709207920794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1E9-4AAC-881F-92A79D4B68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96365040"/>
        <c:axId val="1596366000"/>
      </c:barChart>
      <c:catAx>
        <c:axId val="15963650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6366000"/>
        <c:crosses val="autoZero"/>
        <c:auto val="1"/>
        <c:lblAlgn val="ctr"/>
        <c:lblOffset val="100"/>
        <c:noMultiLvlLbl val="0"/>
      </c:catAx>
      <c:valAx>
        <c:axId val="1596366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63650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[02_analisis_pacientes_excel_ES.xlsx]Tablas Resumen!PivotTable1</c:name>
    <c:fmtId val="10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'Tablas Resumen'!$F$16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'Tablas Resumen'!$E$17:$E$24</c:f>
              <c:strCache>
                <c:ptCount val="7"/>
                <c:pt idx="0">
                  <c:v>Asma</c:v>
                </c:pt>
                <c:pt idx="1">
                  <c:v>COVID-19</c:v>
                </c:pt>
                <c:pt idx="2">
                  <c:v>Diabetes</c:v>
                </c:pt>
                <c:pt idx="3">
                  <c:v>Gripe</c:v>
                </c:pt>
                <c:pt idx="4">
                  <c:v>Hipertensión</c:v>
                </c:pt>
                <c:pt idx="5">
                  <c:v>Neumonía</c:v>
                </c:pt>
                <c:pt idx="6">
                  <c:v>No registrado</c:v>
                </c:pt>
              </c:strCache>
            </c:strRef>
          </c:cat>
          <c:val>
            <c:numRef>
              <c:f>'Tablas Resumen'!$F$17:$F$24</c:f>
              <c:numCache>
                <c:formatCode>General</c:formatCode>
                <c:ptCount val="7"/>
                <c:pt idx="0">
                  <c:v>684</c:v>
                </c:pt>
                <c:pt idx="1">
                  <c:v>720</c:v>
                </c:pt>
                <c:pt idx="2">
                  <c:v>767</c:v>
                </c:pt>
                <c:pt idx="3">
                  <c:v>661</c:v>
                </c:pt>
                <c:pt idx="4">
                  <c:v>734</c:v>
                </c:pt>
                <c:pt idx="5">
                  <c:v>727</c:v>
                </c:pt>
                <c:pt idx="6">
                  <c:v>707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9C1-4DDB-BE5D-F4D35A906A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47770848"/>
        <c:axId val="147769888"/>
      </c:barChart>
      <c:catAx>
        <c:axId val="1477708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769888"/>
        <c:crosses val="autoZero"/>
        <c:auto val="1"/>
        <c:lblAlgn val="ctr"/>
        <c:lblOffset val="100"/>
        <c:noMultiLvlLbl val="0"/>
      </c:catAx>
      <c:valAx>
        <c:axId val="147769888"/>
        <c:scaling>
          <c:orientation val="minMax"/>
          <c:min val="6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7708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</xdr:row>
      <xdr:rowOff>0</xdr:rowOff>
    </xdr:from>
    <xdr:to>
      <xdr:col>6</xdr:col>
      <xdr:colOff>548640</xdr:colOff>
      <xdr:row>20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C2DF892-A4C4-44E3-9DB6-A2651F0FC54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22860</xdr:colOff>
      <xdr:row>4</xdr:row>
      <xdr:rowOff>137160</xdr:rowOff>
    </xdr:from>
    <xdr:to>
      <xdr:col>14</xdr:col>
      <xdr:colOff>45720</xdr:colOff>
      <xdr:row>20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5E3E5B4-6681-486D-9BFA-E2C9440F843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190500</xdr:colOff>
      <xdr:row>24</xdr:row>
      <xdr:rowOff>114300</xdr:rowOff>
    </xdr:from>
    <xdr:to>
      <xdr:col>7</xdr:col>
      <xdr:colOff>68580</xdr:colOff>
      <xdr:row>40</xdr:row>
      <xdr:rowOff>53340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0900BA7-9A0D-4149-8976-E8F8C7E126F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160020</xdr:colOff>
      <xdr:row>24</xdr:row>
      <xdr:rowOff>121920</xdr:rowOff>
    </xdr:from>
    <xdr:to>
      <xdr:col>14</xdr:col>
      <xdr:colOff>182880</xdr:colOff>
      <xdr:row>40</xdr:row>
      <xdr:rowOff>60960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E1D5675-D1DD-411A-A618-DFFED98B909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ryan rigo" refreshedDate="46145.931041203701" createdVersion="8" refreshedVersion="8" minRefreshableVersion="3" recordCount="5000" xr:uid="{A6D1022A-589E-4627-8DB7-E093390DC102}">
  <cacheSource type="worksheet">
    <worksheetSource name="DatosPacientes"/>
  </cacheSource>
  <cacheFields count="15">
    <cacheField name="PacienteID" numFmtId="0">
      <sharedItems/>
    </cacheField>
    <cacheField name="NombreCompleto" numFmtId="0">
      <sharedItems/>
    </cacheField>
    <cacheField name="FechaNacimiento" numFmtId="14">
      <sharedItems containsSemiMixedTypes="0" containsNonDate="0" containsDate="1" containsString="0" minDate="1932-01-01T00:00:00" maxDate="2026-01-02T00:00:00"/>
    </cacheField>
    <cacheField name="Edad" numFmtId="0">
      <sharedItems containsSemiMixedTypes="0" containsString="0" containsNumber="1" containsInteger="1" minValue="0" maxValue="94"/>
    </cacheField>
    <cacheField name="Genero" numFmtId="0">
      <sharedItems count="3">
        <s v="F"/>
        <s v="M"/>
        <s v="No definido"/>
      </sharedItems>
    </cacheField>
    <cacheField name="Diagnostico" numFmtId="0">
      <sharedItems count="7">
        <s v="COVID-19"/>
        <s v="Neumonía"/>
        <s v="Asma"/>
        <s v="Diabetes"/>
        <s v="No registrado"/>
        <s v="Gripe"/>
        <s v="Hipertensión"/>
      </sharedItems>
    </cacheField>
    <cacheField name="FechaIngreso" numFmtId="14">
      <sharedItems containsSemiMixedTypes="0" containsNonDate="0" containsDate="1" containsString="0" minDate="2023-01-01T00:00:00" maxDate="2024-12-31T00:00:00"/>
    </cacheField>
    <cacheField name="FechaAlta" numFmtId="14">
      <sharedItems containsSemiMixedTypes="0" containsNonDate="0" containsDate="1" containsString="0" minDate="2023-01-02T00:00:00" maxDate="2025-06-19T00:00:00"/>
    </cacheField>
    <cacheField name="DiasHospitalizado" numFmtId="0">
      <sharedItems containsSemiMixedTypes="0" containsString="0" containsNumber="1" containsInteger="1" minValue="0" maxValue="39"/>
    </cacheField>
    <cacheField name="SeguroMedico" numFmtId="0">
      <sharedItems count="3">
        <s v="N/A"/>
        <s v="Publico"/>
        <s v="Privado"/>
      </sharedItems>
    </cacheField>
    <cacheField name="IngresosPreviosHospital" numFmtId="0">
      <sharedItems containsSemiMixedTypes="0" containsString="0" containsNumber="1" containsInteger="1" minValue="0" maxValue="14"/>
    </cacheField>
    <cacheField name="NumeroProcedimientos" numFmtId="0">
      <sharedItems containsSemiMixedTypes="0" containsString="0" containsNumber="1" containsInteger="1" minValue="0" maxValue="9"/>
    </cacheField>
    <cacheField name="CostoTratamiento_USD" numFmtId="166">
      <sharedItems containsSemiMixedTypes="0" containsString="0" containsNumber="1" minValue="0" maxValue="29982.57"/>
    </cacheField>
    <cacheField name="CostoMedicamentos_USD" numFmtId="166">
      <sharedItems containsSemiMixedTypes="0" containsString="0" containsNumber="1" minValue="1.4" maxValue="14996.96"/>
    </cacheField>
    <cacheField name="CostoEstimado_USD" numFmtId="166">
      <sharedItems containsSemiMixedTypes="0" containsString="0" containsNumber="1" minValue="1.2" maxValue="19997.2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0">
  <r>
    <s v="1"/>
    <s v="Luisa Hernández"/>
    <d v="1975-01-01T00:00:00"/>
    <n v="51"/>
    <x v="0"/>
    <x v="0"/>
    <d v="2024-12-08T00:00:00"/>
    <d v="2025-02-24T00:00:00"/>
    <n v="5"/>
    <x v="0"/>
    <n v="0"/>
    <n v="0"/>
    <n v="0"/>
    <n v="14464.68"/>
    <n v="10501.83"/>
  </r>
  <r>
    <s v="2"/>
    <s v="Pedro López"/>
    <d v="1933-12-31T00:00:00"/>
    <n v="92"/>
    <x v="1"/>
    <x v="1"/>
    <d v="2024-10-20T00:00:00"/>
    <d v="2024-07-31T00:00:00"/>
    <n v="18"/>
    <x v="0"/>
    <n v="1"/>
    <n v="4"/>
    <n v="6698.26"/>
    <n v="4767.3999999999996"/>
    <n v="13507.65"/>
  </r>
  <r>
    <s v="3"/>
    <s v="Miguel Martínez"/>
    <d v="2012-01-01T00:00:00"/>
    <n v="14"/>
    <x v="0"/>
    <x v="2"/>
    <d v="2023-08-26T00:00:00"/>
    <d v="2024-01-16T00:00:00"/>
    <n v="5"/>
    <x v="1"/>
    <n v="9"/>
    <n v="0"/>
    <n v="1567.83"/>
    <n v="1857.78"/>
    <n v="13490.85"/>
  </r>
  <r>
    <s v="4"/>
    <s v="Ana Pérez"/>
    <d v="1955-01-01T00:00:00"/>
    <n v="71"/>
    <x v="1"/>
    <x v="3"/>
    <d v="2023-01-13T00:00:00"/>
    <d v="2023-01-22T00:00:00"/>
    <n v="2"/>
    <x v="1"/>
    <n v="9"/>
    <n v="8"/>
    <n v="6999.92"/>
    <n v="14064.91"/>
    <n v="5147.16"/>
  </r>
  <r>
    <s v="5"/>
    <s v="Jorge Sánchez"/>
    <d v="1965-12-31T00:00:00"/>
    <n v="60"/>
    <x v="1"/>
    <x v="4"/>
    <d v="2023-09-14T00:00:00"/>
    <d v="2025-05-29T00:00:00"/>
    <n v="18"/>
    <x v="0"/>
    <n v="1"/>
    <n v="9"/>
    <n v="17949.64"/>
    <n v="5996.49"/>
    <n v="1805.19"/>
  </r>
  <r>
    <s v="6"/>
    <s v="Juan Martínez"/>
    <d v="2005-12-31T00:00:00"/>
    <n v="20"/>
    <x v="1"/>
    <x v="3"/>
    <d v="2024-05-28T00:00:00"/>
    <d v="2023-06-27T00:00:00"/>
    <n v="24"/>
    <x v="2"/>
    <n v="10"/>
    <n v="3"/>
    <n v="727.01"/>
    <n v="1403.01"/>
    <n v="6135.21"/>
  </r>
  <r>
    <s v="7"/>
    <s v="Laura Hernández"/>
    <d v="1944-01-01T00:00:00"/>
    <n v="82"/>
    <x v="1"/>
    <x v="4"/>
    <d v="2023-07-29T00:00:00"/>
    <d v="2023-12-30T00:00:00"/>
    <n v="35"/>
    <x v="1"/>
    <n v="5"/>
    <n v="1"/>
    <n v="25003.82"/>
    <n v="7481.71"/>
    <n v="10019.040000000001"/>
  </r>
  <r>
    <s v="8"/>
    <s v="José Martínez"/>
    <d v="1940-01-01T00:00:00"/>
    <n v="86"/>
    <x v="0"/>
    <x v="2"/>
    <d v="2024-04-28T00:00:00"/>
    <d v="2023-01-23T00:00:00"/>
    <n v="2"/>
    <x v="1"/>
    <n v="1"/>
    <n v="8"/>
    <n v="29094.34"/>
    <n v="2857.87"/>
    <n v="12210.04"/>
  </r>
  <r>
    <s v="9"/>
    <s v="Carlos Martínez"/>
    <d v="1952-01-01T00:00:00"/>
    <n v="74"/>
    <x v="0"/>
    <x v="1"/>
    <d v="2023-12-31T00:00:00"/>
    <d v="2025-04-17T00:00:00"/>
    <n v="18"/>
    <x v="0"/>
    <n v="13"/>
    <n v="5"/>
    <n v="2046.81"/>
    <n v="5329.18"/>
    <n v="5339.07"/>
  </r>
  <r>
    <s v="10"/>
    <s v="Jorge Sánchez"/>
    <d v="1952-01-01T00:00:00"/>
    <n v="74"/>
    <x v="1"/>
    <x v="1"/>
    <d v="2023-08-13T00:00:00"/>
    <d v="2024-07-02T00:00:00"/>
    <n v="5"/>
    <x v="2"/>
    <n v="5"/>
    <n v="9"/>
    <n v="7024.29"/>
    <n v="4805.25"/>
    <n v="3581.48"/>
  </r>
  <r>
    <s v="11"/>
    <s v="Ricardo Gómez"/>
    <d v="1939-01-01T00:00:00"/>
    <n v="87"/>
    <x v="0"/>
    <x v="3"/>
    <d v="2023-07-13T00:00:00"/>
    <d v="2023-09-08T00:00:00"/>
    <n v="19"/>
    <x v="2"/>
    <n v="4"/>
    <n v="2"/>
    <n v="20106.830000000002"/>
    <n v="14809.3"/>
    <n v="16815.669999999998"/>
  </r>
  <r>
    <s v="12"/>
    <s v="José Cruz"/>
    <d v="2003-01-01T00:00:00"/>
    <n v="23"/>
    <x v="0"/>
    <x v="1"/>
    <d v="2023-07-15T00:00:00"/>
    <d v="2024-10-23T00:00:00"/>
    <n v="15"/>
    <x v="1"/>
    <n v="9"/>
    <n v="1"/>
    <n v="24085.45"/>
    <n v="9592.7000000000007"/>
    <n v="17144.310000000001"/>
  </r>
  <r>
    <s v="13"/>
    <s v="Pedro Sánchez"/>
    <d v="2024-01-01T00:00:00"/>
    <n v="2"/>
    <x v="1"/>
    <x v="5"/>
    <d v="2024-02-04T00:00:00"/>
    <d v="2023-03-15T00:00:00"/>
    <n v="1"/>
    <x v="2"/>
    <n v="8"/>
    <n v="5"/>
    <n v="10052.82"/>
    <n v="7377.04"/>
    <n v="5527.12"/>
  </r>
  <r>
    <s v="14"/>
    <s v="Pedro Ramírez"/>
    <d v="2004-12-31T00:00:00"/>
    <n v="21"/>
    <x v="1"/>
    <x v="5"/>
    <d v="2023-02-26T00:00:00"/>
    <d v="2023-04-02T00:00:00"/>
    <n v="1"/>
    <x v="2"/>
    <n v="12"/>
    <n v="9"/>
    <n v="15214.77"/>
    <n v="7706.29"/>
    <n v="11158.27"/>
  </r>
  <r>
    <s v="15"/>
    <s v="Pedro Hernández"/>
    <d v="1973-12-31T00:00:00"/>
    <n v="52"/>
    <x v="2"/>
    <x v="4"/>
    <d v="2024-09-16T00:00:00"/>
    <d v="2023-06-26T00:00:00"/>
    <n v="34"/>
    <x v="2"/>
    <n v="14"/>
    <n v="5"/>
    <n v="26698.66"/>
    <n v="9061.33"/>
    <n v="8740.51"/>
  </r>
  <r>
    <s v="16"/>
    <s v="María Gómez"/>
    <d v="2024-12-31T00:00:00"/>
    <n v="1"/>
    <x v="0"/>
    <x v="2"/>
    <d v="2023-08-01T00:00:00"/>
    <d v="2023-05-07T00:00:00"/>
    <n v="12"/>
    <x v="0"/>
    <n v="0"/>
    <n v="8"/>
    <n v="11224.15"/>
    <n v="13091.32"/>
    <n v="2753.54"/>
  </r>
  <r>
    <s v="17"/>
    <s v="Pedro Pérez"/>
    <d v="1939-01-01T00:00:00"/>
    <n v="87"/>
    <x v="2"/>
    <x v="0"/>
    <d v="2023-10-06T00:00:00"/>
    <d v="2023-07-24T00:00:00"/>
    <n v="35"/>
    <x v="2"/>
    <n v="8"/>
    <n v="4"/>
    <n v="1986.92"/>
    <n v="2189.73"/>
    <n v="18805.78"/>
  </r>
  <r>
    <s v="18"/>
    <s v="José Hernández"/>
    <d v="1996-12-31T00:00:00"/>
    <n v="29"/>
    <x v="1"/>
    <x v="5"/>
    <d v="2024-01-15T00:00:00"/>
    <d v="2023-09-04T00:00:00"/>
    <n v="24"/>
    <x v="0"/>
    <n v="1"/>
    <n v="8"/>
    <n v="29844.27"/>
    <n v="8994.5"/>
    <n v="96.64"/>
  </r>
  <r>
    <s v="19"/>
    <s v="Carmen López"/>
    <d v="1988-12-31T00:00:00"/>
    <n v="37"/>
    <x v="0"/>
    <x v="4"/>
    <d v="2023-04-27T00:00:00"/>
    <d v="2024-09-03T00:00:00"/>
    <n v="18"/>
    <x v="2"/>
    <n v="7"/>
    <n v="4"/>
    <n v="4998.55"/>
    <n v="4832.74"/>
    <n v="3670.29"/>
  </r>
  <r>
    <s v="20"/>
    <s v="Jorge Morales"/>
    <d v="1975-01-01T00:00:00"/>
    <n v="1"/>
    <x v="1"/>
    <x v="1"/>
    <d v="2024-03-26T00:00:00"/>
    <d v="2023-09-29T00:00:00"/>
    <n v="1"/>
    <x v="2"/>
    <n v="0"/>
    <n v="1"/>
    <n v="987.85"/>
    <n v="8571.0300000000007"/>
    <n v="6845.85"/>
  </r>
  <r>
    <s v="21"/>
    <s v="Carlos Rodríguez"/>
    <d v="1963-01-01T00:00:00"/>
    <n v="63"/>
    <x v="1"/>
    <x v="2"/>
    <d v="2024-08-21T00:00:00"/>
    <d v="2023-02-14T00:00:00"/>
    <n v="8"/>
    <x v="2"/>
    <n v="2"/>
    <n v="0"/>
    <n v="12024.93"/>
    <n v="7765.96"/>
    <n v="17114.87"/>
  </r>
  <r>
    <s v="22"/>
    <s v="Laura Pérez"/>
    <d v="1967-01-01T00:00:00"/>
    <n v="59"/>
    <x v="0"/>
    <x v="4"/>
    <d v="2024-02-14T00:00:00"/>
    <d v="2025-01-04T00:00:00"/>
    <n v="16"/>
    <x v="1"/>
    <n v="7"/>
    <n v="8"/>
    <n v="3204.64"/>
    <n v="449.01"/>
    <n v="15751.94"/>
  </r>
  <r>
    <s v="23"/>
    <s v="Carlos López"/>
    <d v="2005-12-31T00:00:00"/>
    <n v="20"/>
    <x v="1"/>
    <x v="4"/>
    <d v="2024-01-02T00:00:00"/>
    <d v="2024-09-01T00:00:00"/>
    <n v="16"/>
    <x v="1"/>
    <n v="7"/>
    <n v="9"/>
    <n v="29351.37"/>
    <n v="8736.9699999999993"/>
    <n v="11555.67"/>
  </r>
  <r>
    <s v="24"/>
    <s v="Carmen Martínez"/>
    <d v="1993-12-31T00:00:00"/>
    <n v="32"/>
    <x v="1"/>
    <x v="5"/>
    <d v="2023-04-23T00:00:00"/>
    <d v="2024-07-02T00:00:00"/>
    <n v="24"/>
    <x v="0"/>
    <n v="10"/>
    <n v="6"/>
    <n v="11114.21"/>
    <n v="10638.21"/>
    <n v="13869.92"/>
  </r>
  <r>
    <s v="25"/>
    <s v="Carlos Hernández"/>
    <d v="1951-01-01T00:00:00"/>
    <n v="75"/>
    <x v="1"/>
    <x v="6"/>
    <d v="2023-06-13T00:00:00"/>
    <d v="2023-06-18T00:00:00"/>
    <n v="37"/>
    <x v="2"/>
    <n v="9"/>
    <n v="2"/>
    <n v="24687.24"/>
    <n v="3690"/>
    <n v="6752.32"/>
  </r>
  <r>
    <s v="26"/>
    <s v="Carmen Martínez"/>
    <d v="1968-12-31T00:00:00"/>
    <n v="57"/>
    <x v="1"/>
    <x v="2"/>
    <d v="2023-01-04T00:00:00"/>
    <d v="2024-03-11T00:00:00"/>
    <n v="39"/>
    <x v="0"/>
    <n v="1"/>
    <n v="5"/>
    <n v="4886.46"/>
    <n v="1603.03"/>
    <n v="18804.89"/>
  </r>
  <r>
    <s v="27"/>
    <s v="Carlos Hernández"/>
    <d v="2004-12-31T00:00:00"/>
    <n v="21"/>
    <x v="0"/>
    <x v="3"/>
    <d v="2024-09-21T00:00:00"/>
    <d v="2023-01-31T00:00:00"/>
    <n v="25"/>
    <x v="2"/>
    <n v="12"/>
    <n v="9"/>
    <n v="3733.85"/>
    <n v="3174.67"/>
    <n v="438.42"/>
  </r>
  <r>
    <s v="28"/>
    <s v="José Sánchez"/>
    <d v="1937-12-31T00:00:00"/>
    <n v="88"/>
    <x v="0"/>
    <x v="4"/>
    <d v="2023-01-23T00:00:00"/>
    <d v="2025-03-05T00:00:00"/>
    <n v="2"/>
    <x v="0"/>
    <n v="0"/>
    <n v="3"/>
    <n v="0"/>
    <n v="9546.19"/>
    <n v="1928.67"/>
  </r>
  <r>
    <s v="29"/>
    <s v="María Pérez"/>
    <d v="1977-12-31T00:00:00"/>
    <n v="48"/>
    <x v="1"/>
    <x v="5"/>
    <d v="2024-08-24T00:00:00"/>
    <d v="2024-08-20T00:00:00"/>
    <n v="22"/>
    <x v="0"/>
    <n v="0"/>
    <n v="8"/>
    <n v="27233.96"/>
    <n v="7031.89"/>
    <n v="18503.63"/>
  </r>
  <r>
    <s v="30"/>
    <s v="Ana Ramírez"/>
    <d v="1936-01-01T00:00:00"/>
    <n v="90"/>
    <x v="1"/>
    <x v="3"/>
    <d v="2023-04-02T00:00:00"/>
    <d v="2023-12-24T00:00:00"/>
    <n v="0"/>
    <x v="1"/>
    <n v="10"/>
    <n v="1"/>
    <n v="2993.36"/>
    <n v="12979.57"/>
    <n v="18895.54"/>
  </r>
  <r>
    <s v="31"/>
    <s v="Laura Morales"/>
    <d v="1968-01-01T00:00:00"/>
    <n v="58"/>
    <x v="1"/>
    <x v="2"/>
    <d v="2024-04-13T00:00:00"/>
    <d v="2024-05-06T00:00:00"/>
    <n v="23"/>
    <x v="0"/>
    <n v="0"/>
    <n v="3"/>
    <n v="17472.25"/>
    <n v="4274.83"/>
    <n v="9760.48"/>
  </r>
  <r>
    <s v="32"/>
    <s v="Carlos Rodríguez"/>
    <d v="1984-12-31T00:00:00"/>
    <n v="41"/>
    <x v="0"/>
    <x v="5"/>
    <d v="2023-06-04T00:00:00"/>
    <d v="2024-09-25T00:00:00"/>
    <n v="7"/>
    <x v="1"/>
    <n v="13"/>
    <n v="0"/>
    <n v="2090.65"/>
    <n v="5476.47"/>
    <n v="11486.86"/>
  </r>
  <r>
    <s v="33"/>
    <s v="Luis Martínez"/>
    <d v="1935-01-01T00:00:00"/>
    <n v="91"/>
    <x v="1"/>
    <x v="3"/>
    <d v="2024-09-18T00:00:00"/>
    <d v="2025-03-10T00:00:00"/>
    <n v="21"/>
    <x v="0"/>
    <n v="6"/>
    <n v="6"/>
    <n v="24270.97"/>
    <n v="7920.75"/>
    <n v="18041.009999999998"/>
  </r>
  <r>
    <s v="34"/>
    <s v="Elena Morales"/>
    <d v="1967-01-01T00:00:00"/>
    <n v="59"/>
    <x v="0"/>
    <x v="0"/>
    <d v="2023-07-26T00:00:00"/>
    <d v="2023-09-06T00:00:00"/>
    <n v="26"/>
    <x v="0"/>
    <n v="11"/>
    <n v="3"/>
    <n v="27233.83"/>
    <n v="6900.25"/>
    <n v="17054.03"/>
  </r>
  <r>
    <s v="35"/>
    <s v="Carlos Cruz"/>
    <d v="1947-01-01T00:00:00"/>
    <n v="79"/>
    <x v="1"/>
    <x v="4"/>
    <d v="2023-03-22T00:00:00"/>
    <d v="2024-11-27T00:00:00"/>
    <n v="4"/>
    <x v="0"/>
    <n v="6"/>
    <n v="4"/>
    <n v="18678.23"/>
    <n v="8216.42"/>
    <n v="17225.23"/>
  </r>
  <r>
    <s v="36"/>
    <s v="Ana Rodríguez"/>
    <d v="2012-01-01T00:00:00"/>
    <n v="14"/>
    <x v="1"/>
    <x v="0"/>
    <d v="2024-09-06T00:00:00"/>
    <d v="2023-09-11T00:00:00"/>
    <n v="20"/>
    <x v="0"/>
    <n v="8"/>
    <n v="0"/>
    <n v="20494.46"/>
    <n v="4681.33"/>
    <n v="7372.89"/>
  </r>
  <r>
    <s v="37"/>
    <s v="Carmen Gómez"/>
    <d v="1964-12-31T00:00:00"/>
    <n v="61"/>
    <x v="0"/>
    <x v="6"/>
    <d v="2024-04-27T00:00:00"/>
    <d v="2025-02-24T00:00:00"/>
    <n v="24"/>
    <x v="0"/>
    <n v="10"/>
    <n v="1"/>
    <n v="0"/>
    <n v="2500.0700000000002"/>
    <n v="16594.009999999998"/>
  </r>
  <r>
    <s v="38"/>
    <s v="Miguel Cruz"/>
    <d v="1964-12-31T00:00:00"/>
    <n v="61"/>
    <x v="0"/>
    <x v="1"/>
    <d v="2024-08-14T00:00:00"/>
    <d v="2024-12-22T00:00:00"/>
    <n v="39"/>
    <x v="1"/>
    <n v="6"/>
    <n v="3"/>
    <n v="1725.8"/>
    <n v="12049.73"/>
    <n v="1293.1400000000001"/>
  </r>
  <r>
    <s v="39"/>
    <s v="Ana Rodríguez"/>
    <d v="1980-01-01T00:00:00"/>
    <n v="46"/>
    <x v="1"/>
    <x v="2"/>
    <d v="2024-02-11T00:00:00"/>
    <d v="2025-05-16T00:00:00"/>
    <n v="6"/>
    <x v="0"/>
    <n v="10"/>
    <n v="1"/>
    <n v="0"/>
    <n v="589.42999999999995"/>
    <n v="9687.99"/>
  </r>
  <r>
    <s v="40"/>
    <s v="Luisa Sánchez"/>
    <d v="1964-12-31T00:00:00"/>
    <n v="61"/>
    <x v="0"/>
    <x v="1"/>
    <d v="2023-04-13T00:00:00"/>
    <d v="2024-01-18T00:00:00"/>
    <n v="0"/>
    <x v="1"/>
    <n v="2"/>
    <n v="0"/>
    <n v="7851.77"/>
    <n v="5545.58"/>
    <n v="4671.88"/>
  </r>
  <r>
    <s v="41"/>
    <s v="Carmen Gómez"/>
    <d v="1975-01-01T00:00:00"/>
    <n v="50"/>
    <x v="0"/>
    <x v="1"/>
    <d v="2023-08-28T00:00:00"/>
    <d v="2024-06-20T00:00:00"/>
    <n v="10"/>
    <x v="2"/>
    <n v="13"/>
    <n v="9"/>
    <n v="22675.61"/>
    <n v="1311.03"/>
    <n v="619.54"/>
  </r>
  <r>
    <s v="42"/>
    <s v="Luisa Martínez"/>
    <d v="1972-01-01T00:00:00"/>
    <n v="54"/>
    <x v="0"/>
    <x v="3"/>
    <d v="2023-09-22T00:00:00"/>
    <d v="2024-09-26T00:00:00"/>
    <n v="3"/>
    <x v="1"/>
    <n v="6"/>
    <n v="0"/>
    <n v="12780.59"/>
    <n v="11044.93"/>
    <n v="12305.94"/>
  </r>
  <r>
    <s v="43"/>
    <s v="Laura Martínez"/>
    <d v="1963-01-01T00:00:00"/>
    <n v="63"/>
    <x v="0"/>
    <x v="6"/>
    <d v="2023-02-02T00:00:00"/>
    <d v="2025-01-07T00:00:00"/>
    <n v="35"/>
    <x v="1"/>
    <n v="12"/>
    <n v="5"/>
    <n v="1886.62"/>
    <n v="5482.7"/>
    <n v="1431.22"/>
  </r>
  <r>
    <s v="44"/>
    <s v="Carlos Martínez"/>
    <d v="2024-01-01T00:00:00"/>
    <n v="2"/>
    <x v="0"/>
    <x v="2"/>
    <d v="2023-02-04T00:00:00"/>
    <d v="2025-06-17T00:00:00"/>
    <n v="18"/>
    <x v="0"/>
    <n v="11"/>
    <n v="1"/>
    <n v="25505.67"/>
    <n v="450.75"/>
    <n v="2315.1999999999998"/>
  </r>
  <r>
    <s v="45"/>
    <s v="Jorge Gómez"/>
    <d v="1976-01-01T00:00:00"/>
    <n v="50"/>
    <x v="2"/>
    <x v="0"/>
    <d v="2023-09-06T00:00:00"/>
    <d v="2024-02-24T00:00:00"/>
    <n v="16"/>
    <x v="1"/>
    <n v="5"/>
    <n v="2"/>
    <n v="29811.71"/>
    <n v="1138.1300000000001"/>
    <n v="1543.08"/>
  </r>
  <r>
    <s v="46"/>
    <s v="Ana Hernández"/>
    <d v="2020-01-01T00:00:00"/>
    <n v="6"/>
    <x v="1"/>
    <x v="1"/>
    <d v="2023-02-19T00:00:00"/>
    <d v="2023-05-04T00:00:00"/>
    <n v="22"/>
    <x v="0"/>
    <n v="6"/>
    <n v="4"/>
    <n v="13378.3"/>
    <n v="2978.98"/>
    <n v="19498.46"/>
  </r>
  <r>
    <s v="47"/>
    <s v="Juan Morales"/>
    <d v="2005-12-31T00:00:00"/>
    <n v="20"/>
    <x v="0"/>
    <x v="3"/>
    <d v="2023-10-07T00:00:00"/>
    <d v="2023-10-22T00:00:00"/>
    <n v="36"/>
    <x v="1"/>
    <n v="1"/>
    <n v="2"/>
    <n v="15108.8"/>
    <n v="11803.73"/>
    <n v="688.7"/>
  </r>
  <r>
    <s v="48"/>
    <s v="Ana Hernández"/>
    <d v="1953-12-31T00:00:00"/>
    <n v="72"/>
    <x v="1"/>
    <x v="1"/>
    <d v="2023-06-01T00:00:00"/>
    <d v="2024-11-16T00:00:00"/>
    <n v="1"/>
    <x v="2"/>
    <n v="1"/>
    <n v="5"/>
    <n v="1894.54"/>
    <n v="11987.83"/>
    <n v="5322.1"/>
  </r>
  <r>
    <s v="49"/>
    <s v="Sofía Gómez"/>
    <d v="1988-01-01T00:00:00"/>
    <n v="38"/>
    <x v="1"/>
    <x v="5"/>
    <d v="2024-10-20T00:00:00"/>
    <d v="2023-05-24T00:00:00"/>
    <n v="19"/>
    <x v="0"/>
    <n v="8"/>
    <n v="6"/>
    <n v="11182.03"/>
    <n v="14949.19"/>
    <n v="13005.17"/>
  </r>
  <r>
    <s v="50"/>
    <s v="Carmen Ramírez"/>
    <d v="1952-01-01T00:00:00"/>
    <n v="17"/>
    <x v="1"/>
    <x v="0"/>
    <d v="2024-07-04T00:00:00"/>
    <d v="2025-06-18T00:00:00"/>
    <n v="2"/>
    <x v="0"/>
    <n v="4"/>
    <n v="9"/>
    <n v="10840.03"/>
    <n v="3613.85"/>
    <n v="16450"/>
  </r>
  <r>
    <s v="51"/>
    <s v="José Gómez"/>
    <d v="2023-01-01T00:00:00"/>
    <n v="3"/>
    <x v="1"/>
    <x v="1"/>
    <d v="2024-12-01T00:00:00"/>
    <d v="2024-05-26T00:00:00"/>
    <n v="2"/>
    <x v="2"/>
    <n v="1"/>
    <n v="5"/>
    <n v="28956.639999999999"/>
    <n v="906.56"/>
    <n v="12124.89"/>
  </r>
  <r>
    <s v="52"/>
    <s v="Pedro Ramírez"/>
    <d v="1937-12-31T00:00:00"/>
    <n v="88"/>
    <x v="0"/>
    <x v="5"/>
    <d v="2024-06-20T00:00:00"/>
    <d v="2024-11-12T00:00:00"/>
    <n v="14"/>
    <x v="0"/>
    <n v="2"/>
    <n v="1"/>
    <n v="19643.16"/>
    <n v="4246.96"/>
    <n v="19527.689999999999"/>
  </r>
  <r>
    <s v="53"/>
    <s v="Carmen Martínez"/>
    <d v="1967-01-01T00:00:00"/>
    <n v="59"/>
    <x v="0"/>
    <x v="5"/>
    <d v="2023-08-18T00:00:00"/>
    <d v="2023-02-27T00:00:00"/>
    <n v="6"/>
    <x v="1"/>
    <n v="7"/>
    <n v="8"/>
    <n v="23356.59"/>
    <n v="2682.3"/>
    <n v="6687.93"/>
  </r>
  <r>
    <s v="54"/>
    <s v="Jorge Martínez"/>
    <d v="2005-01-01T00:00:00"/>
    <n v="13"/>
    <x v="0"/>
    <x v="3"/>
    <d v="2024-10-26T00:00:00"/>
    <d v="2023-02-12T00:00:00"/>
    <n v="6"/>
    <x v="0"/>
    <n v="5"/>
    <n v="1"/>
    <n v="0"/>
    <n v="10655.82"/>
    <n v="9387.31"/>
  </r>
  <r>
    <s v="55"/>
    <s v="Luisa Cruz"/>
    <d v="2017-12-31T00:00:00"/>
    <n v="8"/>
    <x v="1"/>
    <x v="3"/>
    <d v="2023-10-15T00:00:00"/>
    <d v="2025-04-01T00:00:00"/>
    <n v="21"/>
    <x v="0"/>
    <n v="1"/>
    <n v="5"/>
    <n v="12216.27"/>
    <n v="14538.61"/>
    <n v="16408.16"/>
  </r>
  <r>
    <s v="56"/>
    <s v="Carmen Cruz"/>
    <d v="1936-12-31T00:00:00"/>
    <n v="89"/>
    <x v="1"/>
    <x v="5"/>
    <d v="2024-01-30T00:00:00"/>
    <d v="2024-09-23T00:00:00"/>
    <n v="7"/>
    <x v="0"/>
    <n v="11"/>
    <n v="8"/>
    <n v="5342.36"/>
    <n v="4095.38"/>
    <n v="13602.12"/>
  </r>
  <r>
    <s v="57"/>
    <s v="Sofía Hernández"/>
    <d v="1973-12-31T00:00:00"/>
    <n v="52"/>
    <x v="0"/>
    <x v="6"/>
    <d v="2024-03-28T00:00:00"/>
    <d v="2023-05-02T00:00:00"/>
    <n v="17"/>
    <x v="1"/>
    <n v="10"/>
    <n v="8"/>
    <n v="25735.759999999998"/>
    <n v="4929.5"/>
    <n v="4202.75"/>
  </r>
  <r>
    <s v="58"/>
    <s v="Miguel Hernández"/>
    <d v="2024-12-31T00:00:00"/>
    <n v="1"/>
    <x v="1"/>
    <x v="1"/>
    <d v="2024-09-11T00:00:00"/>
    <d v="2025-04-04T00:00:00"/>
    <n v="14"/>
    <x v="2"/>
    <n v="4"/>
    <n v="1"/>
    <n v="4147.3599999999997"/>
    <n v="5266.74"/>
    <n v="9923.2199999999993"/>
  </r>
  <r>
    <s v="59"/>
    <s v="Carlos Pérez"/>
    <d v="1943-01-01T00:00:00"/>
    <n v="83"/>
    <x v="0"/>
    <x v="5"/>
    <d v="2023-02-02T00:00:00"/>
    <d v="2025-02-02T00:00:00"/>
    <n v="10"/>
    <x v="0"/>
    <n v="14"/>
    <n v="8"/>
    <n v="12885.57"/>
    <n v="12854.31"/>
    <n v="19516.78"/>
  </r>
  <r>
    <s v="60"/>
    <s v="Luisa López"/>
    <d v="1935-01-01T00:00:00"/>
    <n v="91"/>
    <x v="0"/>
    <x v="5"/>
    <d v="2023-12-29T00:00:00"/>
    <d v="2023-12-10T00:00:00"/>
    <n v="26"/>
    <x v="0"/>
    <n v="4"/>
    <n v="7"/>
    <n v="1136.33"/>
    <n v="8670.2800000000007"/>
    <n v="17246.77"/>
  </r>
  <r>
    <s v="61"/>
    <s v="Juan Sánchez"/>
    <d v="1967-01-01T00:00:00"/>
    <n v="59"/>
    <x v="0"/>
    <x v="3"/>
    <d v="2023-04-21T00:00:00"/>
    <d v="2023-11-29T00:00:00"/>
    <n v="33"/>
    <x v="2"/>
    <n v="10"/>
    <n v="6"/>
    <n v="18845.98"/>
    <n v="14609.65"/>
    <n v="3755.25"/>
  </r>
  <r>
    <s v="62"/>
    <s v="Jorge Hernández"/>
    <d v="1956-01-01T00:00:00"/>
    <n v="70"/>
    <x v="0"/>
    <x v="1"/>
    <d v="2023-05-01T00:00:00"/>
    <d v="2024-04-01T00:00:00"/>
    <n v="20"/>
    <x v="2"/>
    <n v="0"/>
    <n v="7"/>
    <n v="0"/>
    <n v="9407.43"/>
    <n v="3513.7"/>
  </r>
  <r>
    <s v="63"/>
    <s v="José Gómez"/>
    <d v="1983-01-01T00:00:00"/>
    <n v="43"/>
    <x v="0"/>
    <x v="2"/>
    <d v="2023-01-16T00:00:00"/>
    <d v="2024-03-13T00:00:00"/>
    <n v="24"/>
    <x v="0"/>
    <n v="14"/>
    <n v="9"/>
    <n v="14687.99"/>
    <n v="10588.23"/>
    <n v="16550.73"/>
  </r>
  <r>
    <s v="64"/>
    <s v="Laura Pérez"/>
    <d v="1994-01-01T00:00:00"/>
    <n v="7"/>
    <x v="1"/>
    <x v="0"/>
    <d v="2024-06-06T00:00:00"/>
    <d v="2023-12-08T00:00:00"/>
    <n v="15"/>
    <x v="0"/>
    <n v="4"/>
    <n v="7"/>
    <n v="2599.38"/>
    <n v="1337.51"/>
    <n v="3897.78"/>
  </r>
  <r>
    <s v="65"/>
    <s v="Elena Gómez"/>
    <d v="1980-01-01T00:00:00"/>
    <n v="46"/>
    <x v="0"/>
    <x v="3"/>
    <d v="2024-12-15T00:00:00"/>
    <d v="2023-12-08T00:00:00"/>
    <n v="15"/>
    <x v="0"/>
    <n v="12"/>
    <n v="0"/>
    <n v="15176.43"/>
    <n v="14275.21"/>
    <n v="9001.07"/>
  </r>
  <r>
    <s v="66"/>
    <s v="Ana Gómez"/>
    <d v="1992-01-01T00:00:00"/>
    <n v="34"/>
    <x v="1"/>
    <x v="1"/>
    <d v="2024-12-14T00:00:00"/>
    <d v="2024-02-21T00:00:00"/>
    <n v="6"/>
    <x v="1"/>
    <n v="8"/>
    <n v="8"/>
    <n v="16695.400000000001"/>
    <n v="9420.85"/>
    <n v="3533.25"/>
  </r>
  <r>
    <s v="67"/>
    <s v="Juan Ramírez"/>
    <d v="1948-12-31T00:00:00"/>
    <n v="77"/>
    <x v="1"/>
    <x v="1"/>
    <d v="2023-04-08T00:00:00"/>
    <d v="2025-04-29T00:00:00"/>
    <n v="0"/>
    <x v="2"/>
    <n v="0"/>
    <n v="5"/>
    <n v="28866.62"/>
    <n v="7802.71"/>
    <n v="194.72"/>
  </r>
  <r>
    <s v="68"/>
    <s v="Carmen Sánchez"/>
    <d v="1945-12-31T00:00:00"/>
    <n v="37"/>
    <x v="1"/>
    <x v="4"/>
    <d v="2023-04-26T00:00:00"/>
    <d v="2023-07-02T00:00:00"/>
    <n v="4"/>
    <x v="0"/>
    <n v="6"/>
    <n v="0"/>
    <n v="513.29"/>
    <n v="5811.06"/>
    <n v="17495.61"/>
  </r>
  <r>
    <s v="69"/>
    <s v="José López"/>
    <d v="1991-01-01T00:00:00"/>
    <n v="35"/>
    <x v="0"/>
    <x v="6"/>
    <d v="2024-04-15T00:00:00"/>
    <d v="2024-11-08T00:00:00"/>
    <n v="12"/>
    <x v="0"/>
    <n v="5"/>
    <n v="0"/>
    <n v="27642.77"/>
    <n v="1155.75"/>
    <n v="15557.99"/>
  </r>
  <r>
    <s v="70"/>
    <s v="Ricardo Hernández"/>
    <d v="1976-12-31T00:00:00"/>
    <n v="49"/>
    <x v="1"/>
    <x v="0"/>
    <d v="2024-03-14T00:00:00"/>
    <d v="2023-09-22T00:00:00"/>
    <n v="27"/>
    <x v="2"/>
    <n v="12"/>
    <n v="6"/>
    <n v="14126.72"/>
    <n v="2000.21"/>
    <n v="9358.83"/>
  </r>
  <r>
    <s v="71"/>
    <s v="Carlos Sánchez"/>
    <d v="2023-01-01T00:00:00"/>
    <n v="3"/>
    <x v="1"/>
    <x v="3"/>
    <d v="2023-10-08T00:00:00"/>
    <d v="2023-07-30T00:00:00"/>
    <n v="6"/>
    <x v="0"/>
    <n v="4"/>
    <n v="9"/>
    <n v="5908.49"/>
    <n v="175.43"/>
    <n v="3107.54"/>
  </r>
  <r>
    <s v="72"/>
    <s v="Miguel Gómez"/>
    <d v="2024-12-31T00:00:00"/>
    <n v="1"/>
    <x v="1"/>
    <x v="3"/>
    <d v="2023-12-15T00:00:00"/>
    <d v="2024-06-07T00:00:00"/>
    <n v="38"/>
    <x v="0"/>
    <n v="12"/>
    <n v="1"/>
    <n v="19799.16"/>
    <n v="14980.39"/>
    <n v="16109"/>
  </r>
  <r>
    <s v="73"/>
    <s v="Luis Pérez"/>
    <d v="2020-12-31T00:00:00"/>
    <n v="5"/>
    <x v="0"/>
    <x v="2"/>
    <d v="2023-08-20T00:00:00"/>
    <d v="2023-07-02T00:00:00"/>
    <n v="24"/>
    <x v="1"/>
    <n v="8"/>
    <n v="5"/>
    <n v="15270.09"/>
    <n v="11794.34"/>
    <n v="7123.28"/>
  </r>
  <r>
    <s v="74"/>
    <s v="José Gómez"/>
    <d v="1972-12-31T00:00:00"/>
    <n v="53"/>
    <x v="0"/>
    <x v="4"/>
    <d v="2023-04-21T00:00:00"/>
    <d v="2024-03-20T00:00:00"/>
    <n v="33"/>
    <x v="1"/>
    <n v="4"/>
    <n v="4"/>
    <n v="6416.03"/>
    <n v="11961.78"/>
    <n v="13205.18"/>
  </r>
  <r>
    <s v="75"/>
    <s v="Ana Hernández"/>
    <d v="2023-01-01T00:00:00"/>
    <n v="3"/>
    <x v="0"/>
    <x v="4"/>
    <d v="2023-12-18T00:00:00"/>
    <d v="2023-09-09T00:00:00"/>
    <n v="15"/>
    <x v="1"/>
    <n v="7"/>
    <n v="4"/>
    <n v="18618.22"/>
    <n v="10951.35"/>
    <n v="6265.56"/>
  </r>
  <r>
    <s v="76"/>
    <s v="Miguel Sánchez"/>
    <d v="1972-12-31T00:00:00"/>
    <n v="53"/>
    <x v="0"/>
    <x v="6"/>
    <d v="2023-01-12T00:00:00"/>
    <d v="2023-05-19T00:00:00"/>
    <n v="28"/>
    <x v="0"/>
    <n v="7"/>
    <n v="9"/>
    <n v="13934.5"/>
    <n v="7261.59"/>
    <n v="8588.9699999999993"/>
  </r>
  <r>
    <s v="77"/>
    <s v="Jorge Sánchez"/>
    <d v="1933-12-31T00:00:00"/>
    <n v="92"/>
    <x v="1"/>
    <x v="4"/>
    <d v="2024-05-02T00:00:00"/>
    <d v="2023-08-07T00:00:00"/>
    <n v="14"/>
    <x v="2"/>
    <n v="8"/>
    <n v="5"/>
    <n v="20514.95"/>
    <n v="1322.96"/>
    <n v="10662.98"/>
  </r>
  <r>
    <s v="78"/>
    <s v="Carmen Hernández"/>
    <d v="1965-01-01T00:00:00"/>
    <n v="62"/>
    <x v="1"/>
    <x v="6"/>
    <d v="2024-06-16T00:00:00"/>
    <d v="2025-01-21T00:00:00"/>
    <n v="3"/>
    <x v="1"/>
    <n v="8"/>
    <n v="7"/>
    <n v="20516.849999999999"/>
    <n v="1084.04"/>
    <n v="15216.53"/>
  </r>
  <r>
    <s v="79"/>
    <s v="Ana Sánchez"/>
    <d v="2008-12-31T00:00:00"/>
    <n v="17"/>
    <x v="0"/>
    <x v="1"/>
    <d v="2024-09-30T00:00:00"/>
    <d v="2024-03-30T00:00:00"/>
    <n v="36"/>
    <x v="1"/>
    <n v="0"/>
    <n v="4"/>
    <n v="13920.87"/>
    <n v="13745.61"/>
    <n v="16624.580000000002"/>
  </r>
  <r>
    <s v="80"/>
    <s v="Elena Sánchez"/>
    <d v="1936-12-31T00:00:00"/>
    <n v="89"/>
    <x v="1"/>
    <x v="1"/>
    <d v="2023-10-12T00:00:00"/>
    <d v="2025-06-02T00:00:00"/>
    <n v="22"/>
    <x v="1"/>
    <n v="1"/>
    <n v="7"/>
    <n v="11419.28"/>
    <n v="4.72"/>
    <n v="8815.2900000000009"/>
  </r>
  <r>
    <s v="81"/>
    <s v="Miguel Pérez"/>
    <d v="1976-01-01T00:00:00"/>
    <n v="43"/>
    <x v="1"/>
    <x v="3"/>
    <d v="2024-09-24T00:00:00"/>
    <d v="2025-04-29T00:00:00"/>
    <n v="39"/>
    <x v="1"/>
    <n v="14"/>
    <n v="4"/>
    <n v="1428.95"/>
    <n v="10486.54"/>
    <n v="4584.1099999999997"/>
  </r>
  <r>
    <s v="82"/>
    <s v="Ana López"/>
    <d v="1992-12-31T00:00:00"/>
    <n v="33"/>
    <x v="1"/>
    <x v="2"/>
    <d v="2024-09-27T00:00:00"/>
    <d v="2023-03-29T00:00:00"/>
    <n v="39"/>
    <x v="0"/>
    <n v="8"/>
    <n v="9"/>
    <n v="0"/>
    <n v="9428.68"/>
    <n v="2988.35"/>
  </r>
  <r>
    <s v="83"/>
    <s v="Luisa Ramírez"/>
    <d v="1952-12-31T00:00:00"/>
    <n v="73"/>
    <x v="0"/>
    <x v="3"/>
    <d v="2024-06-28T00:00:00"/>
    <d v="2025-03-21T00:00:00"/>
    <n v="35"/>
    <x v="0"/>
    <n v="5"/>
    <n v="5"/>
    <n v="6915.01"/>
    <n v="7518.38"/>
    <n v="6749.03"/>
  </r>
  <r>
    <s v="84"/>
    <s v="Elena Sánchez"/>
    <d v="1964-12-31T00:00:00"/>
    <n v="61"/>
    <x v="1"/>
    <x v="4"/>
    <d v="2024-01-27T00:00:00"/>
    <d v="2023-10-21T00:00:00"/>
    <n v="35"/>
    <x v="2"/>
    <n v="9"/>
    <n v="7"/>
    <n v="1124.05"/>
    <n v="14624.26"/>
    <n v="16015.85"/>
  </r>
  <r>
    <s v="85"/>
    <s v="Carmen Martínez"/>
    <d v="2012-12-31T00:00:00"/>
    <n v="13"/>
    <x v="0"/>
    <x v="5"/>
    <d v="2023-06-19T00:00:00"/>
    <d v="2023-04-03T00:00:00"/>
    <n v="28"/>
    <x v="0"/>
    <n v="8"/>
    <n v="1"/>
    <n v="9576.6"/>
    <n v="2971.93"/>
    <n v="5407.03"/>
  </r>
  <r>
    <s v="86"/>
    <s v="Luisa Sánchez"/>
    <d v="1932-01-01T00:00:00"/>
    <n v="94"/>
    <x v="1"/>
    <x v="1"/>
    <d v="2023-03-18T00:00:00"/>
    <d v="2023-07-28T00:00:00"/>
    <n v="26"/>
    <x v="0"/>
    <n v="10"/>
    <n v="6"/>
    <n v="2167.81"/>
    <n v="11779.3"/>
    <n v="855.15"/>
  </r>
  <r>
    <s v="87"/>
    <s v="Laura Cruz"/>
    <d v="1979-01-01T00:00:00"/>
    <n v="47"/>
    <x v="0"/>
    <x v="5"/>
    <d v="2023-10-24T00:00:00"/>
    <d v="2023-07-24T00:00:00"/>
    <n v="37"/>
    <x v="0"/>
    <n v="11"/>
    <n v="2"/>
    <n v="17182.13"/>
    <n v="10122.59"/>
    <n v="11241.95"/>
  </r>
  <r>
    <s v="88"/>
    <s v="Carlos Rodríguez"/>
    <d v="2012-01-01T00:00:00"/>
    <n v="14"/>
    <x v="1"/>
    <x v="4"/>
    <d v="2023-11-26T00:00:00"/>
    <d v="2023-07-06T00:00:00"/>
    <n v="6"/>
    <x v="0"/>
    <n v="12"/>
    <n v="8"/>
    <n v="14861.91"/>
    <n v="14616.48"/>
    <n v="575.63"/>
  </r>
  <r>
    <s v="89"/>
    <s v="Ana Martínez"/>
    <d v="1955-01-01T00:00:00"/>
    <n v="71"/>
    <x v="1"/>
    <x v="2"/>
    <d v="2023-03-04T00:00:00"/>
    <d v="2023-03-27T00:00:00"/>
    <n v="2"/>
    <x v="0"/>
    <n v="12"/>
    <n v="9"/>
    <n v="23669.08"/>
    <n v="14011.08"/>
    <n v="17687"/>
  </r>
  <r>
    <s v="90"/>
    <s v="Miguel Pérez"/>
    <d v="1948-12-31T00:00:00"/>
    <n v="77"/>
    <x v="1"/>
    <x v="3"/>
    <d v="2023-09-27T00:00:00"/>
    <d v="2025-04-07T00:00:00"/>
    <n v="13"/>
    <x v="0"/>
    <n v="7"/>
    <n v="6"/>
    <n v="7662.82"/>
    <n v="1928.57"/>
    <n v="13529.02"/>
  </r>
  <r>
    <s v="91"/>
    <s v="Laura Ramírez"/>
    <d v="1940-01-01T00:00:00"/>
    <n v="86"/>
    <x v="0"/>
    <x v="1"/>
    <d v="2023-08-04T00:00:00"/>
    <d v="2024-10-26T00:00:00"/>
    <n v="35"/>
    <x v="0"/>
    <n v="10"/>
    <n v="2"/>
    <n v="10831.64"/>
    <n v="4615.75"/>
    <n v="5062.59"/>
  </r>
  <r>
    <s v="92"/>
    <s v="Sofía Sánchez"/>
    <d v="1964-12-31T00:00:00"/>
    <n v="61"/>
    <x v="1"/>
    <x v="2"/>
    <d v="2023-07-09T00:00:00"/>
    <d v="2023-06-06T00:00:00"/>
    <n v="20"/>
    <x v="0"/>
    <n v="11"/>
    <n v="7"/>
    <n v="20512.990000000002"/>
    <n v="12762"/>
    <n v="9328.74"/>
  </r>
  <r>
    <s v="93"/>
    <s v="Laura Martínez"/>
    <d v="1987-01-01T00:00:00"/>
    <n v="39"/>
    <x v="0"/>
    <x v="3"/>
    <d v="2023-03-16T00:00:00"/>
    <d v="2023-10-21T00:00:00"/>
    <n v="5"/>
    <x v="0"/>
    <n v="12"/>
    <n v="9"/>
    <n v="29784.81"/>
    <n v="3429.91"/>
    <n v="14758.26"/>
  </r>
  <r>
    <s v="94"/>
    <s v="Ricardo López"/>
    <d v="1941-12-31T00:00:00"/>
    <n v="84"/>
    <x v="0"/>
    <x v="3"/>
    <d v="2024-11-16T00:00:00"/>
    <d v="2024-06-17T00:00:00"/>
    <n v="9"/>
    <x v="1"/>
    <n v="4"/>
    <n v="1"/>
    <n v="27077.18"/>
    <n v="5678.09"/>
    <n v="18305.25"/>
  </r>
  <r>
    <s v="95"/>
    <s v="Jorge Ramírez"/>
    <d v="1947-01-01T00:00:00"/>
    <n v="79"/>
    <x v="0"/>
    <x v="5"/>
    <d v="2024-05-24T00:00:00"/>
    <d v="2023-06-11T00:00:00"/>
    <n v="7"/>
    <x v="2"/>
    <n v="9"/>
    <n v="9"/>
    <n v="15385.16"/>
    <n v="9389.4599999999991"/>
    <n v="17476.52"/>
  </r>
  <r>
    <s v="96"/>
    <s v="Luis Ramírez"/>
    <d v="1944-12-31T00:00:00"/>
    <n v="81"/>
    <x v="1"/>
    <x v="0"/>
    <d v="2024-08-01T00:00:00"/>
    <d v="2024-01-22T00:00:00"/>
    <n v="13"/>
    <x v="0"/>
    <n v="1"/>
    <n v="7"/>
    <n v="20177.39"/>
    <n v="8443.7099999999991"/>
    <n v="1297.58"/>
  </r>
  <r>
    <s v="97"/>
    <s v="Jorge Pérez"/>
    <d v="1973-12-31T00:00:00"/>
    <n v="52"/>
    <x v="1"/>
    <x v="4"/>
    <d v="2023-04-03T00:00:00"/>
    <d v="2024-04-30T00:00:00"/>
    <n v="21"/>
    <x v="0"/>
    <n v="9"/>
    <n v="6"/>
    <n v="15723.63"/>
    <n v="9609.1"/>
    <n v="1530.94"/>
  </r>
  <r>
    <s v="98"/>
    <s v="Juan Morales"/>
    <d v="2003-01-01T00:00:00"/>
    <n v="23"/>
    <x v="1"/>
    <x v="6"/>
    <d v="2023-02-22T00:00:00"/>
    <d v="2024-05-18T00:00:00"/>
    <n v="36"/>
    <x v="2"/>
    <n v="13"/>
    <n v="4"/>
    <n v="12761.57"/>
    <n v="10702.32"/>
    <n v="11914.25"/>
  </r>
  <r>
    <s v="99"/>
    <s v="Ricardo Rodríguez"/>
    <d v="2000-12-31T00:00:00"/>
    <n v="25"/>
    <x v="0"/>
    <x v="1"/>
    <d v="2024-05-10T00:00:00"/>
    <d v="2025-05-01T00:00:00"/>
    <n v="5"/>
    <x v="0"/>
    <n v="5"/>
    <n v="3"/>
    <n v="17870.080000000002"/>
    <n v="10931.55"/>
    <n v="9879.57"/>
  </r>
  <r>
    <s v="100"/>
    <s v="Ricardo Gómez"/>
    <d v="1937-12-31T00:00:00"/>
    <n v="88"/>
    <x v="0"/>
    <x v="6"/>
    <d v="2023-04-04T00:00:00"/>
    <d v="2023-06-06T00:00:00"/>
    <n v="8"/>
    <x v="0"/>
    <n v="9"/>
    <n v="9"/>
    <n v="11288.23"/>
    <n v="11063.36"/>
    <n v="5788.04"/>
  </r>
  <r>
    <s v="101"/>
    <s v="María Ramírez"/>
    <d v="1967-01-01T00:00:00"/>
    <n v="59"/>
    <x v="0"/>
    <x v="2"/>
    <d v="2024-09-16T00:00:00"/>
    <d v="2023-05-24T00:00:00"/>
    <n v="38"/>
    <x v="2"/>
    <n v="1"/>
    <n v="9"/>
    <n v="8045.74"/>
    <n v="14875.15"/>
    <n v="19521.080000000002"/>
  </r>
  <r>
    <s v="102"/>
    <s v="Jorge Morales"/>
    <d v="1985-12-31T00:00:00"/>
    <n v="40"/>
    <x v="0"/>
    <x v="6"/>
    <d v="2023-08-17T00:00:00"/>
    <d v="2025-02-08T00:00:00"/>
    <n v="23"/>
    <x v="0"/>
    <n v="3"/>
    <n v="0"/>
    <n v="21023.05"/>
    <n v="5348.81"/>
    <n v="14899.97"/>
  </r>
  <r>
    <s v="103"/>
    <s v="María López"/>
    <d v="1997-12-31T00:00:00"/>
    <n v="28"/>
    <x v="1"/>
    <x v="5"/>
    <d v="2023-09-07T00:00:00"/>
    <d v="2024-09-11T00:00:00"/>
    <n v="4"/>
    <x v="1"/>
    <n v="7"/>
    <n v="3"/>
    <n v="26095.19"/>
    <n v="662.8"/>
    <n v="13715.08"/>
  </r>
  <r>
    <s v="104"/>
    <s v="María Hernández"/>
    <d v="2012-01-01T00:00:00"/>
    <n v="14"/>
    <x v="1"/>
    <x v="0"/>
    <d v="2024-01-26T00:00:00"/>
    <d v="2023-10-12T00:00:00"/>
    <n v="12"/>
    <x v="0"/>
    <n v="8"/>
    <n v="5"/>
    <n v="8284.74"/>
    <n v="5232.93"/>
    <n v="3544.73"/>
  </r>
  <r>
    <s v="105"/>
    <s v="Pedro Morales"/>
    <d v="1981-12-31T00:00:00"/>
    <n v="44"/>
    <x v="0"/>
    <x v="1"/>
    <d v="2024-12-21T00:00:00"/>
    <d v="2024-07-16T00:00:00"/>
    <n v="12"/>
    <x v="1"/>
    <n v="14"/>
    <n v="5"/>
    <n v="21060.19"/>
    <n v="13673.64"/>
    <n v="5607.01"/>
  </r>
  <r>
    <s v="106"/>
    <s v="Ana Martínez"/>
    <d v="1961-12-31T00:00:00"/>
    <n v="64"/>
    <x v="1"/>
    <x v="4"/>
    <d v="2023-07-01T00:00:00"/>
    <d v="2023-02-05T00:00:00"/>
    <n v="0"/>
    <x v="2"/>
    <n v="9"/>
    <n v="1"/>
    <n v="12737.58"/>
    <n v="1250.83"/>
    <n v="12060.88"/>
  </r>
  <r>
    <s v="107"/>
    <s v="Ana Rodríguez"/>
    <d v="1937-12-31T00:00:00"/>
    <n v="88"/>
    <x v="1"/>
    <x v="3"/>
    <d v="2023-09-24T00:00:00"/>
    <d v="2023-08-13T00:00:00"/>
    <n v="13"/>
    <x v="0"/>
    <n v="8"/>
    <n v="8"/>
    <n v="8713.59"/>
    <n v="9704.1299999999992"/>
    <n v="15891.49"/>
  </r>
  <r>
    <s v="108"/>
    <s v="Luis Cruz"/>
    <d v="1956-01-01T00:00:00"/>
    <n v="70"/>
    <x v="0"/>
    <x v="3"/>
    <d v="2023-10-08T00:00:00"/>
    <d v="2024-10-30T00:00:00"/>
    <n v="12"/>
    <x v="0"/>
    <n v="7"/>
    <n v="0"/>
    <n v="18443.88"/>
    <n v="6347.42"/>
    <n v="18614.310000000001"/>
  </r>
  <r>
    <s v="109"/>
    <s v="Pedro Sánchez"/>
    <d v="2017-12-31T00:00:00"/>
    <n v="8"/>
    <x v="1"/>
    <x v="4"/>
    <d v="2024-10-28T00:00:00"/>
    <d v="2024-01-29T00:00:00"/>
    <n v="22"/>
    <x v="1"/>
    <n v="1"/>
    <n v="3"/>
    <n v="28152.14"/>
    <n v="13823.59"/>
    <n v="13924.31"/>
  </r>
  <r>
    <s v="110"/>
    <s v="Pedro Sánchez"/>
    <d v="1939-01-01T00:00:00"/>
    <n v="87"/>
    <x v="0"/>
    <x v="5"/>
    <d v="2023-03-24T00:00:00"/>
    <d v="2024-02-13T00:00:00"/>
    <n v="30"/>
    <x v="1"/>
    <n v="4"/>
    <n v="3"/>
    <n v="10226.59"/>
    <n v="13928.6"/>
    <n v="8314.6"/>
  </r>
  <r>
    <s v="111"/>
    <s v="Luisa Sánchez"/>
    <d v="2025-12-31T00:00:00"/>
    <n v="0"/>
    <x v="0"/>
    <x v="1"/>
    <d v="2023-07-05T00:00:00"/>
    <d v="2024-12-04T00:00:00"/>
    <n v="11"/>
    <x v="1"/>
    <n v="13"/>
    <n v="1"/>
    <n v="22664.12"/>
    <n v="11778.67"/>
    <n v="13790.67"/>
  </r>
  <r>
    <s v="112"/>
    <s v="Carmen Sánchez"/>
    <d v="2019-01-01T00:00:00"/>
    <n v="7"/>
    <x v="0"/>
    <x v="6"/>
    <d v="2024-10-12T00:00:00"/>
    <d v="2024-01-24T00:00:00"/>
    <n v="21"/>
    <x v="1"/>
    <n v="11"/>
    <n v="7"/>
    <n v="9098.2900000000009"/>
    <n v="1477.8"/>
    <n v="1290.42"/>
  </r>
  <r>
    <s v="113"/>
    <s v="Elena Sánchez"/>
    <d v="1939-01-01T00:00:00"/>
    <n v="87"/>
    <x v="1"/>
    <x v="4"/>
    <d v="2024-07-20T00:00:00"/>
    <d v="2024-11-27T00:00:00"/>
    <n v="8"/>
    <x v="0"/>
    <n v="1"/>
    <n v="1"/>
    <n v="24017.99"/>
    <n v="370.72"/>
    <n v="11961.66"/>
  </r>
  <r>
    <s v="114"/>
    <s v="Jorge Morales"/>
    <d v="1964-01-01T00:00:00"/>
    <n v="62"/>
    <x v="1"/>
    <x v="3"/>
    <d v="2024-06-14T00:00:00"/>
    <d v="2025-01-19T00:00:00"/>
    <n v="0"/>
    <x v="2"/>
    <n v="13"/>
    <n v="1"/>
    <n v="22679.53"/>
    <n v="2048.85"/>
    <n v="17881.96"/>
  </r>
  <r>
    <s v="115"/>
    <s v="Luisa Pérez"/>
    <d v="2016-01-01T00:00:00"/>
    <n v="10"/>
    <x v="0"/>
    <x v="6"/>
    <d v="2023-12-14T00:00:00"/>
    <d v="2023-10-25T00:00:00"/>
    <n v="6"/>
    <x v="1"/>
    <n v="10"/>
    <n v="1"/>
    <n v="22851.8"/>
    <n v="4827.3599999999997"/>
    <n v="12702.62"/>
  </r>
  <r>
    <s v="116"/>
    <s v="Ana López"/>
    <d v="1973-01-01T00:00:00"/>
    <n v="80"/>
    <x v="1"/>
    <x v="5"/>
    <d v="2024-02-27T00:00:00"/>
    <d v="2023-11-20T00:00:00"/>
    <n v="3"/>
    <x v="0"/>
    <n v="7"/>
    <n v="0"/>
    <n v="29930.1"/>
    <n v="3621.48"/>
    <n v="51.56"/>
  </r>
  <r>
    <s v="117"/>
    <s v="Luis Morales"/>
    <d v="1934-01-01T00:00:00"/>
    <n v="7"/>
    <x v="1"/>
    <x v="3"/>
    <d v="2024-03-29T00:00:00"/>
    <d v="2025-03-27T00:00:00"/>
    <n v="28"/>
    <x v="0"/>
    <n v="12"/>
    <n v="4"/>
    <n v="3785.79"/>
    <n v="5546.39"/>
    <n v="13859.83"/>
  </r>
  <r>
    <s v="118"/>
    <s v="José López"/>
    <d v="1992-01-01T00:00:00"/>
    <n v="34"/>
    <x v="1"/>
    <x v="2"/>
    <d v="2023-09-24T00:00:00"/>
    <d v="2025-05-04T00:00:00"/>
    <n v="13"/>
    <x v="0"/>
    <n v="10"/>
    <n v="3"/>
    <n v="11359.6"/>
    <n v="2146.16"/>
    <n v="14501.53"/>
  </r>
  <r>
    <s v="119"/>
    <s v="Laura Gómez"/>
    <d v="1992-01-01T00:00:00"/>
    <n v="34"/>
    <x v="1"/>
    <x v="0"/>
    <d v="2024-05-21T00:00:00"/>
    <d v="2024-05-03T00:00:00"/>
    <n v="8"/>
    <x v="1"/>
    <n v="1"/>
    <n v="1"/>
    <n v="18739.77"/>
    <n v="11287.55"/>
    <n v="10778.71"/>
  </r>
  <r>
    <s v="120"/>
    <s v="José Sánchez"/>
    <d v="1993-12-31T00:00:00"/>
    <n v="32"/>
    <x v="1"/>
    <x v="6"/>
    <d v="2023-05-22T00:00:00"/>
    <d v="2024-07-24T00:00:00"/>
    <n v="14"/>
    <x v="2"/>
    <n v="0"/>
    <n v="0"/>
    <n v="17509.5"/>
    <n v="12679.45"/>
    <n v="16303.37"/>
  </r>
  <r>
    <s v="121"/>
    <s v="Laura Sánchez"/>
    <d v="2021-12-31T00:00:00"/>
    <n v="4"/>
    <x v="0"/>
    <x v="4"/>
    <d v="2023-11-12T00:00:00"/>
    <d v="2023-02-09T00:00:00"/>
    <n v="0"/>
    <x v="0"/>
    <n v="14"/>
    <n v="0"/>
    <n v="23309.31"/>
    <n v="7319.29"/>
    <n v="3966.05"/>
  </r>
  <r>
    <s v="122"/>
    <s v="Luisa Hernández"/>
    <d v="1985-12-31T00:00:00"/>
    <n v="40"/>
    <x v="1"/>
    <x v="1"/>
    <d v="2024-11-06T00:00:00"/>
    <d v="2024-05-20T00:00:00"/>
    <n v="16"/>
    <x v="1"/>
    <n v="6"/>
    <n v="1"/>
    <n v="930.74"/>
    <n v="14347.9"/>
    <n v="8120.48"/>
  </r>
  <r>
    <s v="123"/>
    <s v="María Ramírez"/>
    <d v="1999-01-01T00:00:00"/>
    <n v="27"/>
    <x v="1"/>
    <x v="6"/>
    <d v="2023-08-20T00:00:00"/>
    <d v="2024-05-18T00:00:00"/>
    <n v="21"/>
    <x v="1"/>
    <n v="14"/>
    <n v="0"/>
    <n v="21004.06"/>
    <n v="1805.17"/>
    <n v="16132.48"/>
  </r>
  <r>
    <s v="124"/>
    <s v="Carmen Martínez"/>
    <d v="2020-01-01T00:00:00"/>
    <n v="6"/>
    <x v="0"/>
    <x v="6"/>
    <d v="2023-10-24T00:00:00"/>
    <d v="2025-01-23T00:00:00"/>
    <n v="39"/>
    <x v="0"/>
    <n v="1"/>
    <n v="8"/>
    <n v="22000.58"/>
    <n v="1587.21"/>
    <n v="12034.17"/>
  </r>
  <r>
    <s v="125"/>
    <s v="José Morales"/>
    <d v="1953-12-31T00:00:00"/>
    <n v="72"/>
    <x v="2"/>
    <x v="6"/>
    <d v="2024-07-25T00:00:00"/>
    <d v="2024-06-21T00:00:00"/>
    <n v="5"/>
    <x v="2"/>
    <n v="13"/>
    <n v="1"/>
    <n v="1363.58"/>
    <n v="3005.99"/>
    <n v="19886.740000000002"/>
  </r>
  <r>
    <s v="126"/>
    <s v="Pedro Sánchez"/>
    <d v="1955-01-01T00:00:00"/>
    <n v="71"/>
    <x v="1"/>
    <x v="4"/>
    <d v="2023-01-22T00:00:00"/>
    <d v="2023-11-13T00:00:00"/>
    <n v="33"/>
    <x v="1"/>
    <n v="3"/>
    <n v="2"/>
    <n v="15929.81"/>
    <n v="14728.69"/>
    <n v="1292.21"/>
  </r>
  <r>
    <s v="127"/>
    <s v="Carlos Ramírez"/>
    <d v="2015-01-01T00:00:00"/>
    <n v="11"/>
    <x v="1"/>
    <x v="5"/>
    <d v="2024-01-19T00:00:00"/>
    <d v="2024-05-11T00:00:00"/>
    <n v="37"/>
    <x v="0"/>
    <n v="10"/>
    <n v="8"/>
    <n v="6972.28"/>
    <n v="6247.47"/>
    <n v="4810.6499999999996"/>
  </r>
  <r>
    <s v="128"/>
    <s v="Juan Pérez"/>
    <d v="1992-12-31T00:00:00"/>
    <n v="17"/>
    <x v="0"/>
    <x v="5"/>
    <d v="2023-05-06T00:00:00"/>
    <d v="2023-04-28T00:00:00"/>
    <n v="1"/>
    <x v="0"/>
    <n v="4"/>
    <n v="4"/>
    <n v="23949.63"/>
    <n v="13861.59"/>
    <n v="3902.42"/>
  </r>
  <r>
    <s v="129"/>
    <s v="Luisa Morales"/>
    <d v="1993-12-31T00:00:00"/>
    <n v="32"/>
    <x v="0"/>
    <x v="1"/>
    <d v="2023-04-13T00:00:00"/>
    <d v="2023-12-09T00:00:00"/>
    <n v="20"/>
    <x v="1"/>
    <n v="13"/>
    <n v="7"/>
    <n v="1013.21"/>
    <n v="3030.15"/>
    <n v="19525.48"/>
  </r>
  <r>
    <s v="130"/>
    <s v="Sofía Ramírez"/>
    <d v="1979-01-01T00:00:00"/>
    <n v="47"/>
    <x v="0"/>
    <x v="5"/>
    <d v="2023-04-20T00:00:00"/>
    <d v="2025-06-01T00:00:00"/>
    <n v="37"/>
    <x v="2"/>
    <n v="10"/>
    <n v="6"/>
    <n v="3958.01"/>
    <n v="12691.55"/>
    <n v="17372.18"/>
  </r>
  <r>
    <s v="131"/>
    <s v="Miguel Martínez"/>
    <d v="1940-01-01T00:00:00"/>
    <n v="22"/>
    <x v="0"/>
    <x v="4"/>
    <d v="2024-07-23T00:00:00"/>
    <d v="2023-08-29T00:00:00"/>
    <n v="27"/>
    <x v="0"/>
    <n v="8"/>
    <n v="5"/>
    <n v="2685.84"/>
    <n v="4650.28"/>
    <n v="2575.7800000000002"/>
  </r>
  <r>
    <s v="132"/>
    <s v="Pedro Gómez"/>
    <d v="1964-12-31T00:00:00"/>
    <n v="61"/>
    <x v="1"/>
    <x v="1"/>
    <d v="2024-04-16T00:00:00"/>
    <d v="2024-11-18T00:00:00"/>
    <n v="22"/>
    <x v="0"/>
    <n v="13"/>
    <n v="1"/>
    <n v="1489.14"/>
    <n v="11015.99"/>
    <n v="7011.46"/>
  </r>
  <r>
    <s v="133"/>
    <s v="Sofía Hernández"/>
    <d v="1939-01-01T00:00:00"/>
    <n v="87"/>
    <x v="0"/>
    <x v="1"/>
    <d v="2023-03-06T00:00:00"/>
    <d v="2024-03-21T00:00:00"/>
    <n v="4"/>
    <x v="0"/>
    <n v="12"/>
    <n v="3"/>
    <n v="17802.25"/>
    <n v="14616.93"/>
    <n v="957.2"/>
  </r>
  <r>
    <s v="134"/>
    <s v="Elena Cruz"/>
    <d v="1942-01-01T00:00:00"/>
    <n v="36"/>
    <x v="1"/>
    <x v="5"/>
    <d v="2024-04-16T00:00:00"/>
    <d v="2025-05-02T00:00:00"/>
    <n v="25"/>
    <x v="2"/>
    <n v="8"/>
    <n v="8"/>
    <n v="0"/>
    <n v="13995.37"/>
    <n v="12614.6"/>
  </r>
  <r>
    <s v="135"/>
    <s v="María Rodríguez"/>
    <d v="1983-01-01T00:00:00"/>
    <n v="43"/>
    <x v="0"/>
    <x v="3"/>
    <d v="2024-07-23T00:00:00"/>
    <d v="2025-01-10T00:00:00"/>
    <n v="38"/>
    <x v="1"/>
    <n v="1"/>
    <n v="6"/>
    <n v="15084.68"/>
    <n v="12469.92"/>
    <n v="6557.01"/>
  </r>
  <r>
    <s v="136"/>
    <s v="Jorge Sánchez"/>
    <d v="1940-12-31T00:00:00"/>
    <n v="85"/>
    <x v="0"/>
    <x v="5"/>
    <d v="2024-10-31T00:00:00"/>
    <d v="2024-05-02T00:00:00"/>
    <n v="14"/>
    <x v="0"/>
    <n v="5"/>
    <n v="2"/>
    <n v="5922.74"/>
    <n v="753.09"/>
    <n v="5077.04"/>
  </r>
  <r>
    <s v="137"/>
    <s v="Juan Morales"/>
    <d v="1936-01-01T00:00:00"/>
    <n v="14"/>
    <x v="2"/>
    <x v="3"/>
    <d v="2023-03-17T00:00:00"/>
    <d v="2025-02-04T00:00:00"/>
    <n v="29"/>
    <x v="0"/>
    <n v="9"/>
    <n v="5"/>
    <n v="9985.7900000000009"/>
    <n v="9116.5499999999993"/>
    <n v="10414.66"/>
  </r>
  <r>
    <s v="138"/>
    <s v="Laura Ramírez"/>
    <d v="1992-01-01T00:00:00"/>
    <n v="34"/>
    <x v="1"/>
    <x v="2"/>
    <d v="2023-01-19T00:00:00"/>
    <d v="2024-02-16T00:00:00"/>
    <n v="2"/>
    <x v="0"/>
    <n v="5"/>
    <n v="7"/>
    <n v="10491.17"/>
    <n v="12531.72"/>
    <n v="15890.59"/>
  </r>
  <r>
    <s v="139"/>
    <s v="Luisa Pérez"/>
    <d v="1961-12-31T00:00:00"/>
    <n v="64"/>
    <x v="1"/>
    <x v="5"/>
    <d v="2024-01-19T00:00:00"/>
    <d v="2025-06-11T00:00:00"/>
    <n v="24"/>
    <x v="2"/>
    <n v="13"/>
    <n v="7"/>
    <n v="13274.88"/>
    <n v="5989.9"/>
    <n v="8018.74"/>
  </r>
  <r>
    <s v="140"/>
    <s v="Sofía Sánchez"/>
    <d v="1980-01-01T00:00:00"/>
    <n v="46"/>
    <x v="0"/>
    <x v="2"/>
    <d v="2023-07-09T00:00:00"/>
    <d v="2024-09-15T00:00:00"/>
    <n v="33"/>
    <x v="2"/>
    <n v="3"/>
    <n v="7"/>
    <n v="12326.42"/>
    <n v="10967.82"/>
    <n v="15124.72"/>
  </r>
  <r>
    <s v="141"/>
    <s v="Ana Morales"/>
    <d v="1948-12-31T00:00:00"/>
    <n v="77"/>
    <x v="0"/>
    <x v="5"/>
    <d v="2023-12-26T00:00:00"/>
    <d v="2025-01-23T00:00:00"/>
    <n v="4"/>
    <x v="2"/>
    <n v="7"/>
    <n v="7"/>
    <n v="19970.11"/>
    <n v="2071.6999999999998"/>
    <n v="8867.26"/>
  </r>
  <r>
    <s v="142"/>
    <s v="Carmen Martínez"/>
    <d v="1986-01-01T00:00:00"/>
    <n v="2"/>
    <x v="0"/>
    <x v="2"/>
    <d v="2024-03-27T00:00:00"/>
    <d v="2025-01-06T00:00:00"/>
    <n v="0"/>
    <x v="1"/>
    <n v="14"/>
    <n v="9"/>
    <n v="9867.32"/>
    <n v="2651.48"/>
    <n v="4211.8900000000003"/>
  </r>
  <r>
    <s v="143"/>
    <s v="María Cruz"/>
    <d v="2025-12-31T00:00:00"/>
    <n v="0"/>
    <x v="1"/>
    <x v="0"/>
    <d v="2023-03-20T00:00:00"/>
    <d v="2023-10-26T00:00:00"/>
    <n v="27"/>
    <x v="2"/>
    <n v="9"/>
    <n v="5"/>
    <n v="19720.439999999999"/>
    <n v="9655.64"/>
    <n v="8868.74"/>
  </r>
  <r>
    <s v="144"/>
    <s v="Laura Hernández"/>
    <d v="2021-12-31T00:00:00"/>
    <n v="4"/>
    <x v="1"/>
    <x v="2"/>
    <d v="2024-08-18T00:00:00"/>
    <d v="2023-02-22T00:00:00"/>
    <n v="2"/>
    <x v="0"/>
    <n v="0"/>
    <n v="9"/>
    <n v="16176.59"/>
    <n v="6556.67"/>
    <n v="10714.9"/>
  </r>
  <r>
    <s v="145"/>
    <s v="Carlos Ramírez"/>
    <d v="1936-12-31T00:00:00"/>
    <n v="89"/>
    <x v="0"/>
    <x v="3"/>
    <d v="2023-06-21T00:00:00"/>
    <d v="2025-01-03T00:00:00"/>
    <n v="31"/>
    <x v="0"/>
    <n v="3"/>
    <n v="2"/>
    <n v="979.52"/>
    <n v="3273.77"/>
    <n v="9177.75"/>
  </r>
  <r>
    <s v="146"/>
    <s v="Sofía Rodríguez"/>
    <d v="2012-12-31T00:00:00"/>
    <n v="13"/>
    <x v="1"/>
    <x v="6"/>
    <d v="2023-07-31T00:00:00"/>
    <d v="2023-11-01T00:00:00"/>
    <n v="35"/>
    <x v="1"/>
    <n v="0"/>
    <n v="8"/>
    <n v="27550"/>
    <n v="4243.1099999999997"/>
    <n v="5413.92"/>
  </r>
  <r>
    <s v="147"/>
    <s v="María Ramírez"/>
    <d v="2000-01-01T00:00:00"/>
    <n v="26"/>
    <x v="0"/>
    <x v="1"/>
    <d v="2024-03-20T00:00:00"/>
    <d v="2023-10-16T00:00:00"/>
    <n v="33"/>
    <x v="1"/>
    <n v="12"/>
    <n v="2"/>
    <n v="4927.7"/>
    <n v="9283.7800000000007"/>
    <n v="3620.55"/>
  </r>
  <r>
    <s v="148"/>
    <s v="Luisa López"/>
    <d v="2017-12-31T00:00:00"/>
    <n v="8"/>
    <x v="1"/>
    <x v="2"/>
    <d v="2023-05-29T00:00:00"/>
    <d v="2024-10-26T00:00:00"/>
    <n v="30"/>
    <x v="1"/>
    <n v="0"/>
    <n v="3"/>
    <n v="13271.63"/>
    <n v="10880.56"/>
    <n v="18933.740000000002"/>
  </r>
  <r>
    <s v="149"/>
    <s v="Carmen Cruz"/>
    <d v="1948-01-01T00:00:00"/>
    <n v="78"/>
    <x v="0"/>
    <x v="6"/>
    <d v="2023-01-10T00:00:00"/>
    <d v="2025-06-18T00:00:00"/>
    <n v="13"/>
    <x v="0"/>
    <n v="14"/>
    <n v="9"/>
    <n v="28401.71"/>
    <n v="3114.21"/>
    <n v="5879.47"/>
  </r>
  <r>
    <s v="150"/>
    <s v="Ricardo Sánchez"/>
    <d v="2012-01-01T00:00:00"/>
    <n v="14"/>
    <x v="0"/>
    <x v="4"/>
    <d v="2024-06-25T00:00:00"/>
    <d v="2023-04-29T00:00:00"/>
    <n v="35"/>
    <x v="2"/>
    <n v="10"/>
    <n v="0"/>
    <n v="7043.66"/>
    <n v="14327.91"/>
    <n v="14077.93"/>
  </r>
  <r>
    <s v="151"/>
    <s v="Elena Pérez"/>
    <d v="1936-12-31T00:00:00"/>
    <n v="89"/>
    <x v="0"/>
    <x v="0"/>
    <d v="2023-02-24T00:00:00"/>
    <d v="2024-02-29T00:00:00"/>
    <n v="8"/>
    <x v="0"/>
    <n v="9"/>
    <n v="1"/>
    <n v="176.02"/>
    <n v="122.68"/>
    <n v="6747.96"/>
  </r>
  <r>
    <s v="152"/>
    <s v="Juan Martínez"/>
    <d v="1984-12-31T00:00:00"/>
    <n v="41"/>
    <x v="1"/>
    <x v="0"/>
    <d v="2024-09-30T00:00:00"/>
    <d v="2025-03-02T00:00:00"/>
    <n v="5"/>
    <x v="0"/>
    <n v="7"/>
    <n v="5"/>
    <n v="14446.52"/>
    <n v="10500.93"/>
    <n v="19389.82"/>
  </r>
  <r>
    <s v="153"/>
    <s v="José Rodríguez"/>
    <d v="1949-12-31T00:00:00"/>
    <n v="14"/>
    <x v="0"/>
    <x v="4"/>
    <d v="2023-06-29T00:00:00"/>
    <d v="2024-10-09T00:00:00"/>
    <n v="2"/>
    <x v="2"/>
    <n v="5"/>
    <n v="0"/>
    <n v="6329.9"/>
    <n v="4365.01"/>
    <n v="19764.400000000001"/>
  </r>
  <r>
    <s v="154"/>
    <s v="Elena Cruz"/>
    <d v="1976-01-01T00:00:00"/>
    <n v="50"/>
    <x v="1"/>
    <x v="4"/>
    <d v="2024-01-16T00:00:00"/>
    <d v="2023-07-29T00:00:00"/>
    <n v="11"/>
    <x v="0"/>
    <n v="2"/>
    <n v="8"/>
    <n v="17251.84"/>
    <n v="7177.72"/>
    <n v="16484.439999999999"/>
  </r>
  <r>
    <s v="155"/>
    <s v="Jorge Morales"/>
    <d v="1964-01-01T00:00:00"/>
    <n v="62"/>
    <x v="0"/>
    <x v="4"/>
    <d v="2024-02-26T00:00:00"/>
    <d v="2023-05-08T00:00:00"/>
    <n v="27"/>
    <x v="1"/>
    <n v="14"/>
    <n v="7"/>
    <n v="24421.8"/>
    <n v="8547.7099999999991"/>
    <n v="11587.62"/>
  </r>
  <r>
    <s v="156"/>
    <s v="Ricardo Hernández"/>
    <d v="1975-01-01T00:00:00"/>
    <n v="51"/>
    <x v="1"/>
    <x v="3"/>
    <d v="2024-03-26T00:00:00"/>
    <d v="2023-10-21T00:00:00"/>
    <n v="18"/>
    <x v="1"/>
    <n v="12"/>
    <n v="1"/>
    <n v="15092.21"/>
    <n v="8422.83"/>
    <n v="10795.55"/>
  </r>
  <r>
    <s v="157"/>
    <s v="Ana Ramírez"/>
    <d v="2023-01-01T00:00:00"/>
    <n v="3"/>
    <x v="1"/>
    <x v="4"/>
    <d v="2023-04-03T00:00:00"/>
    <d v="2024-06-03T00:00:00"/>
    <n v="18"/>
    <x v="0"/>
    <n v="9"/>
    <n v="1"/>
    <n v="19173.400000000001"/>
    <n v="11644.17"/>
    <n v="6512.12"/>
  </r>
  <r>
    <s v="158"/>
    <s v="Pedro Cruz"/>
    <d v="1932-12-31T00:00:00"/>
    <n v="93"/>
    <x v="1"/>
    <x v="3"/>
    <d v="2024-06-03T00:00:00"/>
    <d v="2023-08-11T00:00:00"/>
    <n v="31"/>
    <x v="2"/>
    <n v="12"/>
    <n v="7"/>
    <n v="19817.650000000001"/>
    <n v="12357.46"/>
    <n v="2352.77"/>
  </r>
  <r>
    <s v="159"/>
    <s v="Elena Hernández"/>
    <d v="2004-01-01T00:00:00"/>
    <n v="22"/>
    <x v="1"/>
    <x v="2"/>
    <d v="2024-02-17T00:00:00"/>
    <d v="2023-03-19T00:00:00"/>
    <n v="35"/>
    <x v="1"/>
    <n v="6"/>
    <n v="7"/>
    <n v="24526.3"/>
    <n v="1100.24"/>
    <n v="1489.13"/>
  </r>
  <r>
    <s v="160"/>
    <s v="Laura Hernández"/>
    <d v="2012-01-01T00:00:00"/>
    <n v="14"/>
    <x v="2"/>
    <x v="5"/>
    <d v="2024-01-29T00:00:00"/>
    <d v="2023-12-05T00:00:00"/>
    <n v="23"/>
    <x v="0"/>
    <n v="9"/>
    <n v="0"/>
    <n v="20481.77"/>
    <n v="10545.13"/>
    <n v="9255.49"/>
  </r>
  <r>
    <s v="161"/>
    <s v="Pedro Martínez"/>
    <d v="1984-01-01T00:00:00"/>
    <n v="42"/>
    <x v="1"/>
    <x v="4"/>
    <d v="2023-11-27T00:00:00"/>
    <d v="2025-05-13T00:00:00"/>
    <n v="38"/>
    <x v="0"/>
    <n v="9"/>
    <n v="4"/>
    <n v="29273.25"/>
    <n v="5985.86"/>
    <n v="19573.650000000001"/>
  </r>
  <r>
    <s v="162"/>
    <s v="Ricardo Rodríguez"/>
    <d v="1997-12-31T00:00:00"/>
    <n v="28"/>
    <x v="0"/>
    <x v="4"/>
    <d v="2024-12-08T00:00:00"/>
    <d v="2025-03-01T00:00:00"/>
    <n v="11"/>
    <x v="0"/>
    <n v="11"/>
    <n v="1"/>
    <n v="13414.44"/>
    <n v="12278.84"/>
    <n v="4862.25"/>
  </r>
  <r>
    <s v="163"/>
    <s v="Jorge Rodríguez"/>
    <d v="1991-01-01T00:00:00"/>
    <n v="35"/>
    <x v="2"/>
    <x v="0"/>
    <d v="2024-03-08T00:00:00"/>
    <d v="2025-04-26T00:00:00"/>
    <n v="37"/>
    <x v="2"/>
    <n v="2"/>
    <n v="0"/>
    <n v="0"/>
    <n v="9133.36"/>
    <n v="8160.14"/>
  </r>
  <r>
    <s v="164"/>
    <s v="Elena Hernández"/>
    <d v="2013-12-31T00:00:00"/>
    <n v="12"/>
    <x v="1"/>
    <x v="6"/>
    <d v="2023-06-12T00:00:00"/>
    <d v="2025-04-30T00:00:00"/>
    <n v="32"/>
    <x v="2"/>
    <n v="14"/>
    <n v="2"/>
    <n v="11517.82"/>
    <n v="153.55000000000001"/>
    <n v="12792.53"/>
  </r>
  <r>
    <s v="165"/>
    <s v="María Hernández"/>
    <d v="1995-01-01T00:00:00"/>
    <n v="31"/>
    <x v="0"/>
    <x v="5"/>
    <d v="2023-02-09T00:00:00"/>
    <d v="2025-01-09T00:00:00"/>
    <n v="39"/>
    <x v="2"/>
    <n v="1"/>
    <n v="2"/>
    <n v="25116.28"/>
    <n v="9996.98"/>
    <n v="6956.38"/>
  </r>
  <r>
    <s v="166"/>
    <s v="Elena Hernández"/>
    <d v="1956-01-01T00:00:00"/>
    <n v="70"/>
    <x v="1"/>
    <x v="0"/>
    <d v="2023-03-26T00:00:00"/>
    <d v="2023-10-03T00:00:00"/>
    <n v="15"/>
    <x v="1"/>
    <n v="10"/>
    <n v="9"/>
    <n v="3558.56"/>
    <n v="13885.65"/>
    <n v="27.04"/>
  </r>
  <r>
    <s v="167"/>
    <s v="Pedro Ramírez"/>
    <d v="1968-01-01T00:00:00"/>
    <n v="58"/>
    <x v="1"/>
    <x v="2"/>
    <d v="2024-08-12T00:00:00"/>
    <d v="2025-05-13T00:00:00"/>
    <n v="17"/>
    <x v="0"/>
    <n v="12"/>
    <n v="8"/>
    <n v="21946.17"/>
    <n v="1246.45"/>
    <n v="7863.96"/>
  </r>
  <r>
    <s v="168"/>
    <s v="Pedro Cruz"/>
    <d v="1940-12-31T00:00:00"/>
    <n v="85"/>
    <x v="1"/>
    <x v="4"/>
    <d v="2024-12-25T00:00:00"/>
    <d v="2025-03-18T00:00:00"/>
    <n v="6"/>
    <x v="0"/>
    <n v="8"/>
    <n v="9"/>
    <n v="15837.67"/>
    <n v="7413.46"/>
    <n v="16073.29"/>
  </r>
  <r>
    <s v="169"/>
    <s v="José Rodríguez"/>
    <d v="1999-01-01T00:00:00"/>
    <n v="27"/>
    <x v="0"/>
    <x v="0"/>
    <d v="2023-04-01T00:00:00"/>
    <d v="2023-04-28T00:00:00"/>
    <n v="38"/>
    <x v="2"/>
    <n v="12"/>
    <n v="0"/>
    <n v="26970.32"/>
    <n v="9387.7999999999993"/>
    <n v="18873.599999999999"/>
  </r>
  <r>
    <s v="170"/>
    <s v="Miguel Rodríguez"/>
    <d v="1960-12-31T00:00:00"/>
    <n v="65"/>
    <x v="1"/>
    <x v="3"/>
    <d v="2024-04-28T00:00:00"/>
    <d v="2023-10-20T00:00:00"/>
    <n v="30"/>
    <x v="0"/>
    <n v="1"/>
    <n v="1"/>
    <n v="21801.279999999999"/>
    <n v="2937.95"/>
    <n v="5429.33"/>
  </r>
  <r>
    <s v="171"/>
    <s v="Carmen Pérez"/>
    <d v="1984-12-31T00:00:00"/>
    <n v="41"/>
    <x v="0"/>
    <x v="6"/>
    <d v="2024-01-20T00:00:00"/>
    <d v="2023-09-29T00:00:00"/>
    <n v="1"/>
    <x v="1"/>
    <n v="8"/>
    <n v="8"/>
    <n v="19645.990000000002"/>
    <n v="9760.3700000000008"/>
    <n v="18425.080000000002"/>
  </r>
  <r>
    <s v="172"/>
    <s v="Carmen Martínez"/>
    <d v="1981-12-31T00:00:00"/>
    <n v="44"/>
    <x v="0"/>
    <x v="6"/>
    <d v="2023-07-12T00:00:00"/>
    <d v="2024-03-23T00:00:00"/>
    <n v="1"/>
    <x v="0"/>
    <n v="10"/>
    <n v="4"/>
    <n v="26549.78"/>
    <n v="746.98"/>
    <n v="17329.689999999999"/>
  </r>
  <r>
    <s v="173"/>
    <s v="Ricardo López"/>
    <d v="1964-12-31T00:00:00"/>
    <n v="61"/>
    <x v="0"/>
    <x v="3"/>
    <d v="2023-09-10T00:00:00"/>
    <d v="2023-06-07T00:00:00"/>
    <n v="13"/>
    <x v="0"/>
    <n v="1"/>
    <n v="8"/>
    <n v="27200.71"/>
    <n v="13585.19"/>
    <n v="8075.15"/>
  </r>
  <r>
    <s v="174"/>
    <s v="Sofía Cruz"/>
    <d v="1969-12-31T00:00:00"/>
    <n v="56"/>
    <x v="1"/>
    <x v="4"/>
    <d v="2024-10-16T00:00:00"/>
    <d v="2024-07-26T00:00:00"/>
    <n v="23"/>
    <x v="0"/>
    <n v="0"/>
    <n v="5"/>
    <n v="11239.96"/>
    <n v="11439.81"/>
    <n v="5.98"/>
  </r>
  <r>
    <s v="175"/>
    <s v="Laura Martínez"/>
    <d v="2020-12-31T00:00:00"/>
    <n v="5"/>
    <x v="0"/>
    <x v="4"/>
    <d v="2023-09-01T00:00:00"/>
    <d v="2023-07-04T00:00:00"/>
    <n v="3"/>
    <x v="1"/>
    <n v="0"/>
    <n v="9"/>
    <n v="27799.34"/>
    <n v="14115.35"/>
    <n v="16882.009999999998"/>
  </r>
  <r>
    <s v="176"/>
    <s v="Miguel López"/>
    <d v="1999-01-01T00:00:00"/>
    <n v="27"/>
    <x v="0"/>
    <x v="5"/>
    <d v="2024-12-24T00:00:00"/>
    <d v="2024-02-29T00:00:00"/>
    <n v="34"/>
    <x v="2"/>
    <n v="5"/>
    <n v="9"/>
    <n v="1168.29"/>
    <n v="6276.4"/>
    <n v="5664.13"/>
  </r>
  <r>
    <s v="177"/>
    <s v="Luisa Hernández"/>
    <d v="1999-01-01T00:00:00"/>
    <n v="27"/>
    <x v="0"/>
    <x v="3"/>
    <d v="2024-12-07T00:00:00"/>
    <d v="2024-10-18T00:00:00"/>
    <n v="19"/>
    <x v="1"/>
    <n v="14"/>
    <n v="2"/>
    <n v="22758.28"/>
    <n v="513.05999999999995"/>
    <n v="15093.32"/>
  </r>
  <r>
    <s v="178"/>
    <s v="Ana Morales"/>
    <d v="1983-01-01T00:00:00"/>
    <n v="43"/>
    <x v="0"/>
    <x v="4"/>
    <d v="2023-09-27T00:00:00"/>
    <d v="2024-11-04T00:00:00"/>
    <n v="39"/>
    <x v="0"/>
    <n v="11"/>
    <n v="7"/>
    <n v="0"/>
    <n v="5123.01"/>
    <n v="11387.44"/>
  </r>
  <r>
    <s v="179"/>
    <s v="María Pérez"/>
    <d v="1943-01-01T00:00:00"/>
    <n v="83"/>
    <x v="0"/>
    <x v="6"/>
    <d v="2023-01-19T00:00:00"/>
    <d v="2024-08-24T00:00:00"/>
    <n v="36"/>
    <x v="0"/>
    <n v="2"/>
    <n v="8"/>
    <n v="14365.61"/>
    <n v="7736.27"/>
    <n v="4355.46"/>
  </r>
  <r>
    <s v="180"/>
    <s v="Ana López"/>
    <d v="1996-12-31T00:00:00"/>
    <n v="29"/>
    <x v="1"/>
    <x v="4"/>
    <d v="2023-02-09T00:00:00"/>
    <d v="2023-01-17T00:00:00"/>
    <n v="4"/>
    <x v="0"/>
    <n v="8"/>
    <n v="1"/>
    <n v="24990.37"/>
    <n v="14038.08"/>
    <n v="12929.05"/>
  </r>
  <r>
    <s v="181"/>
    <s v="Elena Pérez"/>
    <d v="1964-12-31T00:00:00"/>
    <n v="61"/>
    <x v="1"/>
    <x v="2"/>
    <d v="2024-09-01T00:00:00"/>
    <d v="2025-01-31T00:00:00"/>
    <n v="39"/>
    <x v="0"/>
    <n v="10"/>
    <n v="8"/>
    <n v="18929.68"/>
    <n v="13246"/>
    <n v="15273.29"/>
  </r>
  <r>
    <s v="182"/>
    <s v="José López"/>
    <d v="1952-01-01T00:00:00"/>
    <n v="74"/>
    <x v="1"/>
    <x v="4"/>
    <d v="2024-05-30T00:00:00"/>
    <d v="2023-04-09T00:00:00"/>
    <n v="27"/>
    <x v="1"/>
    <n v="7"/>
    <n v="3"/>
    <n v="13453.48"/>
    <n v="8911.08"/>
    <n v="9436.35"/>
  </r>
  <r>
    <s v="183"/>
    <s v="Juan Pérez"/>
    <d v="1935-01-01T00:00:00"/>
    <n v="91"/>
    <x v="1"/>
    <x v="5"/>
    <d v="2023-02-02T00:00:00"/>
    <d v="2024-09-08T00:00:00"/>
    <n v="7"/>
    <x v="1"/>
    <n v="0"/>
    <n v="7"/>
    <n v="0"/>
    <n v="10946.28"/>
    <n v="14933"/>
  </r>
  <r>
    <s v="184"/>
    <s v="Laura Pérez"/>
    <d v="1937-12-31T00:00:00"/>
    <n v="88"/>
    <x v="1"/>
    <x v="1"/>
    <d v="2024-11-07T00:00:00"/>
    <d v="2023-10-28T00:00:00"/>
    <n v="12"/>
    <x v="1"/>
    <n v="14"/>
    <n v="4"/>
    <n v="28147.58"/>
    <n v="14308.47"/>
    <n v="8039.93"/>
  </r>
  <r>
    <s v="185"/>
    <s v="Pedro Morales"/>
    <d v="1964-12-31T00:00:00"/>
    <n v="61"/>
    <x v="1"/>
    <x v="0"/>
    <d v="2024-03-25T00:00:00"/>
    <d v="2025-01-17T00:00:00"/>
    <n v="3"/>
    <x v="0"/>
    <n v="7"/>
    <n v="5"/>
    <n v="9640.56"/>
    <n v="12758.87"/>
    <n v="19603.060000000001"/>
  </r>
  <r>
    <s v="186"/>
    <s v="Pedro Gómez"/>
    <d v="2025-12-31T00:00:00"/>
    <n v="0"/>
    <x v="1"/>
    <x v="1"/>
    <d v="2024-06-22T00:00:00"/>
    <d v="2024-02-27T00:00:00"/>
    <n v="21"/>
    <x v="1"/>
    <n v="4"/>
    <n v="3"/>
    <n v="2585.4299999999998"/>
    <n v="9882.2900000000009"/>
    <n v="4720.1499999999996"/>
  </r>
  <r>
    <s v="187"/>
    <s v="Carmen Ramírez"/>
    <d v="2000-01-01T00:00:00"/>
    <n v="26"/>
    <x v="2"/>
    <x v="2"/>
    <d v="2024-11-15T00:00:00"/>
    <d v="2023-11-04T00:00:00"/>
    <n v="1"/>
    <x v="2"/>
    <n v="8"/>
    <n v="4"/>
    <n v="16706.48"/>
    <n v="8100.83"/>
    <n v="15534.88"/>
  </r>
  <r>
    <s v="188"/>
    <s v="Ricardo Sánchez"/>
    <d v="1964-12-31T00:00:00"/>
    <n v="61"/>
    <x v="1"/>
    <x v="1"/>
    <d v="2024-09-16T00:00:00"/>
    <d v="2023-10-02T00:00:00"/>
    <n v="37"/>
    <x v="0"/>
    <n v="6"/>
    <n v="0"/>
    <n v="11891.53"/>
    <n v="7140.61"/>
    <n v="14967"/>
  </r>
  <r>
    <s v="189"/>
    <s v="Pedro Morales"/>
    <d v="1949-12-31T00:00:00"/>
    <n v="76"/>
    <x v="0"/>
    <x v="4"/>
    <d v="2024-08-29T00:00:00"/>
    <d v="2023-09-19T00:00:00"/>
    <n v="12"/>
    <x v="2"/>
    <n v="5"/>
    <n v="2"/>
    <n v="17510.59"/>
    <n v="11349.15"/>
    <n v="10541.8"/>
  </r>
  <r>
    <s v="190"/>
    <s v="Laura Ramírez"/>
    <d v="2024-01-01T00:00:00"/>
    <n v="2"/>
    <x v="0"/>
    <x v="5"/>
    <d v="2023-11-15T00:00:00"/>
    <d v="2023-08-28T00:00:00"/>
    <n v="18"/>
    <x v="0"/>
    <n v="9"/>
    <n v="3"/>
    <n v="6622.66"/>
    <n v="12131.6"/>
    <n v="6941.8"/>
  </r>
  <r>
    <s v="191"/>
    <s v="Luis Pérez"/>
    <d v="1956-12-31T00:00:00"/>
    <n v="69"/>
    <x v="0"/>
    <x v="6"/>
    <d v="2024-10-07T00:00:00"/>
    <d v="2025-02-13T00:00:00"/>
    <n v="15"/>
    <x v="1"/>
    <n v="11"/>
    <n v="0"/>
    <n v="11051.23"/>
    <n v="3264.66"/>
    <n v="8859.77"/>
  </r>
  <r>
    <s v="192"/>
    <s v="Jorge Cruz"/>
    <d v="1955-01-01T00:00:00"/>
    <n v="71"/>
    <x v="0"/>
    <x v="6"/>
    <d v="2023-05-04T00:00:00"/>
    <d v="2023-11-29T00:00:00"/>
    <n v="2"/>
    <x v="0"/>
    <n v="6"/>
    <n v="2"/>
    <n v="29161.51"/>
    <n v="7110.38"/>
    <n v="12552.7"/>
  </r>
  <r>
    <s v="193"/>
    <s v="Elena Ramírez"/>
    <d v="2000-01-01T00:00:00"/>
    <n v="4"/>
    <x v="1"/>
    <x v="2"/>
    <d v="2024-01-07T00:00:00"/>
    <d v="2023-04-26T00:00:00"/>
    <n v="22"/>
    <x v="1"/>
    <n v="11"/>
    <n v="3"/>
    <n v="0"/>
    <n v="11567.29"/>
    <n v="10560.03"/>
  </r>
  <r>
    <s v="194"/>
    <s v="María Hernández"/>
    <d v="2017-12-31T00:00:00"/>
    <n v="8"/>
    <x v="1"/>
    <x v="1"/>
    <d v="2023-12-17T00:00:00"/>
    <d v="2023-09-26T00:00:00"/>
    <n v="33"/>
    <x v="1"/>
    <n v="14"/>
    <n v="8"/>
    <n v="25863.64"/>
    <n v="10135.61"/>
    <n v="15206.96"/>
  </r>
  <r>
    <s v="195"/>
    <s v="María Pérez"/>
    <d v="1964-12-31T00:00:00"/>
    <n v="61"/>
    <x v="1"/>
    <x v="5"/>
    <d v="2023-11-19T00:00:00"/>
    <d v="2023-01-13T00:00:00"/>
    <n v="7"/>
    <x v="0"/>
    <n v="11"/>
    <n v="2"/>
    <n v="23263.19"/>
    <n v="8873.65"/>
    <n v="7149.7"/>
  </r>
  <r>
    <s v="196"/>
    <s v="Ricardo Ramírez"/>
    <d v="1989-12-31T00:00:00"/>
    <n v="26"/>
    <x v="1"/>
    <x v="0"/>
    <d v="2024-05-02T00:00:00"/>
    <d v="2023-03-15T00:00:00"/>
    <n v="20"/>
    <x v="0"/>
    <n v="7"/>
    <n v="2"/>
    <n v="4275.07"/>
    <n v="4855.8999999999996"/>
    <n v="2055.63"/>
  </r>
  <r>
    <s v="197"/>
    <s v="Elena Gómez"/>
    <d v="1976-01-01T00:00:00"/>
    <n v="50"/>
    <x v="0"/>
    <x v="4"/>
    <d v="2024-03-26T00:00:00"/>
    <d v="2025-05-24T00:00:00"/>
    <n v="21"/>
    <x v="2"/>
    <n v="10"/>
    <n v="3"/>
    <n v="13741.38"/>
    <n v="9138.2800000000007"/>
    <n v="10062.459999999999"/>
  </r>
  <r>
    <s v="198"/>
    <s v="Elena Gómez"/>
    <d v="1983-01-01T00:00:00"/>
    <n v="43"/>
    <x v="0"/>
    <x v="1"/>
    <d v="2023-12-19T00:00:00"/>
    <d v="2024-02-11T00:00:00"/>
    <n v="7"/>
    <x v="2"/>
    <n v="13"/>
    <n v="8"/>
    <n v="0"/>
    <n v="9182.17"/>
    <n v="5106.1400000000003"/>
  </r>
  <r>
    <s v="199"/>
    <s v="Elena Martínez"/>
    <d v="2003-01-01T00:00:00"/>
    <n v="23"/>
    <x v="1"/>
    <x v="1"/>
    <d v="2023-04-26T00:00:00"/>
    <d v="2025-03-28T00:00:00"/>
    <n v="3"/>
    <x v="2"/>
    <n v="11"/>
    <n v="8"/>
    <n v="7483.91"/>
    <n v="6486.5"/>
    <n v="12294.43"/>
  </r>
  <r>
    <s v="200"/>
    <s v="Ricardo Martínez"/>
    <d v="1948-01-01T00:00:00"/>
    <n v="78"/>
    <x v="1"/>
    <x v="0"/>
    <d v="2023-01-13T00:00:00"/>
    <d v="2023-06-28T00:00:00"/>
    <n v="10"/>
    <x v="2"/>
    <n v="14"/>
    <n v="0"/>
    <n v="508.76"/>
    <n v="14404.5"/>
    <n v="10358.49"/>
  </r>
  <r>
    <s v="201"/>
    <s v="Luisa Pérez"/>
    <d v="1984-01-01T00:00:00"/>
    <n v="58"/>
    <x v="1"/>
    <x v="3"/>
    <d v="2023-11-16T00:00:00"/>
    <d v="2025-02-11T00:00:00"/>
    <n v="18"/>
    <x v="2"/>
    <n v="14"/>
    <n v="7"/>
    <n v="12252.02"/>
    <n v="9796.82"/>
    <n v="15552.85"/>
  </r>
  <r>
    <s v="202"/>
    <s v="Pedro Rodríguez"/>
    <d v="1995-01-01T00:00:00"/>
    <n v="31"/>
    <x v="1"/>
    <x v="4"/>
    <d v="2023-06-14T00:00:00"/>
    <d v="2023-09-17T00:00:00"/>
    <n v="29"/>
    <x v="0"/>
    <n v="6"/>
    <n v="9"/>
    <n v="12466.81"/>
    <n v="12760.46"/>
    <n v="11462.07"/>
  </r>
  <r>
    <s v="203"/>
    <s v="Ana Cruz"/>
    <d v="1939-01-01T00:00:00"/>
    <n v="87"/>
    <x v="0"/>
    <x v="2"/>
    <d v="2024-12-20T00:00:00"/>
    <d v="2024-02-05T00:00:00"/>
    <n v="12"/>
    <x v="0"/>
    <n v="4"/>
    <n v="0"/>
    <n v="1485.56"/>
    <n v="1934.37"/>
    <n v="8558.27"/>
  </r>
  <r>
    <s v="204"/>
    <s v="Ana Morales"/>
    <d v="1975-01-01T00:00:00"/>
    <n v="51"/>
    <x v="1"/>
    <x v="4"/>
    <d v="2023-03-26T00:00:00"/>
    <d v="2023-09-28T00:00:00"/>
    <n v="1"/>
    <x v="1"/>
    <n v="6"/>
    <n v="1"/>
    <n v="9278.7800000000007"/>
    <n v="11351.69"/>
    <n v="2309.11"/>
  </r>
  <r>
    <s v="205"/>
    <s v="Jorge Martínez"/>
    <d v="1964-12-31T00:00:00"/>
    <n v="51"/>
    <x v="0"/>
    <x v="5"/>
    <d v="2023-09-05T00:00:00"/>
    <d v="2025-04-12T00:00:00"/>
    <n v="12"/>
    <x v="1"/>
    <n v="6"/>
    <n v="9"/>
    <n v="27477.65"/>
    <n v="9028.0400000000009"/>
    <n v="2314.84"/>
  </r>
  <r>
    <s v="206"/>
    <s v="Luisa López"/>
    <d v="1968-12-31T00:00:00"/>
    <n v="57"/>
    <x v="1"/>
    <x v="2"/>
    <d v="2024-03-07T00:00:00"/>
    <d v="2024-09-24T00:00:00"/>
    <n v="14"/>
    <x v="2"/>
    <n v="0"/>
    <n v="4"/>
    <n v="7134.05"/>
    <n v="4624.16"/>
    <n v="12771.06"/>
  </r>
  <r>
    <s v="207"/>
    <s v="Ricardo Pérez"/>
    <d v="1975-01-01T00:00:00"/>
    <n v="51"/>
    <x v="1"/>
    <x v="0"/>
    <d v="2024-07-21T00:00:00"/>
    <d v="2024-11-12T00:00:00"/>
    <n v="17"/>
    <x v="1"/>
    <n v="0"/>
    <n v="5"/>
    <n v="0"/>
    <n v="2045.43"/>
    <n v="17603.14"/>
  </r>
  <r>
    <s v="208"/>
    <s v="Sofía López"/>
    <d v="2015-01-01T00:00:00"/>
    <n v="11"/>
    <x v="0"/>
    <x v="5"/>
    <d v="2024-11-14T00:00:00"/>
    <d v="2024-05-01T00:00:00"/>
    <n v="3"/>
    <x v="0"/>
    <n v="9"/>
    <n v="1"/>
    <n v="14380.4"/>
    <n v="5694.71"/>
    <n v="8237.23"/>
  </r>
  <r>
    <s v="209"/>
    <s v="Sofía Hernández"/>
    <d v="1988-01-01T00:00:00"/>
    <n v="38"/>
    <x v="0"/>
    <x v="6"/>
    <d v="2024-10-14T00:00:00"/>
    <d v="2024-08-03T00:00:00"/>
    <n v="12"/>
    <x v="0"/>
    <n v="14"/>
    <n v="9"/>
    <n v="25794.84"/>
    <n v="6620.66"/>
    <n v="10568.86"/>
  </r>
  <r>
    <s v="210"/>
    <s v="Laura Pérez"/>
    <d v="2024-12-31T00:00:00"/>
    <n v="1"/>
    <x v="2"/>
    <x v="6"/>
    <d v="2024-10-05T00:00:00"/>
    <d v="2023-03-01T00:00:00"/>
    <n v="14"/>
    <x v="1"/>
    <n v="1"/>
    <n v="4"/>
    <n v="0"/>
    <n v="2111.44"/>
    <n v="11783.37"/>
  </r>
  <r>
    <s v="211"/>
    <s v="Jorge Rodríguez"/>
    <d v="2024-01-01T00:00:00"/>
    <n v="2"/>
    <x v="0"/>
    <x v="4"/>
    <d v="2024-04-23T00:00:00"/>
    <d v="2024-10-04T00:00:00"/>
    <n v="23"/>
    <x v="2"/>
    <n v="8"/>
    <n v="2"/>
    <n v="0"/>
    <n v="10051.9"/>
    <n v="9493.68"/>
  </r>
  <r>
    <s v="212"/>
    <s v="Carmen Gómez"/>
    <d v="1971-01-01T00:00:00"/>
    <n v="55"/>
    <x v="1"/>
    <x v="5"/>
    <d v="2024-12-13T00:00:00"/>
    <d v="2025-06-06T00:00:00"/>
    <n v="19"/>
    <x v="0"/>
    <n v="0"/>
    <n v="6"/>
    <n v="3857.5"/>
    <n v="4606.6400000000003"/>
    <n v="1097.23"/>
  </r>
  <r>
    <s v="213"/>
    <s v="Sofía Pérez"/>
    <d v="1945-12-31T00:00:00"/>
    <n v="80"/>
    <x v="1"/>
    <x v="2"/>
    <d v="2024-01-03T00:00:00"/>
    <d v="2023-09-24T00:00:00"/>
    <n v="6"/>
    <x v="0"/>
    <n v="5"/>
    <n v="0"/>
    <n v="16503.36"/>
    <n v="12090.59"/>
    <n v="11741.7"/>
  </r>
  <r>
    <s v="214"/>
    <s v="Elena Cruz"/>
    <d v="1968-01-01T00:00:00"/>
    <n v="58"/>
    <x v="0"/>
    <x v="2"/>
    <d v="2023-12-23T00:00:00"/>
    <d v="2023-03-17T00:00:00"/>
    <n v="9"/>
    <x v="0"/>
    <n v="9"/>
    <n v="4"/>
    <n v="917.22"/>
    <n v="9725.23"/>
    <n v="2655.76"/>
  </r>
  <r>
    <s v="215"/>
    <s v="Sofía Sánchez"/>
    <d v="2024-12-31T00:00:00"/>
    <n v="1"/>
    <x v="0"/>
    <x v="6"/>
    <d v="2024-02-12T00:00:00"/>
    <d v="2023-04-01T00:00:00"/>
    <n v="19"/>
    <x v="1"/>
    <n v="1"/>
    <n v="2"/>
    <n v="11502.69"/>
    <n v="4657.54"/>
    <n v="11071.66"/>
  </r>
  <r>
    <s v="216"/>
    <s v="Pedro Pérez"/>
    <d v="2024-12-31T00:00:00"/>
    <n v="1"/>
    <x v="0"/>
    <x v="6"/>
    <d v="2023-12-11T00:00:00"/>
    <d v="2024-05-20T00:00:00"/>
    <n v="20"/>
    <x v="2"/>
    <n v="2"/>
    <n v="1"/>
    <n v="11669.84"/>
    <n v="5400.29"/>
    <n v="15485.08"/>
  </r>
  <r>
    <s v="217"/>
    <s v="Carmen Sánchez"/>
    <d v="1935-01-01T00:00:00"/>
    <n v="91"/>
    <x v="1"/>
    <x v="0"/>
    <d v="2023-06-28T00:00:00"/>
    <d v="2023-12-24T00:00:00"/>
    <n v="34"/>
    <x v="1"/>
    <n v="2"/>
    <n v="2"/>
    <n v="5488.16"/>
    <n v="14132.21"/>
    <n v="9.51"/>
  </r>
  <r>
    <s v="218"/>
    <s v="Miguel Rodríguez"/>
    <d v="1972-12-31T00:00:00"/>
    <n v="53"/>
    <x v="2"/>
    <x v="5"/>
    <d v="2024-02-29T00:00:00"/>
    <d v="2023-06-04T00:00:00"/>
    <n v="11"/>
    <x v="2"/>
    <n v="2"/>
    <n v="9"/>
    <n v="8680.8700000000008"/>
    <n v="14221.79"/>
    <n v="8552.57"/>
  </r>
  <r>
    <s v="219"/>
    <s v="Carmen Ramírez"/>
    <d v="1940-01-01T00:00:00"/>
    <n v="86"/>
    <x v="1"/>
    <x v="2"/>
    <d v="2024-06-24T00:00:00"/>
    <d v="2023-08-07T00:00:00"/>
    <n v="21"/>
    <x v="2"/>
    <n v="0"/>
    <n v="3"/>
    <n v="9563.42"/>
    <n v="6275.56"/>
    <n v="14888.37"/>
  </r>
  <r>
    <s v="220"/>
    <s v="Carmen Pérez"/>
    <d v="2025-12-31T00:00:00"/>
    <n v="0"/>
    <x v="0"/>
    <x v="0"/>
    <d v="2024-03-18T00:00:00"/>
    <d v="2024-05-01T00:00:00"/>
    <n v="5"/>
    <x v="0"/>
    <n v="9"/>
    <n v="1"/>
    <n v="141.36000000000001"/>
    <n v="10187.549999999999"/>
    <n v="10523.58"/>
  </r>
  <r>
    <s v="221"/>
    <s v="Juan Morales"/>
    <d v="1965-01-01T00:00:00"/>
    <n v="18"/>
    <x v="0"/>
    <x v="2"/>
    <d v="2023-11-02T00:00:00"/>
    <d v="2024-06-24T00:00:00"/>
    <n v="23"/>
    <x v="0"/>
    <n v="4"/>
    <n v="1"/>
    <n v="24079.69"/>
    <n v="14699.58"/>
    <n v="4629.67"/>
  </r>
  <r>
    <s v="222"/>
    <s v="Elena Martínez"/>
    <d v="2024-12-31T00:00:00"/>
    <n v="1"/>
    <x v="1"/>
    <x v="6"/>
    <d v="2024-01-02T00:00:00"/>
    <d v="2023-05-11T00:00:00"/>
    <n v="29"/>
    <x v="0"/>
    <n v="1"/>
    <n v="2"/>
    <n v="28702.11"/>
    <n v="14910.77"/>
    <n v="13921.1"/>
  </r>
  <r>
    <s v="223"/>
    <s v="Luis Sánchez"/>
    <d v="1973-12-31T00:00:00"/>
    <n v="52"/>
    <x v="0"/>
    <x v="5"/>
    <d v="2023-02-05T00:00:00"/>
    <d v="2023-03-08T00:00:00"/>
    <n v="25"/>
    <x v="1"/>
    <n v="10"/>
    <n v="1"/>
    <n v="8322.6299999999992"/>
    <n v="1082.01"/>
    <n v="15647.79"/>
  </r>
  <r>
    <s v="224"/>
    <s v="Luisa Sánchez"/>
    <d v="1983-01-01T00:00:00"/>
    <n v="43"/>
    <x v="1"/>
    <x v="3"/>
    <d v="2024-04-07T00:00:00"/>
    <d v="2023-05-25T00:00:00"/>
    <n v="29"/>
    <x v="1"/>
    <n v="12"/>
    <n v="5"/>
    <n v="2915.56"/>
    <n v="8302.49"/>
    <n v="7186.76"/>
  </r>
  <r>
    <s v="225"/>
    <s v="José Hernández"/>
    <d v="1936-12-31T00:00:00"/>
    <n v="89"/>
    <x v="2"/>
    <x v="5"/>
    <d v="2024-09-12T00:00:00"/>
    <d v="2024-01-16T00:00:00"/>
    <n v="19"/>
    <x v="2"/>
    <n v="3"/>
    <n v="1"/>
    <n v="28583.34"/>
    <n v="10899.26"/>
    <n v="5877.75"/>
  </r>
  <r>
    <s v="226"/>
    <s v="María Hernández"/>
    <d v="1995-01-01T00:00:00"/>
    <n v="31"/>
    <x v="1"/>
    <x v="1"/>
    <d v="2023-05-26T00:00:00"/>
    <d v="2023-11-10T00:00:00"/>
    <n v="6"/>
    <x v="0"/>
    <n v="0"/>
    <n v="0"/>
    <n v="22086.81"/>
    <n v="2802.99"/>
    <n v="10857.28"/>
  </r>
  <r>
    <s v="227"/>
    <s v="Luis Rodríguez"/>
    <d v="1956-12-31T00:00:00"/>
    <n v="69"/>
    <x v="0"/>
    <x v="3"/>
    <d v="2023-05-26T00:00:00"/>
    <d v="2024-02-12T00:00:00"/>
    <n v="0"/>
    <x v="2"/>
    <n v="7"/>
    <n v="7"/>
    <n v="26679.84"/>
    <n v="12328.58"/>
    <n v="7245"/>
  </r>
  <r>
    <s v="228"/>
    <s v="José Sánchez"/>
    <d v="1995-01-01T00:00:00"/>
    <n v="31"/>
    <x v="1"/>
    <x v="4"/>
    <d v="2024-01-15T00:00:00"/>
    <d v="2024-02-12T00:00:00"/>
    <n v="22"/>
    <x v="0"/>
    <n v="0"/>
    <n v="9"/>
    <n v="10506.72"/>
    <n v="7026.82"/>
    <n v="16702.330000000002"/>
  </r>
  <r>
    <s v="229"/>
    <s v="Sofía Pérez"/>
    <d v="1959-01-01T00:00:00"/>
    <n v="67"/>
    <x v="0"/>
    <x v="4"/>
    <d v="2023-06-17T00:00:00"/>
    <d v="2023-10-05T00:00:00"/>
    <n v="36"/>
    <x v="0"/>
    <n v="4"/>
    <n v="3"/>
    <n v="14263.9"/>
    <n v="7466.27"/>
    <n v="15558.91"/>
  </r>
  <r>
    <s v="230"/>
    <s v="Carlos Rodríguez"/>
    <d v="1972-01-01T00:00:00"/>
    <n v="54"/>
    <x v="0"/>
    <x v="0"/>
    <d v="2023-10-02T00:00:00"/>
    <d v="2024-09-07T00:00:00"/>
    <n v="9"/>
    <x v="2"/>
    <n v="2"/>
    <n v="1"/>
    <n v="27872.31"/>
    <n v="4114.8500000000004"/>
    <n v="6168.95"/>
  </r>
  <r>
    <s v="231"/>
    <s v="Carmen Sánchez"/>
    <d v="1952-01-01T00:00:00"/>
    <n v="74"/>
    <x v="1"/>
    <x v="3"/>
    <d v="2023-03-28T00:00:00"/>
    <d v="2024-02-14T00:00:00"/>
    <n v="26"/>
    <x v="2"/>
    <n v="12"/>
    <n v="3"/>
    <n v="13516.35"/>
    <n v="4502.21"/>
    <n v="9085.27"/>
  </r>
  <r>
    <s v="232"/>
    <s v="Juan Martínez"/>
    <d v="1971-01-01T00:00:00"/>
    <n v="55"/>
    <x v="1"/>
    <x v="3"/>
    <d v="2023-06-03T00:00:00"/>
    <d v="2023-11-11T00:00:00"/>
    <n v="0"/>
    <x v="2"/>
    <n v="4"/>
    <n v="1"/>
    <n v="19998.91"/>
    <n v="1262.5999999999999"/>
    <n v="17778.71"/>
  </r>
  <r>
    <s v="233"/>
    <s v="Carlos Gómez"/>
    <d v="2009-12-31T00:00:00"/>
    <n v="16"/>
    <x v="0"/>
    <x v="0"/>
    <d v="2024-05-11T00:00:00"/>
    <d v="2024-07-03T00:00:00"/>
    <n v="38"/>
    <x v="2"/>
    <n v="13"/>
    <n v="4"/>
    <n v="20996.36"/>
    <n v="13972.74"/>
    <n v="2862.27"/>
  </r>
  <r>
    <s v="234"/>
    <s v="Laura Sánchez"/>
    <d v="1988-12-31T00:00:00"/>
    <n v="37"/>
    <x v="1"/>
    <x v="5"/>
    <d v="2023-11-11T00:00:00"/>
    <d v="2023-09-07T00:00:00"/>
    <n v="20"/>
    <x v="2"/>
    <n v="0"/>
    <n v="6"/>
    <n v="25031.97"/>
    <n v="5728"/>
    <n v="15060.07"/>
  </r>
  <r>
    <s v="235"/>
    <s v="Carlos Ramírez"/>
    <d v="2003-01-01T00:00:00"/>
    <n v="0"/>
    <x v="0"/>
    <x v="0"/>
    <d v="2024-09-01T00:00:00"/>
    <d v="2024-04-06T00:00:00"/>
    <n v="20"/>
    <x v="0"/>
    <n v="10"/>
    <n v="5"/>
    <n v="29242.959999999999"/>
    <n v="2433.4499999999998"/>
    <n v="6267.76"/>
  </r>
  <r>
    <s v="236"/>
    <s v="Jorge Pérez"/>
    <d v="1957-12-31T00:00:00"/>
    <n v="68"/>
    <x v="1"/>
    <x v="1"/>
    <d v="2024-12-23T00:00:00"/>
    <d v="2024-02-04T00:00:00"/>
    <n v="15"/>
    <x v="0"/>
    <n v="0"/>
    <n v="1"/>
    <n v="9714.43"/>
    <n v="2135.3200000000002"/>
    <n v="2301.4899999999998"/>
  </r>
  <r>
    <s v="237"/>
    <s v="José Rodríguez"/>
    <d v="1956-12-31T00:00:00"/>
    <n v="69"/>
    <x v="0"/>
    <x v="6"/>
    <d v="2024-07-13T00:00:00"/>
    <d v="2024-10-30T00:00:00"/>
    <n v="8"/>
    <x v="0"/>
    <n v="10"/>
    <n v="3"/>
    <n v="0"/>
    <n v="6111.09"/>
    <n v="2251.2800000000002"/>
  </r>
  <r>
    <s v="238"/>
    <s v="Pedro Hernández"/>
    <d v="1940-12-31T00:00:00"/>
    <n v="85"/>
    <x v="1"/>
    <x v="4"/>
    <d v="2023-10-01T00:00:00"/>
    <d v="2024-03-27T00:00:00"/>
    <n v="33"/>
    <x v="1"/>
    <n v="5"/>
    <n v="7"/>
    <n v="1870.03"/>
    <n v="9483.1200000000008"/>
    <n v="5453.38"/>
  </r>
  <r>
    <s v="239"/>
    <s v="Jorge Gómez"/>
    <d v="2016-01-01T00:00:00"/>
    <n v="2"/>
    <x v="1"/>
    <x v="6"/>
    <d v="2024-12-06T00:00:00"/>
    <d v="2024-04-16T00:00:00"/>
    <n v="23"/>
    <x v="0"/>
    <n v="14"/>
    <n v="6"/>
    <n v="25624.39"/>
    <n v="11666.73"/>
    <n v="10916.4"/>
  </r>
  <r>
    <s v="240"/>
    <s v="José Ramírez"/>
    <d v="2011-01-01T00:00:00"/>
    <n v="15"/>
    <x v="1"/>
    <x v="4"/>
    <d v="2023-09-19T00:00:00"/>
    <d v="2024-10-06T00:00:00"/>
    <n v="5"/>
    <x v="0"/>
    <n v="1"/>
    <n v="6"/>
    <n v="8426.74"/>
    <n v="13869.07"/>
    <n v="18148.59"/>
  </r>
  <r>
    <s v="241"/>
    <s v="Luis Rodríguez"/>
    <d v="1953-12-31T00:00:00"/>
    <n v="72"/>
    <x v="1"/>
    <x v="3"/>
    <d v="2024-05-01T00:00:00"/>
    <d v="2024-07-13T00:00:00"/>
    <n v="25"/>
    <x v="0"/>
    <n v="1"/>
    <n v="3"/>
    <n v="1013.19"/>
    <n v="9535.5300000000007"/>
    <n v="5990.2"/>
  </r>
  <r>
    <s v="242"/>
    <s v="Ana López"/>
    <d v="1968-01-01T00:00:00"/>
    <n v="58"/>
    <x v="1"/>
    <x v="0"/>
    <d v="2024-03-29T00:00:00"/>
    <d v="2024-03-10T00:00:00"/>
    <n v="15"/>
    <x v="2"/>
    <n v="13"/>
    <n v="0"/>
    <n v="25890.75"/>
    <n v="6309.93"/>
    <n v="3904.48"/>
  </r>
  <r>
    <s v="243"/>
    <s v="José Morales"/>
    <d v="1956-12-31T00:00:00"/>
    <n v="69"/>
    <x v="0"/>
    <x v="0"/>
    <d v="2024-03-18T00:00:00"/>
    <d v="2024-03-22T00:00:00"/>
    <n v="10"/>
    <x v="0"/>
    <n v="13"/>
    <n v="6"/>
    <n v="15052.24"/>
    <n v="6329.2"/>
    <n v="9520.9699999999993"/>
  </r>
  <r>
    <s v="244"/>
    <s v="Juan López"/>
    <d v="1947-01-01T00:00:00"/>
    <n v="79"/>
    <x v="0"/>
    <x v="0"/>
    <d v="2023-09-19T00:00:00"/>
    <d v="2024-12-08T00:00:00"/>
    <n v="33"/>
    <x v="2"/>
    <n v="5"/>
    <n v="5"/>
    <n v="25068.55"/>
    <n v="8615.65"/>
    <n v="3048.24"/>
  </r>
  <r>
    <s v="245"/>
    <s v="Miguel López"/>
    <d v="1933-12-31T00:00:00"/>
    <n v="92"/>
    <x v="0"/>
    <x v="1"/>
    <d v="2024-06-26T00:00:00"/>
    <d v="2023-04-14T00:00:00"/>
    <n v="39"/>
    <x v="2"/>
    <n v="6"/>
    <n v="7"/>
    <n v="16411.7"/>
    <n v="8070.61"/>
    <n v="5360.99"/>
  </r>
  <r>
    <s v="246"/>
    <s v="Miguel Pérez"/>
    <d v="2024-01-01T00:00:00"/>
    <n v="2"/>
    <x v="0"/>
    <x v="1"/>
    <d v="2023-04-15T00:00:00"/>
    <d v="2023-11-25T00:00:00"/>
    <n v="37"/>
    <x v="0"/>
    <n v="5"/>
    <n v="4"/>
    <n v="9068.76"/>
    <n v="9612.2199999999993"/>
    <n v="19731.29"/>
  </r>
  <r>
    <s v="247"/>
    <s v="Sofía López"/>
    <d v="2007-01-01T00:00:00"/>
    <n v="19"/>
    <x v="1"/>
    <x v="5"/>
    <d v="2023-12-16T00:00:00"/>
    <d v="2024-11-14T00:00:00"/>
    <n v="9"/>
    <x v="0"/>
    <n v="1"/>
    <n v="7"/>
    <n v="3458.34"/>
    <n v="7551.16"/>
    <n v="11116.82"/>
  </r>
  <r>
    <s v="248"/>
    <s v="Luisa Rodríguez"/>
    <d v="1968-01-01T00:00:00"/>
    <n v="58"/>
    <x v="0"/>
    <x v="2"/>
    <d v="2024-03-13T00:00:00"/>
    <d v="2024-08-24T00:00:00"/>
    <n v="19"/>
    <x v="2"/>
    <n v="1"/>
    <n v="9"/>
    <n v="12833.43"/>
    <n v="884.86"/>
    <n v="15656.59"/>
  </r>
  <r>
    <s v="249"/>
    <s v="Miguel Rodríguez"/>
    <d v="1991-01-01T00:00:00"/>
    <n v="35"/>
    <x v="1"/>
    <x v="4"/>
    <d v="2023-06-18T00:00:00"/>
    <d v="2023-09-04T00:00:00"/>
    <n v="1"/>
    <x v="0"/>
    <n v="5"/>
    <n v="7"/>
    <n v="0"/>
    <n v="7510.93"/>
    <n v="4157.38"/>
  </r>
  <r>
    <s v="250"/>
    <s v="Ricardo Sánchez"/>
    <d v="2008-01-01T00:00:00"/>
    <n v="18"/>
    <x v="0"/>
    <x v="2"/>
    <d v="2023-12-09T00:00:00"/>
    <d v="2023-02-28T00:00:00"/>
    <n v="37"/>
    <x v="2"/>
    <n v="1"/>
    <n v="8"/>
    <n v="17875.009999999998"/>
    <n v="338"/>
    <n v="10353.370000000001"/>
  </r>
  <r>
    <s v="251"/>
    <s v="Pedro Pérez"/>
    <d v="1936-12-31T00:00:00"/>
    <n v="89"/>
    <x v="1"/>
    <x v="2"/>
    <d v="2023-08-18T00:00:00"/>
    <d v="2023-04-16T00:00:00"/>
    <n v="25"/>
    <x v="2"/>
    <n v="11"/>
    <n v="0"/>
    <n v="12543.77"/>
    <n v="2709.12"/>
    <n v="10161.629999999999"/>
  </r>
  <r>
    <s v="252"/>
    <s v="Miguel Gómez"/>
    <d v="1960-01-01T00:00:00"/>
    <n v="66"/>
    <x v="1"/>
    <x v="4"/>
    <d v="2023-01-23T00:00:00"/>
    <d v="2024-11-23T00:00:00"/>
    <n v="10"/>
    <x v="2"/>
    <n v="0"/>
    <n v="2"/>
    <n v="3816.47"/>
    <n v="5811.42"/>
    <n v="16234.62"/>
  </r>
  <r>
    <s v="253"/>
    <s v="Pedro Pérez"/>
    <d v="2008-01-01T00:00:00"/>
    <n v="18"/>
    <x v="1"/>
    <x v="5"/>
    <d v="2024-11-06T00:00:00"/>
    <d v="2023-03-11T00:00:00"/>
    <n v="30"/>
    <x v="1"/>
    <n v="12"/>
    <n v="5"/>
    <n v="15672.15"/>
    <n v="8269.6200000000008"/>
    <n v="333.59"/>
  </r>
  <r>
    <s v="254"/>
    <s v="Laura Sánchez"/>
    <d v="2007-01-01T00:00:00"/>
    <n v="19"/>
    <x v="0"/>
    <x v="0"/>
    <d v="2023-10-08T00:00:00"/>
    <d v="2023-10-30T00:00:00"/>
    <n v="0"/>
    <x v="0"/>
    <n v="5"/>
    <n v="3"/>
    <n v="23927.78"/>
    <n v="2772.27"/>
    <n v="17195.64"/>
  </r>
  <r>
    <s v="255"/>
    <s v="Pedro Gómez"/>
    <d v="1956-01-01T00:00:00"/>
    <n v="70"/>
    <x v="1"/>
    <x v="2"/>
    <d v="2024-06-02T00:00:00"/>
    <d v="2023-06-03T00:00:00"/>
    <n v="31"/>
    <x v="0"/>
    <n v="1"/>
    <n v="7"/>
    <n v="29231.41"/>
    <n v="4144.51"/>
    <n v="1499.86"/>
  </r>
  <r>
    <s v="256"/>
    <s v="Ana Hernández"/>
    <d v="1975-01-01T00:00:00"/>
    <n v="51"/>
    <x v="0"/>
    <x v="0"/>
    <d v="2024-12-22T00:00:00"/>
    <d v="2024-06-21T00:00:00"/>
    <n v="20"/>
    <x v="0"/>
    <n v="3"/>
    <n v="9"/>
    <n v="15584.43"/>
    <n v="5613.16"/>
    <n v="18323.59"/>
  </r>
  <r>
    <s v="257"/>
    <s v="Jorge Cruz"/>
    <d v="1993-12-31T00:00:00"/>
    <n v="32"/>
    <x v="1"/>
    <x v="3"/>
    <d v="2023-09-10T00:00:00"/>
    <d v="2025-06-08T00:00:00"/>
    <n v="29"/>
    <x v="0"/>
    <n v="5"/>
    <n v="0"/>
    <n v="3451.3"/>
    <n v="2958.23"/>
    <n v="2771.07"/>
  </r>
  <r>
    <s v="258"/>
    <s v="Laura Sánchez"/>
    <d v="1987-01-01T00:00:00"/>
    <n v="39"/>
    <x v="0"/>
    <x v="2"/>
    <d v="2024-02-08T00:00:00"/>
    <d v="2023-02-05T00:00:00"/>
    <n v="17"/>
    <x v="0"/>
    <n v="11"/>
    <n v="4"/>
    <n v="24226.54"/>
    <n v="14981.45"/>
    <n v="10597.99"/>
  </r>
  <r>
    <s v="259"/>
    <s v="Jorge Sánchez"/>
    <d v="1988-01-01T00:00:00"/>
    <n v="38"/>
    <x v="0"/>
    <x v="3"/>
    <d v="2023-05-13T00:00:00"/>
    <d v="2023-01-16T00:00:00"/>
    <n v="25"/>
    <x v="2"/>
    <n v="0"/>
    <n v="3"/>
    <n v="20721.55"/>
    <n v="12070.7"/>
    <n v="1897.76"/>
  </r>
  <r>
    <s v="260"/>
    <s v="Luisa Cruz"/>
    <d v="1944-12-31T00:00:00"/>
    <n v="81"/>
    <x v="1"/>
    <x v="5"/>
    <d v="2023-10-01T00:00:00"/>
    <d v="2023-04-17T00:00:00"/>
    <n v="5"/>
    <x v="1"/>
    <n v="6"/>
    <n v="0"/>
    <n v="28596.12"/>
    <n v="12164.05"/>
    <n v="8888.5499999999993"/>
  </r>
  <r>
    <s v="261"/>
    <s v="Laura Gómez"/>
    <d v="2025-12-31T00:00:00"/>
    <n v="55"/>
    <x v="0"/>
    <x v="6"/>
    <d v="2024-09-09T00:00:00"/>
    <d v="2024-12-31T00:00:00"/>
    <n v="0"/>
    <x v="2"/>
    <n v="0"/>
    <n v="9"/>
    <n v="15824"/>
    <n v="8532.9599999999991"/>
    <n v="5915.5"/>
  </r>
  <r>
    <s v="262"/>
    <s v="Carlos Morales"/>
    <d v="2016-01-01T00:00:00"/>
    <n v="10"/>
    <x v="0"/>
    <x v="1"/>
    <d v="2023-08-20T00:00:00"/>
    <d v="2025-06-15T00:00:00"/>
    <n v="27"/>
    <x v="2"/>
    <n v="2"/>
    <n v="5"/>
    <n v="10391.67"/>
    <n v="14419.87"/>
    <n v="8343.91"/>
  </r>
  <r>
    <s v="263"/>
    <s v="Pedro Hernández"/>
    <d v="1935-01-01T00:00:00"/>
    <n v="91"/>
    <x v="0"/>
    <x v="4"/>
    <d v="2024-06-28T00:00:00"/>
    <d v="2023-03-16T00:00:00"/>
    <n v="22"/>
    <x v="2"/>
    <n v="2"/>
    <n v="9"/>
    <n v="28866.62"/>
    <n v="10983.01"/>
    <n v="10855.17"/>
  </r>
  <r>
    <s v="264"/>
    <s v="Miguel Cruz"/>
    <d v="1969-12-31T00:00:00"/>
    <n v="56"/>
    <x v="0"/>
    <x v="5"/>
    <d v="2023-03-20T00:00:00"/>
    <d v="2025-05-06T00:00:00"/>
    <n v="27"/>
    <x v="0"/>
    <n v="6"/>
    <n v="2"/>
    <n v="15922.56"/>
    <n v="4963.18"/>
    <n v="9134.7199999999993"/>
  </r>
  <r>
    <s v="265"/>
    <s v="Miguel López"/>
    <d v="1937-12-31T00:00:00"/>
    <n v="88"/>
    <x v="0"/>
    <x v="5"/>
    <d v="2023-02-04T00:00:00"/>
    <d v="2023-10-13T00:00:00"/>
    <n v="26"/>
    <x v="1"/>
    <n v="9"/>
    <n v="4"/>
    <n v="14.88"/>
    <n v="9157.9"/>
    <n v="365.57"/>
  </r>
  <r>
    <s v="266"/>
    <s v="Pedro Morales"/>
    <d v="1995-01-01T00:00:00"/>
    <n v="49"/>
    <x v="0"/>
    <x v="5"/>
    <d v="2024-05-09T00:00:00"/>
    <d v="2024-07-04T00:00:00"/>
    <n v="27"/>
    <x v="2"/>
    <n v="1"/>
    <n v="5"/>
    <n v="0"/>
    <n v="8155.5"/>
    <n v="17255.41"/>
  </r>
  <r>
    <s v="267"/>
    <s v="Carlos Rodríguez"/>
    <d v="2004-01-01T00:00:00"/>
    <n v="22"/>
    <x v="1"/>
    <x v="2"/>
    <d v="2023-04-20T00:00:00"/>
    <d v="2023-07-17T00:00:00"/>
    <n v="31"/>
    <x v="0"/>
    <n v="10"/>
    <n v="3"/>
    <n v="427.47"/>
    <n v="8704.33"/>
    <n v="1808.58"/>
  </r>
  <r>
    <s v="268"/>
    <s v="Pedro Martínez"/>
    <d v="1996-01-01T00:00:00"/>
    <n v="30"/>
    <x v="0"/>
    <x v="3"/>
    <d v="2023-11-17T00:00:00"/>
    <d v="2023-10-08T00:00:00"/>
    <n v="22"/>
    <x v="2"/>
    <n v="7"/>
    <n v="9"/>
    <n v="22000.09"/>
    <n v="12265.9"/>
    <n v="19610.61"/>
  </r>
  <r>
    <s v="269"/>
    <s v="Carlos Morales"/>
    <d v="1932-12-31T00:00:00"/>
    <n v="93"/>
    <x v="1"/>
    <x v="1"/>
    <d v="2024-07-28T00:00:00"/>
    <d v="2025-02-26T00:00:00"/>
    <n v="14"/>
    <x v="1"/>
    <n v="4"/>
    <n v="9"/>
    <n v="16761.330000000002"/>
    <n v="7643.43"/>
    <n v="17011.5"/>
  </r>
  <r>
    <s v="270"/>
    <s v="Carmen Pérez"/>
    <d v="1984-12-31T00:00:00"/>
    <n v="41"/>
    <x v="1"/>
    <x v="2"/>
    <d v="2023-11-24T00:00:00"/>
    <d v="2024-11-17T00:00:00"/>
    <n v="21"/>
    <x v="2"/>
    <n v="2"/>
    <n v="5"/>
    <n v="2848.93"/>
    <n v="10929.61"/>
    <n v="11183.64"/>
  </r>
  <r>
    <s v="271"/>
    <s v="Laura Rodríguez"/>
    <d v="2020-01-01T00:00:00"/>
    <n v="6"/>
    <x v="0"/>
    <x v="6"/>
    <d v="2024-11-20T00:00:00"/>
    <d v="2025-03-28T00:00:00"/>
    <n v="35"/>
    <x v="2"/>
    <n v="4"/>
    <n v="6"/>
    <n v="24296.84"/>
    <n v="3758.95"/>
    <n v="4828.38"/>
  </r>
  <r>
    <s v="272"/>
    <s v="Jorge Cruz"/>
    <d v="2011-01-01T00:00:00"/>
    <n v="15"/>
    <x v="1"/>
    <x v="4"/>
    <d v="2024-01-19T00:00:00"/>
    <d v="2024-07-10T00:00:00"/>
    <n v="25"/>
    <x v="0"/>
    <n v="11"/>
    <n v="1"/>
    <n v="15861.34"/>
    <n v="13980.93"/>
    <n v="1633.55"/>
  </r>
  <r>
    <s v="273"/>
    <s v="Luis Morales"/>
    <d v="1936-12-31T00:00:00"/>
    <n v="89"/>
    <x v="1"/>
    <x v="4"/>
    <d v="2023-12-30T00:00:00"/>
    <d v="2024-10-28T00:00:00"/>
    <n v="30"/>
    <x v="0"/>
    <n v="11"/>
    <n v="6"/>
    <n v="2978.84"/>
    <n v="1295.73"/>
    <n v="13403.89"/>
  </r>
  <r>
    <s v="274"/>
    <s v="Laura Gómez"/>
    <d v="1967-01-01T00:00:00"/>
    <n v="59"/>
    <x v="0"/>
    <x v="1"/>
    <d v="2023-08-20T00:00:00"/>
    <d v="2023-06-03T00:00:00"/>
    <n v="33"/>
    <x v="1"/>
    <n v="4"/>
    <n v="6"/>
    <n v="4380.33"/>
    <n v="14903.7"/>
    <n v="3950.34"/>
  </r>
  <r>
    <s v="275"/>
    <s v="Luisa Gómez"/>
    <d v="2024-12-31T00:00:00"/>
    <n v="1"/>
    <x v="0"/>
    <x v="4"/>
    <d v="2024-09-07T00:00:00"/>
    <d v="2023-10-19T00:00:00"/>
    <n v="4"/>
    <x v="0"/>
    <n v="11"/>
    <n v="1"/>
    <n v="24574.17"/>
    <n v="9490.1"/>
    <n v="14637.73"/>
  </r>
  <r>
    <s v="276"/>
    <s v="Ana Ramírez"/>
    <d v="2025-12-31T00:00:00"/>
    <n v="0"/>
    <x v="0"/>
    <x v="4"/>
    <d v="2024-02-18T00:00:00"/>
    <d v="2023-05-23T00:00:00"/>
    <n v="20"/>
    <x v="0"/>
    <n v="12"/>
    <n v="2"/>
    <n v="10342.35"/>
    <n v="7049.27"/>
    <n v="16633.419999999998"/>
  </r>
  <r>
    <s v="277"/>
    <s v="Ana Ramírez"/>
    <d v="1979-01-01T00:00:00"/>
    <n v="47"/>
    <x v="0"/>
    <x v="5"/>
    <d v="2023-10-21T00:00:00"/>
    <d v="2025-02-07T00:00:00"/>
    <n v="23"/>
    <x v="2"/>
    <n v="7"/>
    <n v="2"/>
    <n v="24543.43"/>
    <n v="4661.7299999999996"/>
    <n v="19778.2"/>
  </r>
  <r>
    <s v="278"/>
    <s v="Luisa Pérez"/>
    <d v="2015-01-01T00:00:00"/>
    <n v="11"/>
    <x v="0"/>
    <x v="0"/>
    <d v="2024-06-30T00:00:00"/>
    <d v="2023-11-09T00:00:00"/>
    <n v="11"/>
    <x v="1"/>
    <n v="9"/>
    <n v="0"/>
    <n v="1619.85"/>
    <n v="6077.13"/>
    <n v="10034.73"/>
  </r>
  <r>
    <s v="279"/>
    <s v="José Cruz"/>
    <d v="1957-12-31T00:00:00"/>
    <n v="68"/>
    <x v="1"/>
    <x v="6"/>
    <d v="2024-12-06T00:00:00"/>
    <d v="2024-10-08T00:00:00"/>
    <n v="39"/>
    <x v="1"/>
    <n v="12"/>
    <n v="0"/>
    <n v="6937.7"/>
    <n v="11736.35"/>
    <n v="19490.91"/>
  </r>
  <r>
    <s v="280"/>
    <s v="María Rodríguez"/>
    <d v="1989-12-31T00:00:00"/>
    <n v="36"/>
    <x v="1"/>
    <x v="3"/>
    <d v="2023-06-23T00:00:00"/>
    <d v="2023-02-02T00:00:00"/>
    <n v="25"/>
    <x v="0"/>
    <n v="10"/>
    <n v="9"/>
    <n v="0"/>
    <n v="2091.4899999999998"/>
    <n v="2901.33"/>
  </r>
  <r>
    <s v="281"/>
    <s v="Miguel Martínez"/>
    <d v="1995-01-01T00:00:00"/>
    <n v="31"/>
    <x v="0"/>
    <x v="6"/>
    <d v="2024-01-27T00:00:00"/>
    <d v="2023-01-27T00:00:00"/>
    <n v="21"/>
    <x v="2"/>
    <n v="2"/>
    <n v="5"/>
    <n v="19071.91"/>
    <n v="3790.28"/>
    <n v="16708.560000000001"/>
  </r>
  <r>
    <s v="282"/>
    <s v="Sofía López"/>
    <d v="2017-12-31T00:00:00"/>
    <n v="8"/>
    <x v="1"/>
    <x v="2"/>
    <d v="2023-04-12T00:00:00"/>
    <d v="2023-09-13T00:00:00"/>
    <n v="4"/>
    <x v="0"/>
    <n v="6"/>
    <n v="8"/>
    <n v="8858.15"/>
    <n v="1855.91"/>
    <n v="7132.02"/>
  </r>
  <r>
    <s v="283"/>
    <s v="Juan López"/>
    <d v="2008-01-01T00:00:00"/>
    <n v="18"/>
    <x v="0"/>
    <x v="4"/>
    <d v="2023-10-20T00:00:00"/>
    <d v="2025-01-05T00:00:00"/>
    <n v="33"/>
    <x v="2"/>
    <n v="1"/>
    <n v="8"/>
    <n v="28048.81"/>
    <n v="6399.82"/>
    <n v="7232.73"/>
  </r>
  <r>
    <s v="284"/>
    <s v="José Martínez"/>
    <d v="1979-01-01T00:00:00"/>
    <n v="23"/>
    <x v="0"/>
    <x v="0"/>
    <d v="2023-03-26T00:00:00"/>
    <d v="2023-02-26T00:00:00"/>
    <n v="36"/>
    <x v="0"/>
    <n v="4"/>
    <n v="0"/>
    <n v="5937.52"/>
    <n v="5808.34"/>
    <n v="5299.81"/>
  </r>
  <r>
    <s v="285"/>
    <s v="Ricardo Pérez"/>
    <d v="1947-01-01T00:00:00"/>
    <n v="79"/>
    <x v="1"/>
    <x v="2"/>
    <d v="2023-07-20T00:00:00"/>
    <d v="2023-10-21T00:00:00"/>
    <n v="12"/>
    <x v="1"/>
    <n v="3"/>
    <n v="6"/>
    <n v="25418.28"/>
    <n v="9731.77"/>
    <n v="3385.55"/>
  </r>
  <r>
    <s v="286"/>
    <s v="Ana Hernández"/>
    <d v="2024-01-01T00:00:00"/>
    <n v="2"/>
    <x v="0"/>
    <x v="1"/>
    <d v="2024-11-15T00:00:00"/>
    <d v="2024-09-29T00:00:00"/>
    <n v="0"/>
    <x v="1"/>
    <n v="14"/>
    <n v="5"/>
    <n v="20720.189999999999"/>
    <n v="14935.74"/>
    <n v="8788.5400000000009"/>
  </r>
  <r>
    <s v="287"/>
    <s v="Elena Morales"/>
    <d v="2007-01-01T00:00:00"/>
    <n v="19"/>
    <x v="0"/>
    <x v="5"/>
    <d v="2024-06-24T00:00:00"/>
    <d v="2023-08-19T00:00:00"/>
    <n v="1"/>
    <x v="2"/>
    <n v="1"/>
    <n v="3"/>
    <n v="3194.07"/>
    <n v="13385.39"/>
    <n v="19744.46"/>
  </r>
  <r>
    <s v="288"/>
    <s v="Miguel López"/>
    <d v="2003-01-01T00:00:00"/>
    <n v="23"/>
    <x v="1"/>
    <x v="4"/>
    <d v="2023-10-24T00:00:00"/>
    <d v="2023-02-23T00:00:00"/>
    <n v="4"/>
    <x v="2"/>
    <n v="2"/>
    <n v="2"/>
    <n v="16431.03"/>
    <n v="13205.67"/>
    <n v="6531.13"/>
  </r>
  <r>
    <s v="289"/>
    <s v="Laura Cruz"/>
    <d v="1972-12-31T00:00:00"/>
    <n v="53"/>
    <x v="2"/>
    <x v="5"/>
    <d v="2023-02-25T00:00:00"/>
    <d v="2023-04-12T00:00:00"/>
    <n v="13"/>
    <x v="2"/>
    <n v="6"/>
    <n v="8"/>
    <n v="27862.18"/>
    <n v="9685.6200000000008"/>
    <n v="9167.74"/>
  </r>
  <r>
    <s v="290"/>
    <s v="Luis Sánchez"/>
    <d v="1993-12-31T00:00:00"/>
    <n v="32"/>
    <x v="0"/>
    <x v="6"/>
    <d v="2024-04-16T00:00:00"/>
    <d v="2024-04-12T00:00:00"/>
    <n v="18"/>
    <x v="2"/>
    <n v="14"/>
    <n v="9"/>
    <n v="18376.330000000002"/>
    <n v="4059.12"/>
    <n v="4492.9399999999996"/>
  </r>
  <r>
    <s v="291"/>
    <s v="Sofía Morales"/>
    <d v="2003-01-01T00:00:00"/>
    <n v="23"/>
    <x v="1"/>
    <x v="5"/>
    <d v="2023-01-16T00:00:00"/>
    <d v="2025-04-26T00:00:00"/>
    <n v="6"/>
    <x v="0"/>
    <n v="9"/>
    <n v="4"/>
    <n v="15628.63"/>
    <n v="5761.28"/>
    <n v="6676.12"/>
  </r>
  <r>
    <s v="292"/>
    <s v="Luis Hernández"/>
    <d v="1952-01-01T00:00:00"/>
    <n v="74"/>
    <x v="0"/>
    <x v="5"/>
    <d v="2024-10-13T00:00:00"/>
    <d v="2025-03-15T00:00:00"/>
    <n v="9"/>
    <x v="0"/>
    <n v="9"/>
    <n v="7"/>
    <n v="0"/>
    <n v="3751.83"/>
    <n v="1008.34"/>
  </r>
  <r>
    <s v="293"/>
    <s v="Juan Ramírez"/>
    <d v="1955-01-01T00:00:00"/>
    <n v="71"/>
    <x v="0"/>
    <x v="1"/>
    <d v="2023-03-07T00:00:00"/>
    <d v="2025-05-19T00:00:00"/>
    <n v="26"/>
    <x v="0"/>
    <n v="8"/>
    <n v="3"/>
    <n v="23558.04"/>
    <n v="2026.26"/>
    <n v="19116.29"/>
  </r>
  <r>
    <s v="294"/>
    <s v="Ana Gómez"/>
    <d v="1991-01-01T00:00:00"/>
    <n v="92"/>
    <x v="0"/>
    <x v="3"/>
    <d v="2024-10-20T00:00:00"/>
    <d v="2023-09-25T00:00:00"/>
    <n v="21"/>
    <x v="0"/>
    <n v="9"/>
    <n v="3"/>
    <n v="27348.31"/>
    <n v="6540.47"/>
    <n v="10147.02"/>
  </r>
  <r>
    <s v="295"/>
    <s v="Luis Rodríguez"/>
    <d v="1988-12-31T00:00:00"/>
    <n v="37"/>
    <x v="0"/>
    <x v="3"/>
    <d v="2024-10-31T00:00:00"/>
    <d v="2025-03-06T00:00:00"/>
    <n v="30"/>
    <x v="0"/>
    <n v="12"/>
    <n v="5"/>
    <n v="22476.16"/>
    <n v="13463.03"/>
    <n v="14632.32"/>
  </r>
  <r>
    <s v="296"/>
    <s v="José Sánchez"/>
    <d v="1943-01-01T00:00:00"/>
    <n v="83"/>
    <x v="0"/>
    <x v="2"/>
    <d v="2024-04-16T00:00:00"/>
    <d v="2023-01-03T00:00:00"/>
    <n v="11"/>
    <x v="1"/>
    <n v="13"/>
    <n v="5"/>
    <n v="21620.11"/>
    <n v="11157.62"/>
    <n v="10217.120000000001"/>
  </r>
  <r>
    <s v="297"/>
    <s v="Luisa Rodríguez"/>
    <d v="1937-12-31T00:00:00"/>
    <n v="88"/>
    <x v="1"/>
    <x v="4"/>
    <d v="2024-08-03T00:00:00"/>
    <d v="2023-01-23T00:00:00"/>
    <n v="15"/>
    <x v="1"/>
    <n v="0"/>
    <n v="2"/>
    <n v="5370.96"/>
    <n v="14772.57"/>
    <n v="15380.96"/>
  </r>
  <r>
    <s v="298"/>
    <s v="Pedro Gómez"/>
    <d v="2001-12-31T00:00:00"/>
    <n v="24"/>
    <x v="0"/>
    <x v="2"/>
    <d v="2023-01-23T00:00:00"/>
    <d v="2024-08-01T00:00:00"/>
    <n v="2"/>
    <x v="0"/>
    <n v="6"/>
    <n v="1"/>
    <n v="24936.58"/>
    <n v="2922.26"/>
    <n v="10635.22"/>
  </r>
  <r>
    <s v="299"/>
    <s v="Miguel Cruz"/>
    <d v="1933-12-31T00:00:00"/>
    <n v="92"/>
    <x v="0"/>
    <x v="3"/>
    <d v="2024-12-02T00:00:00"/>
    <d v="2023-08-01T00:00:00"/>
    <n v="12"/>
    <x v="0"/>
    <n v="5"/>
    <n v="8"/>
    <n v="741.22"/>
    <n v="7508.16"/>
    <n v="14001.05"/>
  </r>
  <r>
    <s v="300"/>
    <s v="Ana Pérez"/>
    <d v="2008-12-31T00:00:00"/>
    <n v="17"/>
    <x v="1"/>
    <x v="6"/>
    <d v="2024-04-30T00:00:00"/>
    <d v="2023-08-25T00:00:00"/>
    <n v="4"/>
    <x v="0"/>
    <n v="1"/>
    <n v="1"/>
    <n v="22599.53"/>
    <n v="11895.69"/>
    <n v="13664.5"/>
  </r>
  <r>
    <s v="301"/>
    <s v="Pedro Ramírez"/>
    <d v="1944-12-31T00:00:00"/>
    <n v="81"/>
    <x v="1"/>
    <x v="3"/>
    <d v="2024-02-19T00:00:00"/>
    <d v="2025-05-30T00:00:00"/>
    <n v="22"/>
    <x v="2"/>
    <n v="11"/>
    <n v="8"/>
    <n v="5931.54"/>
    <n v="6906.92"/>
    <n v="10624.62"/>
  </r>
  <r>
    <s v="302"/>
    <s v="Carmen Martínez"/>
    <d v="2016-01-01T00:00:00"/>
    <n v="65"/>
    <x v="2"/>
    <x v="2"/>
    <d v="2024-10-18T00:00:00"/>
    <d v="2024-06-13T00:00:00"/>
    <n v="11"/>
    <x v="1"/>
    <n v="0"/>
    <n v="7"/>
    <n v="14361.47"/>
    <n v="5325.82"/>
    <n v="4534.8"/>
  </r>
  <r>
    <s v="303"/>
    <s v="Miguel Martínez"/>
    <d v="1972-12-31T00:00:00"/>
    <n v="53"/>
    <x v="0"/>
    <x v="0"/>
    <d v="2023-11-01T00:00:00"/>
    <d v="2024-01-24T00:00:00"/>
    <n v="37"/>
    <x v="0"/>
    <n v="5"/>
    <n v="9"/>
    <n v="20704.64"/>
    <n v="12238.3"/>
    <n v="4158.1400000000003"/>
  </r>
  <r>
    <s v="304"/>
    <s v="Luisa Martínez"/>
    <d v="1970-01-01T00:00:00"/>
    <n v="34"/>
    <x v="0"/>
    <x v="4"/>
    <d v="2023-06-26T00:00:00"/>
    <d v="2023-01-15T00:00:00"/>
    <n v="33"/>
    <x v="2"/>
    <n v="9"/>
    <n v="6"/>
    <n v="22651.89"/>
    <n v="6454.62"/>
    <n v="17473.53"/>
  </r>
  <r>
    <s v="305"/>
    <s v="Pedro Hernández"/>
    <d v="1947-01-01T00:00:00"/>
    <n v="51"/>
    <x v="0"/>
    <x v="5"/>
    <d v="2023-07-14T00:00:00"/>
    <d v="2024-06-03T00:00:00"/>
    <n v="32"/>
    <x v="0"/>
    <n v="11"/>
    <n v="4"/>
    <n v="26586.560000000001"/>
    <n v="13694.51"/>
    <n v="2325.8000000000002"/>
  </r>
  <r>
    <s v="306"/>
    <s v="Elena Martínez"/>
    <d v="1965-12-31T00:00:00"/>
    <n v="60"/>
    <x v="0"/>
    <x v="1"/>
    <d v="2023-01-13T00:00:00"/>
    <d v="2025-04-27T00:00:00"/>
    <n v="21"/>
    <x v="0"/>
    <n v="9"/>
    <n v="2"/>
    <n v="8119.06"/>
    <n v="4026.02"/>
    <n v="11140.76"/>
  </r>
  <r>
    <s v="307"/>
    <s v="Sofía Gómez"/>
    <d v="1985-12-31T00:00:00"/>
    <n v="40"/>
    <x v="0"/>
    <x v="0"/>
    <d v="2023-06-15T00:00:00"/>
    <d v="2023-08-11T00:00:00"/>
    <n v="12"/>
    <x v="1"/>
    <n v="1"/>
    <n v="1"/>
    <n v="6341.77"/>
    <n v="13446.81"/>
    <n v="10000.950000000001"/>
  </r>
  <r>
    <s v="308"/>
    <s v="Juan Sánchez"/>
    <d v="1993-12-31T00:00:00"/>
    <n v="32"/>
    <x v="0"/>
    <x v="0"/>
    <d v="2023-05-30T00:00:00"/>
    <d v="2024-09-08T00:00:00"/>
    <n v="8"/>
    <x v="1"/>
    <n v="0"/>
    <n v="7"/>
    <n v="29885.51"/>
    <n v="4176.91"/>
    <n v="15947.84"/>
  </r>
  <r>
    <s v="309"/>
    <s v="Jorge Rodríguez"/>
    <d v="1959-01-01T00:00:00"/>
    <n v="67"/>
    <x v="1"/>
    <x v="5"/>
    <d v="2023-12-07T00:00:00"/>
    <d v="2024-02-08T00:00:00"/>
    <n v="21"/>
    <x v="1"/>
    <n v="14"/>
    <n v="1"/>
    <n v="5830.52"/>
    <n v="4343.46"/>
    <n v="2621.39"/>
  </r>
  <r>
    <s v="310"/>
    <s v="Ricardo Ramírez"/>
    <d v="1993-12-31T00:00:00"/>
    <n v="32"/>
    <x v="0"/>
    <x v="3"/>
    <d v="2024-07-10T00:00:00"/>
    <d v="2024-05-28T00:00:00"/>
    <n v="8"/>
    <x v="0"/>
    <n v="1"/>
    <n v="7"/>
    <n v="19797.16"/>
    <n v="6308.76"/>
    <n v="13714.69"/>
  </r>
  <r>
    <s v="311"/>
    <s v="Miguel Sánchez"/>
    <d v="2012-12-31T00:00:00"/>
    <n v="13"/>
    <x v="0"/>
    <x v="4"/>
    <d v="2023-06-23T00:00:00"/>
    <d v="2023-10-15T00:00:00"/>
    <n v="14"/>
    <x v="1"/>
    <n v="14"/>
    <n v="4"/>
    <n v="28558.71"/>
    <n v="7737.18"/>
    <n v="12077.61"/>
  </r>
  <r>
    <s v="312"/>
    <s v="Laura Hernández"/>
    <d v="2005-12-31T00:00:00"/>
    <n v="20"/>
    <x v="0"/>
    <x v="6"/>
    <d v="2023-06-16T00:00:00"/>
    <d v="2024-01-20T00:00:00"/>
    <n v="3"/>
    <x v="0"/>
    <n v="5"/>
    <n v="8"/>
    <n v="26844.959999999999"/>
    <n v="6273.38"/>
    <n v="13994.05"/>
  </r>
  <r>
    <s v="313"/>
    <s v="Jorge Morales"/>
    <d v="1979-01-01T00:00:00"/>
    <n v="47"/>
    <x v="0"/>
    <x v="0"/>
    <d v="2024-12-09T00:00:00"/>
    <d v="2023-09-05T00:00:00"/>
    <n v="18"/>
    <x v="1"/>
    <n v="1"/>
    <n v="3"/>
    <n v="13019.53"/>
    <n v="12932.24"/>
    <n v="12386.64"/>
  </r>
  <r>
    <s v="314"/>
    <s v="Ricardo Cruz"/>
    <d v="2007-01-01T00:00:00"/>
    <n v="19"/>
    <x v="0"/>
    <x v="6"/>
    <d v="2024-12-18T00:00:00"/>
    <d v="2023-04-02T00:00:00"/>
    <n v="5"/>
    <x v="0"/>
    <n v="4"/>
    <n v="7"/>
    <n v="18946.240000000002"/>
    <n v="11933.54"/>
    <n v="11207.2"/>
  </r>
  <r>
    <s v="315"/>
    <s v="Luisa Morales"/>
    <d v="2019-01-01T00:00:00"/>
    <n v="7"/>
    <x v="1"/>
    <x v="1"/>
    <d v="2024-08-16T00:00:00"/>
    <d v="2025-04-06T00:00:00"/>
    <n v="12"/>
    <x v="1"/>
    <n v="14"/>
    <n v="6"/>
    <n v="15637.44"/>
    <n v="4647.95"/>
    <n v="18517.990000000002"/>
  </r>
  <r>
    <s v="316"/>
    <s v="Luis Sánchez"/>
    <d v="2020-01-01T00:00:00"/>
    <n v="6"/>
    <x v="1"/>
    <x v="1"/>
    <d v="2024-08-02T00:00:00"/>
    <d v="2023-11-09T00:00:00"/>
    <n v="29"/>
    <x v="0"/>
    <n v="14"/>
    <n v="7"/>
    <n v="10073"/>
    <n v="7672.8"/>
    <n v="6908.02"/>
  </r>
  <r>
    <s v="317"/>
    <s v="Laura Gómez"/>
    <d v="1960-01-01T00:00:00"/>
    <n v="66"/>
    <x v="1"/>
    <x v="1"/>
    <d v="2023-04-07T00:00:00"/>
    <d v="2024-03-13T00:00:00"/>
    <n v="7"/>
    <x v="0"/>
    <n v="8"/>
    <n v="4"/>
    <n v="3904.87"/>
    <n v="6465.45"/>
    <n v="3612.22"/>
  </r>
  <r>
    <s v="318"/>
    <s v="Luisa López"/>
    <d v="2009-12-31T00:00:00"/>
    <n v="16"/>
    <x v="1"/>
    <x v="2"/>
    <d v="2024-11-09T00:00:00"/>
    <d v="2024-12-27T00:00:00"/>
    <n v="25"/>
    <x v="0"/>
    <n v="6"/>
    <n v="1"/>
    <n v="24003.52"/>
    <n v="841.05"/>
    <n v="15887.66"/>
  </r>
  <r>
    <s v="319"/>
    <s v="Sofía Pérez"/>
    <d v="1993-12-31T00:00:00"/>
    <n v="32"/>
    <x v="2"/>
    <x v="0"/>
    <d v="2024-02-08T00:00:00"/>
    <d v="2023-02-13T00:00:00"/>
    <n v="12"/>
    <x v="0"/>
    <n v="4"/>
    <n v="6"/>
    <n v="2258.4699999999998"/>
    <n v="11222.2"/>
    <n v="2506.8000000000002"/>
  </r>
  <r>
    <s v="320"/>
    <s v="Luisa Hernández"/>
    <d v="1979-01-01T00:00:00"/>
    <n v="47"/>
    <x v="1"/>
    <x v="1"/>
    <d v="2023-03-18T00:00:00"/>
    <d v="2023-03-16T00:00:00"/>
    <n v="9"/>
    <x v="2"/>
    <n v="12"/>
    <n v="2"/>
    <n v="18093.64"/>
    <n v="2725"/>
    <n v="13562.42"/>
  </r>
  <r>
    <s v="321"/>
    <s v="Pedro Martínez"/>
    <d v="1951-01-01T00:00:00"/>
    <n v="75"/>
    <x v="1"/>
    <x v="2"/>
    <d v="2023-08-25T00:00:00"/>
    <d v="2025-01-24T00:00:00"/>
    <n v="15"/>
    <x v="0"/>
    <n v="5"/>
    <n v="9"/>
    <n v="17628.259999999998"/>
    <n v="14012.13"/>
    <n v="10946.16"/>
  </r>
  <r>
    <s v="322"/>
    <s v="Laura Pérez"/>
    <d v="1968-01-01T00:00:00"/>
    <n v="58"/>
    <x v="0"/>
    <x v="1"/>
    <d v="2024-12-08T00:00:00"/>
    <d v="2024-07-15T00:00:00"/>
    <n v="34"/>
    <x v="0"/>
    <n v="9"/>
    <n v="9"/>
    <n v="9712.14"/>
    <n v="5966.68"/>
    <n v="74.2"/>
  </r>
  <r>
    <s v="323"/>
    <s v="Juan Cruz"/>
    <d v="1940-12-31T00:00:00"/>
    <n v="85"/>
    <x v="0"/>
    <x v="3"/>
    <d v="2023-10-18T00:00:00"/>
    <d v="2025-05-30T00:00:00"/>
    <n v="21"/>
    <x v="2"/>
    <n v="13"/>
    <n v="9"/>
    <n v="3629.96"/>
    <n v="9333.8700000000008"/>
    <n v="4721.2299999999996"/>
  </r>
  <r>
    <s v="324"/>
    <s v="Laura Morales"/>
    <d v="2004-12-31T00:00:00"/>
    <n v="21"/>
    <x v="1"/>
    <x v="0"/>
    <d v="2023-05-16T00:00:00"/>
    <d v="2025-05-26T00:00:00"/>
    <n v="34"/>
    <x v="1"/>
    <n v="4"/>
    <n v="9"/>
    <n v="23888.93"/>
    <n v="12274.49"/>
    <n v="9867.67"/>
  </r>
  <r>
    <s v="325"/>
    <s v="José Morales"/>
    <d v="1947-01-01T00:00:00"/>
    <n v="29"/>
    <x v="0"/>
    <x v="2"/>
    <d v="2024-01-02T00:00:00"/>
    <d v="2023-11-13T00:00:00"/>
    <n v="26"/>
    <x v="2"/>
    <n v="5"/>
    <n v="1"/>
    <n v="13588.69"/>
    <n v="2704.45"/>
    <n v="6527.27"/>
  </r>
  <r>
    <s v="326"/>
    <s v="Luis Pérez"/>
    <d v="1988-12-31T00:00:00"/>
    <n v="37"/>
    <x v="0"/>
    <x v="1"/>
    <d v="2024-07-01T00:00:00"/>
    <d v="2025-01-04T00:00:00"/>
    <n v="7"/>
    <x v="0"/>
    <n v="3"/>
    <n v="2"/>
    <n v="21620.82"/>
    <n v="8117.05"/>
    <n v="8480.52"/>
  </r>
  <r>
    <s v="327"/>
    <s v="José Hernández"/>
    <d v="1976-01-01T00:00:00"/>
    <n v="50"/>
    <x v="1"/>
    <x v="4"/>
    <d v="2023-09-05T00:00:00"/>
    <d v="2025-05-12T00:00:00"/>
    <n v="11"/>
    <x v="2"/>
    <n v="7"/>
    <n v="3"/>
    <n v="2.82"/>
    <n v="3561.3"/>
    <n v="11985.53"/>
  </r>
  <r>
    <s v="328"/>
    <s v="Carlos Sánchez"/>
    <d v="1972-12-31T00:00:00"/>
    <n v="53"/>
    <x v="1"/>
    <x v="2"/>
    <d v="2023-08-02T00:00:00"/>
    <d v="2023-05-25T00:00:00"/>
    <n v="13"/>
    <x v="1"/>
    <n v="1"/>
    <n v="9"/>
    <n v="1772.35"/>
    <n v="7645.06"/>
    <n v="14589.59"/>
  </r>
  <r>
    <s v="329"/>
    <s v="Ricardo Pérez"/>
    <d v="2019-01-01T00:00:00"/>
    <n v="7"/>
    <x v="0"/>
    <x v="1"/>
    <d v="2023-03-11T00:00:00"/>
    <d v="2023-11-26T00:00:00"/>
    <n v="34"/>
    <x v="2"/>
    <n v="4"/>
    <n v="6"/>
    <n v="4863.3500000000004"/>
    <n v="8691.5400000000009"/>
    <n v="2939.27"/>
  </r>
  <r>
    <s v="330"/>
    <s v="Juan Hernández"/>
    <d v="2000-01-01T00:00:00"/>
    <n v="26"/>
    <x v="0"/>
    <x v="3"/>
    <d v="2023-11-25T00:00:00"/>
    <d v="2023-07-29T00:00:00"/>
    <n v="8"/>
    <x v="0"/>
    <n v="7"/>
    <n v="9"/>
    <n v="2972.06"/>
    <n v="2537.12"/>
    <n v="5586.54"/>
  </r>
  <r>
    <s v="331"/>
    <s v="Miguel Pérez"/>
    <d v="2000-01-01T00:00:00"/>
    <n v="26"/>
    <x v="0"/>
    <x v="6"/>
    <d v="2023-01-16T00:00:00"/>
    <d v="2023-04-10T00:00:00"/>
    <n v="23"/>
    <x v="0"/>
    <n v="13"/>
    <n v="0"/>
    <n v="5347.06"/>
    <n v="8712.2800000000007"/>
    <n v="12693.46"/>
  </r>
  <r>
    <s v="332"/>
    <s v="José Pérez"/>
    <d v="2005-12-31T00:00:00"/>
    <n v="20"/>
    <x v="1"/>
    <x v="1"/>
    <d v="2024-05-01T00:00:00"/>
    <d v="2024-12-01T00:00:00"/>
    <n v="37"/>
    <x v="0"/>
    <n v="1"/>
    <n v="5"/>
    <n v="20437.89"/>
    <n v="6823.62"/>
    <n v="11727.66"/>
  </r>
  <r>
    <s v="333"/>
    <s v="Ricardo Hernández"/>
    <d v="1996-12-31T00:00:00"/>
    <n v="29"/>
    <x v="1"/>
    <x v="6"/>
    <d v="2023-06-23T00:00:00"/>
    <d v="2023-04-25T00:00:00"/>
    <n v="16"/>
    <x v="1"/>
    <n v="3"/>
    <n v="5"/>
    <n v="933.41"/>
    <n v="7829.99"/>
    <n v="14710.65"/>
  </r>
  <r>
    <s v="334"/>
    <s v="Carlos Sánchez"/>
    <d v="1999-01-01T00:00:00"/>
    <n v="27"/>
    <x v="0"/>
    <x v="0"/>
    <d v="2024-11-29T00:00:00"/>
    <d v="2023-06-25T00:00:00"/>
    <n v="15"/>
    <x v="1"/>
    <n v="11"/>
    <n v="7"/>
    <n v="654.9"/>
    <n v="13574.51"/>
    <n v="12774.25"/>
  </r>
  <r>
    <s v="335"/>
    <s v="Elena Hernández"/>
    <d v="1963-01-01T00:00:00"/>
    <n v="63"/>
    <x v="1"/>
    <x v="3"/>
    <d v="2023-10-01T00:00:00"/>
    <d v="2023-09-29T00:00:00"/>
    <n v="27"/>
    <x v="2"/>
    <n v="2"/>
    <n v="1"/>
    <n v="465.39"/>
    <n v="7257.05"/>
    <n v="6536.03"/>
  </r>
  <r>
    <s v="336"/>
    <s v="Elena Pérez"/>
    <d v="1957-12-31T00:00:00"/>
    <n v="68"/>
    <x v="1"/>
    <x v="4"/>
    <d v="2024-06-07T00:00:00"/>
    <d v="2023-03-05T00:00:00"/>
    <n v="29"/>
    <x v="1"/>
    <n v="7"/>
    <n v="1"/>
    <n v="20778.3"/>
    <n v="7142.23"/>
    <n v="9934.64"/>
  </r>
  <r>
    <s v="337"/>
    <s v="Laura Martínez"/>
    <d v="1965-12-31T00:00:00"/>
    <n v="60"/>
    <x v="0"/>
    <x v="0"/>
    <d v="2023-08-07T00:00:00"/>
    <d v="2025-03-07T00:00:00"/>
    <n v="20"/>
    <x v="0"/>
    <n v="9"/>
    <n v="0"/>
    <n v="0"/>
    <n v="7055.98"/>
    <n v="17683.310000000001"/>
  </r>
  <r>
    <s v="338"/>
    <s v="Pedro Rodríguez"/>
    <d v="1979-01-01T00:00:00"/>
    <n v="47"/>
    <x v="1"/>
    <x v="4"/>
    <d v="2024-05-27T00:00:00"/>
    <d v="2024-02-09T00:00:00"/>
    <n v="9"/>
    <x v="2"/>
    <n v="11"/>
    <n v="2"/>
    <n v="10792.39"/>
    <n v="9346.58"/>
    <n v="3640.4"/>
  </r>
  <r>
    <s v="339"/>
    <s v="Jorge Hernández"/>
    <d v="2008-01-01T00:00:00"/>
    <n v="18"/>
    <x v="0"/>
    <x v="6"/>
    <d v="2024-02-03T00:00:00"/>
    <d v="2023-08-14T00:00:00"/>
    <n v="10"/>
    <x v="0"/>
    <n v="9"/>
    <n v="6"/>
    <n v="20106.04"/>
    <n v="5512.76"/>
    <n v="7472.57"/>
  </r>
  <r>
    <s v="340"/>
    <s v="Luis Hernández"/>
    <d v="2023-01-01T00:00:00"/>
    <n v="3"/>
    <x v="0"/>
    <x v="3"/>
    <d v="2023-04-21T00:00:00"/>
    <d v="2023-06-11T00:00:00"/>
    <n v="18"/>
    <x v="2"/>
    <n v="1"/>
    <n v="7"/>
    <n v="16384.93"/>
    <n v="12020.4"/>
    <n v="16818.75"/>
  </r>
  <r>
    <s v="341"/>
    <s v="Miguel Pérez"/>
    <d v="1992-01-01T00:00:00"/>
    <n v="34"/>
    <x v="1"/>
    <x v="5"/>
    <d v="2024-04-08T00:00:00"/>
    <d v="2023-02-06T00:00:00"/>
    <n v="18"/>
    <x v="2"/>
    <n v="11"/>
    <n v="6"/>
    <n v="276.29000000000002"/>
    <n v="4290.75"/>
    <n v="7220.3"/>
  </r>
  <r>
    <s v="342"/>
    <s v="Luisa Cruz"/>
    <d v="1963-01-01T00:00:00"/>
    <n v="63"/>
    <x v="0"/>
    <x v="3"/>
    <d v="2024-10-02T00:00:00"/>
    <d v="2024-01-17T00:00:00"/>
    <n v="26"/>
    <x v="0"/>
    <n v="2"/>
    <n v="8"/>
    <n v="25075.77"/>
    <n v="4493.1899999999996"/>
    <n v="8185.73"/>
  </r>
  <r>
    <s v="343"/>
    <s v="María Morales"/>
    <d v="1977-12-31T00:00:00"/>
    <n v="48"/>
    <x v="1"/>
    <x v="3"/>
    <d v="2023-04-03T00:00:00"/>
    <d v="2024-10-15T00:00:00"/>
    <n v="26"/>
    <x v="2"/>
    <n v="1"/>
    <n v="7"/>
    <n v="10180.620000000001"/>
    <n v="8831.25"/>
    <n v="6316.38"/>
  </r>
  <r>
    <s v="344"/>
    <s v="Laura Martínez"/>
    <d v="2009-12-31T00:00:00"/>
    <n v="16"/>
    <x v="0"/>
    <x v="4"/>
    <d v="2024-03-26T00:00:00"/>
    <d v="2023-11-15T00:00:00"/>
    <n v="24"/>
    <x v="1"/>
    <n v="1"/>
    <n v="7"/>
    <n v="11686.62"/>
    <n v="3898.34"/>
    <n v="17980.46"/>
  </r>
  <r>
    <s v="345"/>
    <s v="Miguel López"/>
    <d v="1983-01-01T00:00:00"/>
    <n v="43"/>
    <x v="1"/>
    <x v="5"/>
    <d v="2024-01-31T00:00:00"/>
    <d v="2024-12-09T00:00:00"/>
    <n v="26"/>
    <x v="2"/>
    <n v="14"/>
    <n v="1"/>
    <n v="23359.84"/>
    <n v="1349.19"/>
    <n v="13233.16"/>
  </r>
  <r>
    <s v="346"/>
    <s v="José Hernández"/>
    <d v="1935-01-01T00:00:00"/>
    <n v="91"/>
    <x v="1"/>
    <x v="2"/>
    <d v="2024-07-04T00:00:00"/>
    <d v="2024-10-25T00:00:00"/>
    <n v="12"/>
    <x v="2"/>
    <n v="2"/>
    <n v="0"/>
    <n v="5206.2700000000004"/>
    <n v="3083.78"/>
    <n v="4096.46"/>
  </r>
  <r>
    <s v="347"/>
    <s v="Carmen Gómez"/>
    <d v="1996-12-31T00:00:00"/>
    <n v="29"/>
    <x v="0"/>
    <x v="2"/>
    <d v="2024-04-23T00:00:00"/>
    <d v="2024-04-01T00:00:00"/>
    <n v="9"/>
    <x v="2"/>
    <n v="1"/>
    <n v="5"/>
    <n v="192.81"/>
    <n v="13704.86"/>
    <n v="14967.65"/>
  </r>
  <r>
    <s v="348"/>
    <s v="María López"/>
    <d v="1933-12-31T00:00:00"/>
    <n v="92"/>
    <x v="1"/>
    <x v="2"/>
    <d v="2023-11-12T00:00:00"/>
    <d v="2023-09-27T00:00:00"/>
    <n v="38"/>
    <x v="0"/>
    <n v="3"/>
    <n v="6"/>
    <n v="27219.57"/>
    <n v="160.51"/>
    <n v="674.16"/>
  </r>
  <r>
    <s v="349"/>
    <s v="Juan Cruz"/>
    <d v="1980-12-31T00:00:00"/>
    <n v="45"/>
    <x v="0"/>
    <x v="6"/>
    <d v="2024-11-01T00:00:00"/>
    <d v="2023-12-11T00:00:00"/>
    <n v="16"/>
    <x v="0"/>
    <n v="4"/>
    <n v="5"/>
    <n v="14917.09"/>
    <n v="2001.92"/>
    <n v="7867.81"/>
  </r>
  <r>
    <s v="350"/>
    <s v="Ricardo Ramírez"/>
    <d v="2020-12-31T00:00:00"/>
    <n v="5"/>
    <x v="1"/>
    <x v="3"/>
    <d v="2024-11-28T00:00:00"/>
    <d v="2023-02-10T00:00:00"/>
    <n v="9"/>
    <x v="1"/>
    <n v="1"/>
    <n v="6"/>
    <n v="10160.58"/>
    <n v="11370.59"/>
    <n v="18186.37"/>
  </r>
  <r>
    <s v="351"/>
    <s v="Jorge Ramírez"/>
    <d v="1989-12-31T00:00:00"/>
    <n v="36"/>
    <x v="1"/>
    <x v="1"/>
    <d v="2023-12-19T00:00:00"/>
    <d v="2025-01-20T00:00:00"/>
    <n v="20"/>
    <x v="0"/>
    <n v="8"/>
    <n v="7"/>
    <n v="24480.89"/>
    <n v="14697.91"/>
    <n v="13764.69"/>
  </r>
  <r>
    <s v="352"/>
    <s v="Laura Rodríguez"/>
    <d v="2003-01-01T00:00:00"/>
    <n v="23"/>
    <x v="0"/>
    <x v="5"/>
    <d v="2023-08-27T00:00:00"/>
    <d v="2024-02-19T00:00:00"/>
    <n v="2"/>
    <x v="0"/>
    <n v="9"/>
    <n v="1"/>
    <n v="301.99"/>
    <n v="10322.780000000001"/>
    <n v="15841.22"/>
  </r>
  <r>
    <s v="353"/>
    <s v="Laura Rodríguez"/>
    <d v="1933-12-31T00:00:00"/>
    <n v="92"/>
    <x v="1"/>
    <x v="1"/>
    <d v="2023-04-14T00:00:00"/>
    <d v="2024-01-16T00:00:00"/>
    <n v="23"/>
    <x v="0"/>
    <n v="11"/>
    <n v="0"/>
    <n v="5669.87"/>
    <n v="13835.02"/>
    <n v="18619.43"/>
  </r>
  <r>
    <s v="354"/>
    <s v="Juan Rodríguez"/>
    <d v="1980-12-31T00:00:00"/>
    <n v="45"/>
    <x v="1"/>
    <x v="6"/>
    <d v="2023-01-29T00:00:00"/>
    <d v="2023-08-11T00:00:00"/>
    <n v="7"/>
    <x v="1"/>
    <n v="11"/>
    <n v="9"/>
    <n v="4236.29"/>
    <n v="12828.54"/>
    <n v="15468.49"/>
  </r>
  <r>
    <s v="355"/>
    <s v="Carlos López"/>
    <d v="1973-12-31T00:00:00"/>
    <n v="52"/>
    <x v="0"/>
    <x v="5"/>
    <d v="2023-03-30T00:00:00"/>
    <d v="2023-10-09T00:00:00"/>
    <n v="19"/>
    <x v="1"/>
    <n v="8"/>
    <n v="7"/>
    <n v="22003.84"/>
    <n v="7199.55"/>
    <n v="1680.54"/>
  </r>
  <r>
    <s v="356"/>
    <s v="Ana Rodríguez"/>
    <d v="1932-01-01T00:00:00"/>
    <n v="94"/>
    <x v="0"/>
    <x v="1"/>
    <d v="2024-01-10T00:00:00"/>
    <d v="2023-08-14T00:00:00"/>
    <n v="36"/>
    <x v="0"/>
    <n v="12"/>
    <n v="7"/>
    <n v="9018.65"/>
    <n v="5002.8500000000004"/>
    <n v="4535.91"/>
  </r>
  <r>
    <s v="357"/>
    <s v="Miguel Sánchez"/>
    <d v="1967-01-01T00:00:00"/>
    <n v="59"/>
    <x v="0"/>
    <x v="4"/>
    <d v="2024-02-01T00:00:00"/>
    <d v="2024-04-02T00:00:00"/>
    <n v="20"/>
    <x v="2"/>
    <n v="10"/>
    <n v="7"/>
    <n v="23073.66"/>
    <n v="9483.57"/>
    <n v="9949.8799999999992"/>
  </r>
  <r>
    <s v="358"/>
    <s v="Pedro Pérez"/>
    <d v="1964-01-01T00:00:00"/>
    <n v="62"/>
    <x v="2"/>
    <x v="6"/>
    <d v="2024-07-16T00:00:00"/>
    <d v="2023-06-04T00:00:00"/>
    <n v="8"/>
    <x v="2"/>
    <n v="14"/>
    <n v="9"/>
    <n v="0"/>
    <n v="8003.3"/>
    <n v="178.54"/>
  </r>
  <r>
    <s v="359"/>
    <s v="Luisa Gómez"/>
    <d v="1941-12-31T00:00:00"/>
    <n v="84"/>
    <x v="1"/>
    <x v="6"/>
    <d v="2023-12-30T00:00:00"/>
    <d v="2023-10-08T00:00:00"/>
    <n v="25"/>
    <x v="0"/>
    <n v="11"/>
    <n v="6"/>
    <n v="18047.53"/>
    <n v="387.44"/>
    <n v="12454.41"/>
  </r>
  <r>
    <s v="360"/>
    <s v="Juan Rodríguez"/>
    <d v="1995-01-01T00:00:00"/>
    <n v="31"/>
    <x v="0"/>
    <x v="6"/>
    <d v="2023-05-27T00:00:00"/>
    <d v="2023-12-20T00:00:00"/>
    <n v="28"/>
    <x v="0"/>
    <n v="13"/>
    <n v="1"/>
    <n v="9205.73"/>
    <n v="14359.46"/>
    <n v="13110.62"/>
  </r>
  <r>
    <s v="361"/>
    <s v="Ana Hernández"/>
    <d v="1940-01-01T00:00:00"/>
    <n v="86"/>
    <x v="1"/>
    <x v="5"/>
    <d v="2023-11-10T00:00:00"/>
    <d v="2023-02-09T00:00:00"/>
    <n v="5"/>
    <x v="0"/>
    <n v="10"/>
    <n v="3"/>
    <n v="5201.0600000000004"/>
    <n v="8553.7099999999991"/>
    <n v="13898.61"/>
  </r>
  <r>
    <s v="362"/>
    <s v="Miguel Martínez"/>
    <d v="1993-12-31T00:00:00"/>
    <n v="32"/>
    <x v="0"/>
    <x v="1"/>
    <d v="2024-07-01T00:00:00"/>
    <d v="2024-12-30T00:00:00"/>
    <n v="36"/>
    <x v="1"/>
    <n v="2"/>
    <n v="8"/>
    <n v="24411.33"/>
    <n v="13117.38"/>
    <n v="11070.07"/>
  </r>
  <r>
    <s v="363"/>
    <s v="Laura López"/>
    <d v="1960-01-01T00:00:00"/>
    <n v="66"/>
    <x v="1"/>
    <x v="1"/>
    <d v="2024-03-27T00:00:00"/>
    <d v="2025-01-26T00:00:00"/>
    <n v="25"/>
    <x v="2"/>
    <n v="2"/>
    <n v="7"/>
    <n v="12073.63"/>
    <n v="11019.45"/>
    <n v="8992.82"/>
  </r>
  <r>
    <s v="364"/>
    <s v="Pedro López"/>
    <d v="2005-01-01T00:00:00"/>
    <n v="17"/>
    <x v="2"/>
    <x v="0"/>
    <d v="2024-05-20T00:00:00"/>
    <d v="2024-09-13T00:00:00"/>
    <n v="13"/>
    <x v="0"/>
    <n v="12"/>
    <n v="3"/>
    <n v="16934.7"/>
    <n v="5112.49"/>
    <n v="17096.52"/>
  </r>
  <r>
    <s v="365"/>
    <s v="Elena Morales"/>
    <d v="2001-12-31T00:00:00"/>
    <n v="24"/>
    <x v="0"/>
    <x v="6"/>
    <d v="2024-04-30T00:00:00"/>
    <d v="2024-07-27T00:00:00"/>
    <n v="28"/>
    <x v="0"/>
    <n v="1"/>
    <n v="7"/>
    <n v="509.06"/>
    <n v="13517.37"/>
    <n v="15323.39"/>
  </r>
  <r>
    <s v="366"/>
    <s v="Jorge Gómez"/>
    <d v="1932-01-01T00:00:00"/>
    <n v="94"/>
    <x v="0"/>
    <x v="2"/>
    <d v="2023-04-11T00:00:00"/>
    <d v="2024-05-04T00:00:00"/>
    <n v="38"/>
    <x v="2"/>
    <n v="0"/>
    <n v="9"/>
    <n v="23644.55"/>
    <n v="11856.34"/>
    <n v="12208.4"/>
  </r>
  <r>
    <s v="367"/>
    <s v="Laura Rodríguez"/>
    <d v="1972-12-31T00:00:00"/>
    <n v="53"/>
    <x v="0"/>
    <x v="3"/>
    <d v="2023-04-17T00:00:00"/>
    <d v="2023-07-18T00:00:00"/>
    <n v="13"/>
    <x v="2"/>
    <n v="9"/>
    <n v="5"/>
    <n v="8249.92"/>
    <n v="6446.87"/>
    <n v="824.88"/>
  </r>
  <r>
    <s v="368"/>
    <s v="José Sánchez"/>
    <d v="1968-12-31T00:00:00"/>
    <n v="57"/>
    <x v="0"/>
    <x v="4"/>
    <d v="2023-10-18T00:00:00"/>
    <d v="2023-10-04T00:00:00"/>
    <n v="2"/>
    <x v="1"/>
    <n v="8"/>
    <n v="8"/>
    <n v="20648.89"/>
    <n v="12607.17"/>
    <n v="13847.97"/>
  </r>
  <r>
    <s v="369"/>
    <s v="Pedro Cruz"/>
    <d v="1960-01-01T00:00:00"/>
    <n v="66"/>
    <x v="0"/>
    <x v="4"/>
    <d v="2023-12-15T00:00:00"/>
    <d v="2023-06-22T00:00:00"/>
    <n v="32"/>
    <x v="0"/>
    <n v="3"/>
    <n v="0"/>
    <n v="22694.47"/>
    <n v="4073.28"/>
    <n v="11119.04"/>
  </r>
  <r>
    <s v="370"/>
    <s v="Luisa Gómez"/>
    <d v="1980-12-31T00:00:00"/>
    <n v="45"/>
    <x v="1"/>
    <x v="0"/>
    <d v="2024-09-08T00:00:00"/>
    <d v="2025-02-23T00:00:00"/>
    <n v="22"/>
    <x v="0"/>
    <n v="0"/>
    <n v="5"/>
    <n v="3072.05"/>
    <n v="10060.25"/>
    <n v="13839.13"/>
  </r>
  <r>
    <s v="371"/>
    <s v="Pedro Ramírez"/>
    <d v="2003-01-01T00:00:00"/>
    <n v="23"/>
    <x v="1"/>
    <x v="0"/>
    <d v="2024-08-10T00:00:00"/>
    <d v="2024-05-23T00:00:00"/>
    <n v="10"/>
    <x v="1"/>
    <n v="1"/>
    <n v="3"/>
    <n v="8524.9699999999993"/>
    <n v="1718.73"/>
    <n v="6159.34"/>
  </r>
  <r>
    <s v="372"/>
    <s v="Pedro Rodríguez"/>
    <d v="1995-01-01T00:00:00"/>
    <n v="31"/>
    <x v="1"/>
    <x v="5"/>
    <d v="2023-08-15T00:00:00"/>
    <d v="2024-02-10T00:00:00"/>
    <n v="26"/>
    <x v="1"/>
    <n v="7"/>
    <n v="2"/>
    <n v="21564.92"/>
    <n v="12986.52"/>
    <n v="15517.41"/>
  </r>
  <r>
    <s v="373"/>
    <s v="Luisa Morales"/>
    <d v="1980-01-01T00:00:00"/>
    <n v="46"/>
    <x v="1"/>
    <x v="0"/>
    <d v="2024-08-18T00:00:00"/>
    <d v="2023-09-29T00:00:00"/>
    <n v="24"/>
    <x v="2"/>
    <n v="3"/>
    <n v="4"/>
    <n v="6581.42"/>
    <n v="10941.49"/>
    <n v="8300.5400000000009"/>
  </r>
  <r>
    <s v="374"/>
    <s v="Elena Cruz"/>
    <d v="1940-12-31T00:00:00"/>
    <n v="85"/>
    <x v="0"/>
    <x v="1"/>
    <d v="2024-08-10T00:00:00"/>
    <d v="2024-07-08T00:00:00"/>
    <n v="37"/>
    <x v="1"/>
    <n v="1"/>
    <n v="9"/>
    <n v="25369.31"/>
    <n v="2288.52"/>
    <n v="17878.82"/>
  </r>
  <r>
    <s v="375"/>
    <s v="Carlos Morales"/>
    <d v="2004-01-01T00:00:00"/>
    <n v="22"/>
    <x v="0"/>
    <x v="5"/>
    <d v="2023-02-19T00:00:00"/>
    <d v="2024-12-02T00:00:00"/>
    <n v="14"/>
    <x v="1"/>
    <n v="3"/>
    <n v="7"/>
    <n v="9015.19"/>
    <n v="320.02"/>
    <n v="1990.61"/>
  </r>
  <r>
    <s v="376"/>
    <s v="José Gómez"/>
    <d v="1960-12-31T00:00:00"/>
    <n v="65"/>
    <x v="0"/>
    <x v="5"/>
    <d v="2024-12-22T00:00:00"/>
    <d v="2025-02-11T00:00:00"/>
    <n v="34"/>
    <x v="0"/>
    <n v="1"/>
    <n v="9"/>
    <n v="11771.07"/>
    <n v="5848.02"/>
    <n v="9639.44"/>
  </r>
  <r>
    <s v="377"/>
    <s v="María Martínez"/>
    <d v="2000-01-01T00:00:00"/>
    <n v="26"/>
    <x v="2"/>
    <x v="4"/>
    <d v="2023-06-07T00:00:00"/>
    <d v="2024-10-26T00:00:00"/>
    <n v="35"/>
    <x v="1"/>
    <n v="1"/>
    <n v="5"/>
    <n v="2542.17"/>
    <n v="10129.09"/>
    <n v="4035.33"/>
  </r>
  <r>
    <s v="378"/>
    <s v="Luis Ramírez"/>
    <d v="2024-12-31T00:00:00"/>
    <n v="1"/>
    <x v="0"/>
    <x v="4"/>
    <d v="2023-11-24T00:00:00"/>
    <d v="2023-05-12T00:00:00"/>
    <n v="26"/>
    <x v="1"/>
    <n v="1"/>
    <n v="0"/>
    <n v="4004.09"/>
    <n v="4247.21"/>
    <n v="9014.74"/>
  </r>
  <r>
    <s v="379"/>
    <s v="Jorge Gómez"/>
    <d v="1936-12-31T00:00:00"/>
    <n v="89"/>
    <x v="1"/>
    <x v="2"/>
    <d v="2023-03-18T00:00:00"/>
    <d v="2024-09-18T00:00:00"/>
    <n v="31"/>
    <x v="0"/>
    <n v="9"/>
    <n v="5"/>
    <n v="7900.36"/>
    <n v="14598.83"/>
    <n v="7010.66"/>
  </r>
  <r>
    <s v="380"/>
    <s v="Carmen Ramírez"/>
    <d v="2009-12-31T00:00:00"/>
    <n v="26"/>
    <x v="1"/>
    <x v="6"/>
    <d v="2024-09-24T00:00:00"/>
    <d v="2024-01-21T00:00:00"/>
    <n v="27"/>
    <x v="2"/>
    <n v="4"/>
    <n v="6"/>
    <n v="991.72"/>
    <n v="14020.22"/>
    <n v="16049.03"/>
  </r>
  <r>
    <s v="381"/>
    <s v="Luis Hernández"/>
    <d v="1992-01-01T00:00:00"/>
    <n v="32"/>
    <x v="1"/>
    <x v="0"/>
    <d v="2024-03-29T00:00:00"/>
    <d v="2025-01-04T00:00:00"/>
    <n v="28"/>
    <x v="2"/>
    <n v="8"/>
    <n v="5"/>
    <n v="5387.48"/>
    <n v="8969.11"/>
    <n v="3260.1"/>
  </r>
  <r>
    <s v="382"/>
    <s v="Pedro Morales"/>
    <d v="2017-12-31T00:00:00"/>
    <n v="8"/>
    <x v="1"/>
    <x v="6"/>
    <d v="2023-11-06T00:00:00"/>
    <d v="2024-02-02T00:00:00"/>
    <n v="19"/>
    <x v="1"/>
    <n v="3"/>
    <n v="2"/>
    <n v="11972.76"/>
    <n v="4733.99"/>
    <n v="11934.22"/>
  </r>
  <r>
    <s v="383"/>
    <s v="Elena López"/>
    <d v="1978-01-01T00:00:00"/>
    <n v="42"/>
    <x v="0"/>
    <x v="6"/>
    <d v="2023-11-23T00:00:00"/>
    <d v="2024-07-20T00:00:00"/>
    <n v="22"/>
    <x v="1"/>
    <n v="10"/>
    <n v="8"/>
    <n v="11088.85"/>
    <n v="13444.04"/>
    <n v="8070.34"/>
  </r>
  <r>
    <s v="384"/>
    <s v="Elena Ramírez"/>
    <d v="1979-01-01T00:00:00"/>
    <n v="47"/>
    <x v="0"/>
    <x v="6"/>
    <d v="2024-05-22T00:00:00"/>
    <d v="2025-04-30T00:00:00"/>
    <n v="1"/>
    <x v="0"/>
    <n v="10"/>
    <n v="9"/>
    <n v="5560.18"/>
    <n v="12052.06"/>
    <n v="10313.31"/>
  </r>
  <r>
    <s v="385"/>
    <s v="José Morales"/>
    <d v="1988-01-01T00:00:00"/>
    <n v="38"/>
    <x v="0"/>
    <x v="5"/>
    <d v="2023-04-17T00:00:00"/>
    <d v="2023-10-24T00:00:00"/>
    <n v="32"/>
    <x v="0"/>
    <n v="1"/>
    <n v="9"/>
    <n v="1953.75"/>
    <n v="1292.32"/>
    <n v="14259.51"/>
  </r>
  <r>
    <s v="386"/>
    <s v="María Sánchez"/>
    <d v="1933-12-31T00:00:00"/>
    <n v="92"/>
    <x v="0"/>
    <x v="6"/>
    <d v="2023-08-29T00:00:00"/>
    <d v="2024-01-19T00:00:00"/>
    <n v="38"/>
    <x v="0"/>
    <n v="9"/>
    <n v="3"/>
    <n v="9203.51"/>
    <n v="7144.84"/>
    <n v="7077.73"/>
  </r>
  <r>
    <s v="387"/>
    <s v="Miguel Cruz"/>
    <d v="1984-12-31T00:00:00"/>
    <n v="41"/>
    <x v="0"/>
    <x v="0"/>
    <d v="2024-03-10T00:00:00"/>
    <d v="2024-05-27T00:00:00"/>
    <n v="6"/>
    <x v="1"/>
    <n v="0"/>
    <n v="4"/>
    <n v="22233.07"/>
    <n v="14718.22"/>
    <n v="7277.76"/>
  </r>
  <r>
    <s v="388"/>
    <s v="Luis Morales"/>
    <d v="2000-12-31T00:00:00"/>
    <n v="25"/>
    <x v="1"/>
    <x v="5"/>
    <d v="2023-01-28T00:00:00"/>
    <d v="2024-01-31T00:00:00"/>
    <n v="23"/>
    <x v="0"/>
    <n v="3"/>
    <n v="4"/>
    <n v="15058.04"/>
    <n v="6808.58"/>
    <n v="1443.73"/>
  </r>
  <r>
    <s v="389"/>
    <s v="Ana Hernández"/>
    <d v="1976-12-31T00:00:00"/>
    <n v="49"/>
    <x v="0"/>
    <x v="0"/>
    <d v="2024-12-04T00:00:00"/>
    <d v="2024-07-08T00:00:00"/>
    <n v="24"/>
    <x v="0"/>
    <n v="7"/>
    <n v="2"/>
    <n v="0"/>
    <n v="13993.63"/>
    <n v="10994.16"/>
  </r>
  <r>
    <s v="390"/>
    <s v="Pedro Rodríguez"/>
    <d v="2001-12-31T00:00:00"/>
    <n v="24"/>
    <x v="1"/>
    <x v="5"/>
    <d v="2023-09-06T00:00:00"/>
    <d v="2024-08-28T00:00:00"/>
    <n v="24"/>
    <x v="2"/>
    <n v="9"/>
    <n v="1"/>
    <n v="3766.53"/>
    <n v="14659.34"/>
    <n v="8279.7800000000007"/>
  </r>
  <r>
    <s v="391"/>
    <s v="Miguel Pérez"/>
    <d v="2003-01-01T00:00:00"/>
    <n v="23"/>
    <x v="1"/>
    <x v="3"/>
    <d v="2023-12-30T00:00:00"/>
    <d v="2023-09-18T00:00:00"/>
    <n v="15"/>
    <x v="0"/>
    <n v="12"/>
    <n v="7"/>
    <n v="5823.2"/>
    <n v="5810.39"/>
    <n v="16227.01"/>
  </r>
  <r>
    <s v="392"/>
    <s v="Ana López"/>
    <d v="2013-12-31T00:00:00"/>
    <n v="12"/>
    <x v="1"/>
    <x v="3"/>
    <d v="2024-12-25T00:00:00"/>
    <d v="2023-10-09T00:00:00"/>
    <n v="27"/>
    <x v="2"/>
    <n v="10"/>
    <n v="6"/>
    <n v="8049.14"/>
    <n v="14468.38"/>
    <n v="8729.2099999999991"/>
  </r>
  <r>
    <s v="393"/>
    <s v="Juan Cruz"/>
    <d v="1967-01-01T00:00:00"/>
    <n v="59"/>
    <x v="0"/>
    <x v="3"/>
    <d v="2024-06-16T00:00:00"/>
    <d v="2023-12-23T00:00:00"/>
    <n v="28"/>
    <x v="2"/>
    <n v="10"/>
    <n v="4"/>
    <n v="103.44"/>
    <n v="2069.11"/>
    <n v="19413.02"/>
  </r>
  <r>
    <s v="394"/>
    <s v="Carlos Martínez"/>
    <d v="2020-01-01T00:00:00"/>
    <n v="6"/>
    <x v="1"/>
    <x v="3"/>
    <d v="2024-04-16T00:00:00"/>
    <d v="2024-02-25T00:00:00"/>
    <n v="39"/>
    <x v="0"/>
    <n v="11"/>
    <n v="0"/>
    <n v="28273.1"/>
    <n v="2401.79"/>
    <n v="3352.89"/>
  </r>
  <r>
    <s v="395"/>
    <s v="José Sánchez"/>
    <d v="1969-12-31T00:00:00"/>
    <n v="56"/>
    <x v="1"/>
    <x v="5"/>
    <d v="2024-10-28T00:00:00"/>
    <d v="2023-07-12T00:00:00"/>
    <n v="0"/>
    <x v="0"/>
    <n v="3"/>
    <n v="9"/>
    <n v="13083.6"/>
    <n v="4148.1499999999996"/>
    <n v="5267.93"/>
  </r>
  <r>
    <s v="396"/>
    <s v="José Rodríguez"/>
    <d v="1991-01-01T00:00:00"/>
    <n v="35"/>
    <x v="0"/>
    <x v="6"/>
    <d v="2024-06-22T00:00:00"/>
    <d v="2024-09-29T00:00:00"/>
    <n v="26"/>
    <x v="1"/>
    <n v="3"/>
    <n v="0"/>
    <n v="14190.31"/>
    <n v="7013.34"/>
    <n v="7777.46"/>
  </r>
  <r>
    <s v="397"/>
    <s v="José Pérez"/>
    <d v="1981-12-31T00:00:00"/>
    <n v="44"/>
    <x v="0"/>
    <x v="2"/>
    <d v="2024-08-11T00:00:00"/>
    <d v="2024-03-04T00:00:00"/>
    <n v="4"/>
    <x v="0"/>
    <n v="1"/>
    <n v="7"/>
    <n v="4314.6499999999996"/>
    <n v="2715.37"/>
    <n v="3325.46"/>
  </r>
  <r>
    <s v="398"/>
    <s v="Ana Hernández"/>
    <d v="1964-01-01T00:00:00"/>
    <n v="19"/>
    <x v="1"/>
    <x v="4"/>
    <d v="2024-02-17T00:00:00"/>
    <d v="2025-03-19T00:00:00"/>
    <n v="15"/>
    <x v="2"/>
    <n v="3"/>
    <n v="3"/>
    <n v="26117.279999999999"/>
    <n v="5102.67"/>
    <n v="19443.57"/>
  </r>
  <r>
    <s v="399"/>
    <s v="Luisa Morales"/>
    <d v="1961-12-31T00:00:00"/>
    <n v="64"/>
    <x v="1"/>
    <x v="1"/>
    <d v="2024-07-22T00:00:00"/>
    <d v="2023-12-15T00:00:00"/>
    <n v="13"/>
    <x v="0"/>
    <n v="6"/>
    <n v="3"/>
    <n v="20625.28"/>
    <n v="1554.8"/>
    <n v="12783.3"/>
  </r>
  <r>
    <s v="400"/>
    <s v="Carlos Cruz"/>
    <d v="2019-01-01T00:00:00"/>
    <n v="7"/>
    <x v="0"/>
    <x v="2"/>
    <d v="2024-09-22T00:00:00"/>
    <d v="2024-03-05T00:00:00"/>
    <n v="29"/>
    <x v="1"/>
    <n v="7"/>
    <n v="8"/>
    <n v="12656.51"/>
    <n v="6450.12"/>
    <n v="125.1"/>
  </r>
  <r>
    <s v="401"/>
    <s v="Jorge Ramírez"/>
    <d v="2011-01-01T00:00:00"/>
    <n v="15"/>
    <x v="1"/>
    <x v="3"/>
    <d v="2023-06-14T00:00:00"/>
    <d v="2024-01-28T00:00:00"/>
    <n v="35"/>
    <x v="2"/>
    <n v="8"/>
    <n v="1"/>
    <n v="26278.13"/>
    <n v="12412.18"/>
    <n v="11528.05"/>
  </r>
  <r>
    <s v="402"/>
    <s v="Ricardo Pérez"/>
    <d v="2012-12-31T00:00:00"/>
    <n v="13"/>
    <x v="0"/>
    <x v="6"/>
    <d v="2024-07-29T00:00:00"/>
    <d v="2023-12-08T00:00:00"/>
    <n v="22"/>
    <x v="0"/>
    <n v="1"/>
    <n v="4"/>
    <n v="27116.46"/>
    <n v="8925.7999999999993"/>
    <n v="15603.11"/>
  </r>
  <r>
    <s v="403"/>
    <s v="María Pérez"/>
    <d v="1960-01-01T00:00:00"/>
    <n v="75"/>
    <x v="0"/>
    <x v="0"/>
    <d v="2023-02-17T00:00:00"/>
    <d v="2024-07-01T00:00:00"/>
    <n v="29"/>
    <x v="2"/>
    <n v="2"/>
    <n v="5"/>
    <n v="1009.16"/>
    <n v="12152.39"/>
    <n v="931.13"/>
  </r>
  <r>
    <s v="404"/>
    <s v="Carmen Cruz"/>
    <d v="1940-01-01T00:00:00"/>
    <n v="86"/>
    <x v="1"/>
    <x v="6"/>
    <d v="2024-10-23T00:00:00"/>
    <d v="2024-02-07T00:00:00"/>
    <n v="16"/>
    <x v="0"/>
    <n v="5"/>
    <n v="5"/>
    <n v="3139.4"/>
    <n v="2035.69"/>
    <n v="11516.26"/>
  </r>
  <r>
    <s v="405"/>
    <s v="Sofía Ramírez"/>
    <d v="2012-01-01T00:00:00"/>
    <n v="14"/>
    <x v="1"/>
    <x v="0"/>
    <d v="2024-04-28T00:00:00"/>
    <d v="2023-02-17T00:00:00"/>
    <n v="0"/>
    <x v="0"/>
    <n v="5"/>
    <n v="9"/>
    <n v="342.66"/>
    <n v="5991.54"/>
    <n v="7423.67"/>
  </r>
  <r>
    <s v="406"/>
    <s v="Miguel Rodríguez"/>
    <d v="1935-01-01T00:00:00"/>
    <n v="91"/>
    <x v="1"/>
    <x v="2"/>
    <d v="2023-06-07T00:00:00"/>
    <d v="2024-10-27T00:00:00"/>
    <n v="32"/>
    <x v="2"/>
    <n v="1"/>
    <n v="2"/>
    <n v="17242.77"/>
    <n v="589.85"/>
    <n v="11587.68"/>
  </r>
  <r>
    <s v="407"/>
    <s v="Elena Martínez"/>
    <d v="1960-12-31T00:00:00"/>
    <n v="65"/>
    <x v="1"/>
    <x v="6"/>
    <d v="2024-10-29T00:00:00"/>
    <d v="2025-01-20T00:00:00"/>
    <n v="26"/>
    <x v="0"/>
    <n v="9"/>
    <n v="9"/>
    <n v="6147.29"/>
    <n v="5549.69"/>
    <n v="4977.38"/>
  </r>
  <r>
    <s v="408"/>
    <s v="Laura López"/>
    <d v="1995-01-01T00:00:00"/>
    <n v="31"/>
    <x v="1"/>
    <x v="6"/>
    <d v="2023-05-31T00:00:00"/>
    <d v="2024-03-01T00:00:00"/>
    <n v="8"/>
    <x v="0"/>
    <n v="4"/>
    <n v="5"/>
    <n v="25270.31"/>
    <n v="9217.4699999999993"/>
    <n v="13286.93"/>
  </r>
  <r>
    <s v="409"/>
    <s v="Luisa Cruz"/>
    <d v="1940-01-01T00:00:00"/>
    <n v="86"/>
    <x v="0"/>
    <x v="1"/>
    <d v="2023-08-13T00:00:00"/>
    <d v="2024-06-01T00:00:00"/>
    <n v="3"/>
    <x v="0"/>
    <n v="11"/>
    <n v="9"/>
    <n v="13710.37"/>
    <n v="8533.0400000000009"/>
    <n v="13393.79"/>
  </r>
  <r>
    <s v="410"/>
    <s v="Jorge Gómez"/>
    <d v="1981-01-01T00:00:00"/>
    <n v="62"/>
    <x v="1"/>
    <x v="2"/>
    <d v="2023-09-17T00:00:00"/>
    <d v="2024-09-29T00:00:00"/>
    <n v="16"/>
    <x v="1"/>
    <n v="10"/>
    <n v="9"/>
    <n v="25050.15"/>
    <n v="904.84"/>
    <n v="10744.06"/>
  </r>
  <r>
    <s v="411"/>
    <s v="Elena Sánchez"/>
    <d v="1940-12-31T00:00:00"/>
    <n v="85"/>
    <x v="0"/>
    <x v="6"/>
    <d v="2024-01-22T00:00:00"/>
    <d v="2025-05-29T00:00:00"/>
    <n v="34"/>
    <x v="0"/>
    <n v="12"/>
    <n v="4"/>
    <n v="16445.96"/>
    <n v="930.89"/>
    <n v="18467.45"/>
  </r>
  <r>
    <s v="412"/>
    <s v="Laura Cruz"/>
    <d v="1976-01-01T00:00:00"/>
    <n v="50"/>
    <x v="0"/>
    <x v="0"/>
    <d v="2023-09-13T00:00:00"/>
    <d v="2023-11-25T00:00:00"/>
    <n v="24"/>
    <x v="2"/>
    <n v="14"/>
    <n v="7"/>
    <n v="23783.119999999999"/>
    <n v="4576.01"/>
    <n v="18180.54"/>
  </r>
  <r>
    <s v="413"/>
    <s v="Miguel Morales"/>
    <d v="1980-01-01T00:00:00"/>
    <n v="24"/>
    <x v="1"/>
    <x v="4"/>
    <d v="2023-03-02T00:00:00"/>
    <d v="2023-03-29T00:00:00"/>
    <n v="2"/>
    <x v="2"/>
    <n v="7"/>
    <n v="3"/>
    <n v="10841.58"/>
    <n v="11570.99"/>
    <n v="855.45"/>
  </r>
  <r>
    <s v="414"/>
    <s v="Sofía Morales"/>
    <d v="1968-12-31T00:00:00"/>
    <n v="57"/>
    <x v="1"/>
    <x v="6"/>
    <d v="2024-01-31T00:00:00"/>
    <d v="2024-05-30T00:00:00"/>
    <n v="23"/>
    <x v="0"/>
    <n v="3"/>
    <n v="9"/>
    <n v="28334.51"/>
    <n v="308.64999999999998"/>
    <n v="5726.87"/>
  </r>
  <r>
    <s v="415"/>
    <s v="Ricardo Ramírez"/>
    <d v="1964-01-01T00:00:00"/>
    <n v="94"/>
    <x v="1"/>
    <x v="0"/>
    <d v="2024-02-01T00:00:00"/>
    <d v="2023-06-15T00:00:00"/>
    <n v="32"/>
    <x v="0"/>
    <n v="6"/>
    <n v="9"/>
    <n v="19848.34"/>
    <n v="9238.91"/>
    <n v="7221.6"/>
  </r>
  <r>
    <s v="416"/>
    <s v="Laura Cruz"/>
    <d v="1964-12-31T00:00:00"/>
    <n v="61"/>
    <x v="1"/>
    <x v="3"/>
    <d v="2023-06-11T00:00:00"/>
    <d v="2023-08-12T00:00:00"/>
    <n v="16"/>
    <x v="1"/>
    <n v="9"/>
    <n v="2"/>
    <n v="17662.46"/>
    <n v="2755.53"/>
    <n v="1010.9"/>
  </r>
  <r>
    <s v="417"/>
    <s v="Sofía Rodríguez"/>
    <d v="2004-12-31T00:00:00"/>
    <n v="21"/>
    <x v="0"/>
    <x v="6"/>
    <d v="2024-01-15T00:00:00"/>
    <d v="2025-05-11T00:00:00"/>
    <n v="14"/>
    <x v="1"/>
    <n v="14"/>
    <n v="5"/>
    <n v="10246.879999999999"/>
    <n v="14164.74"/>
    <n v="10425.11"/>
  </r>
  <r>
    <s v="418"/>
    <s v="Ana Gómez"/>
    <d v="1968-12-31T00:00:00"/>
    <n v="57"/>
    <x v="1"/>
    <x v="0"/>
    <d v="2024-03-18T00:00:00"/>
    <d v="2023-10-25T00:00:00"/>
    <n v="32"/>
    <x v="2"/>
    <n v="8"/>
    <n v="9"/>
    <n v="28084.11"/>
    <n v="6453.23"/>
    <n v="394.09"/>
  </r>
  <r>
    <s v="419"/>
    <s v="Miguel Rodríguez"/>
    <d v="1968-12-31T00:00:00"/>
    <n v="57"/>
    <x v="0"/>
    <x v="4"/>
    <d v="2023-12-15T00:00:00"/>
    <d v="2024-03-27T00:00:00"/>
    <n v="10"/>
    <x v="0"/>
    <n v="9"/>
    <n v="8"/>
    <n v="9800.9"/>
    <n v="718.26"/>
    <n v="13529.18"/>
  </r>
  <r>
    <s v="420"/>
    <s v="Carmen Martínez"/>
    <d v="1940-12-31T00:00:00"/>
    <n v="85"/>
    <x v="1"/>
    <x v="2"/>
    <d v="2023-01-31T00:00:00"/>
    <d v="2023-12-10T00:00:00"/>
    <n v="11"/>
    <x v="0"/>
    <n v="7"/>
    <n v="7"/>
    <n v="24993.71"/>
    <n v="10704.58"/>
    <n v="45.96"/>
  </r>
  <r>
    <s v="421"/>
    <s v="Luis Hernández"/>
    <d v="1977-12-31T00:00:00"/>
    <n v="48"/>
    <x v="1"/>
    <x v="3"/>
    <d v="2023-03-12T00:00:00"/>
    <d v="2023-12-08T00:00:00"/>
    <n v="27"/>
    <x v="2"/>
    <n v="8"/>
    <n v="9"/>
    <n v="11831.4"/>
    <n v="7269.14"/>
    <n v="541.92999999999995"/>
  </r>
  <r>
    <s v="422"/>
    <s v="Elena Ramírez"/>
    <d v="1975-01-01T00:00:00"/>
    <n v="51"/>
    <x v="0"/>
    <x v="6"/>
    <d v="2024-02-01T00:00:00"/>
    <d v="2024-04-06T00:00:00"/>
    <n v="14"/>
    <x v="0"/>
    <n v="8"/>
    <n v="7"/>
    <n v="22899.11"/>
    <n v="13218.61"/>
    <n v="16658.439999999999"/>
  </r>
  <r>
    <s v="423"/>
    <s v="Luisa Pérez"/>
    <d v="1984-12-31T00:00:00"/>
    <n v="41"/>
    <x v="0"/>
    <x v="1"/>
    <d v="2024-03-13T00:00:00"/>
    <d v="2024-01-28T00:00:00"/>
    <n v="34"/>
    <x v="1"/>
    <n v="11"/>
    <n v="2"/>
    <n v="27312.28"/>
    <n v="9777.3799999999992"/>
    <n v="4977.45"/>
  </r>
  <r>
    <s v="424"/>
    <s v="Ricardo Gómez"/>
    <d v="1956-12-31T00:00:00"/>
    <n v="69"/>
    <x v="1"/>
    <x v="0"/>
    <d v="2023-01-02T00:00:00"/>
    <d v="2024-06-21T00:00:00"/>
    <n v="12"/>
    <x v="2"/>
    <n v="1"/>
    <n v="0"/>
    <n v="13701.02"/>
    <n v="10387.879999999999"/>
    <n v="1532.7"/>
  </r>
  <r>
    <s v="425"/>
    <s v="Jorge Cruz"/>
    <d v="2012-01-01T00:00:00"/>
    <n v="65"/>
    <x v="1"/>
    <x v="4"/>
    <d v="2024-07-15T00:00:00"/>
    <d v="2024-07-05T00:00:00"/>
    <n v="15"/>
    <x v="0"/>
    <n v="1"/>
    <n v="2"/>
    <n v="15547.12"/>
    <n v="11508.9"/>
    <n v="7929.28"/>
  </r>
  <r>
    <s v="426"/>
    <s v="Miguel Gómez"/>
    <d v="1972-12-31T00:00:00"/>
    <n v="26"/>
    <x v="0"/>
    <x v="1"/>
    <d v="2023-05-15T00:00:00"/>
    <d v="2024-02-26T00:00:00"/>
    <n v="11"/>
    <x v="1"/>
    <n v="12"/>
    <n v="2"/>
    <n v="9575.4599999999991"/>
    <n v="6305.32"/>
    <n v="924.07"/>
  </r>
  <r>
    <s v="427"/>
    <s v="José Pérez"/>
    <d v="1967-01-01T00:00:00"/>
    <n v="59"/>
    <x v="1"/>
    <x v="6"/>
    <d v="2023-05-26T00:00:00"/>
    <d v="2024-01-17T00:00:00"/>
    <n v="11"/>
    <x v="0"/>
    <n v="12"/>
    <n v="5"/>
    <n v="1168.22"/>
    <n v="11888.21"/>
    <n v="14983.24"/>
  </r>
  <r>
    <s v="428"/>
    <s v="Carlos Gómez"/>
    <d v="2019-01-01T00:00:00"/>
    <n v="7"/>
    <x v="1"/>
    <x v="0"/>
    <d v="2023-06-28T00:00:00"/>
    <d v="2024-09-09T00:00:00"/>
    <n v="30"/>
    <x v="2"/>
    <n v="0"/>
    <n v="2"/>
    <n v="19400.68"/>
    <n v="759.34"/>
    <n v="9832.36"/>
  </r>
  <r>
    <s v="429"/>
    <s v="Carlos Martínez"/>
    <d v="1973-12-31T00:00:00"/>
    <n v="52"/>
    <x v="0"/>
    <x v="6"/>
    <d v="2023-09-21T00:00:00"/>
    <d v="2023-01-06T00:00:00"/>
    <n v="35"/>
    <x v="0"/>
    <n v="3"/>
    <n v="1"/>
    <n v="3149.1"/>
    <n v="11482.91"/>
    <n v="10993.84"/>
  </r>
  <r>
    <s v="430"/>
    <s v="Carmen Morales"/>
    <d v="1967-01-01T00:00:00"/>
    <n v="59"/>
    <x v="0"/>
    <x v="3"/>
    <d v="2023-11-07T00:00:00"/>
    <d v="2024-10-10T00:00:00"/>
    <n v="8"/>
    <x v="0"/>
    <n v="14"/>
    <n v="8"/>
    <n v="10298.799999999999"/>
    <n v="9544.6200000000008"/>
    <n v="15035.55"/>
  </r>
  <r>
    <s v="431"/>
    <s v="José Cruz"/>
    <d v="2021-12-31T00:00:00"/>
    <n v="4"/>
    <x v="0"/>
    <x v="4"/>
    <d v="2023-07-23T00:00:00"/>
    <d v="2023-01-05T00:00:00"/>
    <n v="8"/>
    <x v="0"/>
    <n v="12"/>
    <n v="5"/>
    <n v="10159.56"/>
    <n v="8499.98"/>
    <n v="15667.62"/>
  </r>
  <r>
    <s v="432"/>
    <s v="Jorge Morales"/>
    <d v="1959-01-01T00:00:00"/>
    <n v="67"/>
    <x v="0"/>
    <x v="4"/>
    <d v="2024-11-29T00:00:00"/>
    <d v="2024-11-12T00:00:00"/>
    <n v="23"/>
    <x v="2"/>
    <n v="8"/>
    <n v="4"/>
    <n v="4105.62"/>
    <n v="4772.26"/>
    <n v="2638.79"/>
  </r>
  <r>
    <s v="433"/>
    <s v="Jorge López"/>
    <d v="2020-12-31T00:00:00"/>
    <n v="5"/>
    <x v="0"/>
    <x v="3"/>
    <d v="2023-01-30T00:00:00"/>
    <d v="2023-11-13T00:00:00"/>
    <n v="0"/>
    <x v="1"/>
    <n v="5"/>
    <n v="2"/>
    <n v="19834.66"/>
    <n v="1711.69"/>
    <n v="5533.62"/>
  </r>
  <r>
    <s v="434"/>
    <s v="Luisa Hernández"/>
    <d v="1932-12-31T00:00:00"/>
    <n v="93"/>
    <x v="0"/>
    <x v="6"/>
    <d v="2023-02-28T00:00:00"/>
    <d v="2025-04-02T00:00:00"/>
    <n v="22"/>
    <x v="0"/>
    <n v="14"/>
    <n v="6"/>
    <n v="4825.28"/>
    <n v="9708.01"/>
    <n v="3430.89"/>
  </r>
  <r>
    <s v="435"/>
    <s v="María Morales"/>
    <d v="1980-01-01T00:00:00"/>
    <n v="46"/>
    <x v="0"/>
    <x v="6"/>
    <d v="2023-01-09T00:00:00"/>
    <d v="2023-03-20T00:00:00"/>
    <n v="14"/>
    <x v="1"/>
    <n v="9"/>
    <n v="6"/>
    <n v="23239.26"/>
    <n v="7075.06"/>
    <n v="986.18"/>
  </r>
  <r>
    <s v="436"/>
    <s v="Carmen Sánchez"/>
    <d v="1972-01-01T00:00:00"/>
    <n v="54"/>
    <x v="0"/>
    <x v="5"/>
    <d v="2023-11-20T00:00:00"/>
    <d v="2024-06-15T00:00:00"/>
    <n v="19"/>
    <x v="0"/>
    <n v="4"/>
    <n v="3"/>
    <n v="7103.01"/>
    <n v="3267.67"/>
    <n v="10704.1"/>
  </r>
  <r>
    <s v="437"/>
    <s v="Luisa Ramírez"/>
    <d v="1987-01-01T00:00:00"/>
    <n v="39"/>
    <x v="0"/>
    <x v="6"/>
    <d v="2023-06-16T00:00:00"/>
    <d v="2024-12-18T00:00:00"/>
    <n v="26"/>
    <x v="0"/>
    <n v="2"/>
    <n v="9"/>
    <n v="0"/>
    <n v="650.5"/>
    <n v="4920.97"/>
  </r>
  <r>
    <s v="438"/>
    <s v="Ricardo Sánchez"/>
    <d v="1975-01-01T00:00:00"/>
    <n v="51"/>
    <x v="1"/>
    <x v="4"/>
    <d v="2023-12-03T00:00:00"/>
    <d v="2023-12-22T00:00:00"/>
    <n v="23"/>
    <x v="1"/>
    <n v="13"/>
    <n v="1"/>
    <n v="9983.7099999999991"/>
    <n v="8081.48"/>
    <n v="2995.02"/>
  </r>
  <r>
    <s v="439"/>
    <s v="Jorge Pérez"/>
    <d v="2011-01-01T00:00:00"/>
    <n v="15"/>
    <x v="1"/>
    <x v="6"/>
    <d v="2024-01-14T00:00:00"/>
    <d v="2025-04-16T00:00:00"/>
    <n v="31"/>
    <x v="2"/>
    <n v="7"/>
    <n v="1"/>
    <n v="4158.95"/>
    <n v="1894.44"/>
    <n v="10153.959999999999"/>
  </r>
  <r>
    <s v="440"/>
    <s v="Laura Pérez"/>
    <d v="2019-01-01T00:00:00"/>
    <n v="12"/>
    <x v="0"/>
    <x v="1"/>
    <d v="2024-12-03T00:00:00"/>
    <d v="2023-02-03T00:00:00"/>
    <n v="23"/>
    <x v="0"/>
    <n v="13"/>
    <n v="7"/>
    <n v="12745.07"/>
    <n v="13941.29"/>
    <n v="12643.7"/>
  </r>
  <r>
    <s v="441"/>
    <s v="Pedro López"/>
    <d v="1996-12-31T00:00:00"/>
    <n v="12"/>
    <x v="0"/>
    <x v="1"/>
    <d v="2023-08-30T00:00:00"/>
    <d v="2024-10-24T00:00:00"/>
    <n v="6"/>
    <x v="2"/>
    <n v="10"/>
    <n v="3"/>
    <n v="1949.92"/>
    <n v="2259.48"/>
    <n v="15419.26"/>
  </r>
  <r>
    <s v="442"/>
    <s v="Luis Sánchez"/>
    <d v="2008-01-01T00:00:00"/>
    <n v="18"/>
    <x v="1"/>
    <x v="3"/>
    <d v="2024-10-27T00:00:00"/>
    <d v="2024-12-06T00:00:00"/>
    <n v="37"/>
    <x v="1"/>
    <n v="9"/>
    <n v="6"/>
    <n v="12527.04"/>
    <n v="480.38"/>
    <n v="251.62"/>
  </r>
  <r>
    <s v="443"/>
    <s v="Luis Morales"/>
    <d v="2009-12-31T00:00:00"/>
    <n v="6"/>
    <x v="0"/>
    <x v="1"/>
    <d v="2023-06-09T00:00:00"/>
    <d v="2023-05-20T00:00:00"/>
    <n v="8"/>
    <x v="2"/>
    <n v="14"/>
    <n v="2"/>
    <n v="9867.32"/>
    <n v="3930.71"/>
    <n v="10478.32"/>
  </r>
  <r>
    <s v="444"/>
    <s v="Ana Hernández"/>
    <d v="1964-01-01T00:00:00"/>
    <n v="62"/>
    <x v="1"/>
    <x v="6"/>
    <d v="2023-08-23T00:00:00"/>
    <d v="2023-09-30T00:00:00"/>
    <n v="4"/>
    <x v="0"/>
    <n v="2"/>
    <n v="8"/>
    <n v="9817.1"/>
    <n v="2624.35"/>
    <n v="5268.13"/>
  </r>
  <r>
    <s v="445"/>
    <s v="Elena Martínez"/>
    <d v="2008-01-01T00:00:00"/>
    <n v="18"/>
    <x v="0"/>
    <x v="2"/>
    <d v="2024-03-28T00:00:00"/>
    <d v="2023-07-16T00:00:00"/>
    <n v="27"/>
    <x v="1"/>
    <n v="1"/>
    <n v="9"/>
    <n v="19650.560000000001"/>
    <n v="11868.57"/>
    <n v="19830.97"/>
  </r>
  <r>
    <s v="446"/>
    <s v="Ricardo Ramírez"/>
    <d v="1935-01-01T00:00:00"/>
    <n v="91"/>
    <x v="0"/>
    <x v="6"/>
    <d v="2023-07-18T00:00:00"/>
    <d v="2023-05-08T00:00:00"/>
    <n v="1"/>
    <x v="2"/>
    <n v="9"/>
    <n v="8"/>
    <n v="22955.200000000001"/>
    <n v="4340.1400000000003"/>
    <n v="3054.43"/>
  </r>
  <r>
    <s v="447"/>
    <s v="Ricardo Morales"/>
    <d v="1968-12-31T00:00:00"/>
    <n v="57"/>
    <x v="0"/>
    <x v="4"/>
    <d v="2024-04-21T00:00:00"/>
    <d v="2023-12-16T00:00:00"/>
    <n v="27"/>
    <x v="2"/>
    <n v="3"/>
    <n v="6"/>
    <n v="10357.950000000001"/>
    <n v="3678.61"/>
    <n v="8700.7000000000007"/>
  </r>
  <r>
    <s v="448"/>
    <s v="Luisa López"/>
    <d v="1972-01-01T00:00:00"/>
    <n v="64"/>
    <x v="1"/>
    <x v="5"/>
    <d v="2023-02-02T00:00:00"/>
    <d v="2025-01-13T00:00:00"/>
    <n v="1"/>
    <x v="0"/>
    <n v="13"/>
    <n v="6"/>
    <n v="7491.45"/>
    <n v="14922.13"/>
    <n v="19397.53"/>
  </r>
  <r>
    <s v="449"/>
    <s v="Jorge Martínez"/>
    <d v="1936-12-31T00:00:00"/>
    <n v="89"/>
    <x v="0"/>
    <x v="0"/>
    <d v="2024-02-12T00:00:00"/>
    <d v="2023-02-14T00:00:00"/>
    <n v="11"/>
    <x v="0"/>
    <n v="2"/>
    <n v="0"/>
    <n v="14577.66"/>
    <n v="2250.9299999999998"/>
    <n v="4183.25"/>
  </r>
  <r>
    <s v="450"/>
    <s v="Elena Rodríguez"/>
    <d v="1936-12-31T00:00:00"/>
    <n v="89"/>
    <x v="1"/>
    <x v="4"/>
    <d v="2023-03-30T00:00:00"/>
    <d v="2025-01-12T00:00:00"/>
    <n v="10"/>
    <x v="0"/>
    <n v="0"/>
    <n v="9"/>
    <n v="23525.43"/>
    <n v="1274.98"/>
    <n v="16118.64"/>
  </r>
  <r>
    <s v="451"/>
    <s v="Laura López"/>
    <d v="1964-12-31T00:00:00"/>
    <n v="61"/>
    <x v="1"/>
    <x v="3"/>
    <d v="2024-08-29T00:00:00"/>
    <d v="2024-12-29T00:00:00"/>
    <n v="22"/>
    <x v="2"/>
    <n v="1"/>
    <n v="7"/>
    <n v="19159.48"/>
    <n v="4584.3599999999997"/>
    <n v="4785.09"/>
  </r>
  <r>
    <s v="452"/>
    <s v="Laura López"/>
    <d v="2004-01-01T00:00:00"/>
    <n v="22"/>
    <x v="1"/>
    <x v="1"/>
    <d v="2023-08-09T00:00:00"/>
    <d v="2023-09-02T00:00:00"/>
    <n v="10"/>
    <x v="0"/>
    <n v="5"/>
    <n v="1"/>
    <n v="659.04"/>
    <n v="6076.35"/>
    <n v="1412.8"/>
  </r>
  <r>
    <s v="453"/>
    <s v="Carlos Morales"/>
    <d v="2017-12-31T00:00:00"/>
    <n v="8"/>
    <x v="0"/>
    <x v="2"/>
    <d v="2023-03-10T00:00:00"/>
    <d v="2023-01-10T00:00:00"/>
    <n v="10"/>
    <x v="1"/>
    <n v="10"/>
    <n v="7"/>
    <n v="14137.85"/>
    <n v="11406.36"/>
    <n v="759.38"/>
  </r>
  <r>
    <s v="454"/>
    <s v="Luis Martínez"/>
    <d v="2015-01-01T00:00:00"/>
    <n v="11"/>
    <x v="1"/>
    <x v="4"/>
    <d v="2023-10-21T00:00:00"/>
    <d v="2025-02-01T00:00:00"/>
    <n v="34"/>
    <x v="1"/>
    <n v="0"/>
    <n v="1"/>
    <n v="0"/>
    <n v="14331.66"/>
    <n v="18969.650000000001"/>
  </r>
  <r>
    <s v="455"/>
    <s v="Carmen Ramírez"/>
    <d v="2025-12-31T00:00:00"/>
    <n v="0"/>
    <x v="1"/>
    <x v="0"/>
    <d v="2023-08-25T00:00:00"/>
    <d v="2024-12-13T00:00:00"/>
    <n v="3"/>
    <x v="1"/>
    <n v="1"/>
    <n v="0"/>
    <n v="10270.39"/>
    <n v="11455.16"/>
    <n v="4179.16"/>
  </r>
  <r>
    <s v="456"/>
    <s v="Ana López"/>
    <d v="1968-12-31T00:00:00"/>
    <n v="57"/>
    <x v="0"/>
    <x v="2"/>
    <d v="2023-06-09T00:00:00"/>
    <d v="2025-04-26T00:00:00"/>
    <n v="23"/>
    <x v="2"/>
    <n v="0"/>
    <n v="7"/>
    <n v="12941.86"/>
    <n v="10899.58"/>
    <n v="5768.3"/>
  </r>
  <r>
    <s v="457"/>
    <s v="Sofía Hernández"/>
    <d v="2025-12-31T00:00:00"/>
    <n v="0"/>
    <x v="0"/>
    <x v="3"/>
    <d v="2023-10-17T00:00:00"/>
    <d v="2023-03-21T00:00:00"/>
    <n v="11"/>
    <x v="2"/>
    <n v="10"/>
    <n v="3"/>
    <n v="8265.91"/>
    <n v="14871.72"/>
    <n v="19334.89"/>
  </r>
  <r>
    <s v="458"/>
    <s v="Laura López"/>
    <d v="1992-12-31T00:00:00"/>
    <n v="33"/>
    <x v="0"/>
    <x v="1"/>
    <d v="2024-07-07T00:00:00"/>
    <d v="2025-01-27T00:00:00"/>
    <n v="5"/>
    <x v="1"/>
    <n v="6"/>
    <n v="9"/>
    <n v="14679.69"/>
    <n v="11480.46"/>
    <n v="13113.56"/>
  </r>
  <r>
    <s v="459"/>
    <s v="María Hernández"/>
    <d v="1979-01-01T00:00:00"/>
    <n v="47"/>
    <x v="0"/>
    <x v="5"/>
    <d v="2024-07-31T00:00:00"/>
    <d v="2023-07-10T00:00:00"/>
    <n v="21"/>
    <x v="0"/>
    <n v="6"/>
    <n v="5"/>
    <n v="4408.1000000000004"/>
    <n v="2093"/>
    <n v="9711.35"/>
  </r>
  <r>
    <s v="460"/>
    <s v="María Martínez"/>
    <d v="1937-12-31T00:00:00"/>
    <n v="88"/>
    <x v="1"/>
    <x v="4"/>
    <d v="2024-06-16T00:00:00"/>
    <d v="2023-03-28T00:00:00"/>
    <n v="19"/>
    <x v="0"/>
    <n v="10"/>
    <n v="9"/>
    <n v="7033.92"/>
    <n v="6922.95"/>
    <n v="8651.98"/>
  </r>
  <r>
    <s v="461"/>
    <s v="José López"/>
    <d v="2025-12-31T00:00:00"/>
    <n v="0"/>
    <x v="0"/>
    <x v="4"/>
    <d v="2023-12-01T00:00:00"/>
    <d v="2024-04-30T00:00:00"/>
    <n v="37"/>
    <x v="0"/>
    <n v="8"/>
    <n v="9"/>
    <n v="21207.96"/>
    <n v="7552.57"/>
    <n v="876.14"/>
  </r>
  <r>
    <s v="462"/>
    <s v="Ricardo Rodríguez"/>
    <d v="2011-01-01T00:00:00"/>
    <n v="15"/>
    <x v="0"/>
    <x v="4"/>
    <d v="2024-08-04T00:00:00"/>
    <d v="2023-09-29T00:00:00"/>
    <n v="36"/>
    <x v="0"/>
    <n v="0"/>
    <n v="0"/>
    <n v="3717.75"/>
    <n v="4572.1499999999996"/>
    <n v="16762.79"/>
  </r>
  <r>
    <s v="463"/>
    <s v="Luisa Gómez"/>
    <d v="1985-01-01T00:00:00"/>
    <n v="60"/>
    <x v="1"/>
    <x v="3"/>
    <d v="2024-05-16T00:00:00"/>
    <d v="2025-02-13T00:00:00"/>
    <n v="18"/>
    <x v="1"/>
    <n v="4"/>
    <n v="8"/>
    <n v="27747.38"/>
    <n v="2464.13"/>
    <n v="15216.93"/>
  </r>
  <r>
    <s v="464"/>
    <s v="Elena Hernández"/>
    <d v="1963-01-01T00:00:00"/>
    <n v="63"/>
    <x v="1"/>
    <x v="2"/>
    <d v="2023-09-03T00:00:00"/>
    <d v="2024-05-28T00:00:00"/>
    <n v="23"/>
    <x v="2"/>
    <n v="9"/>
    <n v="6"/>
    <n v="8892.7900000000009"/>
    <n v="10676.11"/>
    <n v="1723.02"/>
  </r>
  <r>
    <s v="465"/>
    <s v="Elena López"/>
    <d v="1964-01-01T00:00:00"/>
    <n v="62"/>
    <x v="1"/>
    <x v="2"/>
    <d v="2023-11-19T00:00:00"/>
    <d v="2023-01-21T00:00:00"/>
    <n v="7"/>
    <x v="2"/>
    <n v="10"/>
    <n v="4"/>
    <n v="17038.27"/>
    <n v="4162.42"/>
    <n v="7004.49"/>
  </r>
  <r>
    <s v="466"/>
    <s v="José López"/>
    <d v="1957-12-31T00:00:00"/>
    <n v="68"/>
    <x v="1"/>
    <x v="3"/>
    <d v="2024-09-02T00:00:00"/>
    <d v="2024-05-04T00:00:00"/>
    <n v="10"/>
    <x v="0"/>
    <n v="9"/>
    <n v="5"/>
    <n v="0"/>
    <n v="9369.82"/>
    <n v="17696.740000000002"/>
  </r>
  <r>
    <s v="467"/>
    <s v="Ana López"/>
    <d v="2004-12-31T00:00:00"/>
    <n v="21"/>
    <x v="0"/>
    <x v="4"/>
    <d v="2023-11-25T00:00:00"/>
    <d v="2023-05-11T00:00:00"/>
    <n v="39"/>
    <x v="1"/>
    <n v="9"/>
    <n v="2"/>
    <n v="14079.94"/>
    <n v="4838.8500000000004"/>
    <n v="4652.47"/>
  </r>
  <r>
    <s v="468"/>
    <s v="Sofía Ramírez"/>
    <d v="1933-12-31T00:00:00"/>
    <n v="92"/>
    <x v="0"/>
    <x v="6"/>
    <d v="2024-06-30T00:00:00"/>
    <d v="2025-04-18T00:00:00"/>
    <n v="11"/>
    <x v="0"/>
    <n v="5"/>
    <n v="8"/>
    <n v="27065.94"/>
    <n v="7593.54"/>
    <n v="12185.8"/>
  </r>
  <r>
    <s v="469"/>
    <s v="Carlos Rodríguez"/>
    <d v="1960-01-01T00:00:00"/>
    <n v="66"/>
    <x v="0"/>
    <x v="3"/>
    <d v="2023-12-05T00:00:00"/>
    <d v="2025-02-09T00:00:00"/>
    <n v="6"/>
    <x v="0"/>
    <n v="1"/>
    <n v="1"/>
    <n v="1591.61"/>
    <n v="5055.79"/>
    <n v="9707.51"/>
  </r>
  <r>
    <s v="470"/>
    <s v="José Hernández"/>
    <d v="1967-01-01T00:00:00"/>
    <n v="75"/>
    <x v="0"/>
    <x v="1"/>
    <d v="2023-06-20T00:00:00"/>
    <d v="2024-10-05T00:00:00"/>
    <n v="4"/>
    <x v="1"/>
    <n v="5"/>
    <n v="9"/>
    <n v="25618.45"/>
    <n v="6176.38"/>
    <n v="16352.29"/>
  </r>
  <r>
    <s v="471"/>
    <s v="Ana Cruz"/>
    <d v="2000-12-31T00:00:00"/>
    <n v="25"/>
    <x v="1"/>
    <x v="1"/>
    <d v="2023-04-20T00:00:00"/>
    <d v="2023-01-08T00:00:00"/>
    <n v="36"/>
    <x v="1"/>
    <n v="10"/>
    <n v="0"/>
    <n v="16506"/>
    <n v="10981"/>
    <n v="624.67999999999995"/>
  </r>
  <r>
    <s v="472"/>
    <s v="Ana Cruz"/>
    <d v="2011-01-01T00:00:00"/>
    <n v="15"/>
    <x v="0"/>
    <x v="5"/>
    <d v="2023-01-10T00:00:00"/>
    <d v="2025-05-02T00:00:00"/>
    <n v="28"/>
    <x v="1"/>
    <n v="9"/>
    <n v="0"/>
    <n v="19784.669999999998"/>
    <n v="13257.37"/>
    <n v="16304.56"/>
  </r>
  <r>
    <s v="473"/>
    <s v="Ana Gómez"/>
    <d v="1976-01-01T00:00:00"/>
    <n v="50"/>
    <x v="1"/>
    <x v="3"/>
    <d v="2023-07-21T00:00:00"/>
    <d v="2025-01-23T00:00:00"/>
    <n v="13"/>
    <x v="0"/>
    <n v="6"/>
    <n v="9"/>
    <n v="1204.56"/>
    <n v="7631.19"/>
    <n v="2627.96"/>
  </r>
  <r>
    <s v="474"/>
    <s v="María Martínez"/>
    <d v="1940-12-31T00:00:00"/>
    <n v="85"/>
    <x v="2"/>
    <x v="0"/>
    <d v="2023-09-14T00:00:00"/>
    <d v="2024-12-05T00:00:00"/>
    <n v="5"/>
    <x v="1"/>
    <n v="7"/>
    <n v="1"/>
    <n v="22722.67"/>
    <n v="9153.77"/>
    <n v="202.96"/>
  </r>
  <r>
    <s v="475"/>
    <s v="Ana Ramírez"/>
    <d v="1969-12-31T00:00:00"/>
    <n v="56"/>
    <x v="1"/>
    <x v="1"/>
    <d v="2023-09-19T00:00:00"/>
    <d v="2023-11-07T00:00:00"/>
    <n v="12"/>
    <x v="0"/>
    <n v="12"/>
    <n v="5"/>
    <n v="3397.24"/>
    <n v="12966.15"/>
    <n v="11869.57"/>
  </r>
  <r>
    <s v="476"/>
    <s v="Ricardo Martínez"/>
    <d v="1997-12-31T00:00:00"/>
    <n v="28"/>
    <x v="0"/>
    <x v="1"/>
    <d v="2024-11-23T00:00:00"/>
    <d v="2025-03-20T00:00:00"/>
    <n v="22"/>
    <x v="0"/>
    <n v="6"/>
    <n v="5"/>
    <n v="0"/>
    <n v="2148.34"/>
    <n v="5098.6899999999996"/>
  </r>
  <r>
    <s v="477"/>
    <s v="José Morales"/>
    <d v="1948-12-31T00:00:00"/>
    <n v="7"/>
    <x v="1"/>
    <x v="1"/>
    <d v="2024-03-05T00:00:00"/>
    <d v="2024-09-19T00:00:00"/>
    <n v="35"/>
    <x v="2"/>
    <n v="1"/>
    <n v="8"/>
    <n v="23878.26"/>
    <n v="2432.9699999999998"/>
    <n v="14156.47"/>
  </r>
  <r>
    <s v="478"/>
    <s v="Ana Gómez"/>
    <d v="1935-01-01T00:00:00"/>
    <n v="91"/>
    <x v="1"/>
    <x v="6"/>
    <d v="2024-05-21T00:00:00"/>
    <d v="2024-04-18T00:00:00"/>
    <n v="38"/>
    <x v="0"/>
    <n v="6"/>
    <n v="9"/>
    <n v="14532.47"/>
    <n v="5388.55"/>
    <n v="9342.64"/>
  </r>
  <r>
    <s v="479"/>
    <s v="Elena Morales"/>
    <d v="1957-12-31T00:00:00"/>
    <n v="68"/>
    <x v="1"/>
    <x v="0"/>
    <d v="2023-03-07T00:00:00"/>
    <d v="2023-04-13T00:00:00"/>
    <n v="12"/>
    <x v="0"/>
    <n v="1"/>
    <n v="3"/>
    <n v="27687.09"/>
    <n v="4636.0200000000004"/>
    <n v="12071.03"/>
  </r>
  <r>
    <s v="480"/>
    <s v="Sofía Morales"/>
    <d v="1980-01-01T00:00:00"/>
    <n v="46"/>
    <x v="0"/>
    <x v="4"/>
    <d v="2024-11-03T00:00:00"/>
    <d v="2023-12-05T00:00:00"/>
    <n v="22"/>
    <x v="0"/>
    <n v="4"/>
    <n v="7"/>
    <n v="0"/>
    <n v="14795.61"/>
    <n v="13763.1"/>
  </r>
  <r>
    <s v="481"/>
    <s v="Laura Ramírez"/>
    <d v="1932-12-31T00:00:00"/>
    <n v="93"/>
    <x v="0"/>
    <x v="4"/>
    <d v="2024-08-01T00:00:00"/>
    <d v="2023-11-16T00:00:00"/>
    <n v="4"/>
    <x v="0"/>
    <n v="2"/>
    <n v="3"/>
    <n v="29745.75"/>
    <n v="8461.3799999999992"/>
    <n v="18531.25"/>
  </r>
  <r>
    <s v="482"/>
    <s v="Ana Rodríguez"/>
    <d v="1964-12-31T00:00:00"/>
    <n v="61"/>
    <x v="1"/>
    <x v="3"/>
    <d v="2024-09-03T00:00:00"/>
    <d v="2024-05-28T00:00:00"/>
    <n v="23"/>
    <x v="0"/>
    <n v="5"/>
    <n v="2"/>
    <n v="21362.98"/>
    <n v="7858.6"/>
    <n v="16444.52"/>
  </r>
  <r>
    <s v="483"/>
    <s v="Miguel Rodríguez"/>
    <d v="2020-01-01T00:00:00"/>
    <n v="68"/>
    <x v="0"/>
    <x v="6"/>
    <d v="2024-08-11T00:00:00"/>
    <d v="2023-01-26T00:00:00"/>
    <n v="5"/>
    <x v="0"/>
    <n v="6"/>
    <n v="3"/>
    <n v="2500.5300000000002"/>
    <n v="8680.7800000000007"/>
    <n v="9851.75"/>
  </r>
  <r>
    <s v="484"/>
    <s v="Sofía Martínez"/>
    <d v="1951-01-01T00:00:00"/>
    <n v="75"/>
    <x v="0"/>
    <x v="1"/>
    <d v="2023-02-04T00:00:00"/>
    <d v="2024-12-22T00:00:00"/>
    <n v="15"/>
    <x v="1"/>
    <n v="8"/>
    <n v="0"/>
    <n v="15866.04"/>
    <n v="13127.32"/>
    <n v="8704.1200000000008"/>
  </r>
  <r>
    <s v="485"/>
    <s v="Elena Rodríguez"/>
    <d v="2011-01-01T00:00:00"/>
    <n v="15"/>
    <x v="0"/>
    <x v="4"/>
    <d v="2024-07-10T00:00:00"/>
    <d v="2024-03-06T00:00:00"/>
    <n v="18"/>
    <x v="2"/>
    <n v="4"/>
    <n v="8"/>
    <n v="21181.73"/>
    <n v="3653.22"/>
    <n v="13058.99"/>
  </r>
  <r>
    <s v="486"/>
    <s v="Laura Martínez"/>
    <d v="1936-12-31T00:00:00"/>
    <n v="89"/>
    <x v="0"/>
    <x v="0"/>
    <d v="2024-10-23T00:00:00"/>
    <d v="2023-05-24T00:00:00"/>
    <n v="13"/>
    <x v="1"/>
    <n v="8"/>
    <n v="4"/>
    <n v="18197.18"/>
    <n v="7664.51"/>
    <n v="14644.04"/>
  </r>
  <r>
    <s v="487"/>
    <s v="María López"/>
    <d v="1936-12-31T00:00:00"/>
    <n v="89"/>
    <x v="1"/>
    <x v="4"/>
    <d v="2024-05-05T00:00:00"/>
    <d v="2024-12-10T00:00:00"/>
    <n v="0"/>
    <x v="0"/>
    <n v="2"/>
    <n v="6"/>
    <n v="12430.46"/>
    <n v="4064.45"/>
    <n v="3370.34"/>
  </r>
  <r>
    <s v="488"/>
    <s v="Miguel Gómez"/>
    <d v="1979-01-01T00:00:00"/>
    <n v="47"/>
    <x v="1"/>
    <x v="0"/>
    <d v="2024-08-02T00:00:00"/>
    <d v="2024-10-19T00:00:00"/>
    <n v="2"/>
    <x v="0"/>
    <n v="6"/>
    <n v="2"/>
    <n v="7068.36"/>
    <n v="11708.64"/>
    <n v="553.74"/>
  </r>
  <r>
    <s v="489"/>
    <s v="María Sánchez"/>
    <d v="1941-12-31T00:00:00"/>
    <n v="84"/>
    <x v="0"/>
    <x v="6"/>
    <d v="2023-09-11T00:00:00"/>
    <d v="2023-05-30T00:00:00"/>
    <n v="10"/>
    <x v="0"/>
    <n v="5"/>
    <n v="4"/>
    <n v="6766"/>
    <n v="11656.73"/>
    <n v="9038.52"/>
  </r>
  <r>
    <s v="490"/>
    <s v="Juan Ramírez"/>
    <d v="1988-01-01T00:00:00"/>
    <n v="38"/>
    <x v="0"/>
    <x v="4"/>
    <d v="2023-01-17T00:00:00"/>
    <d v="2024-11-24T00:00:00"/>
    <n v="29"/>
    <x v="1"/>
    <n v="8"/>
    <n v="9"/>
    <n v="27771.99"/>
    <n v="14361.45"/>
    <n v="1899.01"/>
  </r>
  <r>
    <s v="491"/>
    <s v="Luis Sánchez"/>
    <d v="1993-12-31T00:00:00"/>
    <n v="32"/>
    <x v="2"/>
    <x v="1"/>
    <d v="2023-09-18T00:00:00"/>
    <d v="2023-02-25T00:00:00"/>
    <n v="9"/>
    <x v="0"/>
    <n v="13"/>
    <n v="3"/>
    <n v="6659.59"/>
    <n v="6702.33"/>
    <n v="5381.94"/>
  </r>
  <r>
    <s v="492"/>
    <s v="Juan Ramírez"/>
    <d v="1932-12-31T00:00:00"/>
    <n v="93"/>
    <x v="0"/>
    <x v="6"/>
    <d v="2024-12-25T00:00:00"/>
    <d v="2024-04-16T00:00:00"/>
    <n v="28"/>
    <x v="2"/>
    <n v="6"/>
    <n v="6"/>
    <n v="28853.35"/>
    <n v="2379.77"/>
    <n v="11653.27"/>
  </r>
  <r>
    <s v="493"/>
    <s v="Luis López"/>
    <d v="2004-01-01T00:00:00"/>
    <n v="22"/>
    <x v="1"/>
    <x v="2"/>
    <d v="2023-09-13T00:00:00"/>
    <d v="2023-12-30T00:00:00"/>
    <n v="38"/>
    <x v="0"/>
    <n v="11"/>
    <n v="4"/>
    <n v="5911.89"/>
    <n v="13446.16"/>
    <n v="2944.19"/>
  </r>
  <r>
    <s v="494"/>
    <s v="Luisa Morales"/>
    <d v="2016-12-31T00:00:00"/>
    <n v="9"/>
    <x v="0"/>
    <x v="1"/>
    <d v="2024-12-28T00:00:00"/>
    <d v="2024-10-12T00:00:00"/>
    <n v="1"/>
    <x v="0"/>
    <n v="8"/>
    <n v="1"/>
    <n v="11220.66"/>
    <n v="13359.04"/>
    <n v="472.71"/>
  </r>
  <r>
    <s v="495"/>
    <s v="Laura Gómez"/>
    <d v="1957-12-31T00:00:00"/>
    <n v="91"/>
    <x v="1"/>
    <x v="6"/>
    <d v="2024-02-28T00:00:00"/>
    <d v="2023-07-29T00:00:00"/>
    <n v="38"/>
    <x v="0"/>
    <n v="5"/>
    <n v="2"/>
    <n v="124.14"/>
    <n v="3520.04"/>
    <n v="11047.48"/>
  </r>
  <r>
    <s v="496"/>
    <s v="Jorge Pérez"/>
    <d v="1992-12-31T00:00:00"/>
    <n v="33"/>
    <x v="2"/>
    <x v="3"/>
    <d v="2024-05-15T00:00:00"/>
    <d v="2023-07-05T00:00:00"/>
    <n v="5"/>
    <x v="0"/>
    <n v="12"/>
    <n v="7"/>
    <n v="27045.89"/>
    <n v="4144.05"/>
    <n v="9271.17"/>
  </r>
  <r>
    <s v="497"/>
    <s v="Juan Pérez"/>
    <d v="1975-01-01T00:00:00"/>
    <n v="51"/>
    <x v="1"/>
    <x v="4"/>
    <d v="2023-10-13T00:00:00"/>
    <d v="2023-03-07T00:00:00"/>
    <n v="22"/>
    <x v="0"/>
    <n v="1"/>
    <n v="2"/>
    <n v="2682.73"/>
    <n v="4701.21"/>
    <n v="6056.69"/>
  </r>
  <r>
    <s v="498"/>
    <s v="Laura Martínez"/>
    <d v="1932-01-01T00:00:00"/>
    <n v="94"/>
    <x v="0"/>
    <x v="1"/>
    <d v="2023-01-07T00:00:00"/>
    <d v="2024-07-03T00:00:00"/>
    <n v="2"/>
    <x v="0"/>
    <n v="1"/>
    <n v="6"/>
    <n v="10398.540000000001"/>
    <n v="6776.25"/>
    <n v="9322.59"/>
  </r>
  <r>
    <s v="499"/>
    <s v="Miguel Ramírez"/>
    <d v="2016-12-31T00:00:00"/>
    <n v="9"/>
    <x v="0"/>
    <x v="5"/>
    <d v="2024-05-11T00:00:00"/>
    <d v="2023-04-23T00:00:00"/>
    <n v="1"/>
    <x v="2"/>
    <n v="7"/>
    <n v="4"/>
    <n v="25196.81"/>
    <n v="12435.65"/>
    <n v="13638.81"/>
  </r>
  <r>
    <s v="500"/>
    <s v="María Morales"/>
    <d v="2008-01-01T00:00:00"/>
    <n v="18"/>
    <x v="1"/>
    <x v="1"/>
    <d v="2023-07-18T00:00:00"/>
    <d v="2023-09-21T00:00:00"/>
    <n v="39"/>
    <x v="0"/>
    <n v="14"/>
    <n v="6"/>
    <n v="23652.89"/>
    <n v="2165.5500000000002"/>
    <n v="2090.91"/>
  </r>
  <r>
    <s v="501"/>
    <s v="Pedro López"/>
    <d v="1968-12-31T00:00:00"/>
    <n v="57"/>
    <x v="1"/>
    <x v="2"/>
    <d v="2024-08-25T00:00:00"/>
    <d v="2023-03-18T00:00:00"/>
    <n v="35"/>
    <x v="1"/>
    <n v="12"/>
    <n v="9"/>
    <n v="25165.78"/>
    <n v="10505.86"/>
    <n v="5039.3599999999997"/>
  </r>
  <r>
    <s v="502"/>
    <s v="Jorge Rodríguez"/>
    <d v="2025-12-31T00:00:00"/>
    <n v="0"/>
    <x v="0"/>
    <x v="6"/>
    <d v="2024-10-20T00:00:00"/>
    <d v="2023-10-24T00:00:00"/>
    <n v="36"/>
    <x v="2"/>
    <n v="14"/>
    <n v="8"/>
    <n v="27380.28"/>
    <n v="5292"/>
    <n v="15878.7"/>
  </r>
  <r>
    <s v="503"/>
    <s v="Miguel Sánchez"/>
    <d v="1957-12-31T00:00:00"/>
    <n v="68"/>
    <x v="0"/>
    <x v="5"/>
    <d v="2024-02-22T00:00:00"/>
    <d v="2023-06-28T00:00:00"/>
    <n v="0"/>
    <x v="0"/>
    <n v="5"/>
    <n v="6"/>
    <n v="27287.66"/>
    <n v="2934.95"/>
    <n v="13369.47"/>
  </r>
  <r>
    <s v="504"/>
    <s v="María Rodríguez"/>
    <d v="2023-01-01T00:00:00"/>
    <n v="3"/>
    <x v="1"/>
    <x v="2"/>
    <d v="2024-10-23T00:00:00"/>
    <d v="2025-02-05T00:00:00"/>
    <n v="35"/>
    <x v="0"/>
    <n v="10"/>
    <n v="5"/>
    <n v="23000.22"/>
    <n v="5076.58"/>
    <n v="5251.7"/>
  </r>
  <r>
    <s v="505"/>
    <s v="Jorge Rodríguez"/>
    <d v="2011-01-01T00:00:00"/>
    <n v="15"/>
    <x v="0"/>
    <x v="3"/>
    <d v="2023-02-21T00:00:00"/>
    <d v="2023-01-02T00:00:00"/>
    <n v="19"/>
    <x v="2"/>
    <n v="1"/>
    <n v="0"/>
    <n v="17263.919999999998"/>
    <n v="7999.14"/>
    <n v="7902.83"/>
  </r>
  <r>
    <s v="506"/>
    <s v="Miguel Pérez"/>
    <d v="2003-01-01T00:00:00"/>
    <n v="23"/>
    <x v="0"/>
    <x v="1"/>
    <d v="2023-08-31T00:00:00"/>
    <d v="2023-05-29T00:00:00"/>
    <n v="37"/>
    <x v="0"/>
    <n v="14"/>
    <n v="3"/>
    <n v="16627.25"/>
    <n v="13821.21"/>
    <n v="2306.9699999999998"/>
  </r>
  <r>
    <s v="507"/>
    <s v="José Gómez"/>
    <d v="1947-01-01T00:00:00"/>
    <n v="79"/>
    <x v="1"/>
    <x v="4"/>
    <d v="2023-08-07T00:00:00"/>
    <d v="2025-05-26T00:00:00"/>
    <n v="30"/>
    <x v="2"/>
    <n v="1"/>
    <n v="7"/>
    <n v="105.95"/>
    <n v="9424.0300000000007"/>
    <n v="4987.8599999999997"/>
  </r>
  <r>
    <s v="508"/>
    <s v="Juan Gómez"/>
    <d v="2024-12-31T00:00:00"/>
    <n v="1"/>
    <x v="1"/>
    <x v="5"/>
    <d v="2024-06-01T00:00:00"/>
    <d v="2024-11-02T00:00:00"/>
    <n v="29"/>
    <x v="0"/>
    <n v="9"/>
    <n v="0"/>
    <n v="21538.39"/>
    <n v="9106.2199999999993"/>
    <n v="16807.150000000001"/>
  </r>
  <r>
    <s v="509"/>
    <s v="Jorge Hernández"/>
    <d v="1935-01-01T00:00:00"/>
    <n v="91"/>
    <x v="0"/>
    <x v="4"/>
    <d v="2023-04-19T00:00:00"/>
    <d v="2025-04-16T00:00:00"/>
    <n v="14"/>
    <x v="2"/>
    <n v="1"/>
    <n v="5"/>
    <n v="0"/>
    <n v="1631.12"/>
    <n v="8752.25"/>
  </r>
  <r>
    <s v="510"/>
    <s v="Ricardo López"/>
    <d v="1995-01-01T00:00:00"/>
    <n v="31"/>
    <x v="0"/>
    <x v="6"/>
    <d v="2023-12-17T00:00:00"/>
    <d v="2025-02-19T00:00:00"/>
    <n v="15"/>
    <x v="2"/>
    <n v="4"/>
    <n v="1"/>
    <n v="24775.27"/>
    <n v="1197.01"/>
    <n v="12769.89"/>
  </r>
  <r>
    <s v="511"/>
    <s v="José Cruz"/>
    <d v="1936-01-01T00:00:00"/>
    <n v="90"/>
    <x v="0"/>
    <x v="6"/>
    <d v="2023-03-07T00:00:00"/>
    <d v="2024-10-24T00:00:00"/>
    <n v="0"/>
    <x v="1"/>
    <n v="11"/>
    <n v="8"/>
    <n v="16391.02"/>
    <n v="1941.95"/>
    <n v="3110.8"/>
  </r>
  <r>
    <s v="512"/>
    <s v="Elena Morales"/>
    <d v="1943-01-01T00:00:00"/>
    <n v="83"/>
    <x v="0"/>
    <x v="3"/>
    <d v="2023-01-10T00:00:00"/>
    <d v="2023-05-10T00:00:00"/>
    <n v="3"/>
    <x v="2"/>
    <n v="0"/>
    <n v="7"/>
    <n v="29611.06"/>
    <n v="1433.18"/>
    <n v="3584.44"/>
  </r>
  <r>
    <s v="513"/>
    <s v="Jorge Morales"/>
    <d v="2003-01-01T00:00:00"/>
    <n v="23"/>
    <x v="1"/>
    <x v="2"/>
    <d v="2023-07-21T00:00:00"/>
    <d v="2024-09-30T00:00:00"/>
    <n v="10"/>
    <x v="1"/>
    <n v="5"/>
    <n v="8"/>
    <n v="5913.34"/>
    <n v="8645.4699999999993"/>
    <n v="18812.509999999998"/>
  </r>
  <r>
    <s v="514"/>
    <s v="Pedro Pérez"/>
    <d v="2015-01-01T00:00:00"/>
    <n v="11"/>
    <x v="1"/>
    <x v="5"/>
    <d v="2023-08-02T00:00:00"/>
    <d v="2024-05-28T00:00:00"/>
    <n v="28"/>
    <x v="0"/>
    <n v="6"/>
    <n v="8"/>
    <n v="21565.69"/>
    <n v="6789.23"/>
    <n v="16812.82"/>
  </r>
  <r>
    <s v="515"/>
    <s v="Elena Sánchez"/>
    <d v="1976-12-31T00:00:00"/>
    <n v="49"/>
    <x v="1"/>
    <x v="3"/>
    <d v="2023-03-09T00:00:00"/>
    <d v="2025-06-18T00:00:00"/>
    <n v="14"/>
    <x v="0"/>
    <n v="13"/>
    <n v="1"/>
    <n v="16199.78"/>
    <n v="74.88"/>
    <n v="15785.65"/>
  </r>
  <r>
    <s v="516"/>
    <s v="Sofía Hernández"/>
    <d v="1992-01-01T00:00:00"/>
    <n v="34"/>
    <x v="1"/>
    <x v="2"/>
    <d v="2023-11-23T00:00:00"/>
    <d v="2024-09-21T00:00:00"/>
    <n v="18"/>
    <x v="0"/>
    <n v="11"/>
    <n v="1"/>
    <n v="27920.11"/>
    <n v="5266"/>
    <n v="6524.76"/>
  </r>
  <r>
    <s v="517"/>
    <s v="Miguel Martínez"/>
    <d v="1993-12-31T00:00:00"/>
    <n v="32"/>
    <x v="0"/>
    <x v="0"/>
    <d v="2023-02-19T00:00:00"/>
    <d v="2024-05-17T00:00:00"/>
    <n v="13"/>
    <x v="1"/>
    <n v="11"/>
    <n v="8"/>
    <n v="7612.81"/>
    <n v="1910.46"/>
    <n v="11211.4"/>
  </r>
  <r>
    <s v="518"/>
    <s v="José Hernández"/>
    <d v="1993-12-31T00:00:00"/>
    <n v="32"/>
    <x v="0"/>
    <x v="0"/>
    <d v="2023-01-17T00:00:00"/>
    <d v="2023-05-30T00:00:00"/>
    <n v="14"/>
    <x v="0"/>
    <n v="14"/>
    <n v="1"/>
    <n v="1312.85"/>
    <n v="14821.79"/>
    <n v="9796.06"/>
  </r>
  <r>
    <s v="519"/>
    <s v="Sofía López"/>
    <d v="1965-12-31T00:00:00"/>
    <n v="60"/>
    <x v="1"/>
    <x v="2"/>
    <d v="2024-06-06T00:00:00"/>
    <d v="2023-09-27T00:00:00"/>
    <n v="29"/>
    <x v="0"/>
    <n v="11"/>
    <n v="3"/>
    <n v="16087.9"/>
    <n v="6902.36"/>
    <n v="19120.240000000002"/>
  </r>
  <r>
    <s v="520"/>
    <s v="María Cruz"/>
    <d v="1976-01-01T00:00:00"/>
    <n v="50"/>
    <x v="1"/>
    <x v="6"/>
    <d v="2023-11-02T00:00:00"/>
    <d v="2024-12-02T00:00:00"/>
    <n v="2"/>
    <x v="2"/>
    <n v="13"/>
    <n v="1"/>
    <n v="15409.2"/>
    <n v="6391.9"/>
    <n v="4716.6499999999996"/>
  </r>
  <r>
    <s v="521"/>
    <s v="María Morales"/>
    <d v="1984-01-01T00:00:00"/>
    <n v="42"/>
    <x v="0"/>
    <x v="6"/>
    <d v="2024-01-27T00:00:00"/>
    <d v="2024-10-15T00:00:00"/>
    <n v="35"/>
    <x v="1"/>
    <n v="14"/>
    <n v="0"/>
    <n v="9007.07"/>
    <n v="9662.61"/>
    <n v="18939.38"/>
  </r>
  <r>
    <s v="522"/>
    <s v="Sofía Gómez"/>
    <d v="2015-01-01T00:00:00"/>
    <n v="11"/>
    <x v="0"/>
    <x v="0"/>
    <d v="2023-05-04T00:00:00"/>
    <d v="2023-04-16T00:00:00"/>
    <n v="5"/>
    <x v="0"/>
    <n v="4"/>
    <n v="9"/>
    <n v="29589.4"/>
    <n v="5356.4"/>
    <n v="14107.69"/>
  </r>
  <r>
    <s v="523"/>
    <s v="Jorge Sánchez"/>
    <d v="1960-01-01T00:00:00"/>
    <n v="66"/>
    <x v="0"/>
    <x v="6"/>
    <d v="2024-05-18T00:00:00"/>
    <d v="2024-04-11T00:00:00"/>
    <n v="2"/>
    <x v="0"/>
    <n v="3"/>
    <n v="6"/>
    <n v="1626.2"/>
    <n v="10732.72"/>
    <n v="8215.2000000000007"/>
  </r>
  <r>
    <s v="524"/>
    <s v="Sofía Morales"/>
    <d v="1961-12-31T00:00:00"/>
    <n v="64"/>
    <x v="0"/>
    <x v="4"/>
    <d v="2023-08-13T00:00:00"/>
    <d v="2025-02-03T00:00:00"/>
    <n v="1"/>
    <x v="1"/>
    <n v="8"/>
    <n v="4"/>
    <n v="16870.36"/>
    <n v="13571.91"/>
    <n v="5253.73"/>
  </r>
  <r>
    <s v="525"/>
    <s v="Sofía Morales"/>
    <d v="1993-12-31T00:00:00"/>
    <n v="32"/>
    <x v="0"/>
    <x v="6"/>
    <d v="2023-11-14T00:00:00"/>
    <d v="2023-10-09T00:00:00"/>
    <n v="34"/>
    <x v="2"/>
    <n v="2"/>
    <n v="2"/>
    <n v="7436.62"/>
    <n v="7483.46"/>
    <n v="15122.8"/>
  </r>
  <r>
    <s v="526"/>
    <s v="Sofía Gómez"/>
    <d v="1987-01-01T00:00:00"/>
    <n v="39"/>
    <x v="0"/>
    <x v="2"/>
    <d v="2024-04-17T00:00:00"/>
    <d v="2024-02-12T00:00:00"/>
    <n v="21"/>
    <x v="0"/>
    <n v="7"/>
    <n v="7"/>
    <n v="441.68"/>
    <n v="5743.85"/>
    <n v="16440.990000000002"/>
  </r>
  <r>
    <s v="527"/>
    <s v="Ana Ramírez"/>
    <d v="1952-12-31T00:00:00"/>
    <n v="73"/>
    <x v="1"/>
    <x v="1"/>
    <d v="2024-06-24T00:00:00"/>
    <d v="2025-05-06T00:00:00"/>
    <n v="24"/>
    <x v="0"/>
    <n v="6"/>
    <n v="4"/>
    <n v="29629.4"/>
    <n v="7828.45"/>
    <n v="7086.3"/>
  </r>
  <r>
    <s v="528"/>
    <s v="Jorge Gómez"/>
    <d v="1984-01-01T00:00:00"/>
    <n v="42"/>
    <x v="1"/>
    <x v="2"/>
    <d v="2023-12-24T00:00:00"/>
    <d v="2024-09-05T00:00:00"/>
    <n v="17"/>
    <x v="0"/>
    <n v="3"/>
    <n v="0"/>
    <n v="14189.19"/>
    <n v="9053.2900000000009"/>
    <n v="3354.79"/>
  </r>
  <r>
    <s v="529"/>
    <s v="Juan Rodríguez"/>
    <d v="1983-01-01T00:00:00"/>
    <n v="43"/>
    <x v="1"/>
    <x v="6"/>
    <d v="2024-04-27T00:00:00"/>
    <d v="2025-03-05T00:00:00"/>
    <n v="18"/>
    <x v="1"/>
    <n v="11"/>
    <n v="8"/>
    <n v="25644.31"/>
    <n v="12715.54"/>
    <n v="9794.1200000000008"/>
  </r>
  <r>
    <s v="530"/>
    <s v="Jorge López"/>
    <d v="1997-12-31T00:00:00"/>
    <n v="28"/>
    <x v="0"/>
    <x v="2"/>
    <d v="2024-03-04T00:00:00"/>
    <d v="2023-12-25T00:00:00"/>
    <n v="39"/>
    <x v="0"/>
    <n v="1"/>
    <n v="4"/>
    <n v="25122.05"/>
    <n v="5917.19"/>
    <n v="9316.9"/>
  </r>
  <r>
    <s v="531"/>
    <s v="Pedro Hernández"/>
    <d v="2013-12-31T00:00:00"/>
    <n v="12"/>
    <x v="0"/>
    <x v="5"/>
    <d v="2024-05-11T00:00:00"/>
    <d v="2024-11-06T00:00:00"/>
    <n v="34"/>
    <x v="1"/>
    <n v="6"/>
    <n v="2"/>
    <n v="24274.49"/>
    <n v="771.47"/>
    <n v="14480.59"/>
  </r>
  <r>
    <s v="532"/>
    <s v="Carmen Gómez"/>
    <d v="2015-01-01T00:00:00"/>
    <n v="11"/>
    <x v="0"/>
    <x v="0"/>
    <d v="2024-04-16T00:00:00"/>
    <d v="2023-07-23T00:00:00"/>
    <n v="32"/>
    <x v="0"/>
    <n v="6"/>
    <n v="5"/>
    <n v="13500.03"/>
    <n v="9461.01"/>
    <n v="19461.02"/>
  </r>
  <r>
    <s v="533"/>
    <s v="Laura Cruz"/>
    <d v="1932-01-01T00:00:00"/>
    <n v="94"/>
    <x v="1"/>
    <x v="1"/>
    <d v="2024-07-24T00:00:00"/>
    <d v="2024-09-04T00:00:00"/>
    <n v="35"/>
    <x v="0"/>
    <n v="5"/>
    <n v="7"/>
    <n v="26825.75"/>
    <n v="14803.17"/>
    <n v="10578.77"/>
  </r>
  <r>
    <s v="534"/>
    <s v="Ricardo Gómez"/>
    <d v="1980-12-31T00:00:00"/>
    <n v="45"/>
    <x v="1"/>
    <x v="5"/>
    <d v="2024-10-16T00:00:00"/>
    <d v="2023-10-09T00:00:00"/>
    <n v="12"/>
    <x v="2"/>
    <n v="5"/>
    <n v="1"/>
    <n v="10701.8"/>
    <n v="12813.55"/>
    <n v="14607.56"/>
  </r>
  <r>
    <s v="535"/>
    <s v="Elena Martínez"/>
    <d v="2024-12-31T00:00:00"/>
    <n v="1"/>
    <x v="1"/>
    <x v="5"/>
    <d v="2023-10-27T00:00:00"/>
    <d v="2023-09-15T00:00:00"/>
    <n v="39"/>
    <x v="0"/>
    <n v="14"/>
    <n v="2"/>
    <n v="11955.8"/>
    <n v="11373.84"/>
    <n v="6946.65"/>
  </r>
  <r>
    <s v="536"/>
    <s v="Jorge López"/>
    <d v="1992-01-01T00:00:00"/>
    <n v="34"/>
    <x v="1"/>
    <x v="6"/>
    <d v="2024-11-06T00:00:00"/>
    <d v="2023-04-05T00:00:00"/>
    <n v="27"/>
    <x v="2"/>
    <n v="6"/>
    <n v="6"/>
    <n v="7299.01"/>
    <n v="2647.53"/>
    <n v="11951.45"/>
  </r>
  <r>
    <s v="537"/>
    <s v="Elena Ramírez"/>
    <d v="1940-01-01T00:00:00"/>
    <n v="86"/>
    <x v="0"/>
    <x v="6"/>
    <d v="2023-03-25T00:00:00"/>
    <d v="2023-11-21T00:00:00"/>
    <n v="1"/>
    <x v="1"/>
    <n v="1"/>
    <n v="1"/>
    <n v="13166.59"/>
    <n v="11229.29"/>
    <n v="2218.09"/>
  </r>
  <r>
    <s v="538"/>
    <s v="Pedro Martínez"/>
    <d v="1945-12-31T00:00:00"/>
    <n v="80"/>
    <x v="0"/>
    <x v="5"/>
    <d v="2024-01-12T00:00:00"/>
    <d v="2025-03-02T00:00:00"/>
    <n v="36"/>
    <x v="0"/>
    <n v="13"/>
    <n v="4"/>
    <n v="29588.26"/>
    <n v="1222.1500000000001"/>
    <n v="16280.18"/>
  </r>
  <r>
    <s v="539"/>
    <s v="Miguel Martínez"/>
    <d v="2017-01-01T00:00:00"/>
    <n v="89"/>
    <x v="2"/>
    <x v="5"/>
    <d v="2023-11-09T00:00:00"/>
    <d v="2025-01-09T00:00:00"/>
    <n v="12"/>
    <x v="0"/>
    <n v="13"/>
    <n v="8"/>
    <n v="16983.84"/>
    <n v="7408.77"/>
    <n v="6820.92"/>
  </r>
  <r>
    <s v="540"/>
    <s v="María Sánchez"/>
    <d v="2019-01-01T00:00:00"/>
    <n v="7"/>
    <x v="0"/>
    <x v="3"/>
    <d v="2024-09-20T00:00:00"/>
    <d v="2023-12-29T00:00:00"/>
    <n v="20"/>
    <x v="0"/>
    <n v="10"/>
    <n v="6"/>
    <n v="24848.48"/>
    <n v="5563.5"/>
    <n v="1508.83"/>
  </r>
  <r>
    <s v="541"/>
    <s v="Ricardo Gómez"/>
    <d v="1933-12-31T00:00:00"/>
    <n v="92"/>
    <x v="0"/>
    <x v="3"/>
    <d v="2023-11-16T00:00:00"/>
    <d v="2024-10-24T00:00:00"/>
    <n v="38"/>
    <x v="1"/>
    <n v="1"/>
    <n v="2"/>
    <n v="7531.96"/>
    <n v="13579.29"/>
    <n v="19810.28"/>
  </r>
  <r>
    <s v="542"/>
    <s v="Miguel Hernández"/>
    <d v="2000-12-31T00:00:00"/>
    <n v="25"/>
    <x v="0"/>
    <x v="4"/>
    <d v="2023-07-23T00:00:00"/>
    <d v="2023-12-18T00:00:00"/>
    <n v="12"/>
    <x v="2"/>
    <n v="2"/>
    <n v="1"/>
    <n v="28655.58"/>
    <n v="2397.54"/>
    <n v="18025.939999999999"/>
  </r>
  <r>
    <s v="543"/>
    <s v="Pedro Hernández"/>
    <d v="1952-12-31T00:00:00"/>
    <n v="73"/>
    <x v="1"/>
    <x v="0"/>
    <d v="2023-12-21T00:00:00"/>
    <d v="2023-03-04T00:00:00"/>
    <n v="23"/>
    <x v="0"/>
    <n v="9"/>
    <n v="9"/>
    <n v="98.22"/>
    <n v="11833.28"/>
    <n v="3868.41"/>
  </r>
  <r>
    <s v="544"/>
    <s v="Ana López"/>
    <d v="1936-12-31T00:00:00"/>
    <n v="89"/>
    <x v="0"/>
    <x v="5"/>
    <d v="2023-10-21T00:00:00"/>
    <d v="2024-10-03T00:00:00"/>
    <n v="9"/>
    <x v="2"/>
    <n v="4"/>
    <n v="8"/>
    <n v="27872.48"/>
    <n v="727.68"/>
    <n v="7200.36"/>
  </r>
  <r>
    <s v="545"/>
    <s v="José López"/>
    <d v="1992-12-31T00:00:00"/>
    <n v="33"/>
    <x v="0"/>
    <x v="2"/>
    <d v="2024-05-18T00:00:00"/>
    <d v="2023-07-07T00:00:00"/>
    <n v="15"/>
    <x v="2"/>
    <n v="8"/>
    <n v="8"/>
    <n v="26889.119999999999"/>
    <n v="10526.32"/>
    <n v="18728.03"/>
  </r>
  <r>
    <s v="546"/>
    <s v="Pedro Cruz"/>
    <d v="2020-01-01T00:00:00"/>
    <n v="6"/>
    <x v="0"/>
    <x v="1"/>
    <d v="2023-05-25T00:00:00"/>
    <d v="2024-08-03T00:00:00"/>
    <n v="3"/>
    <x v="1"/>
    <n v="13"/>
    <n v="8"/>
    <n v="1554.36"/>
    <n v="4406.67"/>
    <n v="15906.21"/>
  </r>
  <r>
    <s v="547"/>
    <s v="Juan López"/>
    <d v="1959-01-01T00:00:00"/>
    <n v="67"/>
    <x v="1"/>
    <x v="3"/>
    <d v="2024-06-22T00:00:00"/>
    <d v="2024-06-26T00:00:00"/>
    <n v="15"/>
    <x v="2"/>
    <n v="10"/>
    <n v="9"/>
    <n v="17947.830000000002"/>
    <n v="14638.7"/>
    <n v="18118.89"/>
  </r>
  <r>
    <s v="548"/>
    <s v="Ana Gómez"/>
    <d v="1968-12-31T00:00:00"/>
    <n v="9"/>
    <x v="1"/>
    <x v="6"/>
    <d v="2023-01-17T00:00:00"/>
    <d v="2025-06-16T00:00:00"/>
    <n v="21"/>
    <x v="1"/>
    <n v="8"/>
    <n v="2"/>
    <n v="23449.94"/>
    <n v="10076.15"/>
    <n v="11207.25"/>
  </r>
  <r>
    <s v="549"/>
    <s v="José Rodríguez"/>
    <d v="1952-01-01T00:00:00"/>
    <n v="74"/>
    <x v="1"/>
    <x v="5"/>
    <d v="2024-07-28T00:00:00"/>
    <d v="2023-11-01T00:00:00"/>
    <n v="35"/>
    <x v="2"/>
    <n v="7"/>
    <n v="0"/>
    <n v="11816.14"/>
    <n v="4633.58"/>
    <n v="4786.6400000000003"/>
  </r>
  <r>
    <s v="550"/>
    <s v="Luisa Martínez"/>
    <d v="1997-12-31T00:00:00"/>
    <n v="28"/>
    <x v="0"/>
    <x v="2"/>
    <d v="2024-07-29T00:00:00"/>
    <d v="2025-02-26T00:00:00"/>
    <n v="25"/>
    <x v="2"/>
    <n v="2"/>
    <n v="8"/>
    <n v="2301.65"/>
    <n v="3532.82"/>
    <n v="4463.78"/>
  </r>
  <r>
    <s v="551"/>
    <s v="Ana Martínez"/>
    <d v="1991-01-01T00:00:00"/>
    <n v="35"/>
    <x v="1"/>
    <x v="1"/>
    <d v="2023-02-08T00:00:00"/>
    <d v="2024-10-01T00:00:00"/>
    <n v="12"/>
    <x v="0"/>
    <n v="4"/>
    <n v="6"/>
    <n v="24796.7"/>
    <n v="9589.6299999999992"/>
    <n v="10465.969999999999"/>
  </r>
  <r>
    <s v="552"/>
    <s v="Pedro Rodríguez"/>
    <d v="1937-12-31T00:00:00"/>
    <n v="88"/>
    <x v="0"/>
    <x v="2"/>
    <d v="2023-05-10T00:00:00"/>
    <d v="2024-03-12T00:00:00"/>
    <n v="16"/>
    <x v="1"/>
    <n v="7"/>
    <n v="1"/>
    <n v="13728.2"/>
    <n v="4090.96"/>
    <n v="18472.400000000001"/>
  </r>
  <r>
    <s v="553"/>
    <s v="Ricardo Ramírez"/>
    <d v="2005-12-31T00:00:00"/>
    <n v="20"/>
    <x v="0"/>
    <x v="4"/>
    <d v="2023-04-25T00:00:00"/>
    <d v="2023-08-02T00:00:00"/>
    <n v="2"/>
    <x v="0"/>
    <n v="12"/>
    <n v="5"/>
    <n v="7529.13"/>
    <n v="2802.08"/>
    <n v="12594.9"/>
  </r>
  <r>
    <s v="554"/>
    <s v="Laura Hernández"/>
    <d v="1991-01-01T00:00:00"/>
    <n v="35"/>
    <x v="1"/>
    <x v="2"/>
    <d v="2024-03-25T00:00:00"/>
    <d v="2024-02-11T00:00:00"/>
    <n v="1"/>
    <x v="0"/>
    <n v="12"/>
    <n v="8"/>
    <n v="1661.09"/>
    <n v="9715.0499999999993"/>
    <n v="591.25"/>
  </r>
  <r>
    <s v="555"/>
    <s v="Jorge Pérez"/>
    <d v="2016-12-31T00:00:00"/>
    <n v="9"/>
    <x v="0"/>
    <x v="6"/>
    <d v="2023-02-14T00:00:00"/>
    <d v="2025-03-29T00:00:00"/>
    <n v="14"/>
    <x v="0"/>
    <n v="11"/>
    <n v="7"/>
    <n v="19025.240000000002"/>
    <n v="10864.31"/>
    <n v="11165.56"/>
  </r>
  <r>
    <s v="556"/>
    <s v="Elena Ramírez"/>
    <d v="1953-12-31T00:00:00"/>
    <n v="72"/>
    <x v="0"/>
    <x v="3"/>
    <d v="2023-08-04T00:00:00"/>
    <d v="2023-05-15T00:00:00"/>
    <n v="7"/>
    <x v="0"/>
    <n v="7"/>
    <n v="5"/>
    <n v="790.21"/>
    <n v="3570.42"/>
    <n v="12129.66"/>
  </r>
  <r>
    <s v="557"/>
    <s v="Ricardo Ramírez"/>
    <d v="2003-01-01T00:00:00"/>
    <n v="23"/>
    <x v="1"/>
    <x v="2"/>
    <d v="2024-08-22T00:00:00"/>
    <d v="2023-08-08T00:00:00"/>
    <n v="9"/>
    <x v="0"/>
    <n v="13"/>
    <n v="5"/>
    <n v="23628.36"/>
    <n v="8038.09"/>
    <n v="11589.26"/>
  </r>
  <r>
    <s v="558"/>
    <s v="Ricardo Pérez"/>
    <d v="1963-01-01T00:00:00"/>
    <n v="63"/>
    <x v="0"/>
    <x v="1"/>
    <d v="2024-02-19T00:00:00"/>
    <d v="2024-02-26T00:00:00"/>
    <n v="2"/>
    <x v="2"/>
    <n v="4"/>
    <n v="7"/>
    <n v="23007.94"/>
    <n v="9954.44"/>
    <n v="13790.63"/>
  </r>
  <r>
    <s v="559"/>
    <s v="Sofía Hernández"/>
    <d v="1977-12-31T00:00:00"/>
    <n v="48"/>
    <x v="1"/>
    <x v="3"/>
    <d v="2024-11-19T00:00:00"/>
    <d v="2023-11-16T00:00:00"/>
    <n v="4"/>
    <x v="2"/>
    <n v="3"/>
    <n v="8"/>
    <n v="9349.75"/>
    <n v="14128.75"/>
    <n v="5799.63"/>
  </r>
  <r>
    <s v="560"/>
    <s v="Laura Gómez"/>
    <d v="1991-01-01T00:00:00"/>
    <n v="35"/>
    <x v="1"/>
    <x v="4"/>
    <d v="2023-09-22T00:00:00"/>
    <d v="2023-06-07T00:00:00"/>
    <n v="20"/>
    <x v="0"/>
    <n v="1"/>
    <n v="7"/>
    <n v="13904.76"/>
    <n v="12051.5"/>
    <n v="2789.68"/>
  </r>
  <r>
    <s v="561"/>
    <s v="Luis López"/>
    <d v="1944-12-31T00:00:00"/>
    <n v="81"/>
    <x v="0"/>
    <x v="4"/>
    <d v="2024-03-15T00:00:00"/>
    <d v="2023-07-08T00:00:00"/>
    <n v="1"/>
    <x v="2"/>
    <n v="3"/>
    <n v="0"/>
    <n v="19911.2"/>
    <n v="6312.22"/>
    <n v="14975.98"/>
  </r>
  <r>
    <s v="562"/>
    <s v="Luisa Sánchez"/>
    <d v="2015-01-01T00:00:00"/>
    <n v="23"/>
    <x v="0"/>
    <x v="0"/>
    <d v="2024-09-08T00:00:00"/>
    <d v="2024-04-21T00:00:00"/>
    <n v="27"/>
    <x v="2"/>
    <n v="13"/>
    <n v="1"/>
    <n v="28753.279999999999"/>
    <n v="12666.11"/>
    <n v="3846.7"/>
  </r>
  <r>
    <s v="563"/>
    <s v="Carmen Pérez"/>
    <d v="2004-01-01T00:00:00"/>
    <n v="22"/>
    <x v="2"/>
    <x v="6"/>
    <d v="2024-01-16T00:00:00"/>
    <d v="2023-06-12T00:00:00"/>
    <n v="34"/>
    <x v="0"/>
    <n v="1"/>
    <n v="5"/>
    <n v="15364.61"/>
    <n v="6625.41"/>
    <n v="2194.6"/>
  </r>
  <r>
    <s v="564"/>
    <s v="Luis Rodríguez"/>
    <d v="1964-12-31T00:00:00"/>
    <n v="61"/>
    <x v="0"/>
    <x v="3"/>
    <d v="2023-10-28T00:00:00"/>
    <d v="2023-05-10T00:00:00"/>
    <n v="2"/>
    <x v="0"/>
    <n v="3"/>
    <n v="7"/>
    <n v="0"/>
    <n v="1951.9"/>
    <n v="7123.48"/>
  </r>
  <r>
    <s v="565"/>
    <s v="Juan Rodríguez"/>
    <d v="1989-12-31T00:00:00"/>
    <n v="36"/>
    <x v="0"/>
    <x v="4"/>
    <d v="2023-06-20T00:00:00"/>
    <d v="2023-11-01T00:00:00"/>
    <n v="17"/>
    <x v="1"/>
    <n v="11"/>
    <n v="3"/>
    <n v="9415.73"/>
    <n v="5116.51"/>
    <n v="16638.36"/>
  </r>
  <r>
    <s v="566"/>
    <s v="Ricardo Hernández"/>
    <d v="2015-01-01T00:00:00"/>
    <n v="11"/>
    <x v="0"/>
    <x v="4"/>
    <d v="2024-09-11T00:00:00"/>
    <d v="2023-03-31T00:00:00"/>
    <n v="23"/>
    <x v="0"/>
    <n v="8"/>
    <n v="3"/>
    <n v="0"/>
    <n v="12070.86"/>
    <n v="1550.38"/>
  </r>
  <r>
    <s v="567"/>
    <s v="Ricardo Ramírez"/>
    <d v="1972-01-01T00:00:00"/>
    <n v="54"/>
    <x v="0"/>
    <x v="3"/>
    <d v="2024-02-10T00:00:00"/>
    <d v="2025-06-14T00:00:00"/>
    <n v="36"/>
    <x v="0"/>
    <n v="8"/>
    <n v="1"/>
    <n v="3026.27"/>
    <n v="14337.07"/>
    <n v="3830.78"/>
  </r>
  <r>
    <s v="568"/>
    <s v="Pedro López"/>
    <d v="2013-12-31T00:00:00"/>
    <n v="12"/>
    <x v="0"/>
    <x v="2"/>
    <d v="2023-12-21T00:00:00"/>
    <d v="2023-06-12T00:00:00"/>
    <n v="3"/>
    <x v="0"/>
    <n v="13"/>
    <n v="9"/>
    <n v="16471.41"/>
    <n v="14753.76"/>
    <n v="9452.7099999999991"/>
  </r>
  <r>
    <s v="569"/>
    <s v="Carlos Martínez"/>
    <d v="2004-01-01T00:00:00"/>
    <n v="22"/>
    <x v="1"/>
    <x v="1"/>
    <d v="2023-06-10T00:00:00"/>
    <d v="2023-02-06T00:00:00"/>
    <n v="26"/>
    <x v="1"/>
    <n v="1"/>
    <n v="0"/>
    <n v="15857.56"/>
    <n v="9586.42"/>
    <n v="5681.7"/>
  </r>
  <r>
    <s v="570"/>
    <s v="Sofía Hernández"/>
    <d v="1937-12-31T00:00:00"/>
    <n v="88"/>
    <x v="0"/>
    <x v="2"/>
    <d v="2024-07-05T00:00:00"/>
    <d v="2023-08-16T00:00:00"/>
    <n v="7"/>
    <x v="2"/>
    <n v="4"/>
    <n v="9"/>
    <n v="25388.82"/>
    <n v="7175.13"/>
    <n v="14405.39"/>
  </r>
  <r>
    <s v="571"/>
    <s v="Laura Cruz"/>
    <d v="1996-12-31T00:00:00"/>
    <n v="29"/>
    <x v="1"/>
    <x v="1"/>
    <d v="2023-01-26T00:00:00"/>
    <d v="2023-06-01T00:00:00"/>
    <n v="13"/>
    <x v="0"/>
    <n v="5"/>
    <n v="8"/>
    <n v="29894.82"/>
    <n v="2430.86"/>
    <n v="13465.54"/>
  </r>
  <r>
    <s v="572"/>
    <s v="Laura Hernández"/>
    <d v="2009-12-31T00:00:00"/>
    <n v="16"/>
    <x v="0"/>
    <x v="4"/>
    <d v="2023-03-24T00:00:00"/>
    <d v="2024-08-16T00:00:00"/>
    <n v="31"/>
    <x v="0"/>
    <n v="0"/>
    <n v="6"/>
    <n v="29578.43"/>
    <n v="1537.86"/>
    <n v="16834.580000000002"/>
  </r>
  <r>
    <s v="573"/>
    <s v="María Martínez"/>
    <d v="1964-12-31T00:00:00"/>
    <n v="61"/>
    <x v="1"/>
    <x v="4"/>
    <d v="2023-06-22T00:00:00"/>
    <d v="2023-02-17T00:00:00"/>
    <n v="28"/>
    <x v="0"/>
    <n v="1"/>
    <n v="8"/>
    <n v="6707.19"/>
    <n v="7777.53"/>
    <n v="3997.25"/>
  </r>
  <r>
    <s v="574"/>
    <s v="Jorge Cruz"/>
    <d v="1943-01-01T00:00:00"/>
    <n v="83"/>
    <x v="0"/>
    <x v="6"/>
    <d v="2024-11-15T00:00:00"/>
    <d v="2024-12-17T00:00:00"/>
    <n v="33"/>
    <x v="0"/>
    <n v="8"/>
    <n v="1"/>
    <n v="9822.59"/>
    <n v="10916.69"/>
    <n v="12943.27"/>
  </r>
  <r>
    <s v="575"/>
    <s v="Pedro Ramírez"/>
    <d v="1937-12-31T00:00:00"/>
    <n v="88"/>
    <x v="1"/>
    <x v="3"/>
    <d v="2023-03-11T00:00:00"/>
    <d v="2024-10-22T00:00:00"/>
    <n v="38"/>
    <x v="2"/>
    <n v="7"/>
    <n v="9"/>
    <n v="7877.04"/>
    <n v="4858.83"/>
    <n v="15472.16"/>
  </r>
  <r>
    <s v="576"/>
    <s v="Juan López"/>
    <d v="1940-12-31T00:00:00"/>
    <n v="85"/>
    <x v="1"/>
    <x v="5"/>
    <d v="2023-01-06T00:00:00"/>
    <d v="2023-08-20T00:00:00"/>
    <n v="2"/>
    <x v="2"/>
    <n v="6"/>
    <n v="4"/>
    <n v="5590.23"/>
    <n v="10120.15"/>
    <n v="1159.6099999999999"/>
  </r>
  <r>
    <s v="577"/>
    <s v="Jorge Ramírez"/>
    <d v="2013-12-31T00:00:00"/>
    <n v="12"/>
    <x v="0"/>
    <x v="4"/>
    <d v="2023-07-14T00:00:00"/>
    <d v="2024-06-23T00:00:00"/>
    <n v="30"/>
    <x v="0"/>
    <n v="2"/>
    <n v="1"/>
    <n v="4079.15"/>
    <n v="8562.16"/>
    <n v="640.14"/>
  </r>
  <r>
    <s v="578"/>
    <s v="Carmen Ramírez"/>
    <d v="1946-01-01T00:00:00"/>
    <n v="58"/>
    <x v="1"/>
    <x v="1"/>
    <d v="2024-06-08T00:00:00"/>
    <d v="2024-12-02T00:00:00"/>
    <n v="16"/>
    <x v="0"/>
    <n v="9"/>
    <n v="9"/>
    <n v="15108.19"/>
    <n v="14111.23"/>
    <n v="11141.09"/>
  </r>
  <r>
    <s v="579"/>
    <s v="Laura Hernández"/>
    <d v="1937-01-01T00:00:00"/>
    <n v="18"/>
    <x v="0"/>
    <x v="1"/>
    <d v="2023-03-04T00:00:00"/>
    <d v="2023-06-15T00:00:00"/>
    <n v="29"/>
    <x v="1"/>
    <n v="10"/>
    <n v="6"/>
    <n v="26111.21"/>
    <n v="3143.35"/>
    <n v="11715.88"/>
  </r>
  <r>
    <s v="580"/>
    <s v="Pedro Hernández"/>
    <d v="1977-12-31T00:00:00"/>
    <n v="48"/>
    <x v="1"/>
    <x v="2"/>
    <d v="2023-01-13T00:00:00"/>
    <d v="2024-12-25T00:00:00"/>
    <n v="20"/>
    <x v="2"/>
    <n v="6"/>
    <n v="8"/>
    <n v="17490.96"/>
    <n v="8865.8799999999992"/>
    <n v="7795.46"/>
  </r>
  <r>
    <s v="581"/>
    <s v="Miguel Rodríguez"/>
    <d v="2015-01-01T00:00:00"/>
    <n v="11"/>
    <x v="1"/>
    <x v="2"/>
    <d v="2023-07-24T00:00:00"/>
    <d v="2025-03-31T00:00:00"/>
    <n v="0"/>
    <x v="0"/>
    <n v="9"/>
    <n v="2"/>
    <n v="26116.240000000002"/>
    <n v="6206.95"/>
    <n v="625.07000000000005"/>
  </r>
  <r>
    <s v="582"/>
    <s v="Ana Rodríguez"/>
    <d v="1965-12-31T00:00:00"/>
    <n v="60"/>
    <x v="1"/>
    <x v="4"/>
    <d v="2023-02-09T00:00:00"/>
    <d v="2024-08-10T00:00:00"/>
    <n v="2"/>
    <x v="0"/>
    <n v="6"/>
    <n v="0"/>
    <n v="28764.59"/>
    <n v="3923.63"/>
    <n v="7978.63"/>
  </r>
  <r>
    <s v="583"/>
    <s v="Juan Morales"/>
    <d v="2008-01-01T00:00:00"/>
    <n v="18"/>
    <x v="0"/>
    <x v="4"/>
    <d v="2023-06-14T00:00:00"/>
    <d v="2024-08-27T00:00:00"/>
    <n v="33"/>
    <x v="0"/>
    <n v="12"/>
    <n v="3"/>
    <n v="11185.81"/>
    <n v="5359.38"/>
    <n v="12805.98"/>
  </r>
  <r>
    <s v="584"/>
    <s v="Luis Pérez"/>
    <d v="1951-01-01T00:00:00"/>
    <n v="1"/>
    <x v="1"/>
    <x v="0"/>
    <d v="2023-01-31T00:00:00"/>
    <d v="2024-07-28T00:00:00"/>
    <n v="38"/>
    <x v="0"/>
    <n v="4"/>
    <n v="3"/>
    <n v="24987.87"/>
    <n v="4418.0200000000004"/>
    <n v="14007.8"/>
  </r>
  <r>
    <s v="585"/>
    <s v="Juan Gómez"/>
    <d v="2017-12-31T00:00:00"/>
    <n v="8"/>
    <x v="0"/>
    <x v="1"/>
    <d v="2024-06-12T00:00:00"/>
    <d v="2023-03-08T00:00:00"/>
    <n v="25"/>
    <x v="0"/>
    <n v="12"/>
    <n v="5"/>
    <n v="1096.22"/>
    <n v="7914.73"/>
    <n v="9805.11"/>
  </r>
  <r>
    <s v="586"/>
    <s v="Elena López"/>
    <d v="1956-01-01T00:00:00"/>
    <n v="70"/>
    <x v="1"/>
    <x v="6"/>
    <d v="2024-10-10T00:00:00"/>
    <d v="2023-03-22T00:00:00"/>
    <n v="36"/>
    <x v="2"/>
    <n v="1"/>
    <n v="4"/>
    <n v="0"/>
    <n v="8370.81"/>
    <n v="10453"/>
  </r>
  <r>
    <s v="587"/>
    <s v="José Sánchez"/>
    <d v="1999-01-01T00:00:00"/>
    <n v="27"/>
    <x v="1"/>
    <x v="3"/>
    <d v="2024-11-07T00:00:00"/>
    <d v="2023-05-21T00:00:00"/>
    <n v="2"/>
    <x v="0"/>
    <n v="0"/>
    <n v="4"/>
    <n v="10733.04"/>
    <n v="12983.1"/>
    <n v="13420.75"/>
  </r>
  <r>
    <s v="588"/>
    <s v="Elena Rodríguez"/>
    <d v="1948-12-31T00:00:00"/>
    <n v="77"/>
    <x v="1"/>
    <x v="3"/>
    <d v="2024-02-02T00:00:00"/>
    <d v="2024-02-05T00:00:00"/>
    <n v="10"/>
    <x v="2"/>
    <n v="2"/>
    <n v="8"/>
    <n v="5747.98"/>
    <n v="11719.59"/>
    <n v="8930.98"/>
  </r>
  <r>
    <s v="589"/>
    <s v="Juan Rodríguez"/>
    <d v="1932-01-01T00:00:00"/>
    <n v="94"/>
    <x v="1"/>
    <x v="3"/>
    <d v="2024-04-03T00:00:00"/>
    <d v="2023-05-11T00:00:00"/>
    <n v="8"/>
    <x v="1"/>
    <n v="2"/>
    <n v="0"/>
    <n v="12870.98"/>
    <n v="4537.7299999999996"/>
    <n v="5196.6499999999996"/>
  </r>
  <r>
    <s v="590"/>
    <s v="Jorge Rodríguez"/>
    <d v="1975-01-01T00:00:00"/>
    <n v="51"/>
    <x v="0"/>
    <x v="1"/>
    <d v="2023-08-11T00:00:00"/>
    <d v="2025-02-05T00:00:00"/>
    <n v="19"/>
    <x v="1"/>
    <n v="0"/>
    <n v="7"/>
    <n v="13032.93"/>
    <n v="13969.88"/>
    <n v="4381.6899999999996"/>
  </r>
  <r>
    <s v="591"/>
    <s v="Luis López"/>
    <d v="1944-01-01T00:00:00"/>
    <n v="82"/>
    <x v="0"/>
    <x v="2"/>
    <d v="2024-09-25T00:00:00"/>
    <d v="2024-03-22T00:00:00"/>
    <n v="20"/>
    <x v="0"/>
    <n v="7"/>
    <n v="7"/>
    <n v="24160.46"/>
    <n v="13025.29"/>
    <n v="15030.33"/>
  </r>
  <r>
    <s v="592"/>
    <s v="Elena López"/>
    <d v="2011-01-01T00:00:00"/>
    <n v="15"/>
    <x v="0"/>
    <x v="6"/>
    <d v="2023-03-19T00:00:00"/>
    <d v="2025-04-12T00:00:00"/>
    <n v="9"/>
    <x v="0"/>
    <n v="0"/>
    <n v="7"/>
    <n v="26002.02"/>
    <n v="9387.94"/>
    <n v="9699.73"/>
  </r>
  <r>
    <s v="593"/>
    <s v="Sofía Ramírez"/>
    <d v="1957-12-31T00:00:00"/>
    <n v="68"/>
    <x v="1"/>
    <x v="3"/>
    <d v="2024-08-22T00:00:00"/>
    <d v="2023-01-30T00:00:00"/>
    <n v="18"/>
    <x v="0"/>
    <n v="11"/>
    <n v="2"/>
    <n v="19536.990000000002"/>
    <n v="279.43"/>
    <n v="12444.13"/>
  </r>
  <r>
    <s v="594"/>
    <s v="Ana Rodríguez"/>
    <d v="2015-01-01T00:00:00"/>
    <n v="11"/>
    <x v="1"/>
    <x v="1"/>
    <d v="2024-09-16T00:00:00"/>
    <d v="2023-07-22T00:00:00"/>
    <n v="16"/>
    <x v="2"/>
    <n v="11"/>
    <n v="9"/>
    <n v="18818.34"/>
    <n v="3137.05"/>
    <n v="9369.23"/>
  </r>
  <r>
    <s v="595"/>
    <s v="José Rodríguez"/>
    <d v="2001-12-31T00:00:00"/>
    <n v="24"/>
    <x v="1"/>
    <x v="5"/>
    <d v="2024-09-03T00:00:00"/>
    <d v="2023-08-26T00:00:00"/>
    <n v="2"/>
    <x v="0"/>
    <n v="4"/>
    <n v="7"/>
    <n v="0"/>
    <n v="11839.79"/>
    <n v="16358.63"/>
  </r>
  <r>
    <s v="596"/>
    <s v="José Cruz"/>
    <d v="1975-01-01T00:00:00"/>
    <n v="51"/>
    <x v="0"/>
    <x v="4"/>
    <d v="2024-03-03T00:00:00"/>
    <d v="2024-08-22T00:00:00"/>
    <n v="21"/>
    <x v="0"/>
    <n v="3"/>
    <n v="1"/>
    <n v="17045.490000000002"/>
    <n v="6806.41"/>
    <n v="9886.6299999999992"/>
  </r>
  <r>
    <s v="597"/>
    <s v="José López"/>
    <d v="1941-12-31T00:00:00"/>
    <n v="84"/>
    <x v="1"/>
    <x v="0"/>
    <d v="2024-02-29T00:00:00"/>
    <d v="2024-08-31T00:00:00"/>
    <n v="27"/>
    <x v="0"/>
    <n v="2"/>
    <n v="7"/>
    <n v="7870.57"/>
    <n v="1889.26"/>
    <n v="19759.900000000001"/>
  </r>
  <r>
    <s v="598"/>
    <s v="Laura Martínez"/>
    <d v="1973-12-31T00:00:00"/>
    <n v="52"/>
    <x v="0"/>
    <x v="0"/>
    <d v="2024-01-22T00:00:00"/>
    <d v="2025-03-10T00:00:00"/>
    <n v="5"/>
    <x v="2"/>
    <n v="4"/>
    <n v="7"/>
    <n v="8490.26"/>
    <n v="6123.9"/>
    <n v="4776.3500000000004"/>
  </r>
  <r>
    <s v="599"/>
    <s v="Elena Hernández"/>
    <d v="2004-01-01T00:00:00"/>
    <n v="22"/>
    <x v="1"/>
    <x v="3"/>
    <d v="2023-08-27T00:00:00"/>
    <d v="2023-12-06T00:00:00"/>
    <n v="1"/>
    <x v="2"/>
    <n v="2"/>
    <n v="2"/>
    <n v="2390.63"/>
    <n v="3178.55"/>
    <n v="2684.39"/>
  </r>
  <r>
    <s v="600"/>
    <s v="Carmen Rodríguez"/>
    <d v="2011-01-01T00:00:00"/>
    <n v="15"/>
    <x v="1"/>
    <x v="2"/>
    <d v="2024-09-14T00:00:00"/>
    <d v="2024-02-04T00:00:00"/>
    <n v="31"/>
    <x v="0"/>
    <n v="7"/>
    <n v="3"/>
    <n v="18893.98"/>
    <n v="13388.51"/>
    <n v="7409.29"/>
  </r>
  <r>
    <s v="601"/>
    <s v="Pedro López"/>
    <d v="1969-12-31T00:00:00"/>
    <n v="56"/>
    <x v="1"/>
    <x v="0"/>
    <d v="2023-03-31T00:00:00"/>
    <d v="2024-03-15T00:00:00"/>
    <n v="20"/>
    <x v="2"/>
    <n v="9"/>
    <n v="8"/>
    <n v="17306.16"/>
    <n v="13338.88"/>
    <n v="18365"/>
  </r>
  <r>
    <s v="602"/>
    <s v="Pedro Morales"/>
    <d v="1988-01-01T00:00:00"/>
    <n v="38"/>
    <x v="1"/>
    <x v="0"/>
    <d v="2024-01-20T00:00:00"/>
    <d v="2023-10-17T00:00:00"/>
    <n v="0"/>
    <x v="1"/>
    <n v="8"/>
    <n v="8"/>
    <n v="6218.31"/>
    <n v="5805.93"/>
    <n v="17031.48"/>
  </r>
  <r>
    <s v="603"/>
    <s v="Miguel Rodríguez"/>
    <d v="1973-12-31T00:00:00"/>
    <n v="52"/>
    <x v="0"/>
    <x v="0"/>
    <d v="2023-05-19T00:00:00"/>
    <d v="2023-09-10T00:00:00"/>
    <n v="21"/>
    <x v="0"/>
    <n v="13"/>
    <n v="9"/>
    <n v="7522.63"/>
    <n v="2060.9"/>
    <n v="4871.79"/>
  </r>
  <r>
    <s v="604"/>
    <s v="Miguel Ramírez"/>
    <d v="1965-01-01T00:00:00"/>
    <n v="41"/>
    <x v="1"/>
    <x v="0"/>
    <d v="2024-10-08T00:00:00"/>
    <d v="2024-11-23T00:00:00"/>
    <n v="15"/>
    <x v="0"/>
    <n v="5"/>
    <n v="8"/>
    <n v="23076.54"/>
    <n v="5382.47"/>
    <n v="11953.92"/>
  </r>
  <r>
    <s v="605"/>
    <s v="Carmen Cruz"/>
    <d v="1968-12-31T00:00:00"/>
    <n v="57"/>
    <x v="0"/>
    <x v="3"/>
    <d v="2024-06-07T00:00:00"/>
    <d v="2023-04-11T00:00:00"/>
    <n v="34"/>
    <x v="0"/>
    <n v="13"/>
    <n v="9"/>
    <n v="23684.47"/>
    <n v="1931.1"/>
    <n v="11737.69"/>
  </r>
  <r>
    <s v="606"/>
    <s v="Ana Sánchez"/>
    <d v="1988-01-01T00:00:00"/>
    <n v="38"/>
    <x v="1"/>
    <x v="1"/>
    <d v="2023-09-01T00:00:00"/>
    <d v="2024-08-08T00:00:00"/>
    <n v="28"/>
    <x v="1"/>
    <n v="1"/>
    <n v="5"/>
    <n v="14539.08"/>
    <n v="4560.6899999999996"/>
    <n v="5797.28"/>
  </r>
  <r>
    <s v="607"/>
    <s v="Carlos Ramírez"/>
    <d v="2012-12-31T00:00:00"/>
    <n v="13"/>
    <x v="0"/>
    <x v="6"/>
    <d v="2024-05-19T00:00:00"/>
    <d v="2024-02-27T00:00:00"/>
    <n v="11"/>
    <x v="2"/>
    <n v="10"/>
    <n v="0"/>
    <n v="4044.58"/>
    <n v="11567.72"/>
    <n v="4631.17"/>
  </r>
  <r>
    <s v="608"/>
    <s v="Carlos Ramírez"/>
    <d v="1932-01-01T00:00:00"/>
    <n v="94"/>
    <x v="1"/>
    <x v="6"/>
    <d v="2024-02-26T00:00:00"/>
    <d v="2024-10-05T00:00:00"/>
    <n v="2"/>
    <x v="1"/>
    <n v="8"/>
    <n v="7"/>
    <n v="1195.57"/>
    <n v="4379.2"/>
    <n v="7739.99"/>
  </r>
  <r>
    <s v="609"/>
    <s v="Ricardo Morales"/>
    <d v="2021-12-31T00:00:00"/>
    <n v="4"/>
    <x v="0"/>
    <x v="2"/>
    <d v="2023-07-01T00:00:00"/>
    <d v="2024-11-25T00:00:00"/>
    <n v="11"/>
    <x v="1"/>
    <n v="2"/>
    <n v="8"/>
    <n v="7779.8"/>
    <n v="8163.03"/>
    <n v="15751.24"/>
  </r>
  <r>
    <s v="610"/>
    <s v="Miguel Hernández"/>
    <d v="1992-01-01T00:00:00"/>
    <n v="34"/>
    <x v="0"/>
    <x v="1"/>
    <d v="2023-07-14T00:00:00"/>
    <d v="2024-12-07T00:00:00"/>
    <n v="38"/>
    <x v="1"/>
    <n v="1"/>
    <n v="7"/>
    <n v="21801.17"/>
    <n v="1783.1"/>
    <n v="3753.47"/>
  </r>
  <r>
    <s v="611"/>
    <s v="María Rodríguez"/>
    <d v="1940-01-01T00:00:00"/>
    <n v="86"/>
    <x v="2"/>
    <x v="4"/>
    <d v="2024-09-25T00:00:00"/>
    <d v="2023-01-19T00:00:00"/>
    <n v="2"/>
    <x v="0"/>
    <n v="4"/>
    <n v="0"/>
    <n v="17824.91"/>
    <n v="5214.38"/>
    <n v="8859.0400000000009"/>
  </r>
  <r>
    <s v="612"/>
    <s v="José López"/>
    <d v="2010-01-01T00:00:00"/>
    <n v="92"/>
    <x v="1"/>
    <x v="5"/>
    <d v="2023-02-22T00:00:00"/>
    <d v="2024-04-16T00:00:00"/>
    <n v="28"/>
    <x v="2"/>
    <n v="0"/>
    <n v="5"/>
    <n v="21402.26"/>
    <n v="594.57000000000005"/>
    <n v="9582.14"/>
  </r>
  <r>
    <s v="613"/>
    <s v="José Pérez"/>
    <d v="1952-01-01T00:00:00"/>
    <n v="74"/>
    <x v="0"/>
    <x v="6"/>
    <d v="2024-11-15T00:00:00"/>
    <d v="2024-09-30T00:00:00"/>
    <n v="28"/>
    <x v="2"/>
    <n v="2"/>
    <n v="8"/>
    <n v="13888.31"/>
    <n v="8222.52"/>
    <n v="18776.41"/>
  </r>
  <r>
    <s v="614"/>
    <s v="Miguel Pérez"/>
    <d v="1943-01-01T00:00:00"/>
    <n v="17"/>
    <x v="1"/>
    <x v="5"/>
    <d v="2023-06-28T00:00:00"/>
    <d v="2024-12-24T00:00:00"/>
    <n v="27"/>
    <x v="0"/>
    <n v="11"/>
    <n v="8"/>
    <n v="22518.53"/>
    <n v="5214.3500000000004"/>
    <n v="6000.8"/>
  </r>
  <r>
    <s v="615"/>
    <s v="Carlos Sánchez"/>
    <d v="1938-01-01T00:00:00"/>
    <n v="75"/>
    <x v="1"/>
    <x v="6"/>
    <d v="2023-10-20T00:00:00"/>
    <d v="2023-01-08T00:00:00"/>
    <n v="33"/>
    <x v="0"/>
    <n v="13"/>
    <n v="6"/>
    <n v="14164.58"/>
    <n v="13080.06"/>
    <n v="294.89999999999998"/>
  </r>
  <r>
    <s v="616"/>
    <s v="Pedro López"/>
    <d v="2017-12-31T00:00:00"/>
    <n v="8"/>
    <x v="1"/>
    <x v="6"/>
    <d v="2024-01-10T00:00:00"/>
    <d v="2024-02-24T00:00:00"/>
    <n v="2"/>
    <x v="0"/>
    <n v="3"/>
    <n v="6"/>
    <n v="2062.4499999999998"/>
    <n v="5888.29"/>
    <n v="13844"/>
  </r>
  <r>
    <s v="617"/>
    <s v="José Sánchez"/>
    <d v="1952-12-31T00:00:00"/>
    <n v="12"/>
    <x v="1"/>
    <x v="2"/>
    <d v="2023-02-28T00:00:00"/>
    <d v="2024-01-16T00:00:00"/>
    <n v="0"/>
    <x v="1"/>
    <n v="14"/>
    <n v="3"/>
    <n v="1935.68"/>
    <n v="8366.6299999999992"/>
    <n v="15091.41"/>
  </r>
  <r>
    <s v="618"/>
    <s v="Luisa Ramírez"/>
    <d v="1968-12-31T00:00:00"/>
    <n v="57"/>
    <x v="2"/>
    <x v="0"/>
    <d v="2023-02-23T00:00:00"/>
    <d v="2024-05-23T00:00:00"/>
    <n v="17"/>
    <x v="0"/>
    <n v="10"/>
    <n v="6"/>
    <n v="24860.83"/>
    <n v="14649.66"/>
    <n v="14030.95"/>
  </r>
  <r>
    <s v="619"/>
    <s v="Elena López"/>
    <d v="2009-12-31T00:00:00"/>
    <n v="16"/>
    <x v="1"/>
    <x v="2"/>
    <d v="2023-09-02T00:00:00"/>
    <d v="2023-04-25T00:00:00"/>
    <n v="18"/>
    <x v="2"/>
    <n v="6"/>
    <n v="9"/>
    <n v="18703.54"/>
    <n v="9640.59"/>
    <n v="13984.85"/>
  </r>
  <r>
    <s v="620"/>
    <s v="Sofía Morales"/>
    <d v="2020-01-01T00:00:00"/>
    <n v="6"/>
    <x v="0"/>
    <x v="6"/>
    <d v="2023-05-29T00:00:00"/>
    <d v="2025-05-02T00:00:00"/>
    <n v="27"/>
    <x v="0"/>
    <n v="1"/>
    <n v="4"/>
    <n v="8013.38"/>
    <n v="7507.08"/>
    <n v="9612.8700000000008"/>
  </r>
  <r>
    <s v="621"/>
    <s v="José Rodríguez"/>
    <d v="1980-12-31T00:00:00"/>
    <n v="45"/>
    <x v="0"/>
    <x v="1"/>
    <d v="2024-01-03T00:00:00"/>
    <d v="2024-05-26T00:00:00"/>
    <n v="39"/>
    <x v="1"/>
    <n v="4"/>
    <n v="9"/>
    <n v="22593.85"/>
    <n v="1471.87"/>
    <n v="275.08"/>
  </r>
  <r>
    <s v="622"/>
    <s v="Luis Martínez"/>
    <d v="2013-12-31T00:00:00"/>
    <n v="12"/>
    <x v="0"/>
    <x v="0"/>
    <d v="2023-01-16T00:00:00"/>
    <d v="2024-08-19T00:00:00"/>
    <n v="27"/>
    <x v="0"/>
    <n v="1"/>
    <n v="4"/>
    <n v="3639.93"/>
    <n v="12314.46"/>
    <n v="14571.35"/>
  </r>
  <r>
    <s v="623"/>
    <s v="Ricardo Martínez"/>
    <d v="1987-01-01T00:00:00"/>
    <n v="39"/>
    <x v="0"/>
    <x v="1"/>
    <d v="2023-06-25T00:00:00"/>
    <d v="2025-05-01T00:00:00"/>
    <n v="2"/>
    <x v="1"/>
    <n v="7"/>
    <n v="0"/>
    <n v="19179.93"/>
    <n v="9635.75"/>
    <n v="18724.060000000001"/>
  </r>
  <r>
    <s v="624"/>
    <s v="Pedro Cruz"/>
    <d v="1984-12-31T00:00:00"/>
    <n v="41"/>
    <x v="1"/>
    <x v="1"/>
    <d v="2024-06-23T00:00:00"/>
    <d v="2025-05-23T00:00:00"/>
    <n v="7"/>
    <x v="0"/>
    <n v="13"/>
    <n v="1"/>
    <n v="0"/>
    <n v="1627.86"/>
    <n v="3063.47"/>
  </r>
  <r>
    <s v="625"/>
    <s v="Elena Cruz"/>
    <d v="2018-01-01T00:00:00"/>
    <n v="8"/>
    <x v="0"/>
    <x v="1"/>
    <d v="2024-02-10T00:00:00"/>
    <d v="2024-09-06T00:00:00"/>
    <n v="21"/>
    <x v="0"/>
    <n v="10"/>
    <n v="8"/>
    <n v="4075.6"/>
    <n v="3685.04"/>
    <n v="1265.08"/>
  </r>
  <r>
    <s v="626"/>
    <s v="Elena Hernández"/>
    <d v="1976-12-31T00:00:00"/>
    <n v="49"/>
    <x v="1"/>
    <x v="0"/>
    <d v="2024-04-11T00:00:00"/>
    <d v="2024-04-14T00:00:00"/>
    <n v="36"/>
    <x v="0"/>
    <n v="1"/>
    <n v="1"/>
    <n v="3829.32"/>
    <n v="8064.71"/>
    <n v="5230.63"/>
  </r>
  <r>
    <s v="627"/>
    <s v="José Cruz"/>
    <d v="2000-01-01T00:00:00"/>
    <n v="26"/>
    <x v="0"/>
    <x v="1"/>
    <d v="2023-05-09T00:00:00"/>
    <d v="2023-04-04T00:00:00"/>
    <n v="3"/>
    <x v="1"/>
    <n v="0"/>
    <n v="9"/>
    <n v="13768.95"/>
    <n v="675.94"/>
    <n v="16980.86"/>
  </r>
  <r>
    <s v="628"/>
    <s v="Ana Hernández"/>
    <d v="1960-12-31T00:00:00"/>
    <n v="65"/>
    <x v="0"/>
    <x v="0"/>
    <d v="2023-08-11T00:00:00"/>
    <d v="2024-05-07T00:00:00"/>
    <n v="7"/>
    <x v="0"/>
    <n v="1"/>
    <n v="1"/>
    <n v="19101.169999999998"/>
    <n v="10774.65"/>
    <n v="2033.56"/>
  </r>
  <r>
    <s v="629"/>
    <s v="Ana Pérez"/>
    <d v="2021-12-31T00:00:00"/>
    <n v="4"/>
    <x v="2"/>
    <x v="5"/>
    <d v="2023-09-01T00:00:00"/>
    <d v="2025-04-08T00:00:00"/>
    <n v="39"/>
    <x v="1"/>
    <n v="6"/>
    <n v="8"/>
    <n v="309.66000000000003"/>
    <n v="3416.91"/>
    <n v="14274.88"/>
  </r>
  <r>
    <s v="630"/>
    <s v="Luisa Morales"/>
    <d v="1997-12-31T00:00:00"/>
    <n v="28"/>
    <x v="1"/>
    <x v="4"/>
    <d v="2024-03-01T00:00:00"/>
    <d v="2023-04-13T00:00:00"/>
    <n v="7"/>
    <x v="0"/>
    <n v="11"/>
    <n v="2"/>
    <n v="0"/>
    <n v="7345.66"/>
    <n v="1165.24"/>
  </r>
  <r>
    <s v="631"/>
    <s v="Carmen Hernández"/>
    <d v="1989-12-31T00:00:00"/>
    <n v="36"/>
    <x v="1"/>
    <x v="6"/>
    <d v="2023-12-20T00:00:00"/>
    <d v="2024-05-08T00:00:00"/>
    <n v="22"/>
    <x v="0"/>
    <n v="2"/>
    <n v="1"/>
    <n v="2036.7"/>
    <n v="3624.65"/>
    <n v="559.05999999999995"/>
  </r>
  <r>
    <s v="632"/>
    <s v="Sofía Ramírez"/>
    <d v="1988-12-31T00:00:00"/>
    <n v="37"/>
    <x v="1"/>
    <x v="3"/>
    <d v="2023-11-22T00:00:00"/>
    <d v="2025-02-02T00:00:00"/>
    <n v="11"/>
    <x v="2"/>
    <n v="0"/>
    <n v="6"/>
    <n v="6860.38"/>
    <n v="7337.8"/>
    <n v="17815.169999999998"/>
  </r>
  <r>
    <s v="633"/>
    <s v="Elena Ramírez"/>
    <d v="1944-01-01T00:00:00"/>
    <n v="82"/>
    <x v="1"/>
    <x v="1"/>
    <d v="2024-08-26T00:00:00"/>
    <d v="2024-06-20T00:00:00"/>
    <n v="36"/>
    <x v="0"/>
    <n v="5"/>
    <n v="8"/>
    <n v="21228.13"/>
    <n v="2845.19"/>
    <n v="15388.26"/>
  </r>
  <r>
    <s v="634"/>
    <s v="María Cruz"/>
    <d v="2019-01-01T00:00:00"/>
    <n v="7"/>
    <x v="1"/>
    <x v="2"/>
    <d v="2023-01-03T00:00:00"/>
    <d v="2024-04-30T00:00:00"/>
    <n v="10"/>
    <x v="0"/>
    <n v="6"/>
    <n v="5"/>
    <n v="22035.38"/>
    <n v="8908.81"/>
    <n v="11931.56"/>
  </r>
  <r>
    <s v="635"/>
    <s v="Miguel Cruz"/>
    <d v="1961-12-31T00:00:00"/>
    <n v="64"/>
    <x v="0"/>
    <x v="5"/>
    <d v="2024-04-23T00:00:00"/>
    <d v="2024-04-24T00:00:00"/>
    <n v="8"/>
    <x v="1"/>
    <n v="14"/>
    <n v="6"/>
    <n v="21756.84"/>
    <n v="13656.1"/>
    <n v="3357.1"/>
  </r>
  <r>
    <s v="636"/>
    <s v="José Rodríguez"/>
    <d v="1940-12-31T00:00:00"/>
    <n v="85"/>
    <x v="1"/>
    <x v="2"/>
    <d v="2023-03-22T00:00:00"/>
    <d v="2025-05-27T00:00:00"/>
    <n v="36"/>
    <x v="1"/>
    <n v="7"/>
    <n v="2"/>
    <n v="1486.96"/>
    <n v="12110.04"/>
    <n v="5504.86"/>
  </r>
  <r>
    <s v="637"/>
    <s v="Juan López"/>
    <d v="1942-01-01T00:00:00"/>
    <n v="16"/>
    <x v="0"/>
    <x v="3"/>
    <d v="2023-02-13T00:00:00"/>
    <d v="2023-06-17T00:00:00"/>
    <n v="8"/>
    <x v="2"/>
    <n v="13"/>
    <n v="2"/>
    <n v="23496.27"/>
    <n v="3622.81"/>
    <n v="876.95"/>
  </r>
  <r>
    <s v="638"/>
    <s v="Ricardo Rodríguez"/>
    <d v="1956-01-01T00:00:00"/>
    <n v="70"/>
    <x v="0"/>
    <x v="0"/>
    <d v="2023-06-04T00:00:00"/>
    <d v="2023-05-21T00:00:00"/>
    <n v="13"/>
    <x v="2"/>
    <n v="14"/>
    <n v="7"/>
    <n v="12682.31"/>
    <n v="7471.64"/>
    <n v="12871.79"/>
  </r>
  <r>
    <s v="639"/>
    <s v="Ricardo Pérez"/>
    <d v="1937-12-31T00:00:00"/>
    <n v="88"/>
    <x v="0"/>
    <x v="3"/>
    <d v="2024-06-19T00:00:00"/>
    <d v="2023-04-05T00:00:00"/>
    <n v="30"/>
    <x v="2"/>
    <n v="3"/>
    <n v="6"/>
    <n v="13996.94"/>
    <n v="6346.63"/>
    <n v="13690.32"/>
  </r>
  <r>
    <s v="640"/>
    <s v="Carlos López"/>
    <d v="1981-12-31T00:00:00"/>
    <n v="44"/>
    <x v="1"/>
    <x v="2"/>
    <d v="2023-04-09T00:00:00"/>
    <d v="2023-07-01T00:00:00"/>
    <n v="38"/>
    <x v="0"/>
    <n v="12"/>
    <n v="4"/>
    <n v="12300.56"/>
    <n v="14482.13"/>
    <n v="6468.86"/>
  </r>
  <r>
    <s v="641"/>
    <s v="Elena Sánchez"/>
    <d v="2023-01-01T00:00:00"/>
    <n v="3"/>
    <x v="1"/>
    <x v="3"/>
    <d v="2024-02-01T00:00:00"/>
    <d v="2024-07-30T00:00:00"/>
    <n v="38"/>
    <x v="2"/>
    <n v="1"/>
    <n v="5"/>
    <n v="0"/>
    <n v="11982.32"/>
    <n v="6702.17"/>
  </r>
  <r>
    <s v="642"/>
    <s v="Sofía Rodríguez"/>
    <d v="1991-01-01T00:00:00"/>
    <n v="35"/>
    <x v="1"/>
    <x v="6"/>
    <d v="2023-06-20T00:00:00"/>
    <d v="2023-01-05T00:00:00"/>
    <n v="29"/>
    <x v="0"/>
    <n v="1"/>
    <n v="8"/>
    <n v="20239.099999999999"/>
    <n v="1611.43"/>
    <n v="12542.45"/>
  </r>
  <r>
    <s v="643"/>
    <s v="José Morales"/>
    <d v="1956-12-31T00:00:00"/>
    <n v="69"/>
    <x v="1"/>
    <x v="3"/>
    <d v="2023-05-28T00:00:00"/>
    <d v="2024-08-29T00:00:00"/>
    <n v="7"/>
    <x v="2"/>
    <n v="13"/>
    <n v="2"/>
    <n v="14750.79"/>
    <n v="2528.29"/>
    <n v="18907.86"/>
  </r>
  <r>
    <s v="644"/>
    <s v="Carmen Martínez"/>
    <d v="1996-01-01T00:00:00"/>
    <n v="30"/>
    <x v="0"/>
    <x v="1"/>
    <d v="2023-05-03T00:00:00"/>
    <d v="2024-01-25T00:00:00"/>
    <n v="12"/>
    <x v="0"/>
    <n v="6"/>
    <n v="2"/>
    <n v="24945.75"/>
    <n v="10530.43"/>
    <n v="7833.66"/>
  </r>
  <r>
    <s v="645"/>
    <s v="José López"/>
    <d v="2008-01-01T00:00:00"/>
    <n v="18"/>
    <x v="1"/>
    <x v="6"/>
    <d v="2023-04-22T00:00:00"/>
    <d v="2023-09-30T00:00:00"/>
    <n v="13"/>
    <x v="0"/>
    <n v="11"/>
    <n v="5"/>
    <n v="24063.59"/>
    <n v="2397.87"/>
    <n v="9821.17"/>
  </r>
  <r>
    <s v="646"/>
    <s v="Miguel Hernández"/>
    <d v="1965-12-31T00:00:00"/>
    <n v="60"/>
    <x v="0"/>
    <x v="1"/>
    <d v="2023-05-10T00:00:00"/>
    <d v="2025-03-06T00:00:00"/>
    <n v="24"/>
    <x v="2"/>
    <n v="12"/>
    <n v="7"/>
    <n v="346.15"/>
    <n v="14257.03"/>
    <n v="13935.35"/>
  </r>
  <r>
    <s v="647"/>
    <s v="Luisa Cruz"/>
    <d v="1972-12-31T00:00:00"/>
    <n v="53"/>
    <x v="0"/>
    <x v="4"/>
    <d v="2023-03-09T00:00:00"/>
    <d v="2023-05-13T00:00:00"/>
    <n v="29"/>
    <x v="0"/>
    <n v="4"/>
    <n v="4"/>
    <n v="14105.84"/>
    <n v="14894.2"/>
    <n v="6780.65"/>
  </r>
  <r>
    <s v="648"/>
    <s v="Miguel Ramírez"/>
    <d v="1988-01-01T00:00:00"/>
    <n v="38"/>
    <x v="0"/>
    <x v="4"/>
    <d v="2024-12-29T00:00:00"/>
    <d v="2024-08-07T00:00:00"/>
    <n v="3"/>
    <x v="0"/>
    <n v="3"/>
    <n v="0"/>
    <n v="788.51"/>
    <n v="11675.56"/>
    <n v="17364.05"/>
  </r>
  <r>
    <s v="649"/>
    <s v="José Pérez"/>
    <d v="1936-01-01T00:00:00"/>
    <n v="90"/>
    <x v="1"/>
    <x v="3"/>
    <d v="2024-08-30T00:00:00"/>
    <d v="2025-03-27T00:00:00"/>
    <n v="33"/>
    <x v="2"/>
    <n v="11"/>
    <n v="2"/>
    <n v="8869.19"/>
    <n v="402"/>
    <n v="16908.25"/>
  </r>
  <r>
    <s v="650"/>
    <s v="María Pérez"/>
    <d v="1952-12-31T00:00:00"/>
    <n v="73"/>
    <x v="1"/>
    <x v="6"/>
    <d v="2024-10-18T00:00:00"/>
    <d v="2024-08-16T00:00:00"/>
    <n v="5"/>
    <x v="0"/>
    <n v="5"/>
    <n v="7"/>
    <n v="24017.040000000001"/>
    <n v="7240.9"/>
    <n v="13453.09"/>
  </r>
  <r>
    <s v="651"/>
    <s v="Sofía Morales"/>
    <d v="1936-12-31T00:00:00"/>
    <n v="89"/>
    <x v="0"/>
    <x v="6"/>
    <d v="2024-06-28T00:00:00"/>
    <d v="2024-05-27T00:00:00"/>
    <n v="22"/>
    <x v="2"/>
    <n v="3"/>
    <n v="3"/>
    <n v="28293.599999999999"/>
    <n v="6091.19"/>
    <n v="10692.16"/>
  </r>
  <r>
    <s v="652"/>
    <s v="Miguel Cruz"/>
    <d v="2008-01-01T00:00:00"/>
    <n v="18"/>
    <x v="0"/>
    <x v="4"/>
    <d v="2023-10-13T00:00:00"/>
    <d v="2024-11-17T00:00:00"/>
    <n v="4"/>
    <x v="1"/>
    <n v="9"/>
    <n v="8"/>
    <n v="6883.03"/>
    <n v="11993.03"/>
    <n v="19668.77"/>
  </r>
  <r>
    <s v="653"/>
    <s v="Luisa Gómez"/>
    <d v="1988-01-01T00:00:00"/>
    <n v="61"/>
    <x v="1"/>
    <x v="3"/>
    <d v="2023-01-05T00:00:00"/>
    <d v="2025-03-23T00:00:00"/>
    <n v="14"/>
    <x v="0"/>
    <n v="2"/>
    <n v="5"/>
    <n v="153.47"/>
    <n v="4305.12"/>
    <n v="14017.85"/>
  </r>
  <r>
    <s v="654"/>
    <s v="José López"/>
    <d v="1960-01-01T00:00:00"/>
    <n v="66"/>
    <x v="1"/>
    <x v="5"/>
    <d v="2023-04-28T00:00:00"/>
    <d v="2023-02-22T00:00:00"/>
    <n v="27"/>
    <x v="1"/>
    <n v="3"/>
    <n v="9"/>
    <n v="11771.26"/>
    <n v="5791.89"/>
    <n v="12828.85"/>
  </r>
  <r>
    <s v="655"/>
    <s v="Juan Pérez"/>
    <d v="1981-12-31T00:00:00"/>
    <n v="44"/>
    <x v="1"/>
    <x v="0"/>
    <d v="2024-10-13T00:00:00"/>
    <d v="2023-10-18T00:00:00"/>
    <n v="1"/>
    <x v="0"/>
    <n v="10"/>
    <n v="3"/>
    <n v="9721.1200000000008"/>
    <n v="1402.52"/>
    <n v="17524.04"/>
  </r>
  <r>
    <s v="656"/>
    <s v="Jorge Martínez"/>
    <d v="2013-12-31T00:00:00"/>
    <n v="12"/>
    <x v="0"/>
    <x v="0"/>
    <d v="2023-08-18T00:00:00"/>
    <d v="2024-03-22T00:00:00"/>
    <n v="14"/>
    <x v="1"/>
    <n v="12"/>
    <n v="3"/>
    <n v="20147.47"/>
    <n v="5139.54"/>
    <n v="11055.31"/>
  </r>
  <r>
    <s v="657"/>
    <s v="Jorge Gómez"/>
    <d v="1935-01-01T00:00:00"/>
    <n v="91"/>
    <x v="1"/>
    <x v="0"/>
    <d v="2023-06-09T00:00:00"/>
    <d v="2023-08-26T00:00:00"/>
    <n v="1"/>
    <x v="2"/>
    <n v="9"/>
    <n v="9"/>
    <n v="14599.26"/>
    <n v="14607.81"/>
    <n v="4782.76"/>
  </r>
  <r>
    <s v="658"/>
    <s v="Ana Pérez"/>
    <d v="1968-12-31T00:00:00"/>
    <n v="57"/>
    <x v="0"/>
    <x v="6"/>
    <d v="2023-10-21T00:00:00"/>
    <d v="2025-02-28T00:00:00"/>
    <n v="23"/>
    <x v="1"/>
    <n v="5"/>
    <n v="4"/>
    <n v="11664.84"/>
    <n v="14132.25"/>
    <n v="2669.22"/>
  </r>
  <r>
    <s v="659"/>
    <s v="Ana Hernández"/>
    <d v="2007-01-01T00:00:00"/>
    <n v="19"/>
    <x v="1"/>
    <x v="4"/>
    <d v="2023-07-05T00:00:00"/>
    <d v="2024-05-06T00:00:00"/>
    <n v="11"/>
    <x v="2"/>
    <n v="12"/>
    <n v="6"/>
    <n v="6501.45"/>
    <n v="11253.89"/>
    <n v="9367.75"/>
  </r>
  <r>
    <s v="660"/>
    <s v="Miguel López"/>
    <d v="1935-01-01T00:00:00"/>
    <n v="91"/>
    <x v="0"/>
    <x v="0"/>
    <d v="2024-07-05T00:00:00"/>
    <d v="2023-10-08T00:00:00"/>
    <n v="5"/>
    <x v="0"/>
    <n v="14"/>
    <n v="6"/>
    <n v="24768.65"/>
    <n v="13608.95"/>
    <n v="10264.65"/>
  </r>
  <r>
    <s v="661"/>
    <s v="Juan Ramírez"/>
    <d v="1955-01-01T00:00:00"/>
    <n v="71"/>
    <x v="0"/>
    <x v="4"/>
    <d v="2023-08-12T00:00:00"/>
    <d v="2023-02-14T00:00:00"/>
    <n v="2"/>
    <x v="2"/>
    <n v="9"/>
    <n v="9"/>
    <n v="7075.87"/>
    <n v="3167.56"/>
    <n v="16536.650000000001"/>
  </r>
  <r>
    <s v="662"/>
    <s v="Ricardo Gómez"/>
    <d v="1965-12-31T00:00:00"/>
    <n v="60"/>
    <x v="0"/>
    <x v="6"/>
    <d v="2023-06-01T00:00:00"/>
    <d v="2025-06-01T00:00:00"/>
    <n v="2"/>
    <x v="1"/>
    <n v="4"/>
    <n v="6"/>
    <n v="1169.42"/>
    <n v="9327.48"/>
    <n v="2703.44"/>
  </r>
  <r>
    <s v="663"/>
    <s v="Sofía Rodríguez"/>
    <d v="1987-01-01T00:00:00"/>
    <n v="38"/>
    <x v="1"/>
    <x v="4"/>
    <d v="2023-05-20T00:00:00"/>
    <d v="2025-02-05T00:00:00"/>
    <n v="2"/>
    <x v="0"/>
    <n v="8"/>
    <n v="4"/>
    <n v="16720.62"/>
    <n v="7499.58"/>
    <n v="13592.73"/>
  </r>
  <r>
    <s v="664"/>
    <s v="Pedro Sánchez"/>
    <d v="2025-12-31T00:00:00"/>
    <n v="0"/>
    <x v="1"/>
    <x v="5"/>
    <d v="2024-01-02T00:00:00"/>
    <d v="2023-12-26T00:00:00"/>
    <n v="24"/>
    <x v="0"/>
    <n v="8"/>
    <n v="8"/>
    <n v="9179.14"/>
    <n v="6340.35"/>
    <n v="6012.95"/>
  </r>
  <r>
    <s v="665"/>
    <s v="Carlos López"/>
    <d v="2024-01-01T00:00:00"/>
    <n v="2"/>
    <x v="1"/>
    <x v="3"/>
    <d v="2023-05-08T00:00:00"/>
    <d v="2024-10-08T00:00:00"/>
    <n v="2"/>
    <x v="0"/>
    <n v="11"/>
    <n v="1"/>
    <n v="21229.27"/>
    <n v="4872.53"/>
    <n v="18774.509999999998"/>
  </r>
  <r>
    <s v="666"/>
    <s v="María López"/>
    <d v="1949-12-31T00:00:00"/>
    <n v="76"/>
    <x v="0"/>
    <x v="4"/>
    <d v="2023-12-17T00:00:00"/>
    <d v="2024-07-22T00:00:00"/>
    <n v="0"/>
    <x v="0"/>
    <n v="10"/>
    <n v="7"/>
    <n v="1966.59"/>
    <n v="12994.79"/>
    <n v="9355.4699999999993"/>
  </r>
  <r>
    <s v="667"/>
    <s v="Carmen Cruz"/>
    <d v="1935-01-01T00:00:00"/>
    <n v="91"/>
    <x v="0"/>
    <x v="4"/>
    <d v="2023-05-27T00:00:00"/>
    <d v="2024-06-10T00:00:00"/>
    <n v="35"/>
    <x v="0"/>
    <n v="12"/>
    <n v="9"/>
    <n v="28972.38"/>
    <n v="7267.58"/>
    <n v="12410.2"/>
  </r>
  <r>
    <s v="668"/>
    <s v="María Rodríguez"/>
    <d v="1964-12-31T00:00:00"/>
    <n v="61"/>
    <x v="0"/>
    <x v="3"/>
    <d v="2023-10-12T00:00:00"/>
    <d v="2024-11-21T00:00:00"/>
    <n v="27"/>
    <x v="0"/>
    <n v="14"/>
    <n v="7"/>
    <n v="5199.17"/>
    <n v="10860.5"/>
    <n v="12967.17"/>
  </r>
  <r>
    <s v="669"/>
    <s v="Laura López"/>
    <d v="1964-01-01T00:00:00"/>
    <n v="62"/>
    <x v="1"/>
    <x v="6"/>
    <d v="2024-04-13T00:00:00"/>
    <d v="2024-04-07T00:00:00"/>
    <n v="2"/>
    <x v="0"/>
    <n v="9"/>
    <n v="2"/>
    <n v="10390.24"/>
    <n v="10589.25"/>
    <n v="1729.2"/>
  </r>
  <r>
    <s v="670"/>
    <s v="Luis Pérez"/>
    <d v="2001-12-31T00:00:00"/>
    <n v="24"/>
    <x v="0"/>
    <x v="6"/>
    <d v="2023-08-06T00:00:00"/>
    <d v="2023-04-12T00:00:00"/>
    <n v="5"/>
    <x v="1"/>
    <n v="7"/>
    <n v="4"/>
    <n v="14169.13"/>
    <n v="2041.07"/>
    <n v="17029.12"/>
  </r>
  <r>
    <s v="671"/>
    <s v="Luisa Morales"/>
    <d v="1971-01-01T00:00:00"/>
    <n v="55"/>
    <x v="1"/>
    <x v="4"/>
    <d v="2024-03-11T00:00:00"/>
    <d v="2024-11-23T00:00:00"/>
    <n v="10"/>
    <x v="2"/>
    <n v="8"/>
    <n v="7"/>
    <n v="26648.58"/>
    <n v="734.04"/>
    <n v="3201.15"/>
  </r>
  <r>
    <s v="672"/>
    <s v="Luisa Cruz"/>
    <d v="1993-12-31T00:00:00"/>
    <n v="32"/>
    <x v="0"/>
    <x v="5"/>
    <d v="2023-05-25T00:00:00"/>
    <d v="2024-04-06T00:00:00"/>
    <n v="17"/>
    <x v="2"/>
    <n v="0"/>
    <n v="9"/>
    <n v="21537.5"/>
    <n v="12599.45"/>
    <n v="7888.12"/>
  </r>
  <r>
    <s v="673"/>
    <s v="Ana Hernández"/>
    <d v="1988-12-31T00:00:00"/>
    <n v="37"/>
    <x v="1"/>
    <x v="0"/>
    <d v="2023-10-04T00:00:00"/>
    <d v="2025-02-08T00:00:00"/>
    <n v="3"/>
    <x v="0"/>
    <n v="12"/>
    <n v="8"/>
    <n v="0"/>
    <n v="7354.8"/>
    <n v="13418.53"/>
  </r>
  <r>
    <s v="674"/>
    <s v="Carmen Gómez"/>
    <d v="2020-12-31T00:00:00"/>
    <n v="5"/>
    <x v="0"/>
    <x v="5"/>
    <d v="2023-03-01T00:00:00"/>
    <d v="2023-09-26T00:00:00"/>
    <n v="5"/>
    <x v="1"/>
    <n v="5"/>
    <n v="6"/>
    <n v="12877.72"/>
    <n v="12151.28"/>
    <n v="1009.92"/>
  </r>
  <r>
    <s v="675"/>
    <s v="Jorge López"/>
    <d v="1962-01-01T00:00:00"/>
    <n v="57"/>
    <x v="1"/>
    <x v="3"/>
    <d v="2024-09-01T00:00:00"/>
    <d v="2025-06-02T00:00:00"/>
    <n v="27"/>
    <x v="0"/>
    <n v="1"/>
    <n v="3"/>
    <n v="16058.81"/>
    <n v="4455.9799999999996"/>
    <n v="11566.52"/>
  </r>
  <r>
    <s v="676"/>
    <s v="María Morales"/>
    <d v="1983-01-01T00:00:00"/>
    <n v="43"/>
    <x v="1"/>
    <x v="3"/>
    <d v="2024-01-10T00:00:00"/>
    <d v="2023-12-29T00:00:00"/>
    <n v="37"/>
    <x v="0"/>
    <n v="6"/>
    <n v="3"/>
    <n v="20914.830000000002"/>
    <n v="12927.48"/>
    <n v="8139.31"/>
  </r>
  <r>
    <s v="677"/>
    <s v="Luis Ramírez"/>
    <d v="1981-12-31T00:00:00"/>
    <n v="44"/>
    <x v="0"/>
    <x v="1"/>
    <d v="2024-02-08T00:00:00"/>
    <d v="2024-02-13T00:00:00"/>
    <n v="12"/>
    <x v="0"/>
    <n v="14"/>
    <n v="2"/>
    <n v="16940.34"/>
    <n v="12462.31"/>
    <n v="1183.44"/>
  </r>
  <r>
    <s v="678"/>
    <s v="Elena Pérez"/>
    <d v="1995-01-01T00:00:00"/>
    <n v="31"/>
    <x v="1"/>
    <x v="0"/>
    <d v="2024-11-23T00:00:00"/>
    <d v="2023-02-07T00:00:00"/>
    <n v="7"/>
    <x v="1"/>
    <n v="2"/>
    <n v="7"/>
    <n v="13448.71"/>
    <n v="5725.07"/>
    <n v="14500.46"/>
  </r>
  <r>
    <s v="679"/>
    <s v="Laura Morales"/>
    <d v="1981-12-31T00:00:00"/>
    <n v="44"/>
    <x v="0"/>
    <x v="4"/>
    <d v="2023-04-24T00:00:00"/>
    <d v="2024-04-13T00:00:00"/>
    <n v="30"/>
    <x v="0"/>
    <n v="6"/>
    <n v="5"/>
    <n v="22849.200000000001"/>
    <n v="6175.47"/>
    <n v="9976.7999999999993"/>
  </r>
  <r>
    <s v="680"/>
    <s v="Miguel Ramírez"/>
    <d v="1965-12-31T00:00:00"/>
    <n v="60"/>
    <x v="0"/>
    <x v="3"/>
    <d v="2024-05-09T00:00:00"/>
    <d v="2024-12-17T00:00:00"/>
    <n v="6"/>
    <x v="2"/>
    <n v="6"/>
    <n v="9"/>
    <n v="11030.76"/>
    <n v="5263.39"/>
    <n v="5999.15"/>
  </r>
  <r>
    <s v="681"/>
    <s v="Miguel Hernández"/>
    <d v="1980-01-01T00:00:00"/>
    <n v="46"/>
    <x v="0"/>
    <x v="1"/>
    <d v="2024-09-06T00:00:00"/>
    <d v="2023-09-17T00:00:00"/>
    <n v="30"/>
    <x v="0"/>
    <n v="2"/>
    <n v="5"/>
    <n v="29608.77"/>
    <n v="522.34"/>
    <n v="1594.99"/>
  </r>
  <r>
    <s v="682"/>
    <s v="José Sánchez"/>
    <d v="2005-12-31T00:00:00"/>
    <n v="20"/>
    <x v="1"/>
    <x v="6"/>
    <d v="2023-12-02T00:00:00"/>
    <d v="2024-05-24T00:00:00"/>
    <n v="6"/>
    <x v="0"/>
    <n v="2"/>
    <n v="9"/>
    <n v="28407.37"/>
    <n v="10314.91"/>
    <n v="10904.23"/>
  </r>
  <r>
    <s v="683"/>
    <s v="Pedro Hernández"/>
    <d v="1947-01-01T00:00:00"/>
    <n v="79"/>
    <x v="0"/>
    <x v="3"/>
    <d v="2024-07-22T00:00:00"/>
    <d v="2024-10-29T00:00:00"/>
    <n v="11"/>
    <x v="0"/>
    <n v="3"/>
    <n v="9"/>
    <n v="21075.1"/>
    <n v="4090.99"/>
    <n v="6049.85"/>
  </r>
  <r>
    <s v="684"/>
    <s v="Carlos Martínez"/>
    <d v="1941-12-31T00:00:00"/>
    <n v="84"/>
    <x v="0"/>
    <x v="2"/>
    <d v="2023-10-12T00:00:00"/>
    <d v="2025-01-20T00:00:00"/>
    <n v="29"/>
    <x v="0"/>
    <n v="11"/>
    <n v="8"/>
    <n v="26419.66"/>
    <n v="13260.21"/>
    <n v="18928.349999999999"/>
  </r>
  <r>
    <s v="685"/>
    <s v="María Martínez"/>
    <d v="1952-01-01T00:00:00"/>
    <n v="74"/>
    <x v="1"/>
    <x v="0"/>
    <d v="2023-05-09T00:00:00"/>
    <d v="2023-11-06T00:00:00"/>
    <n v="34"/>
    <x v="1"/>
    <n v="5"/>
    <n v="2"/>
    <n v="11491.85"/>
    <n v="13460.66"/>
    <n v="11789.48"/>
  </r>
  <r>
    <s v="686"/>
    <s v="Ricardo Cruz"/>
    <d v="1991-01-01T00:00:00"/>
    <n v="35"/>
    <x v="0"/>
    <x v="1"/>
    <d v="2023-11-11T00:00:00"/>
    <d v="2024-09-04T00:00:00"/>
    <n v="3"/>
    <x v="0"/>
    <n v="4"/>
    <n v="3"/>
    <n v="0"/>
    <n v="10838.69"/>
    <n v="5629.81"/>
  </r>
  <r>
    <s v="687"/>
    <s v="Miguel Pérez"/>
    <d v="2008-01-01T00:00:00"/>
    <n v="18"/>
    <x v="1"/>
    <x v="0"/>
    <d v="2024-08-20T00:00:00"/>
    <d v="2023-10-01T00:00:00"/>
    <n v="2"/>
    <x v="2"/>
    <n v="1"/>
    <n v="2"/>
    <n v="7815.98"/>
    <n v="2723.46"/>
    <n v="10525.22"/>
  </r>
  <r>
    <s v="688"/>
    <s v="Miguel Martínez"/>
    <d v="2007-01-01T00:00:00"/>
    <n v="88"/>
    <x v="1"/>
    <x v="0"/>
    <d v="2024-12-12T00:00:00"/>
    <d v="2024-09-17T00:00:00"/>
    <n v="1"/>
    <x v="0"/>
    <n v="4"/>
    <n v="2"/>
    <n v="26512"/>
    <n v="1339.39"/>
    <n v="10743.86"/>
  </r>
  <r>
    <s v="689"/>
    <s v="Jorge Hernández"/>
    <d v="1969-12-31T00:00:00"/>
    <n v="56"/>
    <x v="1"/>
    <x v="2"/>
    <d v="2023-03-12T00:00:00"/>
    <d v="2023-04-21T00:00:00"/>
    <n v="13"/>
    <x v="1"/>
    <n v="1"/>
    <n v="0"/>
    <n v="13866.26"/>
    <n v="12246.7"/>
    <n v="14507.91"/>
  </r>
  <r>
    <s v="690"/>
    <s v="Ricardo Ramírez"/>
    <d v="2008-12-31T00:00:00"/>
    <n v="17"/>
    <x v="1"/>
    <x v="5"/>
    <d v="2023-12-11T00:00:00"/>
    <d v="2024-10-17T00:00:00"/>
    <n v="7"/>
    <x v="0"/>
    <n v="7"/>
    <n v="9"/>
    <n v="15852.38"/>
    <n v="13395.99"/>
    <n v="18034.27"/>
  </r>
  <r>
    <s v="691"/>
    <s v="Sofía Hernández"/>
    <d v="1980-01-01T00:00:00"/>
    <n v="46"/>
    <x v="1"/>
    <x v="6"/>
    <d v="2023-04-08T00:00:00"/>
    <d v="2024-11-10T00:00:00"/>
    <n v="28"/>
    <x v="2"/>
    <n v="1"/>
    <n v="5"/>
    <n v="25869.31"/>
    <n v="5280.59"/>
    <n v="19248.13"/>
  </r>
  <r>
    <s v="692"/>
    <s v="Luis Ramírez"/>
    <d v="1977-12-31T00:00:00"/>
    <n v="48"/>
    <x v="0"/>
    <x v="0"/>
    <d v="2023-10-27T00:00:00"/>
    <d v="2023-09-18T00:00:00"/>
    <n v="28"/>
    <x v="0"/>
    <n v="7"/>
    <n v="8"/>
    <n v="23816.99"/>
    <n v="5294.34"/>
    <n v="14329.6"/>
  </r>
  <r>
    <s v="693"/>
    <s v="Elena Pérez"/>
    <d v="2012-12-31T00:00:00"/>
    <n v="13"/>
    <x v="0"/>
    <x v="3"/>
    <d v="2023-06-25T00:00:00"/>
    <d v="2024-10-19T00:00:00"/>
    <n v="11"/>
    <x v="1"/>
    <n v="3"/>
    <n v="4"/>
    <n v="9313.17"/>
    <n v="5854.14"/>
    <n v="10872.86"/>
  </r>
  <r>
    <s v="694"/>
    <s v="Carmen Martínez"/>
    <d v="2012-01-01T00:00:00"/>
    <n v="14"/>
    <x v="1"/>
    <x v="6"/>
    <d v="2023-03-16T00:00:00"/>
    <d v="2025-01-12T00:00:00"/>
    <n v="10"/>
    <x v="0"/>
    <n v="10"/>
    <n v="9"/>
    <n v="2166.54"/>
    <n v="12414.33"/>
    <n v="4421.13"/>
  </r>
  <r>
    <s v="695"/>
    <s v="Laura Gómez"/>
    <d v="1996-01-01T00:00:00"/>
    <n v="30"/>
    <x v="0"/>
    <x v="3"/>
    <d v="2023-05-23T00:00:00"/>
    <d v="2023-09-26T00:00:00"/>
    <n v="1"/>
    <x v="1"/>
    <n v="8"/>
    <n v="1"/>
    <n v="4443.84"/>
    <n v="10606.08"/>
    <n v="8000.89"/>
  </r>
  <r>
    <s v="696"/>
    <s v="Ana Ramírez"/>
    <d v="2025-12-31T00:00:00"/>
    <n v="0"/>
    <x v="0"/>
    <x v="6"/>
    <d v="2023-01-23T00:00:00"/>
    <d v="2023-02-02T00:00:00"/>
    <n v="23"/>
    <x v="0"/>
    <n v="13"/>
    <n v="9"/>
    <n v="9842.42"/>
    <n v="1829.65"/>
    <n v="9724.66"/>
  </r>
  <r>
    <s v="697"/>
    <s v="Luis Hernández"/>
    <d v="1972-12-31T00:00:00"/>
    <n v="53"/>
    <x v="0"/>
    <x v="4"/>
    <d v="2023-06-30T00:00:00"/>
    <d v="2025-03-22T00:00:00"/>
    <n v="21"/>
    <x v="2"/>
    <n v="6"/>
    <n v="3"/>
    <n v="8811.3700000000008"/>
    <n v="9520.36"/>
    <n v="2480.2600000000002"/>
  </r>
  <r>
    <s v="698"/>
    <s v="María Rodríguez"/>
    <d v="2024-01-01T00:00:00"/>
    <n v="2"/>
    <x v="0"/>
    <x v="6"/>
    <d v="2023-02-14T00:00:00"/>
    <d v="2025-01-01T00:00:00"/>
    <n v="6"/>
    <x v="2"/>
    <n v="7"/>
    <n v="5"/>
    <n v="668.47"/>
    <n v="146.66"/>
    <n v="5053.72"/>
  </r>
  <r>
    <s v="699"/>
    <s v="Luisa Gómez"/>
    <d v="2011-01-01T00:00:00"/>
    <n v="73"/>
    <x v="0"/>
    <x v="1"/>
    <d v="2024-04-13T00:00:00"/>
    <d v="2023-06-27T00:00:00"/>
    <n v="32"/>
    <x v="0"/>
    <n v="7"/>
    <n v="6"/>
    <n v="12677.99"/>
    <n v="10655.79"/>
    <n v="19687.5"/>
  </r>
  <r>
    <s v="700"/>
    <s v="Jorge Hernández"/>
    <d v="1940-01-01T00:00:00"/>
    <n v="86"/>
    <x v="1"/>
    <x v="3"/>
    <d v="2023-04-02T00:00:00"/>
    <d v="2023-04-15T00:00:00"/>
    <n v="39"/>
    <x v="2"/>
    <n v="5"/>
    <n v="6"/>
    <n v="2728.44"/>
    <n v="11469.48"/>
    <n v="15109.47"/>
  </r>
  <r>
    <s v="701"/>
    <s v="Luis Morales"/>
    <d v="1969-12-31T00:00:00"/>
    <n v="56"/>
    <x v="1"/>
    <x v="3"/>
    <d v="2023-09-26T00:00:00"/>
    <d v="2023-08-25T00:00:00"/>
    <n v="12"/>
    <x v="0"/>
    <n v="8"/>
    <n v="3"/>
    <n v="6237.14"/>
    <n v="12224.23"/>
    <n v="9588.33"/>
  </r>
  <r>
    <s v="702"/>
    <s v="Juan Morales"/>
    <d v="1952-01-01T00:00:00"/>
    <n v="74"/>
    <x v="1"/>
    <x v="4"/>
    <d v="2023-02-03T00:00:00"/>
    <d v="2023-04-04T00:00:00"/>
    <n v="21"/>
    <x v="1"/>
    <n v="13"/>
    <n v="9"/>
    <n v="23518.240000000002"/>
    <n v="9384.64"/>
    <n v="4443.25"/>
  </r>
  <r>
    <s v="703"/>
    <s v="Carmen López"/>
    <d v="2015-01-01T00:00:00"/>
    <n v="11"/>
    <x v="0"/>
    <x v="6"/>
    <d v="2024-11-08T00:00:00"/>
    <d v="2023-07-21T00:00:00"/>
    <n v="28"/>
    <x v="2"/>
    <n v="1"/>
    <n v="9"/>
    <n v="14593.83"/>
    <n v="2708.82"/>
    <n v="11426.3"/>
  </r>
  <r>
    <s v="704"/>
    <s v="Carmen Gómez"/>
    <d v="1952-12-31T00:00:00"/>
    <n v="44"/>
    <x v="1"/>
    <x v="0"/>
    <d v="2024-08-04T00:00:00"/>
    <d v="2025-03-22T00:00:00"/>
    <n v="16"/>
    <x v="1"/>
    <n v="6"/>
    <n v="4"/>
    <n v="10875.07"/>
    <n v="11906.2"/>
    <n v="4560.6899999999996"/>
  </r>
  <r>
    <s v="705"/>
    <s v="Ana Pérez"/>
    <d v="2011-01-01T00:00:00"/>
    <n v="15"/>
    <x v="0"/>
    <x v="3"/>
    <d v="2023-12-30T00:00:00"/>
    <d v="2025-06-18T00:00:00"/>
    <n v="1"/>
    <x v="0"/>
    <n v="5"/>
    <n v="3"/>
    <n v="5155.78"/>
    <n v="13496.86"/>
    <n v="3781.49"/>
  </r>
  <r>
    <s v="706"/>
    <s v="María Sánchez"/>
    <d v="1955-01-01T00:00:00"/>
    <n v="71"/>
    <x v="1"/>
    <x v="4"/>
    <d v="2024-12-08T00:00:00"/>
    <d v="2025-01-13T00:00:00"/>
    <n v="1"/>
    <x v="1"/>
    <n v="2"/>
    <n v="9"/>
    <n v="25921.54"/>
    <n v="9506.94"/>
    <n v="1784.5"/>
  </r>
  <r>
    <s v="707"/>
    <s v="José Gómez"/>
    <d v="1951-01-01T00:00:00"/>
    <n v="75"/>
    <x v="0"/>
    <x v="2"/>
    <d v="2023-05-13T00:00:00"/>
    <d v="2025-02-06T00:00:00"/>
    <n v="38"/>
    <x v="0"/>
    <n v="4"/>
    <n v="5"/>
    <n v="27062.54"/>
    <n v="4126.7700000000004"/>
    <n v="6851.65"/>
  </r>
  <r>
    <s v="708"/>
    <s v="Jorge Hernández"/>
    <d v="2003-01-01T00:00:00"/>
    <n v="23"/>
    <x v="1"/>
    <x v="2"/>
    <d v="2024-01-17T00:00:00"/>
    <d v="2024-08-20T00:00:00"/>
    <n v="33"/>
    <x v="0"/>
    <n v="8"/>
    <n v="6"/>
    <n v="0"/>
    <n v="2690.41"/>
    <n v="10788.64"/>
  </r>
  <r>
    <s v="709"/>
    <s v="Miguel Cruz"/>
    <d v="1999-01-01T00:00:00"/>
    <n v="91"/>
    <x v="1"/>
    <x v="6"/>
    <d v="2024-11-10T00:00:00"/>
    <d v="2023-02-05T00:00:00"/>
    <n v="34"/>
    <x v="2"/>
    <n v="14"/>
    <n v="1"/>
    <n v="27598.880000000001"/>
    <n v="3471.95"/>
    <n v="3102.49"/>
  </r>
  <r>
    <s v="710"/>
    <s v="Luisa Cruz"/>
    <d v="2019-01-01T00:00:00"/>
    <n v="7"/>
    <x v="1"/>
    <x v="5"/>
    <d v="2023-10-04T00:00:00"/>
    <d v="2023-04-28T00:00:00"/>
    <n v="31"/>
    <x v="2"/>
    <n v="0"/>
    <n v="9"/>
    <n v="13676.06"/>
    <n v="253.56"/>
    <n v="3928.75"/>
  </r>
  <r>
    <s v="711"/>
    <s v="Luis Ramírez"/>
    <d v="1935-01-01T00:00:00"/>
    <n v="91"/>
    <x v="1"/>
    <x v="6"/>
    <d v="2023-06-05T00:00:00"/>
    <d v="2024-11-19T00:00:00"/>
    <n v="36"/>
    <x v="0"/>
    <n v="2"/>
    <n v="2"/>
    <n v="2770.9"/>
    <n v="152.53"/>
    <n v="7761.9"/>
  </r>
  <r>
    <s v="712"/>
    <s v="Carmen Ramírez"/>
    <d v="1991-01-01T00:00:00"/>
    <n v="35"/>
    <x v="1"/>
    <x v="4"/>
    <d v="2024-01-22T00:00:00"/>
    <d v="2024-04-03T00:00:00"/>
    <n v="16"/>
    <x v="0"/>
    <n v="6"/>
    <n v="7"/>
    <n v="19.71"/>
    <n v="4455.58"/>
    <n v="9739.59"/>
  </r>
  <r>
    <s v="713"/>
    <s v="Jorge Rodríguez"/>
    <d v="1936-12-31T00:00:00"/>
    <n v="89"/>
    <x v="0"/>
    <x v="6"/>
    <d v="2024-06-18T00:00:00"/>
    <d v="2024-04-16T00:00:00"/>
    <n v="35"/>
    <x v="0"/>
    <n v="2"/>
    <n v="6"/>
    <n v="0"/>
    <n v="13844.4"/>
    <n v="15221.89"/>
  </r>
  <r>
    <s v="714"/>
    <s v="Luisa Pérez"/>
    <d v="2019-01-01T00:00:00"/>
    <n v="7"/>
    <x v="1"/>
    <x v="0"/>
    <d v="2023-07-19T00:00:00"/>
    <d v="2025-02-27T00:00:00"/>
    <n v="20"/>
    <x v="0"/>
    <n v="8"/>
    <n v="0"/>
    <n v="18491.02"/>
    <n v="9319.91"/>
    <n v="11289.23"/>
  </r>
  <r>
    <s v="715"/>
    <s v="Sofía Morales"/>
    <d v="1968-12-31T00:00:00"/>
    <n v="57"/>
    <x v="1"/>
    <x v="0"/>
    <d v="2023-10-02T00:00:00"/>
    <d v="2024-02-04T00:00:00"/>
    <n v="13"/>
    <x v="0"/>
    <n v="2"/>
    <n v="3"/>
    <n v="9287.61"/>
    <n v="5791.61"/>
    <n v="12315.79"/>
  </r>
  <r>
    <s v="716"/>
    <s v="Elena Hernández"/>
    <d v="1967-01-01T00:00:00"/>
    <n v="59"/>
    <x v="0"/>
    <x v="1"/>
    <d v="2024-05-15T00:00:00"/>
    <d v="2024-08-20T00:00:00"/>
    <n v="3"/>
    <x v="1"/>
    <n v="12"/>
    <n v="4"/>
    <n v="0"/>
    <n v="162.71"/>
    <n v="13893.83"/>
  </r>
  <r>
    <s v="717"/>
    <s v="Luis Ramírez"/>
    <d v="1976-12-31T00:00:00"/>
    <n v="49"/>
    <x v="1"/>
    <x v="4"/>
    <d v="2024-04-03T00:00:00"/>
    <d v="2023-04-28T00:00:00"/>
    <n v="23"/>
    <x v="0"/>
    <n v="2"/>
    <n v="2"/>
    <n v="14993.27"/>
    <n v="14845.5"/>
    <n v="8964.76"/>
  </r>
  <r>
    <s v="718"/>
    <s v="Luis Morales"/>
    <d v="1999-01-01T00:00:00"/>
    <n v="27"/>
    <x v="0"/>
    <x v="5"/>
    <d v="2023-02-19T00:00:00"/>
    <d v="2023-12-29T00:00:00"/>
    <n v="19"/>
    <x v="1"/>
    <n v="14"/>
    <n v="3"/>
    <n v="9656.8799999999992"/>
    <n v="6837.67"/>
    <n v="6796.98"/>
  </r>
  <r>
    <s v="719"/>
    <s v="Luis Morales"/>
    <d v="1935-01-01T00:00:00"/>
    <n v="91"/>
    <x v="2"/>
    <x v="4"/>
    <d v="2024-11-28T00:00:00"/>
    <d v="2023-07-24T00:00:00"/>
    <n v="21"/>
    <x v="1"/>
    <n v="12"/>
    <n v="9"/>
    <n v="6169.73"/>
    <n v="14872.54"/>
    <n v="15988.46"/>
  </r>
  <r>
    <s v="720"/>
    <s v="Carmen Ramírez"/>
    <d v="1985-12-31T00:00:00"/>
    <n v="40"/>
    <x v="1"/>
    <x v="4"/>
    <d v="2024-06-15T00:00:00"/>
    <d v="2023-05-27T00:00:00"/>
    <n v="37"/>
    <x v="2"/>
    <n v="14"/>
    <n v="9"/>
    <n v="1971.83"/>
    <n v="10802.1"/>
    <n v="16549.240000000002"/>
  </r>
  <r>
    <s v="721"/>
    <s v="Miguel Ramírez"/>
    <d v="1963-01-01T00:00:00"/>
    <n v="63"/>
    <x v="1"/>
    <x v="5"/>
    <d v="2024-09-19T00:00:00"/>
    <d v="2024-03-20T00:00:00"/>
    <n v="18"/>
    <x v="0"/>
    <n v="10"/>
    <n v="9"/>
    <n v="23362.93"/>
    <n v="768.58"/>
    <n v="2995.04"/>
  </r>
  <r>
    <s v="722"/>
    <s v="Elena Rodríguez"/>
    <d v="2000-01-01T00:00:00"/>
    <n v="26"/>
    <x v="1"/>
    <x v="4"/>
    <d v="2023-04-02T00:00:00"/>
    <d v="2024-12-28T00:00:00"/>
    <n v="27"/>
    <x v="1"/>
    <n v="8"/>
    <n v="6"/>
    <n v="24479.63"/>
    <n v="12885.38"/>
    <n v="19062.73"/>
  </r>
  <r>
    <s v="723"/>
    <s v="Carlos Morales"/>
    <d v="1964-01-01T00:00:00"/>
    <n v="62"/>
    <x v="0"/>
    <x v="5"/>
    <d v="2024-03-31T00:00:00"/>
    <d v="2024-09-09T00:00:00"/>
    <n v="8"/>
    <x v="0"/>
    <n v="7"/>
    <n v="7"/>
    <n v="16014.25"/>
    <n v="7955.99"/>
    <n v="18591.45"/>
  </r>
  <r>
    <s v="724"/>
    <s v="Jorge Rodríguez"/>
    <d v="2009-12-31T00:00:00"/>
    <n v="16"/>
    <x v="0"/>
    <x v="5"/>
    <d v="2023-12-05T00:00:00"/>
    <d v="2025-05-11T00:00:00"/>
    <n v="6"/>
    <x v="0"/>
    <n v="9"/>
    <n v="8"/>
    <n v="4291.3900000000003"/>
    <n v="6790.93"/>
    <n v="17404.64"/>
  </r>
  <r>
    <s v="725"/>
    <s v="José Hernández"/>
    <d v="1952-01-01T00:00:00"/>
    <n v="72"/>
    <x v="0"/>
    <x v="5"/>
    <d v="2023-02-22T00:00:00"/>
    <d v="2023-10-25T00:00:00"/>
    <n v="9"/>
    <x v="1"/>
    <n v="0"/>
    <n v="1"/>
    <n v="7537.64"/>
    <n v="11367.78"/>
    <n v="8395.43"/>
  </r>
  <r>
    <s v="726"/>
    <s v="Elena Rodríguez"/>
    <d v="1993-12-31T00:00:00"/>
    <n v="32"/>
    <x v="0"/>
    <x v="4"/>
    <d v="2024-05-10T00:00:00"/>
    <d v="2025-05-18T00:00:00"/>
    <n v="23"/>
    <x v="2"/>
    <n v="14"/>
    <n v="3"/>
    <n v="28631.93"/>
    <n v="11622.01"/>
    <n v="16827.79"/>
  </r>
  <r>
    <s v="727"/>
    <s v="Carlos Sánchez"/>
    <d v="1943-01-01T00:00:00"/>
    <n v="83"/>
    <x v="1"/>
    <x v="4"/>
    <d v="2024-09-26T00:00:00"/>
    <d v="2024-08-04T00:00:00"/>
    <n v="35"/>
    <x v="0"/>
    <n v="5"/>
    <n v="0"/>
    <n v="6391.19"/>
    <n v="11946.45"/>
    <n v="12523.98"/>
  </r>
  <r>
    <s v="728"/>
    <s v="Pedro Ramírez"/>
    <d v="1949-12-31T00:00:00"/>
    <n v="76"/>
    <x v="0"/>
    <x v="6"/>
    <d v="2023-01-04T00:00:00"/>
    <d v="2024-05-02T00:00:00"/>
    <n v="0"/>
    <x v="2"/>
    <n v="1"/>
    <n v="2"/>
    <n v="0"/>
    <n v="11408.05"/>
    <n v="4028.43"/>
  </r>
  <r>
    <s v="729"/>
    <s v="Miguel López"/>
    <d v="1935-01-01T00:00:00"/>
    <n v="60"/>
    <x v="0"/>
    <x v="4"/>
    <d v="2024-11-11T00:00:00"/>
    <d v="2025-02-06T00:00:00"/>
    <n v="30"/>
    <x v="1"/>
    <n v="10"/>
    <n v="7"/>
    <n v="0"/>
    <n v="9619.0499999999993"/>
    <n v="15475.15"/>
  </r>
  <r>
    <s v="730"/>
    <s v="Laura López"/>
    <d v="1997-12-31T00:00:00"/>
    <n v="28"/>
    <x v="0"/>
    <x v="6"/>
    <d v="2023-10-08T00:00:00"/>
    <d v="2023-08-20T00:00:00"/>
    <n v="12"/>
    <x v="1"/>
    <n v="2"/>
    <n v="6"/>
    <n v="7488.38"/>
    <n v="10134.33"/>
    <n v="8062.51"/>
  </r>
  <r>
    <s v="731"/>
    <s v="Carlos Martínez"/>
    <d v="2013-12-31T00:00:00"/>
    <n v="12"/>
    <x v="0"/>
    <x v="1"/>
    <d v="2023-10-17T00:00:00"/>
    <d v="2023-07-23T00:00:00"/>
    <n v="2"/>
    <x v="2"/>
    <n v="1"/>
    <n v="7"/>
    <n v="28701.759999999998"/>
    <n v="12878.74"/>
    <n v="5772.51"/>
  </r>
  <r>
    <s v="732"/>
    <s v="Carlos Sánchez"/>
    <d v="1978-01-01T00:00:00"/>
    <n v="45"/>
    <x v="0"/>
    <x v="2"/>
    <d v="2023-03-14T00:00:00"/>
    <d v="2023-12-29T00:00:00"/>
    <n v="21"/>
    <x v="0"/>
    <n v="10"/>
    <n v="5"/>
    <n v="17030.419999999998"/>
    <n v="10358.11"/>
    <n v="17553.669999999998"/>
  </r>
  <r>
    <s v="733"/>
    <s v="Luisa Rodríguez"/>
    <d v="1992-01-01T00:00:00"/>
    <n v="34"/>
    <x v="1"/>
    <x v="2"/>
    <d v="2023-05-17T00:00:00"/>
    <d v="2024-01-31T00:00:00"/>
    <n v="8"/>
    <x v="1"/>
    <n v="13"/>
    <n v="4"/>
    <n v="28957.35"/>
    <n v="1520.36"/>
    <n v="17231.77"/>
  </r>
  <r>
    <s v="734"/>
    <s v="Sofía Martínez"/>
    <d v="2020-12-31T00:00:00"/>
    <n v="5"/>
    <x v="1"/>
    <x v="1"/>
    <d v="2024-10-14T00:00:00"/>
    <d v="2023-09-06T00:00:00"/>
    <n v="30"/>
    <x v="0"/>
    <n v="14"/>
    <n v="9"/>
    <n v="23460.09"/>
    <n v="9682.51"/>
    <n v="17273.900000000001"/>
  </r>
  <r>
    <s v="735"/>
    <s v="Sofía Ramírez"/>
    <d v="1944-12-31T00:00:00"/>
    <n v="81"/>
    <x v="0"/>
    <x v="1"/>
    <d v="2024-01-28T00:00:00"/>
    <d v="2024-03-16T00:00:00"/>
    <n v="20"/>
    <x v="2"/>
    <n v="1"/>
    <n v="8"/>
    <n v="21554.09"/>
    <n v="2549.91"/>
    <n v="17176.419999999998"/>
  </r>
  <r>
    <s v="736"/>
    <s v="Laura Ramírez"/>
    <d v="1957-12-31T00:00:00"/>
    <n v="68"/>
    <x v="1"/>
    <x v="3"/>
    <d v="2023-07-27T00:00:00"/>
    <d v="2024-02-01T00:00:00"/>
    <n v="7"/>
    <x v="1"/>
    <n v="0"/>
    <n v="4"/>
    <n v="24826.12"/>
    <n v="213.79"/>
    <n v="11040"/>
  </r>
  <r>
    <s v="737"/>
    <s v="José Gómez"/>
    <d v="1980-01-01T00:00:00"/>
    <n v="46"/>
    <x v="0"/>
    <x v="6"/>
    <d v="2023-09-17T00:00:00"/>
    <d v="2025-01-31T00:00:00"/>
    <n v="25"/>
    <x v="0"/>
    <n v="8"/>
    <n v="8"/>
    <n v="17949.009999999998"/>
    <n v="3212.5"/>
    <n v="12300.1"/>
  </r>
  <r>
    <s v="738"/>
    <s v="Sofía Hernández"/>
    <d v="2001-12-31T00:00:00"/>
    <n v="24"/>
    <x v="1"/>
    <x v="5"/>
    <d v="2023-09-20T00:00:00"/>
    <d v="2024-10-18T00:00:00"/>
    <n v="36"/>
    <x v="1"/>
    <n v="5"/>
    <n v="3"/>
    <n v="160.80000000000001"/>
    <n v="2316.0700000000002"/>
    <n v="18972.2"/>
  </r>
  <r>
    <s v="739"/>
    <s v="Pedro Pérez"/>
    <d v="1960-12-31T00:00:00"/>
    <n v="65"/>
    <x v="0"/>
    <x v="3"/>
    <d v="2024-05-19T00:00:00"/>
    <d v="2025-03-06T00:00:00"/>
    <n v="14"/>
    <x v="0"/>
    <n v="4"/>
    <n v="4"/>
    <n v="11470.18"/>
    <n v="1531.44"/>
    <n v="2499.7600000000002"/>
  </r>
  <r>
    <s v="740"/>
    <s v="Luis Pérez"/>
    <d v="2016-12-31T00:00:00"/>
    <n v="9"/>
    <x v="0"/>
    <x v="0"/>
    <d v="2024-07-03T00:00:00"/>
    <d v="2023-12-23T00:00:00"/>
    <n v="23"/>
    <x v="0"/>
    <n v="1"/>
    <n v="0"/>
    <n v="6180.05"/>
    <n v="3224.8"/>
    <n v="16105.85"/>
  </r>
  <r>
    <s v="741"/>
    <s v="Miguel Sánchez"/>
    <d v="1970-01-01T00:00:00"/>
    <n v="55"/>
    <x v="1"/>
    <x v="6"/>
    <d v="2023-07-22T00:00:00"/>
    <d v="2024-02-06T00:00:00"/>
    <n v="22"/>
    <x v="1"/>
    <n v="13"/>
    <n v="5"/>
    <n v="12746.54"/>
    <n v="8453.5400000000009"/>
    <n v="10477.98"/>
  </r>
  <r>
    <s v="742"/>
    <s v="Pedro Pérez"/>
    <d v="1996-12-31T00:00:00"/>
    <n v="29"/>
    <x v="0"/>
    <x v="4"/>
    <d v="2023-12-13T00:00:00"/>
    <d v="2023-08-30T00:00:00"/>
    <n v="33"/>
    <x v="0"/>
    <n v="9"/>
    <n v="2"/>
    <n v="13851.76"/>
    <n v="2272.0500000000002"/>
    <n v="19565.990000000002"/>
  </r>
  <r>
    <s v="743"/>
    <s v="Sofía Gómez"/>
    <d v="2021-12-31T00:00:00"/>
    <n v="4"/>
    <x v="0"/>
    <x v="1"/>
    <d v="2023-02-21T00:00:00"/>
    <d v="2023-12-08T00:00:00"/>
    <n v="9"/>
    <x v="0"/>
    <n v="10"/>
    <n v="9"/>
    <n v="3398.85"/>
    <n v="4191.57"/>
    <n v="12748.4"/>
  </r>
  <r>
    <s v="744"/>
    <s v="Jorge Cruz"/>
    <d v="1993-12-31T00:00:00"/>
    <n v="32"/>
    <x v="0"/>
    <x v="2"/>
    <d v="2024-08-15T00:00:00"/>
    <d v="2025-06-06T00:00:00"/>
    <n v="0"/>
    <x v="2"/>
    <n v="11"/>
    <n v="1"/>
    <n v="214.66"/>
    <n v="12743.88"/>
    <n v="3167.14"/>
  </r>
  <r>
    <s v="745"/>
    <s v="Juan Morales"/>
    <d v="1961-12-31T00:00:00"/>
    <n v="64"/>
    <x v="1"/>
    <x v="6"/>
    <d v="2023-12-22T00:00:00"/>
    <d v="2023-08-18T00:00:00"/>
    <n v="26"/>
    <x v="0"/>
    <n v="6"/>
    <n v="5"/>
    <n v="3715.11"/>
    <n v="13320.77"/>
    <n v="16291.37"/>
  </r>
  <r>
    <s v="746"/>
    <s v="Ricardo Cruz"/>
    <d v="2008-12-31T00:00:00"/>
    <n v="17"/>
    <x v="1"/>
    <x v="1"/>
    <d v="2024-12-23T00:00:00"/>
    <d v="2024-06-27T00:00:00"/>
    <n v="21"/>
    <x v="0"/>
    <n v="7"/>
    <n v="0"/>
    <n v="25651.53"/>
    <n v="4996.2700000000004"/>
    <n v="13420.7"/>
  </r>
  <r>
    <s v="747"/>
    <s v="Ana Cruz"/>
    <d v="1977-12-31T00:00:00"/>
    <n v="2"/>
    <x v="1"/>
    <x v="6"/>
    <d v="2024-06-02T00:00:00"/>
    <d v="2024-09-13T00:00:00"/>
    <n v="16"/>
    <x v="0"/>
    <n v="1"/>
    <n v="8"/>
    <n v="22553.55"/>
    <n v="13484.27"/>
    <n v="2893.45"/>
  </r>
  <r>
    <s v="748"/>
    <s v="Luisa Hernández"/>
    <d v="2016-01-01T00:00:00"/>
    <n v="10"/>
    <x v="1"/>
    <x v="4"/>
    <d v="2023-12-29T00:00:00"/>
    <d v="2024-06-23T00:00:00"/>
    <n v="10"/>
    <x v="0"/>
    <n v="3"/>
    <n v="4"/>
    <n v="23866.23"/>
    <n v="8785.92"/>
    <n v="80.739999999999995"/>
  </r>
  <r>
    <s v="749"/>
    <s v="Laura Martínez"/>
    <d v="1935-01-01T00:00:00"/>
    <n v="84"/>
    <x v="0"/>
    <x v="6"/>
    <d v="2023-02-14T00:00:00"/>
    <d v="2025-05-05T00:00:00"/>
    <n v="13"/>
    <x v="1"/>
    <n v="5"/>
    <n v="6"/>
    <n v="7927.35"/>
    <n v="3395.53"/>
    <n v="10827.31"/>
  </r>
  <r>
    <s v="750"/>
    <s v="Carmen Cruz"/>
    <d v="2000-12-31T00:00:00"/>
    <n v="25"/>
    <x v="2"/>
    <x v="4"/>
    <d v="2024-01-13T00:00:00"/>
    <d v="2024-11-03T00:00:00"/>
    <n v="37"/>
    <x v="0"/>
    <n v="0"/>
    <n v="9"/>
    <n v="6701.03"/>
    <n v="11314.4"/>
    <n v="4753.93"/>
  </r>
  <r>
    <s v="751"/>
    <s v="María Gómez"/>
    <d v="1964-01-01T00:00:00"/>
    <n v="62"/>
    <x v="0"/>
    <x v="6"/>
    <d v="2024-02-16T00:00:00"/>
    <d v="2024-06-13T00:00:00"/>
    <n v="24"/>
    <x v="0"/>
    <n v="4"/>
    <n v="8"/>
    <n v="639.86"/>
    <n v="13831.41"/>
    <n v="17331.55"/>
  </r>
  <r>
    <s v="752"/>
    <s v="Carmen Cruz"/>
    <d v="1937-12-31T00:00:00"/>
    <n v="88"/>
    <x v="0"/>
    <x v="0"/>
    <d v="2023-05-22T00:00:00"/>
    <d v="2023-09-25T00:00:00"/>
    <n v="3"/>
    <x v="1"/>
    <n v="6"/>
    <n v="8"/>
    <n v="13904.19"/>
    <n v="9888.5400000000009"/>
    <n v="4943.6899999999996"/>
  </r>
  <r>
    <s v="753"/>
    <s v="Jorge Rodríguez"/>
    <d v="1940-12-31T00:00:00"/>
    <n v="85"/>
    <x v="0"/>
    <x v="2"/>
    <d v="2023-09-15T00:00:00"/>
    <d v="2023-05-10T00:00:00"/>
    <n v="39"/>
    <x v="1"/>
    <n v="6"/>
    <n v="6"/>
    <n v="11163.47"/>
    <n v="3019.96"/>
    <n v="13223.41"/>
  </r>
  <r>
    <s v="754"/>
    <s v="Pedro Cruz"/>
    <d v="1968-01-01T00:00:00"/>
    <n v="58"/>
    <x v="1"/>
    <x v="6"/>
    <d v="2023-02-06T00:00:00"/>
    <d v="2023-08-09T00:00:00"/>
    <n v="7"/>
    <x v="0"/>
    <n v="8"/>
    <n v="3"/>
    <n v="24994.53"/>
    <n v="1288.2"/>
    <n v="6837.12"/>
  </r>
  <r>
    <s v="755"/>
    <s v="Pedro López"/>
    <d v="2000-01-01T00:00:00"/>
    <n v="26"/>
    <x v="0"/>
    <x v="1"/>
    <d v="2023-02-14T00:00:00"/>
    <d v="2023-03-24T00:00:00"/>
    <n v="35"/>
    <x v="2"/>
    <n v="8"/>
    <n v="3"/>
    <n v="20296.96"/>
    <n v="3441.18"/>
    <n v="6941.39"/>
  </r>
  <r>
    <s v="756"/>
    <s v="Jorge Pérez"/>
    <d v="1967-01-01T00:00:00"/>
    <n v="48"/>
    <x v="1"/>
    <x v="0"/>
    <d v="2024-09-23T00:00:00"/>
    <d v="2024-07-15T00:00:00"/>
    <n v="5"/>
    <x v="2"/>
    <n v="11"/>
    <n v="6"/>
    <n v="3900.72"/>
    <n v="5077.63"/>
    <n v="3554.48"/>
  </r>
  <r>
    <s v="757"/>
    <s v="Ana Cruz"/>
    <d v="1949-12-31T00:00:00"/>
    <n v="76"/>
    <x v="0"/>
    <x v="3"/>
    <d v="2023-02-15T00:00:00"/>
    <d v="2024-07-07T00:00:00"/>
    <n v="15"/>
    <x v="0"/>
    <n v="6"/>
    <n v="7"/>
    <n v="29608.23"/>
    <n v="5006.03"/>
    <n v="10004.709999999999"/>
  </r>
  <r>
    <s v="758"/>
    <s v="María Rodríguez"/>
    <d v="1993-12-31T00:00:00"/>
    <n v="32"/>
    <x v="1"/>
    <x v="6"/>
    <d v="2024-10-13T00:00:00"/>
    <d v="2023-01-21T00:00:00"/>
    <n v="29"/>
    <x v="0"/>
    <n v="10"/>
    <n v="6"/>
    <n v="0"/>
    <n v="7478.19"/>
    <n v="11543.36"/>
  </r>
  <r>
    <s v="759"/>
    <s v="Miguel Sánchez"/>
    <d v="2025-12-31T00:00:00"/>
    <n v="0"/>
    <x v="1"/>
    <x v="4"/>
    <d v="2024-07-18T00:00:00"/>
    <d v="2023-11-24T00:00:00"/>
    <n v="14"/>
    <x v="1"/>
    <n v="14"/>
    <n v="9"/>
    <n v="21467.24"/>
    <n v="7577.54"/>
    <n v="11578.37"/>
  </r>
  <r>
    <s v="760"/>
    <s v="José Sánchez"/>
    <d v="2005-12-31T00:00:00"/>
    <n v="20"/>
    <x v="0"/>
    <x v="0"/>
    <d v="2023-10-28T00:00:00"/>
    <d v="2023-02-07T00:00:00"/>
    <n v="39"/>
    <x v="0"/>
    <n v="10"/>
    <n v="3"/>
    <n v="6106.78"/>
    <n v="7071.49"/>
    <n v="17117.86"/>
  </r>
  <r>
    <s v="761"/>
    <s v="Luisa Martínez"/>
    <d v="1972-01-01T00:00:00"/>
    <n v="54"/>
    <x v="0"/>
    <x v="5"/>
    <d v="2023-10-15T00:00:00"/>
    <d v="2024-01-18T00:00:00"/>
    <n v="1"/>
    <x v="0"/>
    <n v="4"/>
    <n v="3"/>
    <n v="27107.279999999999"/>
    <n v="5157.3599999999997"/>
    <n v="13012.18"/>
  </r>
  <r>
    <s v="762"/>
    <s v="Sofía López"/>
    <d v="2020-12-31T00:00:00"/>
    <n v="5"/>
    <x v="0"/>
    <x v="3"/>
    <d v="2023-09-26T00:00:00"/>
    <d v="2023-02-09T00:00:00"/>
    <n v="17"/>
    <x v="1"/>
    <n v="4"/>
    <n v="7"/>
    <n v="13954.58"/>
    <n v="1602.46"/>
    <n v="14778.78"/>
  </r>
  <r>
    <s v="763"/>
    <s v="José Gómez"/>
    <d v="1935-01-01T00:00:00"/>
    <n v="91"/>
    <x v="0"/>
    <x v="2"/>
    <d v="2023-03-03T00:00:00"/>
    <d v="2023-04-20T00:00:00"/>
    <n v="7"/>
    <x v="0"/>
    <n v="9"/>
    <n v="8"/>
    <n v="8578.51"/>
    <n v="6274.77"/>
    <n v="6401.31"/>
  </r>
  <r>
    <s v="764"/>
    <s v="Laura Gómez"/>
    <d v="1945-12-31T00:00:00"/>
    <n v="80"/>
    <x v="1"/>
    <x v="6"/>
    <d v="2024-07-19T00:00:00"/>
    <d v="2024-03-05T00:00:00"/>
    <n v="6"/>
    <x v="0"/>
    <n v="1"/>
    <n v="6"/>
    <n v="19472.419999999998"/>
    <n v="14786.41"/>
    <n v="8355.7800000000007"/>
  </r>
  <r>
    <s v="765"/>
    <s v="María Morales"/>
    <d v="1957-12-31T00:00:00"/>
    <n v="68"/>
    <x v="0"/>
    <x v="6"/>
    <d v="2024-08-03T00:00:00"/>
    <d v="2023-03-06T00:00:00"/>
    <n v="36"/>
    <x v="0"/>
    <n v="0"/>
    <n v="2"/>
    <n v="5958.43"/>
    <n v="9808.1200000000008"/>
    <n v="267.68"/>
  </r>
  <r>
    <s v="766"/>
    <s v="Luisa Gómez"/>
    <d v="1932-01-01T00:00:00"/>
    <n v="94"/>
    <x v="1"/>
    <x v="0"/>
    <d v="2023-08-30T00:00:00"/>
    <d v="2023-06-25T00:00:00"/>
    <n v="38"/>
    <x v="1"/>
    <n v="3"/>
    <n v="9"/>
    <n v="27180.75"/>
    <n v="6596.66"/>
    <n v="1490.1"/>
  </r>
  <r>
    <s v="767"/>
    <s v="Laura Gómez"/>
    <d v="2021-12-31T00:00:00"/>
    <n v="4"/>
    <x v="0"/>
    <x v="2"/>
    <d v="2023-12-20T00:00:00"/>
    <d v="2025-03-02T00:00:00"/>
    <n v="22"/>
    <x v="0"/>
    <n v="12"/>
    <n v="0"/>
    <n v="25557.48"/>
    <n v="1252.3599999999999"/>
    <n v="7640.9"/>
  </r>
  <r>
    <s v="768"/>
    <s v="Laura Cruz"/>
    <d v="2024-01-01T00:00:00"/>
    <n v="91"/>
    <x v="0"/>
    <x v="5"/>
    <d v="2023-03-12T00:00:00"/>
    <d v="2023-02-02T00:00:00"/>
    <n v="22"/>
    <x v="2"/>
    <n v="7"/>
    <n v="4"/>
    <n v="13679.8"/>
    <n v="3198.73"/>
    <n v="4115.6499999999996"/>
  </r>
  <r>
    <s v="769"/>
    <s v="Luisa Rodríguez"/>
    <d v="1973-12-31T00:00:00"/>
    <n v="52"/>
    <x v="1"/>
    <x v="3"/>
    <d v="2024-02-17T00:00:00"/>
    <d v="2024-12-22T00:00:00"/>
    <n v="21"/>
    <x v="0"/>
    <n v="2"/>
    <n v="5"/>
    <n v="5315.05"/>
    <n v="8619.7099999999991"/>
    <n v="16240.48"/>
  </r>
  <r>
    <s v="770"/>
    <s v="Carlos Ramírez"/>
    <d v="2004-01-01T00:00:00"/>
    <n v="22"/>
    <x v="0"/>
    <x v="1"/>
    <d v="2024-09-03T00:00:00"/>
    <d v="2025-06-10T00:00:00"/>
    <n v="3"/>
    <x v="2"/>
    <n v="13"/>
    <n v="8"/>
    <n v="14643.38"/>
    <n v="7468.11"/>
    <n v="13497.38"/>
  </r>
  <r>
    <s v="771"/>
    <s v="Luis Morales"/>
    <d v="1973-12-31T00:00:00"/>
    <n v="52"/>
    <x v="0"/>
    <x v="2"/>
    <d v="2023-03-02T00:00:00"/>
    <d v="2024-06-15T00:00:00"/>
    <n v="27"/>
    <x v="0"/>
    <n v="3"/>
    <n v="4"/>
    <n v="4048.72"/>
    <n v="287.93"/>
    <n v="19403.14"/>
  </r>
  <r>
    <s v="772"/>
    <s v="Ricardo Hernández"/>
    <d v="1989-12-31T00:00:00"/>
    <n v="36"/>
    <x v="1"/>
    <x v="6"/>
    <d v="2024-09-06T00:00:00"/>
    <d v="2023-04-17T00:00:00"/>
    <n v="7"/>
    <x v="1"/>
    <n v="14"/>
    <n v="0"/>
    <n v="7730.39"/>
    <n v="1293.54"/>
    <n v="17729.38"/>
  </r>
  <r>
    <s v="773"/>
    <s v="Elena Sánchez"/>
    <d v="1952-12-31T00:00:00"/>
    <n v="73"/>
    <x v="0"/>
    <x v="0"/>
    <d v="2024-03-27T00:00:00"/>
    <d v="2024-04-27T00:00:00"/>
    <n v="36"/>
    <x v="2"/>
    <n v="4"/>
    <n v="3"/>
    <n v="14223.34"/>
    <n v="5340.13"/>
    <n v="19550.990000000002"/>
  </r>
  <r>
    <s v="774"/>
    <s v="Sofía Pérez"/>
    <d v="1952-12-31T00:00:00"/>
    <n v="73"/>
    <x v="0"/>
    <x v="5"/>
    <d v="2024-01-28T00:00:00"/>
    <d v="2023-07-26T00:00:00"/>
    <n v="28"/>
    <x v="0"/>
    <n v="9"/>
    <n v="1"/>
    <n v="144.76"/>
    <n v="2112.39"/>
    <n v="7242.03"/>
  </r>
  <r>
    <s v="775"/>
    <s v="Carlos Ramírez"/>
    <d v="1944-01-01T00:00:00"/>
    <n v="82"/>
    <x v="0"/>
    <x v="0"/>
    <d v="2024-09-22T00:00:00"/>
    <d v="2023-09-05T00:00:00"/>
    <n v="15"/>
    <x v="0"/>
    <n v="4"/>
    <n v="3"/>
    <n v="22854.54"/>
    <n v="14367.64"/>
    <n v="9635.9599999999991"/>
  </r>
  <r>
    <s v="776"/>
    <s v="José Ramírez"/>
    <d v="2009-12-31T00:00:00"/>
    <n v="16"/>
    <x v="1"/>
    <x v="3"/>
    <d v="2024-06-12T00:00:00"/>
    <d v="2025-04-15T00:00:00"/>
    <n v="30"/>
    <x v="0"/>
    <n v="14"/>
    <n v="6"/>
    <n v="5505.9"/>
    <n v="511.77"/>
    <n v="7389.78"/>
  </r>
  <r>
    <s v="777"/>
    <s v="Pedro Hernández"/>
    <d v="1941-12-31T00:00:00"/>
    <n v="84"/>
    <x v="1"/>
    <x v="4"/>
    <d v="2023-11-01T00:00:00"/>
    <d v="2024-11-10T00:00:00"/>
    <n v="16"/>
    <x v="0"/>
    <n v="2"/>
    <n v="8"/>
    <n v="25931.64"/>
    <n v="14610.74"/>
    <n v="19282.55"/>
  </r>
  <r>
    <s v="778"/>
    <s v="Carlos Gómez"/>
    <d v="1948-12-31T00:00:00"/>
    <n v="77"/>
    <x v="0"/>
    <x v="4"/>
    <d v="2023-07-10T00:00:00"/>
    <d v="2023-03-31T00:00:00"/>
    <n v="20"/>
    <x v="1"/>
    <n v="12"/>
    <n v="2"/>
    <n v="178.92"/>
    <n v="9848.31"/>
    <n v="7994.44"/>
  </r>
  <r>
    <s v="779"/>
    <s v="Jorge Ramírez"/>
    <d v="1953-12-31T00:00:00"/>
    <n v="72"/>
    <x v="1"/>
    <x v="2"/>
    <d v="2024-12-24T00:00:00"/>
    <d v="2023-11-13T00:00:00"/>
    <n v="2"/>
    <x v="0"/>
    <n v="2"/>
    <n v="2"/>
    <n v="15730.02"/>
    <n v="6108.42"/>
    <n v="2246.91"/>
  </r>
  <r>
    <s v="780"/>
    <s v="Jorge Pérez"/>
    <d v="2025-12-31T00:00:00"/>
    <n v="0"/>
    <x v="2"/>
    <x v="0"/>
    <d v="2023-03-19T00:00:00"/>
    <d v="2023-01-12T00:00:00"/>
    <n v="23"/>
    <x v="2"/>
    <n v="6"/>
    <n v="3"/>
    <n v="23187.85"/>
    <n v="8091.49"/>
    <n v="4935.25"/>
  </r>
  <r>
    <s v="781"/>
    <s v="Carlos López"/>
    <d v="1971-01-01T00:00:00"/>
    <n v="50"/>
    <x v="1"/>
    <x v="1"/>
    <d v="2024-07-11T00:00:00"/>
    <d v="2023-02-19T00:00:00"/>
    <n v="26"/>
    <x v="0"/>
    <n v="3"/>
    <n v="6"/>
    <n v="6757.43"/>
    <n v="6151.87"/>
    <n v="8438.89"/>
  </r>
  <r>
    <s v="782"/>
    <s v="Elena Pérez"/>
    <d v="1981-12-31T00:00:00"/>
    <n v="44"/>
    <x v="0"/>
    <x v="1"/>
    <d v="2024-08-27T00:00:00"/>
    <d v="2025-06-15T00:00:00"/>
    <n v="21"/>
    <x v="1"/>
    <n v="12"/>
    <n v="5"/>
    <n v="21080.37"/>
    <n v="8598.11"/>
    <n v="12020.18"/>
  </r>
  <r>
    <s v="783"/>
    <s v="Luis Morales"/>
    <d v="1949-12-31T00:00:00"/>
    <n v="76"/>
    <x v="0"/>
    <x v="4"/>
    <d v="2024-06-08T00:00:00"/>
    <d v="2024-07-27T00:00:00"/>
    <n v="3"/>
    <x v="0"/>
    <n v="12"/>
    <n v="4"/>
    <n v="21486.47"/>
    <n v="2280.09"/>
    <n v="12323.54"/>
  </r>
  <r>
    <s v="784"/>
    <s v="Carlos Gómez"/>
    <d v="2023-01-01T00:00:00"/>
    <n v="3"/>
    <x v="1"/>
    <x v="4"/>
    <d v="2023-10-28T00:00:00"/>
    <d v="2023-06-21T00:00:00"/>
    <n v="36"/>
    <x v="1"/>
    <n v="9"/>
    <n v="3"/>
    <n v="18954.23"/>
    <n v="1800.2"/>
    <n v="15151.55"/>
  </r>
  <r>
    <s v="785"/>
    <s v="Laura Rodríguez"/>
    <d v="1964-12-31T00:00:00"/>
    <n v="61"/>
    <x v="1"/>
    <x v="0"/>
    <d v="2023-01-17T00:00:00"/>
    <d v="2023-05-24T00:00:00"/>
    <n v="1"/>
    <x v="0"/>
    <n v="3"/>
    <n v="7"/>
    <n v="10609.71"/>
    <n v="7928.86"/>
    <n v="12922.12"/>
  </r>
  <r>
    <s v="786"/>
    <s v="Pedro Hernández"/>
    <d v="1961-12-31T00:00:00"/>
    <n v="64"/>
    <x v="0"/>
    <x v="6"/>
    <d v="2024-07-27T00:00:00"/>
    <d v="2023-07-27T00:00:00"/>
    <n v="39"/>
    <x v="0"/>
    <n v="7"/>
    <n v="3"/>
    <n v="23444.48"/>
    <n v="1070.0899999999999"/>
    <n v="9779.83"/>
  </r>
  <r>
    <s v="787"/>
    <s v="Elena Ramírez"/>
    <d v="1995-01-01T00:00:00"/>
    <n v="31"/>
    <x v="0"/>
    <x v="0"/>
    <d v="2024-03-09T00:00:00"/>
    <d v="2024-04-08T00:00:00"/>
    <n v="23"/>
    <x v="2"/>
    <n v="2"/>
    <n v="2"/>
    <n v="18667.23"/>
    <n v="4387.26"/>
    <n v="506.45"/>
  </r>
  <r>
    <s v="788"/>
    <s v="Jorge Hernández"/>
    <d v="1992-12-31T00:00:00"/>
    <n v="33"/>
    <x v="1"/>
    <x v="5"/>
    <d v="2023-02-12T00:00:00"/>
    <d v="2024-05-24T00:00:00"/>
    <n v="12"/>
    <x v="2"/>
    <n v="5"/>
    <n v="6"/>
    <n v="17506.84"/>
    <n v="13903.43"/>
    <n v="13870.07"/>
  </r>
  <r>
    <s v="789"/>
    <s v="José Rodríguez"/>
    <d v="1935-01-01T00:00:00"/>
    <n v="91"/>
    <x v="0"/>
    <x v="2"/>
    <d v="2023-03-09T00:00:00"/>
    <d v="2023-07-21T00:00:00"/>
    <n v="10"/>
    <x v="1"/>
    <n v="13"/>
    <n v="1"/>
    <n v="24484.42"/>
    <n v="13143.2"/>
    <n v="1617.71"/>
  </r>
  <r>
    <s v="790"/>
    <s v="Jorge Sánchez"/>
    <d v="1932-01-01T00:00:00"/>
    <n v="94"/>
    <x v="1"/>
    <x v="3"/>
    <d v="2024-01-15T00:00:00"/>
    <d v="2023-01-06T00:00:00"/>
    <n v="37"/>
    <x v="2"/>
    <n v="3"/>
    <n v="3"/>
    <n v="6961.46"/>
    <n v="12471.03"/>
    <n v="9323.11"/>
  </r>
  <r>
    <s v="791"/>
    <s v="Jorge Ramírez"/>
    <d v="1955-01-01T00:00:00"/>
    <n v="71"/>
    <x v="1"/>
    <x v="1"/>
    <d v="2023-07-31T00:00:00"/>
    <d v="2023-07-31T00:00:00"/>
    <n v="19"/>
    <x v="2"/>
    <n v="13"/>
    <n v="7"/>
    <n v="6590.88"/>
    <n v="7607.46"/>
    <n v="17917.560000000001"/>
  </r>
  <r>
    <s v="792"/>
    <s v="Luisa Hernández"/>
    <d v="1988-01-01T00:00:00"/>
    <n v="38"/>
    <x v="0"/>
    <x v="0"/>
    <d v="2023-07-22T00:00:00"/>
    <d v="2023-01-30T00:00:00"/>
    <n v="10"/>
    <x v="0"/>
    <n v="11"/>
    <n v="3"/>
    <n v="11286.63"/>
    <n v="418.27"/>
    <n v="11897.27"/>
  </r>
  <r>
    <s v="793"/>
    <s v="Luis Morales"/>
    <d v="2000-12-31T00:00:00"/>
    <n v="25"/>
    <x v="1"/>
    <x v="5"/>
    <d v="2024-12-26T00:00:00"/>
    <d v="2023-07-10T00:00:00"/>
    <n v="36"/>
    <x v="2"/>
    <n v="13"/>
    <n v="9"/>
    <n v="1730.56"/>
    <n v="1820.54"/>
    <n v="3899.19"/>
  </r>
  <r>
    <s v="794"/>
    <s v="Pedro Martínez"/>
    <d v="1992-12-31T00:00:00"/>
    <n v="33"/>
    <x v="0"/>
    <x v="4"/>
    <d v="2023-04-19T00:00:00"/>
    <d v="2023-07-08T00:00:00"/>
    <n v="14"/>
    <x v="0"/>
    <n v="7"/>
    <n v="6"/>
    <n v="9790.5"/>
    <n v="13791.77"/>
    <n v="16139.96"/>
  </r>
  <r>
    <s v="795"/>
    <s v="Sofía Cruz"/>
    <d v="2000-01-01T00:00:00"/>
    <n v="53"/>
    <x v="1"/>
    <x v="1"/>
    <d v="2023-10-11T00:00:00"/>
    <d v="2025-04-17T00:00:00"/>
    <n v="33"/>
    <x v="0"/>
    <n v="11"/>
    <n v="1"/>
    <n v="11891.3"/>
    <n v="12546.11"/>
    <n v="5938.22"/>
  </r>
  <r>
    <s v="796"/>
    <s v="Juan Hernández"/>
    <d v="2024-01-01T00:00:00"/>
    <n v="2"/>
    <x v="1"/>
    <x v="1"/>
    <d v="2024-08-28T00:00:00"/>
    <d v="2025-02-06T00:00:00"/>
    <n v="36"/>
    <x v="0"/>
    <n v="10"/>
    <n v="4"/>
    <n v="14599.27"/>
    <n v="5647.83"/>
    <n v="11503.14"/>
  </r>
  <r>
    <s v="797"/>
    <s v="Luisa Rodríguez"/>
    <d v="1976-12-31T00:00:00"/>
    <n v="49"/>
    <x v="1"/>
    <x v="3"/>
    <d v="2023-08-13T00:00:00"/>
    <d v="2023-05-31T00:00:00"/>
    <n v="22"/>
    <x v="2"/>
    <n v="6"/>
    <n v="3"/>
    <n v="7247.41"/>
    <n v="10934.63"/>
    <n v="12680.56"/>
  </r>
  <r>
    <s v="798"/>
    <s v="Luisa Ramírez"/>
    <d v="2015-01-01T00:00:00"/>
    <n v="11"/>
    <x v="0"/>
    <x v="1"/>
    <d v="2023-04-28T00:00:00"/>
    <d v="2024-06-09T00:00:00"/>
    <n v="31"/>
    <x v="1"/>
    <n v="13"/>
    <n v="8"/>
    <n v="27158.69"/>
    <n v="12817.92"/>
    <n v="14595.54"/>
  </r>
  <r>
    <s v="799"/>
    <s v="Ricardo Gómez"/>
    <d v="1961-12-31T00:00:00"/>
    <n v="64"/>
    <x v="0"/>
    <x v="5"/>
    <d v="2024-08-25T00:00:00"/>
    <d v="2025-06-03T00:00:00"/>
    <n v="18"/>
    <x v="1"/>
    <n v="6"/>
    <n v="6"/>
    <n v="8194.89"/>
    <n v="9305.0300000000007"/>
    <n v="1206.1500000000001"/>
  </r>
  <r>
    <s v="800"/>
    <s v="Luisa Pérez"/>
    <d v="2006-01-01T00:00:00"/>
    <n v="53"/>
    <x v="0"/>
    <x v="1"/>
    <d v="2023-12-06T00:00:00"/>
    <d v="2024-01-02T00:00:00"/>
    <n v="22"/>
    <x v="2"/>
    <n v="8"/>
    <n v="8"/>
    <n v="25472.3"/>
    <n v="12802.9"/>
    <n v="17070.77"/>
  </r>
  <r>
    <s v="801"/>
    <s v="Luis Cruz"/>
    <d v="2021-12-31T00:00:00"/>
    <n v="4"/>
    <x v="1"/>
    <x v="1"/>
    <d v="2023-10-08T00:00:00"/>
    <d v="2023-06-07T00:00:00"/>
    <n v="22"/>
    <x v="0"/>
    <n v="8"/>
    <n v="9"/>
    <n v="13071.05"/>
    <n v="3670.11"/>
    <n v="2188.39"/>
  </r>
  <r>
    <s v="802"/>
    <s v="Luisa Ramírez"/>
    <d v="1932-12-31T00:00:00"/>
    <n v="93"/>
    <x v="1"/>
    <x v="0"/>
    <d v="2024-05-05T00:00:00"/>
    <d v="2023-03-22T00:00:00"/>
    <n v="19"/>
    <x v="2"/>
    <n v="1"/>
    <n v="6"/>
    <n v="21403.78"/>
    <n v="6932.04"/>
    <n v="1800.13"/>
  </r>
  <r>
    <s v="803"/>
    <s v="Carmen Gómez"/>
    <d v="1932-12-31T00:00:00"/>
    <n v="93"/>
    <x v="0"/>
    <x v="0"/>
    <d v="2023-01-19T00:00:00"/>
    <d v="2025-05-18T00:00:00"/>
    <n v="20"/>
    <x v="0"/>
    <n v="7"/>
    <n v="1"/>
    <n v="2882.52"/>
    <n v="8685.6299999999992"/>
    <n v="9083.3799999999992"/>
  </r>
  <r>
    <s v="804"/>
    <s v="Pedro Rodríguez"/>
    <d v="1969-12-31T00:00:00"/>
    <n v="56"/>
    <x v="1"/>
    <x v="4"/>
    <d v="2023-06-24T00:00:00"/>
    <d v="2023-10-01T00:00:00"/>
    <n v="22"/>
    <x v="1"/>
    <n v="6"/>
    <n v="1"/>
    <n v="16111.44"/>
    <n v="9467.36"/>
    <n v="7380.85"/>
  </r>
  <r>
    <s v="805"/>
    <s v="Laura Sánchez"/>
    <d v="2009-12-31T00:00:00"/>
    <n v="16"/>
    <x v="0"/>
    <x v="2"/>
    <d v="2024-04-13T00:00:00"/>
    <d v="2024-10-22T00:00:00"/>
    <n v="11"/>
    <x v="0"/>
    <n v="1"/>
    <n v="1"/>
    <n v="0"/>
    <n v="14804.85"/>
    <n v="997.73"/>
  </r>
  <r>
    <s v="806"/>
    <s v="Carlos Morales"/>
    <d v="1980-01-01T00:00:00"/>
    <n v="46"/>
    <x v="1"/>
    <x v="6"/>
    <d v="2024-09-09T00:00:00"/>
    <d v="2024-12-19T00:00:00"/>
    <n v="11"/>
    <x v="2"/>
    <n v="8"/>
    <n v="4"/>
    <n v="19820.66"/>
    <n v="12688.97"/>
    <n v="3236.61"/>
  </r>
  <r>
    <s v="807"/>
    <s v="Luisa Gómez"/>
    <d v="2004-01-01T00:00:00"/>
    <n v="22"/>
    <x v="0"/>
    <x v="5"/>
    <d v="2023-05-22T00:00:00"/>
    <d v="2024-09-18T00:00:00"/>
    <n v="23"/>
    <x v="0"/>
    <n v="1"/>
    <n v="0"/>
    <n v="24518.82"/>
    <n v="828.91"/>
    <n v="8728.19"/>
  </r>
  <r>
    <s v="808"/>
    <s v="Ana Hernández"/>
    <d v="1948-01-01T00:00:00"/>
    <n v="78"/>
    <x v="1"/>
    <x v="6"/>
    <d v="2024-04-07T00:00:00"/>
    <d v="2024-06-02T00:00:00"/>
    <n v="37"/>
    <x v="0"/>
    <n v="14"/>
    <n v="6"/>
    <n v="7462.65"/>
    <n v="2537"/>
    <n v="16564.349999999999"/>
  </r>
  <r>
    <s v="809"/>
    <s v="Carmen Cruz"/>
    <d v="1941-12-31T00:00:00"/>
    <n v="84"/>
    <x v="0"/>
    <x v="6"/>
    <d v="2023-10-25T00:00:00"/>
    <d v="2025-03-01T00:00:00"/>
    <n v="27"/>
    <x v="0"/>
    <n v="3"/>
    <n v="1"/>
    <n v="23905.15"/>
    <n v="9857.1299999999992"/>
    <n v="2338.2199999999998"/>
  </r>
  <r>
    <s v="810"/>
    <s v="Luis Cruz"/>
    <d v="2012-12-31T00:00:00"/>
    <n v="13"/>
    <x v="1"/>
    <x v="1"/>
    <d v="2024-04-14T00:00:00"/>
    <d v="2023-08-21T00:00:00"/>
    <n v="23"/>
    <x v="0"/>
    <n v="11"/>
    <n v="3"/>
    <n v="10213.23"/>
    <n v="3607.65"/>
    <n v="2001.06"/>
  </r>
  <r>
    <s v="811"/>
    <s v="Laura Martínez"/>
    <d v="1960-12-31T00:00:00"/>
    <n v="65"/>
    <x v="1"/>
    <x v="4"/>
    <d v="2024-12-05T00:00:00"/>
    <d v="2024-10-11T00:00:00"/>
    <n v="35"/>
    <x v="1"/>
    <n v="2"/>
    <n v="8"/>
    <n v="14294.88"/>
    <n v="2384.52"/>
    <n v="16077.07"/>
  </r>
  <r>
    <s v="812"/>
    <s v="Miguel Sánchez"/>
    <d v="1952-01-01T00:00:00"/>
    <n v="74"/>
    <x v="1"/>
    <x v="3"/>
    <d v="2024-01-08T00:00:00"/>
    <d v="2023-06-10T00:00:00"/>
    <n v="19"/>
    <x v="0"/>
    <n v="6"/>
    <n v="7"/>
    <n v="5232.71"/>
    <n v="9999.76"/>
    <n v="9795.5400000000009"/>
  </r>
  <r>
    <s v="813"/>
    <s v="Elena Pérez"/>
    <d v="1976-01-01T00:00:00"/>
    <n v="50"/>
    <x v="1"/>
    <x v="3"/>
    <d v="2024-04-12T00:00:00"/>
    <d v="2023-12-11T00:00:00"/>
    <n v="36"/>
    <x v="2"/>
    <n v="4"/>
    <n v="9"/>
    <n v="14313.8"/>
    <n v="8046.37"/>
    <n v="7141.01"/>
  </r>
  <r>
    <s v="814"/>
    <s v="Luisa López"/>
    <d v="1988-12-31T00:00:00"/>
    <n v="68"/>
    <x v="1"/>
    <x v="1"/>
    <d v="2024-03-13T00:00:00"/>
    <d v="2023-10-17T00:00:00"/>
    <n v="36"/>
    <x v="0"/>
    <n v="8"/>
    <n v="1"/>
    <n v="15228.91"/>
    <n v="12077.85"/>
    <n v="9173.2099999999991"/>
  </r>
  <r>
    <s v="815"/>
    <s v="Luis Hernández"/>
    <d v="1963-01-01T00:00:00"/>
    <n v="63"/>
    <x v="0"/>
    <x v="4"/>
    <d v="2024-12-20T00:00:00"/>
    <d v="2023-07-25T00:00:00"/>
    <n v="31"/>
    <x v="0"/>
    <n v="3"/>
    <n v="3"/>
    <n v="18480.98"/>
    <n v="4790.42"/>
    <n v="8158.02"/>
  </r>
  <r>
    <s v="816"/>
    <s v="Luis Pérez"/>
    <d v="1988-12-31T00:00:00"/>
    <n v="37"/>
    <x v="0"/>
    <x v="5"/>
    <d v="2024-03-18T00:00:00"/>
    <d v="2025-04-18T00:00:00"/>
    <n v="22"/>
    <x v="0"/>
    <n v="7"/>
    <n v="3"/>
    <n v="25993.33"/>
    <n v="4945.5600000000004"/>
    <n v="15616.07"/>
  </r>
  <r>
    <s v="817"/>
    <s v="Jorge Cruz"/>
    <d v="1976-12-31T00:00:00"/>
    <n v="49"/>
    <x v="0"/>
    <x v="6"/>
    <d v="2024-03-31T00:00:00"/>
    <d v="2023-11-02T00:00:00"/>
    <n v="33"/>
    <x v="0"/>
    <n v="4"/>
    <n v="1"/>
    <n v="8797.9599999999991"/>
    <n v="2257.38"/>
    <n v="87.48"/>
  </r>
  <r>
    <s v="818"/>
    <s v="María Cruz"/>
    <d v="1944-12-31T00:00:00"/>
    <n v="81"/>
    <x v="0"/>
    <x v="2"/>
    <d v="2023-09-05T00:00:00"/>
    <d v="2023-12-27T00:00:00"/>
    <n v="10"/>
    <x v="2"/>
    <n v="12"/>
    <n v="1"/>
    <n v="29516.17"/>
    <n v="9783.8700000000008"/>
    <n v="8606.49"/>
  </r>
  <r>
    <s v="819"/>
    <s v="Miguel Gómez"/>
    <d v="1996-12-31T00:00:00"/>
    <n v="29"/>
    <x v="0"/>
    <x v="4"/>
    <d v="2023-05-22T00:00:00"/>
    <d v="2024-11-01T00:00:00"/>
    <n v="26"/>
    <x v="1"/>
    <n v="11"/>
    <n v="4"/>
    <n v="25354.54"/>
    <n v="10633.38"/>
    <n v="3092.98"/>
  </r>
  <r>
    <s v="820"/>
    <s v="Sofía Hernández"/>
    <d v="1948-01-01T00:00:00"/>
    <n v="78"/>
    <x v="1"/>
    <x v="6"/>
    <d v="2024-02-06T00:00:00"/>
    <d v="2025-05-20T00:00:00"/>
    <n v="39"/>
    <x v="1"/>
    <n v="9"/>
    <n v="3"/>
    <n v="11789.14"/>
    <n v="2076.4"/>
    <n v="6096.55"/>
  </r>
  <r>
    <s v="821"/>
    <s v="Carmen Cruz"/>
    <d v="1936-01-01T00:00:00"/>
    <n v="90"/>
    <x v="1"/>
    <x v="3"/>
    <d v="2023-08-10T00:00:00"/>
    <d v="2024-02-05T00:00:00"/>
    <n v="6"/>
    <x v="0"/>
    <n v="9"/>
    <n v="7"/>
    <n v="6413.24"/>
    <n v="3811.7"/>
    <n v="2154.64"/>
  </r>
  <r>
    <s v="822"/>
    <s v="Elena Hernández"/>
    <d v="1976-01-01T00:00:00"/>
    <n v="50"/>
    <x v="1"/>
    <x v="6"/>
    <d v="2023-07-03T00:00:00"/>
    <d v="2024-03-25T00:00:00"/>
    <n v="12"/>
    <x v="2"/>
    <n v="9"/>
    <n v="3"/>
    <n v="1680.58"/>
    <n v="2314.0700000000002"/>
    <n v="8482.4599999999991"/>
  </r>
  <r>
    <s v="823"/>
    <s v="José Gómez"/>
    <d v="1964-01-01T00:00:00"/>
    <n v="62"/>
    <x v="0"/>
    <x v="0"/>
    <d v="2023-12-30T00:00:00"/>
    <d v="2023-04-17T00:00:00"/>
    <n v="28"/>
    <x v="0"/>
    <n v="14"/>
    <n v="7"/>
    <n v="6648.11"/>
    <n v="11215.15"/>
    <n v="12830.23"/>
  </r>
  <r>
    <s v="824"/>
    <s v="Pedro Rodríguez"/>
    <d v="1975-01-01T00:00:00"/>
    <n v="51"/>
    <x v="1"/>
    <x v="0"/>
    <d v="2023-07-07T00:00:00"/>
    <d v="2023-03-24T00:00:00"/>
    <n v="24"/>
    <x v="2"/>
    <n v="12"/>
    <n v="4"/>
    <n v="26477.95"/>
    <n v="3136.47"/>
    <n v="13198.02"/>
  </r>
  <r>
    <s v="825"/>
    <s v="Luisa Martínez"/>
    <d v="1988-12-31T00:00:00"/>
    <n v="37"/>
    <x v="1"/>
    <x v="2"/>
    <d v="2023-04-23T00:00:00"/>
    <d v="2023-12-09T00:00:00"/>
    <n v="28"/>
    <x v="2"/>
    <n v="9"/>
    <n v="0"/>
    <n v="8406.9599999999991"/>
    <n v="2283.6999999999998"/>
    <n v="15914.55"/>
  </r>
  <r>
    <s v="826"/>
    <s v="Carlos Pérez"/>
    <d v="1939-01-01T00:00:00"/>
    <n v="87"/>
    <x v="0"/>
    <x v="5"/>
    <d v="2023-06-30T00:00:00"/>
    <d v="2025-02-21T00:00:00"/>
    <n v="7"/>
    <x v="2"/>
    <n v="1"/>
    <n v="8"/>
    <n v="3708.38"/>
    <n v="1047.78"/>
    <n v="16281.73"/>
  </r>
  <r>
    <s v="827"/>
    <s v="Pedro Rodríguez"/>
    <d v="1948-01-01T00:00:00"/>
    <n v="78"/>
    <x v="1"/>
    <x v="6"/>
    <d v="2023-07-18T00:00:00"/>
    <d v="2024-02-26T00:00:00"/>
    <n v="34"/>
    <x v="1"/>
    <n v="4"/>
    <n v="7"/>
    <n v="191.57"/>
    <n v="12469.49"/>
    <n v="11914.44"/>
  </r>
  <r>
    <s v="828"/>
    <s v="María Pérez"/>
    <d v="1993-01-01T00:00:00"/>
    <n v="29"/>
    <x v="0"/>
    <x v="0"/>
    <d v="2023-03-11T00:00:00"/>
    <d v="2023-02-19T00:00:00"/>
    <n v="4"/>
    <x v="0"/>
    <n v="10"/>
    <n v="0"/>
    <n v="8579.25"/>
    <n v="1859.69"/>
    <n v="6998.31"/>
  </r>
  <r>
    <s v="829"/>
    <s v="Ana Sánchez"/>
    <d v="1976-01-01T00:00:00"/>
    <n v="50"/>
    <x v="0"/>
    <x v="5"/>
    <d v="2024-08-20T00:00:00"/>
    <d v="2023-07-26T00:00:00"/>
    <n v="29"/>
    <x v="2"/>
    <n v="9"/>
    <n v="2"/>
    <n v="6092.66"/>
    <n v="445.01"/>
    <n v="931.44"/>
  </r>
  <r>
    <s v="830"/>
    <s v="Elena Rodríguez"/>
    <d v="1945-12-31T00:00:00"/>
    <n v="80"/>
    <x v="1"/>
    <x v="4"/>
    <d v="2024-04-29T00:00:00"/>
    <d v="2023-08-07T00:00:00"/>
    <n v="8"/>
    <x v="1"/>
    <n v="10"/>
    <n v="2"/>
    <n v="2617.17"/>
    <n v="964.58"/>
    <n v="620.99"/>
  </r>
  <r>
    <s v="831"/>
    <s v="Ricardo Pérez"/>
    <d v="2021-12-31T00:00:00"/>
    <n v="4"/>
    <x v="1"/>
    <x v="4"/>
    <d v="2024-02-03T00:00:00"/>
    <d v="2025-03-29T00:00:00"/>
    <n v="25"/>
    <x v="1"/>
    <n v="2"/>
    <n v="4"/>
    <n v="28508.12"/>
    <n v="5502.46"/>
    <n v="2176.59"/>
  </r>
  <r>
    <s v="832"/>
    <s v="Ana Cruz"/>
    <d v="1997-12-31T00:00:00"/>
    <n v="28"/>
    <x v="0"/>
    <x v="0"/>
    <d v="2024-07-04T00:00:00"/>
    <d v="2024-11-07T00:00:00"/>
    <n v="1"/>
    <x v="0"/>
    <n v="3"/>
    <n v="6"/>
    <n v="7662.47"/>
    <n v="8949.7900000000009"/>
    <n v="19675.009999999998"/>
  </r>
  <r>
    <s v="833"/>
    <s v="Elena Pérez"/>
    <d v="2023-01-01T00:00:00"/>
    <n v="3"/>
    <x v="0"/>
    <x v="5"/>
    <d v="2024-10-04T00:00:00"/>
    <d v="2024-03-12T00:00:00"/>
    <n v="28"/>
    <x v="0"/>
    <n v="4"/>
    <n v="0"/>
    <n v="311.61"/>
    <n v="5973.07"/>
    <n v="15698.15"/>
  </r>
  <r>
    <s v="834"/>
    <s v="Jorge Gómez"/>
    <d v="2016-12-31T00:00:00"/>
    <n v="9"/>
    <x v="1"/>
    <x v="5"/>
    <d v="2023-01-10T00:00:00"/>
    <d v="2025-03-02T00:00:00"/>
    <n v="26"/>
    <x v="2"/>
    <n v="7"/>
    <n v="0"/>
    <n v="28300.41"/>
    <n v="6831.1"/>
    <n v="8037.93"/>
  </r>
  <r>
    <s v="835"/>
    <s v="Sofía Gómez"/>
    <d v="1971-01-01T00:00:00"/>
    <n v="55"/>
    <x v="0"/>
    <x v="0"/>
    <d v="2023-01-03T00:00:00"/>
    <d v="2023-11-19T00:00:00"/>
    <n v="30"/>
    <x v="0"/>
    <n v="1"/>
    <n v="9"/>
    <n v="17144.650000000001"/>
    <n v="13789.58"/>
    <n v="9270.64"/>
  </r>
  <r>
    <s v="836"/>
    <s v="Elena Rodríguez"/>
    <d v="2009-12-31T00:00:00"/>
    <n v="16"/>
    <x v="0"/>
    <x v="1"/>
    <d v="2024-04-22T00:00:00"/>
    <d v="2023-08-20T00:00:00"/>
    <n v="1"/>
    <x v="0"/>
    <n v="1"/>
    <n v="5"/>
    <n v="2025.8"/>
    <n v="11383.82"/>
    <n v="14721.37"/>
  </r>
  <r>
    <s v="837"/>
    <s v="Luisa Rodríguez"/>
    <d v="1977-01-01T00:00:00"/>
    <n v="73"/>
    <x v="1"/>
    <x v="3"/>
    <d v="2024-10-23T00:00:00"/>
    <d v="2024-12-12T00:00:00"/>
    <n v="23"/>
    <x v="0"/>
    <n v="0"/>
    <n v="4"/>
    <n v="458.37"/>
    <n v="5115.62"/>
    <n v="10239.450000000001"/>
  </r>
  <r>
    <s v="838"/>
    <s v="Sofía Hernández"/>
    <d v="2009-12-31T00:00:00"/>
    <n v="16"/>
    <x v="1"/>
    <x v="5"/>
    <d v="2023-03-08T00:00:00"/>
    <d v="2024-05-02T00:00:00"/>
    <n v="28"/>
    <x v="2"/>
    <n v="6"/>
    <n v="2"/>
    <n v="2789.4"/>
    <n v="2314.7199999999998"/>
    <n v="7144.37"/>
  </r>
  <r>
    <s v="839"/>
    <s v="Carlos Cruz"/>
    <d v="1943-01-01T00:00:00"/>
    <n v="83"/>
    <x v="0"/>
    <x v="4"/>
    <d v="2024-12-05T00:00:00"/>
    <d v="2024-03-05T00:00:00"/>
    <n v="28"/>
    <x v="1"/>
    <n v="2"/>
    <n v="2"/>
    <n v="17540.47"/>
    <n v="11237.59"/>
    <n v="6926.17"/>
  </r>
  <r>
    <s v="840"/>
    <s v="Juan Morales"/>
    <d v="1939-01-01T00:00:00"/>
    <n v="71"/>
    <x v="1"/>
    <x v="1"/>
    <d v="2023-04-07T00:00:00"/>
    <d v="2025-06-02T00:00:00"/>
    <n v="24"/>
    <x v="0"/>
    <n v="5"/>
    <n v="3"/>
    <n v="1387.08"/>
    <n v="8602.86"/>
    <n v="4113.8"/>
  </r>
  <r>
    <s v="841"/>
    <s v="Carlos Pérez"/>
    <d v="1957-12-31T00:00:00"/>
    <n v="68"/>
    <x v="0"/>
    <x v="6"/>
    <d v="2024-06-14T00:00:00"/>
    <d v="2024-12-27T00:00:00"/>
    <n v="22"/>
    <x v="1"/>
    <n v="0"/>
    <n v="9"/>
    <n v="16828.29"/>
    <n v="14433.7"/>
    <n v="17700.79"/>
  </r>
  <r>
    <s v="842"/>
    <s v="María Sánchez"/>
    <d v="1992-12-31T00:00:00"/>
    <n v="33"/>
    <x v="1"/>
    <x v="1"/>
    <d v="2023-11-14T00:00:00"/>
    <d v="2023-10-12T00:00:00"/>
    <n v="33"/>
    <x v="0"/>
    <n v="10"/>
    <n v="1"/>
    <n v="19402.5"/>
    <n v="13626.64"/>
    <n v="8224.49"/>
  </r>
  <r>
    <s v="843"/>
    <s v="Luisa Gómez"/>
    <d v="1933-01-01T00:00:00"/>
    <n v="5"/>
    <x v="0"/>
    <x v="0"/>
    <d v="2023-04-08T00:00:00"/>
    <d v="2024-05-01T00:00:00"/>
    <n v="28"/>
    <x v="0"/>
    <n v="9"/>
    <n v="8"/>
    <n v="4001.09"/>
    <n v="8454.64"/>
    <n v="15022.5"/>
  </r>
  <r>
    <s v="844"/>
    <s v="María Cruz"/>
    <d v="1973-12-31T00:00:00"/>
    <n v="52"/>
    <x v="0"/>
    <x v="1"/>
    <d v="2023-02-26T00:00:00"/>
    <d v="2023-10-04T00:00:00"/>
    <n v="34"/>
    <x v="2"/>
    <n v="8"/>
    <n v="3"/>
    <n v="14397.2"/>
    <n v="1048.6500000000001"/>
    <n v="11432.62"/>
  </r>
  <r>
    <s v="845"/>
    <s v="Elena Hernández"/>
    <d v="1960-12-31T00:00:00"/>
    <n v="65"/>
    <x v="0"/>
    <x v="3"/>
    <d v="2023-04-17T00:00:00"/>
    <d v="2024-03-09T00:00:00"/>
    <n v="20"/>
    <x v="0"/>
    <n v="12"/>
    <n v="9"/>
    <n v="28898.34"/>
    <n v="464.4"/>
    <n v="15057.28"/>
  </r>
  <r>
    <s v="846"/>
    <s v="Luis Morales"/>
    <d v="1949-12-31T00:00:00"/>
    <n v="76"/>
    <x v="1"/>
    <x v="0"/>
    <d v="2023-03-29T00:00:00"/>
    <d v="2023-07-05T00:00:00"/>
    <n v="32"/>
    <x v="0"/>
    <n v="11"/>
    <n v="2"/>
    <n v="25012.9"/>
    <n v="12562.81"/>
    <n v="6350.29"/>
  </r>
  <r>
    <s v="847"/>
    <s v="José Cruz"/>
    <d v="1984-01-01T00:00:00"/>
    <n v="42"/>
    <x v="1"/>
    <x v="2"/>
    <d v="2024-10-14T00:00:00"/>
    <d v="2024-12-23T00:00:00"/>
    <n v="1"/>
    <x v="0"/>
    <n v="6"/>
    <n v="9"/>
    <n v="21562.61"/>
    <n v="10470.629999999999"/>
    <n v="15015.38"/>
  </r>
  <r>
    <s v="848"/>
    <s v="Carmen Ramírez"/>
    <d v="1952-01-01T00:00:00"/>
    <n v="74"/>
    <x v="0"/>
    <x v="6"/>
    <d v="2024-10-17T00:00:00"/>
    <d v="2024-09-25T00:00:00"/>
    <n v="25"/>
    <x v="2"/>
    <n v="8"/>
    <n v="6"/>
    <n v="15290.92"/>
    <n v="8402.36"/>
    <n v="15778.36"/>
  </r>
  <r>
    <s v="849"/>
    <s v="Laura Morales"/>
    <d v="2004-01-01T00:00:00"/>
    <n v="22"/>
    <x v="1"/>
    <x v="4"/>
    <d v="2024-01-06T00:00:00"/>
    <d v="2023-08-05T00:00:00"/>
    <n v="39"/>
    <x v="0"/>
    <n v="14"/>
    <n v="8"/>
    <n v="0"/>
    <n v="10333.879999999999"/>
    <n v="1996.03"/>
  </r>
  <r>
    <s v="850"/>
    <s v="Miguel Cruz"/>
    <d v="2013-01-01T00:00:00"/>
    <n v="54"/>
    <x v="1"/>
    <x v="2"/>
    <d v="2024-01-10T00:00:00"/>
    <d v="2023-04-08T00:00:00"/>
    <n v="38"/>
    <x v="1"/>
    <n v="10"/>
    <n v="1"/>
    <n v="13268.76"/>
    <n v="8096.8"/>
    <n v="1738.42"/>
  </r>
  <r>
    <s v="851"/>
    <s v="Ana Gómez"/>
    <d v="1947-01-01T00:00:00"/>
    <n v="79"/>
    <x v="0"/>
    <x v="1"/>
    <d v="2023-02-21T00:00:00"/>
    <d v="2023-04-30T00:00:00"/>
    <n v="39"/>
    <x v="0"/>
    <n v="12"/>
    <n v="5"/>
    <n v="22820.61"/>
    <n v="8675.07"/>
    <n v="19708.46"/>
  </r>
  <r>
    <s v="852"/>
    <s v="Jorge Sánchez"/>
    <d v="1932-01-01T00:00:00"/>
    <n v="94"/>
    <x v="1"/>
    <x v="5"/>
    <d v="2024-12-24T00:00:00"/>
    <d v="2024-01-01T00:00:00"/>
    <n v="10"/>
    <x v="0"/>
    <n v="10"/>
    <n v="4"/>
    <n v="16406.09"/>
    <n v="3388.33"/>
    <n v="2270.88"/>
  </r>
  <r>
    <s v="853"/>
    <s v="Ana Cruz"/>
    <d v="1952-01-01T00:00:00"/>
    <n v="74"/>
    <x v="1"/>
    <x v="1"/>
    <d v="2023-02-10T00:00:00"/>
    <d v="2025-03-05T00:00:00"/>
    <n v="2"/>
    <x v="0"/>
    <n v="7"/>
    <n v="0"/>
    <n v="22821.95"/>
    <n v="6832.57"/>
    <n v="13665.3"/>
  </r>
  <r>
    <s v="854"/>
    <s v="Laura López"/>
    <d v="1958-01-01T00:00:00"/>
    <n v="15"/>
    <x v="1"/>
    <x v="4"/>
    <d v="2023-04-01T00:00:00"/>
    <d v="2024-02-08T00:00:00"/>
    <n v="9"/>
    <x v="2"/>
    <n v="13"/>
    <n v="6"/>
    <n v="29081.13"/>
    <n v="166.1"/>
    <n v="14931.05"/>
  </r>
  <r>
    <s v="855"/>
    <s v="Laura Sánchez"/>
    <d v="2019-01-01T00:00:00"/>
    <n v="7"/>
    <x v="0"/>
    <x v="4"/>
    <d v="2023-02-08T00:00:00"/>
    <d v="2024-09-10T00:00:00"/>
    <n v="37"/>
    <x v="0"/>
    <n v="5"/>
    <n v="0"/>
    <n v="19035.68"/>
    <n v="10031"/>
    <n v="1176.57"/>
  </r>
  <r>
    <s v="856"/>
    <s v="Sofía Cruz"/>
    <d v="2023-01-01T00:00:00"/>
    <n v="3"/>
    <x v="0"/>
    <x v="5"/>
    <d v="2023-01-13T00:00:00"/>
    <d v="2024-02-02T00:00:00"/>
    <n v="23"/>
    <x v="0"/>
    <n v="8"/>
    <n v="9"/>
    <n v="17894.66"/>
    <n v="4984.54"/>
    <n v="14904.87"/>
  </r>
  <r>
    <s v="857"/>
    <s v="Miguel López"/>
    <d v="1977-01-01T00:00:00"/>
    <n v="3"/>
    <x v="1"/>
    <x v="2"/>
    <d v="2024-08-30T00:00:00"/>
    <d v="2024-04-03T00:00:00"/>
    <n v="20"/>
    <x v="2"/>
    <n v="11"/>
    <n v="8"/>
    <n v="11887.94"/>
    <n v="9844.86"/>
    <n v="8332.25"/>
  </r>
  <r>
    <s v="858"/>
    <s v="Juan Rodríguez"/>
    <d v="1971-01-01T00:00:00"/>
    <n v="55"/>
    <x v="1"/>
    <x v="2"/>
    <d v="2024-09-12T00:00:00"/>
    <d v="2023-11-15T00:00:00"/>
    <n v="19"/>
    <x v="0"/>
    <n v="9"/>
    <n v="3"/>
    <n v="5501"/>
    <n v="13896.93"/>
    <n v="5420.95"/>
  </r>
  <r>
    <s v="859"/>
    <s v="Sofía López"/>
    <d v="2001-12-31T00:00:00"/>
    <n v="24"/>
    <x v="1"/>
    <x v="5"/>
    <d v="2023-04-14T00:00:00"/>
    <d v="2024-01-18T00:00:00"/>
    <n v="25"/>
    <x v="0"/>
    <n v="1"/>
    <n v="7"/>
    <n v="10913.12"/>
    <n v="8874.65"/>
    <n v="13273.15"/>
  </r>
  <r>
    <s v="860"/>
    <s v="Luis Ramírez"/>
    <d v="1960-01-01T00:00:00"/>
    <n v="66"/>
    <x v="0"/>
    <x v="3"/>
    <d v="2023-02-12T00:00:00"/>
    <d v="2023-05-23T00:00:00"/>
    <n v="14"/>
    <x v="2"/>
    <n v="0"/>
    <n v="0"/>
    <n v="15362.96"/>
    <n v="4921.28"/>
    <n v="16645.8"/>
  </r>
  <r>
    <s v="861"/>
    <s v="Luis López"/>
    <d v="1960-01-01T00:00:00"/>
    <n v="74"/>
    <x v="1"/>
    <x v="6"/>
    <d v="2023-07-28T00:00:00"/>
    <d v="2024-04-02T00:00:00"/>
    <n v="3"/>
    <x v="0"/>
    <n v="7"/>
    <n v="4"/>
    <n v="563.1"/>
    <n v="3107.38"/>
    <n v="11413.17"/>
  </r>
  <r>
    <s v="862"/>
    <s v="Laura Gómez"/>
    <d v="2000-01-01T00:00:00"/>
    <n v="26"/>
    <x v="0"/>
    <x v="0"/>
    <d v="2024-08-22T00:00:00"/>
    <d v="2024-05-16T00:00:00"/>
    <n v="11"/>
    <x v="0"/>
    <n v="8"/>
    <n v="2"/>
    <n v="14012.05"/>
    <n v="3775.63"/>
    <n v="17399.61"/>
  </r>
  <r>
    <s v="863"/>
    <s v="Laura Gómez"/>
    <d v="1933-12-31T00:00:00"/>
    <n v="92"/>
    <x v="1"/>
    <x v="2"/>
    <d v="2024-08-27T00:00:00"/>
    <d v="2023-11-20T00:00:00"/>
    <n v="14"/>
    <x v="2"/>
    <n v="5"/>
    <n v="3"/>
    <n v="25795.55"/>
    <n v="14809.46"/>
    <n v="349.35"/>
  </r>
  <r>
    <s v="864"/>
    <s v="Elena López"/>
    <d v="1995-01-01T00:00:00"/>
    <n v="31"/>
    <x v="2"/>
    <x v="6"/>
    <d v="2024-11-16T00:00:00"/>
    <d v="2023-09-26T00:00:00"/>
    <n v="35"/>
    <x v="2"/>
    <n v="9"/>
    <n v="3"/>
    <n v="29287.040000000001"/>
    <n v="9230.4500000000007"/>
    <n v="14745.96"/>
  </r>
  <r>
    <s v="865"/>
    <s v="Miguel Morales"/>
    <d v="1976-12-31T00:00:00"/>
    <n v="49"/>
    <x v="1"/>
    <x v="0"/>
    <d v="2024-04-20T00:00:00"/>
    <d v="2025-03-14T00:00:00"/>
    <n v="2"/>
    <x v="0"/>
    <n v="1"/>
    <n v="7"/>
    <n v="25594.23"/>
    <n v="6608.18"/>
    <n v="3304.99"/>
  </r>
  <r>
    <s v="866"/>
    <s v="Elena Cruz"/>
    <d v="1965-12-31T00:00:00"/>
    <n v="60"/>
    <x v="0"/>
    <x v="1"/>
    <d v="2024-09-29T00:00:00"/>
    <d v="2024-05-02T00:00:00"/>
    <n v="10"/>
    <x v="0"/>
    <n v="13"/>
    <n v="9"/>
    <n v="4745.4399999999996"/>
    <n v="3464.63"/>
    <n v="5650.09"/>
  </r>
  <r>
    <s v="867"/>
    <s v="Pedro Rodríguez"/>
    <d v="1976-01-01T00:00:00"/>
    <n v="50"/>
    <x v="1"/>
    <x v="0"/>
    <d v="2023-04-19T00:00:00"/>
    <d v="2025-05-28T00:00:00"/>
    <n v="6"/>
    <x v="0"/>
    <n v="14"/>
    <n v="9"/>
    <n v="0"/>
    <n v="11595.76"/>
    <n v="11402.27"/>
  </r>
  <r>
    <s v="868"/>
    <s v="Laura Cruz"/>
    <d v="2008-01-01T00:00:00"/>
    <n v="18"/>
    <x v="1"/>
    <x v="2"/>
    <d v="2024-07-12T00:00:00"/>
    <d v="2024-11-10T00:00:00"/>
    <n v="39"/>
    <x v="0"/>
    <n v="3"/>
    <n v="2"/>
    <n v="11496.02"/>
    <n v="5811.65"/>
    <n v="5416.35"/>
  </r>
  <r>
    <s v="869"/>
    <s v="Ricardo Martínez"/>
    <d v="2005-12-31T00:00:00"/>
    <n v="20"/>
    <x v="0"/>
    <x v="3"/>
    <d v="2023-08-02T00:00:00"/>
    <d v="2023-06-10T00:00:00"/>
    <n v="23"/>
    <x v="0"/>
    <n v="1"/>
    <n v="0"/>
    <n v="6375.63"/>
    <n v="4516.8999999999996"/>
    <n v="3279.89"/>
  </r>
  <r>
    <s v="870"/>
    <s v="Carmen Rodríguez"/>
    <d v="2021-12-31T00:00:00"/>
    <n v="4"/>
    <x v="0"/>
    <x v="3"/>
    <d v="2024-08-26T00:00:00"/>
    <d v="2025-01-13T00:00:00"/>
    <n v="10"/>
    <x v="0"/>
    <n v="11"/>
    <n v="4"/>
    <n v="20117.830000000002"/>
    <n v="3334.57"/>
    <n v="17698.509999999998"/>
  </r>
  <r>
    <s v="871"/>
    <s v="Luis Morales"/>
    <d v="1944-12-31T00:00:00"/>
    <n v="81"/>
    <x v="1"/>
    <x v="6"/>
    <d v="2024-11-23T00:00:00"/>
    <d v="2023-01-15T00:00:00"/>
    <n v="16"/>
    <x v="0"/>
    <n v="8"/>
    <n v="1"/>
    <n v="2079.02"/>
    <n v="2784.47"/>
    <n v="18125.14"/>
  </r>
  <r>
    <s v="872"/>
    <s v="Elena López"/>
    <d v="1998-01-01T00:00:00"/>
    <n v="91"/>
    <x v="0"/>
    <x v="1"/>
    <d v="2024-02-13T00:00:00"/>
    <d v="2024-12-06T00:00:00"/>
    <n v="14"/>
    <x v="1"/>
    <n v="1"/>
    <n v="5"/>
    <n v="13033.44"/>
    <n v="4100.6499999999996"/>
    <n v="631.07000000000005"/>
  </r>
  <r>
    <s v="873"/>
    <s v="Pedro Martínez"/>
    <d v="1984-12-31T00:00:00"/>
    <n v="41"/>
    <x v="0"/>
    <x v="6"/>
    <d v="2024-07-06T00:00:00"/>
    <d v="2023-06-05T00:00:00"/>
    <n v="13"/>
    <x v="2"/>
    <n v="9"/>
    <n v="3"/>
    <n v="8050.87"/>
    <n v="9408.0400000000009"/>
    <n v="9952.43"/>
  </r>
  <r>
    <s v="874"/>
    <s v="Miguel Sánchez"/>
    <d v="1965-12-31T00:00:00"/>
    <n v="60"/>
    <x v="0"/>
    <x v="5"/>
    <d v="2024-09-24T00:00:00"/>
    <d v="2023-04-12T00:00:00"/>
    <n v="27"/>
    <x v="1"/>
    <n v="2"/>
    <n v="8"/>
    <n v="17659.79"/>
    <n v="3597.72"/>
    <n v="3993.94"/>
  </r>
  <r>
    <s v="875"/>
    <s v="Sofía López"/>
    <d v="2004-12-31T00:00:00"/>
    <n v="21"/>
    <x v="1"/>
    <x v="3"/>
    <d v="2023-03-18T00:00:00"/>
    <d v="2024-07-26T00:00:00"/>
    <n v="29"/>
    <x v="1"/>
    <n v="2"/>
    <n v="6"/>
    <n v="23810.48"/>
    <n v="908.98"/>
    <n v="17254.52"/>
  </r>
  <r>
    <s v="876"/>
    <s v="Luisa Gómez"/>
    <d v="2005-12-31T00:00:00"/>
    <n v="20"/>
    <x v="0"/>
    <x v="6"/>
    <d v="2023-04-05T00:00:00"/>
    <d v="2023-02-13T00:00:00"/>
    <n v="11"/>
    <x v="2"/>
    <n v="5"/>
    <n v="1"/>
    <n v="27668.68"/>
    <n v="5385.37"/>
    <n v="9196.68"/>
  </r>
  <r>
    <s v="877"/>
    <s v="José Sánchez"/>
    <d v="1956-12-31T00:00:00"/>
    <n v="69"/>
    <x v="0"/>
    <x v="5"/>
    <d v="2023-09-26T00:00:00"/>
    <d v="2023-07-13T00:00:00"/>
    <n v="12"/>
    <x v="1"/>
    <n v="3"/>
    <n v="6"/>
    <n v="28897.51"/>
    <n v="8772.7800000000007"/>
    <n v="9517"/>
  </r>
  <r>
    <s v="878"/>
    <s v="Jorge Ramírez"/>
    <d v="2025-12-31T00:00:00"/>
    <n v="0"/>
    <x v="1"/>
    <x v="1"/>
    <d v="2023-12-27T00:00:00"/>
    <d v="2023-11-08T00:00:00"/>
    <n v="9"/>
    <x v="0"/>
    <n v="7"/>
    <n v="9"/>
    <n v="10211.43"/>
    <n v="903.27"/>
    <n v="12512.2"/>
  </r>
  <r>
    <s v="879"/>
    <s v="Luisa Sánchez"/>
    <d v="2021-12-31T00:00:00"/>
    <n v="80"/>
    <x v="0"/>
    <x v="4"/>
    <d v="2024-06-13T00:00:00"/>
    <d v="2024-09-13T00:00:00"/>
    <n v="34"/>
    <x v="1"/>
    <n v="5"/>
    <n v="7"/>
    <n v="25603.360000000001"/>
    <n v="6789.38"/>
    <n v="1018.04"/>
  </r>
  <r>
    <s v="880"/>
    <s v="Luisa Martínez"/>
    <d v="2015-01-01T00:00:00"/>
    <n v="11"/>
    <x v="1"/>
    <x v="0"/>
    <d v="2024-11-13T00:00:00"/>
    <d v="2024-08-28T00:00:00"/>
    <n v="8"/>
    <x v="0"/>
    <n v="0"/>
    <n v="2"/>
    <n v="17554.87"/>
    <n v="784.33"/>
    <n v="2458.69"/>
  </r>
  <r>
    <s v="881"/>
    <s v="Luisa Morales"/>
    <d v="1936-12-31T00:00:00"/>
    <n v="89"/>
    <x v="1"/>
    <x v="6"/>
    <d v="2023-06-11T00:00:00"/>
    <d v="2024-12-29T00:00:00"/>
    <n v="2"/>
    <x v="2"/>
    <n v="11"/>
    <n v="2"/>
    <n v="20613.79"/>
    <n v="11522.69"/>
    <n v="9917.5400000000009"/>
  </r>
  <r>
    <s v="882"/>
    <s v="Carlos Martínez"/>
    <d v="1980-12-31T00:00:00"/>
    <n v="45"/>
    <x v="0"/>
    <x v="5"/>
    <d v="2024-04-09T00:00:00"/>
    <d v="2024-04-10T00:00:00"/>
    <n v="8"/>
    <x v="0"/>
    <n v="9"/>
    <n v="1"/>
    <n v="25459.48"/>
    <n v="13078.24"/>
    <n v="19330.810000000001"/>
  </r>
  <r>
    <s v="883"/>
    <s v="Luisa Cruz"/>
    <d v="1992-12-31T00:00:00"/>
    <n v="9"/>
    <x v="0"/>
    <x v="3"/>
    <d v="2024-07-17T00:00:00"/>
    <d v="2023-06-13T00:00:00"/>
    <n v="31"/>
    <x v="2"/>
    <n v="9"/>
    <n v="0"/>
    <n v="3468.45"/>
    <n v="14457.12"/>
    <n v="16856.47"/>
  </r>
  <r>
    <s v="884"/>
    <s v="Laura Gómez"/>
    <d v="1977-12-31T00:00:00"/>
    <n v="48"/>
    <x v="1"/>
    <x v="0"/>
    <d v="2024-07-01T00:00:00"/>
    <d v="2023-12-18T00:00:00"/>
    <n v="16"/>
    <x v="2"/>
    <n v="14"/>
    <n v="2"/>
    <n v="28395.919999999998"/>
    <n v="10368.950000000001"/>
    <n v="17776.16"/>
  </r>
  <r>
    <s v="885"/>
    <s v="Ana Ramírez"/>
    <d v="1948-12-31T00:00:00"/>
    <n v="77"/>
    <x v="1"/>
    <x v="6"/>
    <d v="2023-07-06T00:00:00"/>
    <d v="2023-08-23T00:00:00"/>
    <n v="23"/>
    <x v="1"/>
    <n v="6"/>
    <n v="9"/>
    <n v="0"/>
    <n v="9480.9699999999993"/>
    <n v="2656.82"/>
  </r>
  <r>
    <s v="886"/>
    <s v="Juan Gómez"/>
    <d v="1936-12-31T00:00:00"/>
    <n v="89"/>
    <x v="0"/>
    <x v="3"/>
    <d v="2023-02-21T00:00:00"/>
    <d v="2024-02-08T00:00:00"/>
    <n v="23"/>
    <x v="2"/>
    <n v="9"/>
    <n v="6"/>
    <n v="9748.1"/>
    <n v="10411.16"/>
    <n v="19168.34"/>
  </r>
  <r>
    <s v="887"/>
    <s v="Sofía Morales"/>
    <d v="1981-12-31T00:00:00"/>
    <n v="44"/>
    <x v="1"/>
    <x v="4"/>
    <d v="2024-05-02T00:00:00"/>
    <d v="2023-12-18T00:00:00"/>
    <n v="14"/>
    <x v="2"/>
    <n v="0"/>
    <n v="8"/>
    <n v="9831.2999999999993"/>
    <n v="12819.72"/>
    <n v="14572.85"/>
  </r>
  <r>
    <s v="888"/>
    <s v="Luisa Morales"/>
    <d v="2000-01-01T00:00:00"/>
    <n v="26"/>
    <x v="0"/>
    <x v="0"/>
    <d v="2024-06-14T00:00:00"/>
    <d v="2023-06-17T00:00:00"/>
    <n v="28"/>
    <x v="0"/>
    <n v="5"/>
    <n v="8"/>
    <n v="22405.51"/>
    <n v="12106.39"/>
    <n v="6446.27"/>
  </r>
  <r>
    <s v="889"/>
    <s v="Luisa Hernández"/>
    <d v="1953-12-31T00:00:00"/>
    <n v="72"/>
    <x v="0"/>
    <x v="2"/>
    <d v="2024-01-31T00:00:00"/>
    <d v="2023-05-29T00:00:00"/>
    <n v="16"/>
    <x v="0"/>
    <n v="3"/>
    <n v="5"/>
    <n v="20199.13"/>
    <n v="6577.45"/>
    <n v="17275.79"/>
  </r>
  <r>
    <s v="890"/>
    <s v="Carlos Morales"/>
    <d v="2000-12-31T00:00:00"/>
    <n v="25"/>
    <x v="1"/>
    <x v="3"/>
    <d v="2023-04-02T00:00:00"/>
    <d v="2023-01-29T00:00:00"/>
    <n v="17"/>
    <x v="1"/>
    <n v="8"/>
    <n v="5"/>
    <n v="21749.14"/>
    <n v="9766.1"/>
    <n v="14920.93"/>
  </r>
  <r>
    <s v="891"/>
    <s v="Carlos Gómez"/>
    <d v="1980-01-01T00:00:00"/>
    <n v="46"/>
    <x v="0"/>
    <x v="2"/>
    <d v="2024-10-12T00:00:00"/>
    <d v="2023-09-17T00:00:00"/>
    <n v="20"/>
    <x v="0"/>
    <n v="4"/>
    <n v="4"/>
    <n v="7216.36"/>
    <n v="2428.8000000000002"/>
    <n v="14703.85"/>
  </r>
  <r>
    <s v="892"/>
    <s v="Carmen Hernández"/>
    <d v="1940-12-31T00:00:00"/>
    <n v="85"/>
    <x v="0"/>
    <x v="1"/>
    <d v="2023-12-23T00:00:00"/>
    <d v="2024-08-21T00:00:00"/>
    <n v="22"/>
    <x v="0"/>
    <n v="14"/>
    <n v="1"/>
    <n v="4690.9799999999996"/>
    <n v="10423.879999999999"/>
    <n v="14665.87"/>
  </r>
  <r>
    <s v="893"/>
    <s v="Ana Martínez"/>
    <d v="1971-01-01T00:00:00"/>
    <n v="55"/>
    <x v="1"/>
    <x v="6"/>
    <d v="2024-09-02T00:00:00"/>
    <d v="2024-09-12T00:00:00"/>
    <n v="25"/>
    <x v="0"/>
    <n v="9"/>
    <n v="6"/>
    <n v="21516.720000000001"/>
    <n v="10961.56"/>
    <n v="15997.16"/>
  </r>
  <r>
    <s v="894"/>
    <s v="Carlos Hernández"/>
    <d v="1932-12-31T00:00:00"/>
    <n v="93"/>
    <x v="0"/>
    <x v="4"/>
    <d v="2024-12-19T00:00:00"/>
    <d v="2024-03-18T00:00:00"/>
    <n v="34"/>
    <x v="1"/>
    <n v="2"/>
    <n v="0"/>
    <n v="8603.66"/>
    <n v="12019.65"/>
    <n v="18965.439999999999"/>
  </r>
  <r>
    <s v="895"/>
    <s v="Carmen Rodríguez"/>
    <d v="1964-01-01T00:00:00"/>
    <n v="62"/>
    <x v="0"/>
    <x v="5"/>
    <d v="2023-05-24T00:00:00"/>
    <d v="2024-09-21T00:00:00"/>
    <n v="9"/>
    <x v="2"/>
    <n v="3"/>
    <n v="5"/>
    <n v="6284.3"/>
    <n v="12264.73"/>
    <n v="2651.12"/>
  </r>
  <r>
    <s v="896"/>
    <s v="Ricardo Sánchez"/>
    <d v="1979-01-01T00:00:00"/>
    <n v="47"/>
    <x v="0"/>
    <x v="6"/>
    <d v="2023-07-18T00:00:00"/>
    <d v="2025-05-26T00:00:00"/>
    <n v="2"/>
    <x v="0"/>
    <n v="10"/>
    <n v="3"/>
    <n v="6045.56"/>
    <n v="6598.62"/>
    <n v="19990.400000000001"/>
  </r>
  <r>
    <s v="897"/>
    <s v="Sofía López"/>
    <d v="1965-12-31T00:00:00"/>
    <n v="60"/>
    <x v="0"/>
    <x v="3"/>
    <d v="2023-11-19T00:00:00"/>
    <d v="2024-06-11T00:00:00"/>
    <n v="1"/>
    <x v="1"/>
    <n v="3"/>
    <n v="2"/>
    <n v="4026.23"/>
    <n v="13552.75"/>
    <n v="17434.03"/>
  </r>
  <r>
    <s v="898"/>
    <s v="Laura Cruz"/>
    <d v="1945-12-31T00:00:00"/>
    <n v="80"/>
    <x v="1"/>
    <x v="2"/>
    <d v="2023-11-28T00:00:00"/>
    <d v="2023-07-31T00:00:00"/>
    <n v="7"/>
    <x v="2"/>
    <n v="5"/>
    <n v="0"/>
    <n v="12517.88"/>
    <n v="14714.25"/>
    <n v="8776.7099999999991"/>
  </r>
  <r>
    <s v="899"/>
    <s v="Jorge Ramírez"/>
    <d v="2000-12-31T00:00:00"/>
    <n v="25"/>
    <x v="1"/>
    <x v="2"/>
    <d v="2023-09-21T00:00:00"/>
    <d v="2025-04-10T00:00:00"/>
    <n v="31"/>
    <x v="0"/>
    <n v="9"/>
    <n v="5"/>
    <n v="7458.93"/>
    <n v="14670.62"/>
    <n v="3064.5"/>
  </r>
  <r>
    <s v="900"/>
    <s v="Carlos Ramírez"/>
    <d v="1991-01-01T00:00:00"/>
    <n v="35"/>
    <x v="1"/>
    <x v="0"/>
    <d v="2023-08-05T00:00:00"/>
    <d v="2024-06-27T00:00:00"/>
    <n v="29"/>
    <x v="0"/>
    <n v="10"/>
    <n v="6"/>
    <n v="26762.9"/>
    <n v="8786.41"/>
    <n v="9021.15"/>
  </r>
  <r>
    <s v="901"/>
    <s v="Ricardo Pérez"/>
    <d v="2025-12-31T00:00:00"/>
    <n v="94"/>
    <x v="1"/>
    <x v="6"/>
    <d v="2024-12-01T00:00:00"/>
    <d v="2024-03-21T00:00:00"/>
    <n v="22"/>
    <x v="1"/>
    <n v="14"/>
    <n v="0"/>
    <n v="20518.759999999998"/>
    <n v="8392.24"/>
    <n v="15550.1"/>
  </r>
  <r>
    <s v="902"/>
    <s v="Carlos Hernández"/>
    <d v="2019-01-01T00:00:00"/>
    <n v="7"/>
    <x v="1"/>
    <x v="6"/>
    <d v="2024-07-09T00:00:00"/>
    <d v="2025-03-05T00:00:00"/>
    <n v="7"/>
    <x v="0"/>
    <n v="2"/>
    <n v="0"/>
    <n v="22187.79"/>
    <n v="6860.01"/>
    <n v="12009.31"/>
  </r>
  <r>
    <s v="903"/>
    <s v="Ana Ramírez"/>
    <d v="1975-01-01T00:00:00"/>
    <n v="51"/>
    <x v="0"/>
    <x v="3"/>
    <d v="2024-03-09T00:00:00"/>
    <d v="2024-03-29T00:00:00"/>
    <n v="2"/>
    <x v="1"/>
    <n v="3"/>
    <n v="6"/>
    <n v="11810.12"/>
    <n v="4496.91"/>
    <n v="5518.97"/>
  </r>
  <r>
    <s v="904"/>
    <s v="Ricardo Rodríguez"/>
    <d v="1948-01-01T00:00:00"/>
    <n v="78"/>
    <x v="0"/>
    <x v="2"/>
    <d v="2024-04-04T00:00:00"/>
    <d v="2024-11-28T00:00:00"/>
    <n v="29"/>
    <x v="0"/>
    <n v="12"/>
    <n v="5"/>
    <n v="17806.39"/>
    <n v="5006.37"/>
    <n v="8076.57"/>
  </r>
  <r>
    <s v="905"/>
    <s v="Juan Cruz"/>
    <d v="1980-01-01T00:00:00"/>
    <n v="46"/>
    <x v="0"/>
    <x v="3"/>
    <d v="2024-12-01T00:00:00"/>
    <d v="2024-02-09T00:00:00"/>
    <n v="34"/>
    <x v="1"/>
    <n v="12"/>
    <n v="6"/>
    <n v="14774.33"/>
    <n v="3236.28"/>
    <n v="19081.41"/>
  </r>
  <r>
    <s v="906"/>
    <s v="Laura Hernández"/>
    <d v="1971-01-01T00:00:00"/>
    <n v="55"/>
    <x v="0"/>
    <x v="3"/>
    <d v="2024-05-17T00:00:00"/>
    <d v="2023-03-08T00:00:00"/>
    <n v="9"/>
    <x v="2"/>
    <n v="2"/>
    <n v="7"/>
    <n v="4607.2700000000004"/>
    <n v="14335.84"/>
    <n v="16056.8"/>
  </r>
  <r>
    <s v="907"/>
    <s v="Pedro Rodríguez"/>
    <d v="1940-12-31T00:00:00"/>
    <n v="85"/>
    <x v="0"/>
    <x v="1"/>
    <d v="2024-04-13T00:00:00"/>
    <d v="2024-02-10T00:00:00"/>
    <n v="15"/>
    <x v="0"/>
    <n v="2"/>
    <n v="7"/>
    <n v="959.54"/>
    <n v="9297.4"/>
    <n v="2393.79"/>
  </r>
  <r>
    <s v="908"/>
    <s v="Pedro Gómez"/>
    <d v="2012-12-31T00:00:00"/>
    <n v="13"/>
    <x v="0"/>
    <x v="2"/>
    <d v="2024-12-06T00:00:00"/>
    <d v="2025-06-02T00:00:00"/>
    <n v="27"/>
    <x v="1"/>
    <n v="13"/>
    <n v="8"/>
    <n v="20347.310000000001"/>
    <n v="14016.95"/>
    <n v="10862.38"/>
  </r>
  <r>
    <s v="909"/>
    <s v="Jorge López"/>
    <d v="1936-12-31T00:00:00"/>
    <n v="89"/>
    <x v="0"/>
    <x v="3"/>
    <d v="2024-01-01T00:00:00"/>
    <d v="2025-04-08T00:00:00"/>
    <n v="10"/>
    <x v="1"/>
    <n v="6"/>
    <n v="8"/>
    <n v="3195.76"/>
    <n v="5806.88"/>
    <n v="18612.8"/>
  </r>
  <r>
    <s v="910"/>
    <s v="Carlos Morales"/>
    <d v="1999-01-01T00:00:00"/>
    <n v="66"/>
    <x v="1"/>
    <x v="2"/>
    <d v="2023-08-27T00:00:00"/>
    <d v="2024-07-29T00:00:00"/>
    <n v="0"/>
    <x v="0"/>
    <n v="9"/>
    <n v="6"/>
    <n v="1249.1500000000001"/>
    <n v="4472.92"/>
    <n v="589.61"/>
  </r>
  <r>
    <s v="911"/>
    <s v="Juan Ramírez"/>
    <d v="1940-01-01T00:00:00"/>
    <n v="86"/>
    <x v="0"/>
    <x v="3"/>
    <d v="2024-09-15T00:00:00"/>
    <d v="2024-03-11T00:00:00"/>
    <n v="18"/>
    <x v="0"/>
    <n v="3"/>
    <n v="8"/>
    <n v="12976.95"/>
    <n v="1991.17"/>
    <n v="755.2"/>
  </r>
  <r>
    <s v="912"/>
    <s v="Carmen Morales"/>
    <d v="1948-12-31T00:00:00"/>
    <n v="77"/>
    <x v="0"/>
    <x v="5"/>
    <d v="2024-08-03T00:00:00"/>
    <d v="2023-08-17T00:00:00"/>
    <n v="39"/>
    <x v="0"/>
    <n v="11"/>
    <n v="5"/>
    <n v="22009.8"/>
    <n v="4503.6899999999996"/>
    <n v="14306.33"/>
  </r>
  <r>
    <s v="913"/>
    <s v="María López"/>
    <d v="1939-01-01T00:00:00"/>
    <n v="31"/>
    <x v="1"/>
    <x v="3"/>
    <d v="2024-07-14T00:00:00"/>
    <d v="2024-04-21T00:00:00"/>
    <n v="11"/>
    <x v="0"/>
    <n v="7"/>
    <n v="8"/>
    <n v="22950.49"/>
    <n v="13352.41"/>
    <n v="11468.47"/>
  </r>
  <r>
    <s v="914"/>
    <s v="Sofía Hernández"/>
    <d v="2024-12-31T00:00:00"/>
    <n v="1"/>
    <x v="0"/>
    <x v="3"/>
    <d v="2024-10-24T00:00:00"/>
    <d v="2024-04-13T00:00:00"/>
    <n v="37"/>
    <x v="0"/>
    <n v="3"/>
    <n v="1"/>
    <n v="26140.82"/>
    <n v="8734.14"/>
    <n v="824.59"/>
  </r>
  <r>
    <s v="915"/>
    <s v="Pedro Gómez"/>
    <d v="2000-12-31T00:00:00"/>
    <n v="25"/>
    <x v="0"/>
    <x v="4"/>
    <d v="2024-01-31T00:00:00"/>
    <d v="2023-04-12T00:00:00"/>
    <n v="7"/>
    <x v="2"/>
    <n v="14"/>
    <n v="1"/>
    <n v="5576.03"/>
    <n v="6787.17"/>
    <n v="19919.93"/>
  </r>
  <r>
    <s v="916"/>
    <s v="Luisa Hernández"/>
    <d v="2012-12-31T00:00:00"/>
    <n v="13"/>
    <x v="1"/>
    <x v="5"/>
    <d v="2024-01-30T00:00:00"/>
    <d v="2024-02-28T00:00:00"/>
    <n v="1"/>
    <x v="1"/>
    <n v="6"/>
    <n v="5"/>
    <n v="29561.54"/>
    <n v="8523.74"/>
    <n v="11559.92"/>
  </r>
  <r>
    <s v="917"/>
    <s v="Elena Cruz"/>
    <d v="1968-01-01T00:00:00"/>
    <n v="58"/>
    <x v="0"/>
    <x v="6"/>
    <d v="2024-09-18T00:00:00"/>
    <d v="2023-12-23T00:00:00"/>
    <n v="34"/>
    <x v="1"/>
    <n v="1"/>
    <n v="2"/>
    <n v="22777.88"/>
    <n v="13390.34"/>
    <n v="9787.7900000000009"/>
  </r>
  <r>
    <s v="918"/>
    <s v="Luisa Pérez"/>
    <d v="1971-01-01T00:00:00"/>
    <n v="55"/>
    <x v="1"/>
    <x v="2"/>
    <d v="2023-03-16T00:00:00"/>
    <d v="2023-05-20T00:00:00"/>
    <n v="8"/>
    <x v="0"/>
    <n v="10"/>
    <n v="1"/>
    <n v="4295.01"/>
    <n v="2892.34"/>
    <n v="8898.7099999999991"/>
  </r>
  <r>
    <s v="919"/>
    <s v="Ricardo Sánchez"/>
    <d v="2020-01-01T00:00:00"/>
    <n v="6"/>
    <x v="1"/>
    <x v="4"/>
    <d v="2023-04-08T00:00:00"/>
    <d v="2024-09-23T00:00:00"/>
    <n v="2"/>
    <x v="2"/>
    <n v="5"/>
    <n v="7"/>
    <n v="25142"/>
    <n v="14484.89"/>
    <n v="13983.75"/>
  </r>
  <r>
    <s v="920"/>
    <s v="Carmen Morales"/>
    <d v="2024-01-01T00:00:00"/>
    <n v="2"/>
    <x v="0"/>
    <x v="0"/>
    <d v="2024-01-18T00:00:00"/>
    <d v="2024-07-23T00:00:00"/>
    <n v="23"/>
    <x v="1"/>
    <n v="1"/>
    <n v="6"/>
    <n v="14718.26"/>
    <n v="9992.92"/>
    <n v="9112.98"/>
  </r>
  <r>
    <s v="921"/>
    <s v="Laura Rodríguez"/>
    <d v="2004-01-01T00:00:00"/>
    <n v="22"/>
    <x v="0"/>
    <x v="5"/>
    <d v="2024-09-14T00:00:00"/>
    <d v="2023-05-12T00:00:00"/>
    <n v="39"/>
    <x v="2"/>
    <n v="13"/>
    <n v="7"/>
    <n v="1529.66"/>
    <n v="12830.25"/>
    <n v="13147.44"/>
  </r>
  <r>
    <s v="922"/>
    <s v="Ricardo Gómez"/>
    <d v="2008-12-31T00:00:00"/>
    <n v="17"/>
    <x v="0"/>
    <x v="4"/>
    <d v="2024-01-05T00:00:00"/>
    <d v="2024-07-03T00:00:00"/>
    <n v="10"/>
    <x v="0"/>
    <n v="13"/>
    <n v="5"/>
    <n v="3527.27"/>
    <n v="7881.1"/>
    <n v="9715.52"/>
  </r>
  <r>
    <s v="923"/>
    <s v="Jorge Rodríguez"/>
    <d v="1988-12-31T00:00:00"/>
    <n v="37"/>
    <x v="0"/>
    <x v="6"/>
    <d v="2023-10-12T00:00:00"/>
    <d v="2024-04-13T00:00:00"/>
    <n v="25"/>
    <x v="1"/>
    <n v="10"/>
    <n v="8"/>
    <n v="12733.75"/>
    <n v="3549.57"/>
    <n v="12175.43"/>
  </r>
  <r>
    <s v="924"/>
    <s v="Carmen Hernández"/>
    <d v="2012-01-01T00:00:00"/>
    <n v="14"/>
    <x v="1"/>
    <x v="3"/>
    <d v="2023-09-13T00:00:00"/>
    <d v="2024-04-25T00:00:00"/>
    <n v="33"/>
    <x v="0"/>
    <n v="3"/>
    <n v="8"/>
    <n v="15680.46"/>
    <n v="8511.52"/>
    <n v="16084.24"/>
  </r>
  <r>
    <s v="925"/>
    <s v="Elena Rodríguez"/>
    <d v="1963-01-01T00:00:00"/>
    <n v="63"/>
    <x v="0"/>
    <x v="1"/>
    <d v="2023-11-05T00:00:00"/>
    <d v="2023-04-22T00:00:00"/>
    <n v="18"/>
    <x v="0"/>
    <n v="0"/>
    <n v="1"/>
    <n v="28398.52"/>
    <n v="1019.09"/>
    <n v="16325.08"/>
  </r>
  <r>
    <s v="926"/>
    <s v="Miguel Martínez"/>
    <d v="1937-12-31T00:00:00"/>
    <n v="88"/>
    <x v="0"/>
    <x v="6"/>
    <d v="2024-09-20T00:00:00"/>
    <d v="2023-06-03T00:00:00"/>
    <n v="7"/>
    <x v="0"/>
    <n v="6"/>
    <n v="9"/>
    <n v="6079.23"/>
    <n v="12782.93"/>
    <n v="16965.87"/>
  </r>
  <r>
    <s v="927"/>
    <s v="José Sánchez"/>
    <d v="1999-01-01T00:00:00"/>
    <n v="27"/>
    <x v="2"/>
    <x v="5"/>
    <d v="2023-06-25T00:00:00"/>
    <d v="2025-02-01T00:00:00"/>
    <n v="9"/>
    <x v="0"/>
    <n v="10"/>
    <n v="4"/>
    <n v="13960.19"/>
    <n v="9743.69"/>
    <n v="3979.69"/>
  </r>
  <r>
    <s v="928"/>
    <s v="Luisa Sánchez"/>
    <d v="1952-12-31T00:00:00"/>
    <n v="73"/>
    <x v="1"/>
    <x v="1"/>
    <d v="2023-08-16T00:00:00"/>
    <d v="2023-08-31T00:00:00"/>
    <n v="24"/>
    <x v="0"/>
    <n v="4"/>
    <n v="8"/>
    <n v="6389.63"/>
    <n v="4242.8599999999997"/>
    <n v="1128.51"/>
  </r>
  <r>
    <s v="929"/>
    <s v="Carlos López"/>
    <d v="1988-01-01T00:00:00"/>
    <n v="11"/>
    <x v="0"/>
    <x v="3"/>
    <d v="2023-12-13T00:00:00"/>
    <d v="2024-12-21T00:00:00"/>
    <n v="0"/>
    <x v="0"/>
    <n v="3"/>
    <n v="2"/>
    <n v="16531.22"/>
    <n v="4117.04"/>
    <n v="16706.38"/>
  </r>
  <r>
    <s v="930"/>
    <s v="José Ramírez"/>
    <d v="1969-12-31T00:00:00"/>
    <n v="56"/>
    <x v="0"/>
    <x v="6"/>
    <d v="2024-09-09T00:00:00"/>
    <d v="2025-05-30T00:00:00"/>
    <n v="25"/>
    <x v="0"/>
    <n v="12"/>
    <n v="4"/>
    <n v="27234.2"/>
    <n v="13542.09"/>
    <n v="750.19"/>
  </r>
  <r>
    <s v="931"/>
    <s v="Sofía Pérez"/>
    <d v="2009-12-31T00:00:00"/>
    <n v="16"/>
    <x v="0"/>
    <x v="0"/>
    <d v="2023-12-08T00:00:00"/>
    <d v="2024-11-13T00:00:00"/>
    <n v="1"/>
    <x v="0"/>
    <n v="1"/>
    <n v="7"/>
    <n v="16816.39"/>
    <n v="12613.61"/>
    <n v="4191.16"/>
  </r>
  <r>
    <s v="932"/>
    <s v="Elena Sánchez"/>
    <d v="1940-12-31T00:00:00"/>
    <n v="85"/>
    <x v="0"/>
    <x v="2"/>
    <d v="2023-08-27T00:00:00"/>
    <d v="2025-02-08T00:00:00"/>
    <n v="25"/>
    <x v="0"/>
    <n v="12"/>
    <n v="1"/>
    <n v="15057.15"/>
    <n v="11446.63"/>
    <n v="10476.6"/>
  </r>
  <r>
    <s v="933"/>
    <s v="Pedro Hernández"/>
    <d v="1936-12-31T00:00:00"/>
    <n v="89"/>
    <x v="1"/>
    <x v="2"/>
    <d v="2024-09-03T00:00:00"/>
    <d v="2023-10-07T00:00:00"/>
    <n v="28"/>
    <x v="0"/>
    <n v="11"/>
    <n v="5"/>
    <n v="22378.95"/>
    <n v="6221.88"/>
    <n v="17094.21"/>
  </r>
  <r>
    <s v="934"/>
    <s v="Ana Rodríguez"/>
    <d v="1983-01-01T00:00:00"/>
    <n v="43"/>
    <x v="0"/>
    <x v="5"/>
    <d v="2024-11-18T00:00:00"/>
    <d v="2023-12-30T00:00:00"/>
    <n v="18"/>
    <x v="0"/>
    <n v="1"/>
    <n v="3"/>
    <n v="4002.21"/>
    <n v="13087.58"/>
    <n v="17925.3"/>
  </r>
  <r>
    <s v="935"/>
    <s v="Carmen Rodríguez"/>
    <d v="2001-12-31T00:00:00"/>
    <n v="24"/>
    <x v="0"/>
    <x v="4"/>
    <d v="2023-12-16T00:00:00"/>
    <d v="2024-09-17T00:00:00"/>
    <n v="4"/>
    <x v="0"/>
    <n v="12"/>
    <n v="5"/>
    <n v="27121.26"/>
    <n v="3703.35"/>
    <n v="12523.82"/>
  </r>
  <r>
    <s v="936"/>
    <s v="José Sánchez"/>
    <d v="2009-12-31T00:00:00"/>
    <n v="16"/>
    <x v="1"/>
    <x v="3"/>
    <d v="2024-03-30T00:00:00"/>
    <d v="2024-02-13T00:00:00"/>
    <n v="28"/>
    <x v="2"/>
    <n v="14"/>
    <n v="2"/>
    <n v="17117.84"/>
    <n v="363.81"/>
    <n v="19331.849999999999"/>
  </r>
  <r>
    <s v="937"/>
    <s v="Luisa Pérez"/>
    <d v="2013-12-31T00:00:00"/>
    <n v="12"/>
    <x v="0"/>
    <x v="3"/>
    <d v="2024-03-16T00:00:00"/>
    <d v="2023-06-25T00:00:00"/>
    <n v="11"/>
    <x v="0"/>
    <n v="8"/>
    <n v="5"/>
    <n v="20432.439999999999"/>
    <n v="6491.55"/>
    <n v="14571.85"/>
  </r>
  <r>
    <s v="938"/>
    <s v="Carmen Hernández"/>
    <d v="1943-01-01T00:00:00"/>
    <n v="83"/>
    <x v="0"/>
    <x v="2"/>
    <d v="2024-08-10T00:00:00"/>
    <d v="2024-08-24T00:00:00"/>
    <n v="36"/>
    <x v="2"/>
    <n v="13"/>
    <n v="6"/>
    <n v="24478.3"/>
    <n v="13792.88"/>
    <n v="10507.26"/>
  </r>
  <r>
    <s v="939"/>
    <s v="Luisa Ramírez"/>
    <d v="2001-12-31T00:00:00"/>
    <n v="25"/>
    <x v="1"/>
    <x v="6"/>
    <d v="2024-05-29T00:00:00"/>
    <d v="2023-05-16T00:00:00"/>
    <n v="36"/>
    <x v="0"/>
    <n v="8"/>
    <n v="9"/>
    <n v="18868.650000000001"/>
    <n v="8568.41"/>
    <n v="2600.85"/>
  </r>
  <r>
    <s v="940"/>
    <s v="Sofía Morales"/>
    <d v="1959-01-01T00:00:00"/>
    <n v="67"/>
    <x v="0"/>
    <x v="3"/>
    <d v="2023-03-22T00:00:00"/>
    <d v="2024-05-21T00:00:00"/>
    <n v="6"/>
    <x v="1"/>
    <n v="8"/>
    <n v="2"/>
    <n v="19056.759999999998"/>
    <n v="3441.54"/>
    <n v="8518.59"/>
  </r>
  <r>
    <s v="941"/>
    <s v="Luis Pérez"/>
    <d v="2016-12-31T00:00:00"/>
    <n v="9"/>
    <x v="1"/>
    <x v="0"/>
    <d v="2023-12-27T00:00:00"/>
    <d v="2023-10-22T00:00:00"/>
    <n v="20"/>
    <x v="1"/>
    <n v="12"/>
    <n v="4"/>
    <n v="21753.45"/>
    <n v="9762.32"/>
    <n v="16429.05"/>
  </r>
  <r>
    <s v="942"/>
    <s v="María López"/>
    <d v="1960-01-01T00:00:00"/>
    <n v="55"/>
    <x v="1"/>
    <x v="0"/>
    <d v="2023-10-15T00:00:00"/>
    <d v="2024-05-10T00:00:00"/>
    <n v="9"/>
    <x v="1"/>
    <n v="9"/>
    <n v="7"/>
    <n v="1093.21"/>
    <n v="11174.79"/>
    <n v="5601.31"/>
  </r>
  <r>
    <s v="943"/>
    <s v="Luis Cruz"/>
    <d v="2008-12-31T00:00:00"/>
    <n v="17"/>
    <x v="0"/>
    <x v="3"/>
    <d v="2023-01-08T00:00:00"/>
    <d v="2025-03-26T00:00:00"/>
    <n v="26"/>
    <x v="2"/>
    <n v="8"/>
    <n v="1"/>
    <n v="11157.42"/>
    <n v="8255.07"/>
    <n v="11523.25"/>
  </r>
  <r>
    <s v="944"/>
    <s v="Carmen Pérez"/>
    <d v="1940-12-31T00:00:00"/>
    <n v="85"/>
    <x v="1"/>
    <x v="3"/>
    <d v="2023-03-28T00:00:00"/>
    <d v="2025-05-21T00:00:00"/>
    <n v="35"/>
    <x v="0"/>
    <n v="10"/>
    <n v="6"/>
    <n v="28869.57"/>
    <n v="12638.97"/>
    <n v="19667.03"/>
  </r>
  <r>
    <s v="945"/>
    <s v="Carlos Martínez"/>
    <d v="1992-12-31T00:00:00"/>
    <n v="33"/>
    <x v="1"/>
    <x v="2"/>
    <d v="2023-10-13T00:00:00"/>
    <d v="2024-02-24T00:00:00"/>
    <n v="36"/>
    <x v="0"/>
    <n v="13"/>
    <n v="0"/>
    <n v="7367.04"/>
    <n v="8885.59"/>
    <n v="3405.92"/>
  </r>
  <r>
    <s v="946"/>
    <s v="Carlos López"/>
    <d v="2019-01-01T00:00:00"/>
    <n v="7"/>
    <x v="1"/>
    <x v="5"/>
    <d v="2024-02-03T00:00:00"/>
    <d v="2023-07-26T00:00:00"/>
    <n v="19"/>
    <x v="2"/>
    <n v="6"/>
    <n v="6"/>
    <n v="16038.79"/>
    <n v="1440.31"/>
    <n v="1939.29"/>
  </r>
  <r>
    <s v="947"/>
    <s v="Laura Rodríguez"/>
    <d v="1987-01-01T00:00:00"/>
    <n v="39"/>
    <x v="1"/>
    <x v="2"/>
    <d v="2023-03-15T00:00:00"/>
    <d v="2023-11-15T00:00:00"/>
    <n v="1"/>
    <x v="0"/>
    <n v="9"/>
    <n v="0"/>
    <n v="4850.54"/>
    <n v="12143.18"/>
    <n v="15891.49"/>
  </r>
  <r>
    <s v="948"/>
    <s v="Ana Pérez"/>
    <d v="1944-01-01T00:00:00"/>
    <n v="82"/>
    <x v="0"/>
    <x v="5"/>
    <d v="2024-03-14T00:00:00"/>
    <d v="2023-03-15T00:00:00"/>
    <n v="4"/>
    <x v="1"/>
    <n v="3"/>
    <n v="3"/>
    <n v="9359.8700000000008"/>
    <n v="2195.34"/>
    <n v="400.93"/>
  </r>
  <r>
    <s v="949"/>
    <s v="Jorge Sánchez"/>
    <d v="1937-01-01T00:00:00"/>
    <n v="41"/>
    <x v="0"/>
    <x v="0"/>
    <d v="2023-05-03T00:00:00"/>
    <d v="2023-09-17T00:00:00"/>
    <n v="37"/>
    <x v="2"/>
    <n v="7"/>
    <n v="3"/>
    <n v="21370.94"/>
    <n v="13241.33"/>
    <n v="12829.44"/>
  </r>
  <r>
    <s v="950"/>
    <s v="Ana Ramírez"/>
    <d v="1985-12-31T00:00:00"/>
    <n v="40"/>
    <x v="0"/>
    <x v="5"/>
    <d v="2024-01-12T00:00:00"/>
    <d v="2023-12-25T00:00:00"/>
    <n v="5"/>
    <x v="0"/>
    <n v="9"/>
    <n v="4"/>
    <n v="19114.37"/>
    <n v="7827.68"/>
    <n v="6648.47"/>
  </r>
  <r>
    <s v="951"/>
    <s v="María Gómez"/>
    <d v="2020-12-31T00:00:00"/>
    <n v="5"/>
    <x v="0"/>
    <x v="2"/>
    <d v="2023-05-23T00:00:00"/>
    <d v="2023-05-29T00:00:00"/>
    <n v="32"/>
    <x v="0"/>
    <n v="13"/>
    <n v="1"/>
    <n v="12136.65"/>
    <n v="10978"/>
    <n v="14448.66"/>
  </r>
  <r>
    <s v="952"/>
    <s v="José Gómez"/>
    <d v="1975-01-01T00:00:00"/>
    <n v="51"/>
    <x v="1"/>
    <x v="3"/>
    <d v="2023-06-07T00:00:00"/>
    <d v="2023-08-14T00:00:00"/>
    <n v="6"/>
    <x v="2"/>
    <n v="5"/>
    <n v="5"/>
    <n v="28111.32"/>
    <n v="14581.42"/>
    <n v="2317.09"/>
  </r>
  <r>
    <s v="953"/>
    <s v="Laura Hernández"/>
    <d v="2000-12-31T00:00:00"/>
    <n v="25"/>
    <x v="0"/>
    <x v="5"/>
    <d v="2024-03-05T00:00:00"/>
    <d v="2023-04-16T00:00:00"/>
    <n v="10"/>
    <x v="0"/>
    <n v="1"/>
    <n v="5"/>
    <n v="23138.93"/>
    <n v="6479.15"/>
    <n v="6533.88"/>
  </r>
  <r>
    <s v="954"/>
    <s v="Carmen Gómez"/>
    <d v="1963-01-01T00:00:00"/>
    <n v="63"/>
    <x v="0"/>
    <x v="2"/>
    <d v="2024-03-23T00:00:00"/>
    <d v="2024-07-10T00:00:00"/>
    <n v="36"/>
    <x v="2"/>
    <n v="9"/>
    <n v="7"/>
    <n v="7671.68"/>
    <n v="6895.83"/>
    <n v="242.44"/>
  </r>
  <r>
    <s v="955"/>
    <s v="Ana Ramírez"/>
    <d v="1968-01-01T00:00:00"/>
    <n v="58"/>
    <x v="0"/>
    <x v="0"/>
    <d v="2024-02-14T00:00:00"/>
    <d v="2023-12-23T00:00:00"/>
    <n v="17"/>
    <x v="1"/>
    <n v="11"/>
    <n v="9"/>
    <n v="13696.11"/>
    <n v="12387.69"/>
    <n v="4625.33"/>
  </r>
  <r>
    <s v="956"/>
    <s v="Pedro Rodríguez"/>
    <d v="1971-01-01T00:00:00"/>
    <n v="55"/>
    <x v="0"/>
    <x v="1"/>
    <d v="2024-01-06T00:00:00"/>
    <d v="2024-06-22T00:00:00"/>
    <n v="18"/>
    <x v="1"/>
    <n v="1"/>
    <n v="0"/>
    <n v="26280.05"/>
    <n v="1653.57"/>
    <n v="9613.5"/>
  </r>
  <r>
    <s v="957"/>
    <s v="Ricardo Cruz"/>
    <d v="1968-01-01T00:00:00"/>
    <n v="58"/>
    <x v="0"/>
    <x v="5"/>
    <d v="2023-04-19T00:00:00"/>
    <d v="2025-03-27T00:00:00"/>
    <n v="16"/>
    <x v="1"/>
    <n v="5"/>
    <n v="3"/>
    <n v="185.16"/>
    <n v="415.48"/>
    <n v="3470.03"/>
  </r>
  <r>
    <s v="958"/>
    <s v="María Sánchez"/>
    <d v="1956-12-31T00:00:00"/>
    <n v="89"/>
    <x v="0"/>
    <x v="0"/>
    <d v="2024-12-07T00:00:00"/>
    <d v="2023-09-19T00:00:00"/>
    <n v="1"/>
    <x v="0"/>
    <n v="9"/>
    <n v="1"/>
    <n v="17234.72"/>
    <n v="9064.75"/>
    <n v="11953.08"/>
  </r>
  <r>
    <s v="959"/>
    <s v="Pedro López"/>
    <d v="1993-12-31T00:00:00"/>
    <n v="32"/>
    <x v="1"/>
    <x v="0"/>
    <d v="2023-02-05T00:00:00"/>
    <d v="2024-07-25T00:00:00"/>
    <n v="37"/>
    <x v="1"/>
    <n v="5"/>
    <n v="7"/>
    <n v="6574.79"/>
    <n v="2512.8000000000002"/>
    <n v="2274.75"/>
  </r>
  <r>
    <s v="960"/>
    <s v="Juan Pérez"/>
    <d v="1973-12-31T00:00:00"/>
    <n v="52"/>
    <x v="0"/>
    <x v="6"/>
    <d v="2023-03-31T00:00:00"/>
    <d v="2024-07-27T00:00:00"/>
    <n v="27"/>
    <x v="0"/>
    <n v="7"/>
    <n v="3"/>
    <n v="1446.51"/>
    <n v="3836.07"/>
    <n v="14878.99"/>
  </r>
  <r>
    <s v="961"/>
    <s v="María Cruz"/>
    <d v="2004-12-31T00:00:00"/>
    <n v="21"/>
    <x v="1"/>
    <x v="1"/>
    <d v="2024-02-19T00:00:00"/>
    <d v="2025-03-28T00:00:00"/>
    <n v="20"/>
    <x v="0"/>
    <n v="0"/>
    <n v="7"/>
    <n v="27342.26"/>
    <n v="14644.2"/>
    <n v="18425.46"/>
  </r>
  <r>
    <s v="962"/>
    <s v="Elena Gómez"/>
    <d v="2005-12-31T00:00:00"/>
    <n v="20"/>
    <x v="1"/>
    <x v="5"/>
    <d v="2023-10-23T00:00:00"/>
    <d v="2023-03-12T00:00:00"/>
    <n v="37"/>
    <x v="0"/>
    <n v="5"/>
    <n v="1"/>
    <n v="24396.63"/>
    <n v="9797.2199999999993"/>
    <n v="7657.1"/>
  </r>
  <r>
    <s v="963"/>
    <s v="María Hernández"/>
    <d v="1956-12-31T00:00:00"/>
    <n v="69"/>
    <x v="1"/>
    <x v="2"/>
    <d v="2024-12-13T00:00:00"/>
    <d v="2024-03-23T00:00:00"/>
    <n v="10"/>
    <x v="1"/>
    <n v="0"/>
    <n v="3"/>
    <n v="5151.45"/>
    <n v="12836.44"/>
    <n v="10516.94"/>
  </r>
  <r>
    <s v="964"/>
    <s v="Luisa Ramírez"/>
    <d v="1956-12-31T00:00:00"/>
    <n v="69"/>
    <x v="1"/>
    <x v="5"/>
    <d v="2023-02-15T00:00:00"/>
    <d v="2024-03-23T00:00:00"/>
    <n v="30"/>
    <x v="0"/>
    <n v="12"/>
    <n v="8"/>
    <n v="25026.87"/>
    <n v="13466.87"/>
    <n v="9719.1200000000008"/>
  </r>
  <r>
    <s v="965"/>
    <s v="Laura Cruz"/>
    <d v="1963-01-01T00:00:00"/>
    <n v="3"/>
    <x v="1"/>
    <x v="5"/>
    <d v="2024-05-02T00:00:00"/>
    <d v="2025-02-22T00:00:00"/>
    <n v="29"/>
    <x v="0"/>
    <n v="8"/>
    <n v="4"/>
    <n v="3966.04"/>
    <n v="1820.25"/>
    <n v="15686.45"/>
  </r>
  <r>
    <s v="966"/>
    <s v="José Sánchez"/>
    <d v="1932-12-31T00:00:00"/>
    <n v="93"/>
    <x v="1"/>
    <x v="1"/>
    <d v="2024-09-10T00:00:00"/>
    <d v="2023-09-15T00:00:00"/>
    <n v="25"/>
    <x v="0"/>
    <n v="10"/>
    <n v="5"/>
    <n v="14022.92"/>
    <n v="13916.66"/>
    <n v="19883.240000000002"/>
  </r>
  <r>
    <s v="967"/>
    <s v="Carmen Hernández"/>
    <d v="1952-01-01T00:00:00"/>
    <n v="74"/>
    <x v="0"/>
    <x v="4"/>
    <d v="2023-06-19T00:00:00"/>
    <d v="2025-06-15T00:00:00"/>
    <n v="21"/>
    <x v="0"/>
    <n v="8"/>
    <n v="9"/>
    <n v="21636.09"/>
    <n v="12997.79"/>
    <n v="14687.29"/>
  </r>
  <r>
    <s v="968"/>
    <s v="María Pérez"/>
    <d v="1964-12-31T00:00:00"/>
    <n v="61"/>
    <x v="0"/>
    <x v="0"/>
    <d v="2023-05-26T00:00:00"/>
    <d v="2024-09-29T00:00:00"/>
    <n v="39"/>
    <x v="1"/>
    <n v="0"/>
    <n v="8"/>
    <n v="15781.07"/>
    <n v="680.14"/>
    <n v="4212.0600000000004"/>
  </r>
  <r>
    <s v="969"/>
    <s v="Luis Cruz"/>
    <d v="1964-12-31T00:00:00"/>
    <n v="61"/>
    <x v="2"/>
    <x v="0"/>
    <d v="2024-02-24T00:00:00"/>
    <d v="2024-06-15T00:00:00"/>
    <n v="25"/>
    <x v="1"/>
    <n v="3"/>
    <n v="8"/>
    <n v="25448.81"/>
    <n v="14658.11"/>
    <n v="13891.21"/>
  </r>
  <r>
    <s v="970"/>
    <s v="Pedro López"/>
    <d v="1932-12-31T00:00:00"/>
    <n v="93"/>
    <x v="1"/>
    <x v="0"/>
    <d v="2024-11-20T00:00:00"/>
    <d v="2023-04-30T00:00:00"/>
    <n v="27"/>
    <x v="1"/>
    <n v="14"/>
    <n v="6"/>
    <n v="18314.77"/>
    <n v="6874.75"/>
    <n v="12276.86"/>
  </r>
  <r>
    <s v="971"/>
    <s v="Luis Martínez"/>
    <d v="1932-01-01T00:00:00"/>
    <n v="94"/>
    <x v="0"/>
    <x v="0"/>
    <d v="2024-07-26T00:00:00"/>
    <d v="2025-04-12T00:00:00"/>
    <n v="38"/>
    <x v="2"/>
    <n v="7"/>
    <n v="1"/>
    <n v="12674.53"/>
    <n v="14617.33"/>
    <n v="4123.41"/>
  </r>
  <r>
    <s v="972"/>
    <s v="José Rodríguez"/>
    <d v="2003-01-01T00:00:00"/>
    <n v="23"/>
    <x v="0"/>
    <x v="1"/>
    <d v="2023-01-03T00:00:00"/>
    <d v="2023-03-08T00:00:00"/>
    <n v="26"/>
    <x v="1"/>
    <n v="7"/>
    <n v="6"/>
    <n v="0"/>
    <n v="12357.82"/>
    <n v="4743.33"/>
  </r>
  <r>
    <s v="973"/>
    <s v="Luis Gómez"/>
    <d v="1972-01-01T00:00:00"/>
    <n v="54"/>
    <x v="1"/>
    <x v="2"/>
    <d v="2024-08-16T00:00:00"/>
    <d v="2023-09-03T00:00:00"/>
    <n v="31"/>
    <x v="0"/>
    <n v="8"/>
    <n v="8"/>
    <n v="606.99"/>
    <n v="6602.01"/>
    <n v="13021.01"/>
  </r>
  <r>
    <s v="974"/>
    <s v="Miguel Pérez"/>
    <d v="2017-12-31T00:00:00"/>
    <n v="8"/>
    <x v="0"/>
    <x v="3"/>
    <d v="2023-09-20T00:00:00"/>
    <d v="2023-02-27T00:00:00"/>
    <n v="19"/>
    <x v="0"/>
    <n v="1"/>
    <n v="1"/>
    <n v="14396.17"/>
    <n v="7673.36"/>
    <n v="16137.16"/>
  </r>
  <r>
    <s v="975"/>
    <s v="Carmen Pérez"/>
    <d v="2024-01-01T00:00:00"/>
    <n v="2"/>
    <x v="0"/>
    <x v="6"/>
    <d v="2023-11-17T00:00:00"/>
    <d v="2023-02-14T00:00:00"/>
    <n v="22"/>
    <x v="0"/>
    <n v="9"/>
    <n v="6"/>
    <n v="19653.84"/>
    <n v="4126.46"/>
    <n v="15224.32"/>
  </r>
  <r>
    <s v="976"/>
    <s v="Miguel Ramírez"/>
    <d v="1996-01-01T00:00:00"/>
    <n v="30"/>
    <x v="1"/>
    <x v="4"/>
    <d v="2024-08-29T00:00:00"/>
    <d v="2024-06-08T00:00:00"/>
    <n v="11"/>
    <x v="2"/>
    <n v="12"/>
    <n v="6"/>
    <n v="24999.78"/>
    <n v="7303.8"/>
    <n v="12088.88"/>
  </r>
  <r>
    <s v="977"/>
    <s v="María López"/>
    <d v="1987-01-01T00:00:00"/>
    <n v="39"/>
    <x v="0"/>
    <x v="4"/>
    <d v="2024-07-29T00:00:00"/>
    <d v="2025-06-09T00:00:00"/>
    <n v="7"/>
    <x v="0"/>
    <n v="5"/>
    <n v="2"/>
    <n v="16005.27"/>
    <n v="1612.39"/>
    <n v="18744.599999999999"/>
  </r>
  <r>
    <s v="978"/>
    <s v="Luis Ramírez"/>
    <d v="1991-01-01T00:00:00"/>
    <n v="35"/>
    <x v="0"/>
    <x v="0"/>
    <d v="2023-09-03T00:00:00"/>
    <d v="2024-02-29T00:00:00"/>
    <n v="7"/>
    <x v="0"/>
    <n v="8"/>
    <n v="5"/>
    <n v="26508.29"/>
    <n v="13629.53"/>
    <n v="14594.02"/>
  </r>
  <r>
    <s v="979"/>
    <s v="María Hernández"/>
    <d v="2003-01-01T00:00:00"/>
    <n v="23"/>
    <x v="1"/>
    <x v="0"/>
    <d v="2024-08-11T00:00:00"/>
    <d v="2025-01-18T00:00:00"/>
    <n v="5"/>
    <x v="0"/>
    <n v="12"/>
    <n v="7"/>
    <n v="12501.44"/>
    <n v="10698.18"/>
    <n v="10792.51"/>
  </r>
  <r>
    <s v="980"/>
    <s v="Juan Ramírez"/>
    <d v="1932-01-01T00:00:00"/>
    <n v="94"/>
    <x v="1"/>
    <x v="6"/>
    <d v="2024-04-21T00:00:00"/>
    <d v="2024-06-20T00:00:00"/>
    <n v="11"/>
    <x v="1"/>
    <n v="8"/>
    <n v="9"/>
    <n v="9172.42"/>
    <n v="12078.1"/>
    <n v="16305.72"/>
  </r>
  <r>
    <s v="981"/>
    <s v="Sofía Martínez"/>
    <d v="2020-12-31T00:00:00"/>
    <n v="5"/>
    <x v="1"/>
    <x v="0"/>
    <d v="2023-09-16T00:00:00"/>
    <d v="2024-01-31T00:00:00"/>
    <n v="35"/>
    <x v="2"/>
    <n v="10"/>
    <n v="7"/>
    <n v="29201.27"/>
    <n v="7966.83"/>
    <n v="5738.73"/>
  </r>
  <r>
    <s v="982"/>
    <s v="Luis López"/>
    <d v="1960-12-31T00:00:00"/>
    <n v="65"/>
    <x v="1"/>
    <x v="3"/>
    <d v="2023-04-03T00:00:00"/>
    <d v="2024-03-26T00:00:00"/>
    <n v="29"/>
    <x v="2"/>
    <n v="12"/>
    <n v="2"/>
    <n v="19849.02"/>
    <n v="1884.51"/>
    <n v="5196.2"/>
  </r>
  <r>
    <s v="983"/>
    <s v="Carlos Cruz"/>
    <d v="1943-01-01T00:00:00"/>
    <n v="83"/>
    <x v="0"/>
    <x v="4"/>
    <d v="2024-06-16T00:00:00"/>
    <d v="2023-09-15T00:00:00"/>
    <n v="29"/>
    <x v="0"/>
    <n v="1"/>
    <n v="5"/>
    <n v="12486.23"/>
    <n v="8058.67"/>
    <n v="19426.25"/>
  </r>
  <r>
    <s v="984"/>
    <s v="Luis Sánchez"/>
    <d v="1935-01-01T00:00:00"/>
    <n v="91"/>
    <x v="0"/>
    <x v="5"/>
    <d v="2024-07-27T00:00:00"/>
    <d v="2025-03-07T00:00:00"/>
    <n v="0"/>
    <x v="1"/>
    <n v="8"/>
    <n v="1"/>
    <n v="26284.79"/>
    <n v="4938.09"/>
    <n v="18991.419999999998"/>
  </r>
  <r>
    <s v="985"/>
    <s v="Sofía Martínez"/>
    <d v="1952-01-01T00:00:00"/>
    <n v="74"/>
    <x v="1"/>
    <x v="6"/>
    <d v="2023-12-05T00:00:00"/>
    <d v="2025-04-16T00:00:00"/>
    <n v="17"/>
    <x v="1"/>
    <n v="8"/>
    <n v="1"/>
    <n v="20333.95"/>
    <n v="151.59"/>
    <n v="17598.38"/>
  </r>
  <r>
    <s v="986"/>
    <s v="Miguel Cruz"/>
    <d v="2023-01-01T00:00:00"/>
    <n v="3"/>
    <x v="0"/>
    <x v="4"/>
    <d v="2023-09-17T00:00:00"/>
    <d v="2023-12-28T00:00:00"/>
    <n v="10"/>
    <x v="1"/>
    <n v="1"/>
    <n v="7"/>
    <n v="18957.009999999998"/>
    <n v="9225.5400000000009"/>
    <n v="4208.82"/>
  </r>
  <r>
    <s v="987"/>
    <s v="María Cruz"/>
    <d v="1948-01-01T00:00:00"/>
    <n v="78"/>
    <x v="1"/>
    <x v="2"/>
    <d v="2023-08-25T00:00:00"/>
    <d v="2025-02-02T00:00:00"/>
    <n v="20"/>
    <x v="0"/>
    <n v="0"/>
    <n v="9"/>
    <n v="21720.41"/>
    <n v="12804.74"/>
    <n v="11712.55"/>
  </r>
  <r>
    <s v="988"/>
    <s v="Carmen López"/>
    <d v="2020-12-31T00:00:00"/>
    <n v="5"/>
    <x v="1"/>
    <x v="4"/>
    <d v="2023-05-21T00:00:00"/>
    <d v="2024-08-29T00:00:00"/>
    <n v="16"/>
    <x v="2"/>
    <n v="4"/>
    <n v="4"/>
    <n v="22017.94"/>
    <n v="10658.28"/>
    <n v="10654.51"/>
  </r>
  <r>
    <s v="989"/>
    <s v="José Hernández"/>
    <d v="1932-12-31T00:00:00"/>
    <n v="93"/>
    <x v="1"/>
    <x v="6"/>
    <d v="2024-11-09T00:00:00"/>
    <d v="2024-01-16T00:00:00"/>
    <n v="13"/>
    <x v="0"/>
    <n v="12"/>
    <n v="4"/>
    <n v="14535.99"/>
    <n v="3352.99"/>
    <n v="3982.48"/>
  </r>
  <r>
    <s v="990"/>
    <s v="José Gómez"/>
    <d v="1976-01-01T00:00:00"/>
    <n v="50"/>
    <x v="0"/>
    <x v="3"/>
    <d v="2024-04-24T00:00:00"/>
    <d v="2024-03-19T00:00:00"/>
    <n v="33"/>
    <x v="0"/>
    <n v="8"/>
    <n v="3"/>
    <n v="12288.88"/>
    <n v="12287"/>
    <n v="8900.5400000000009"/>
  </r>
  <r>
    <s v="991"/>
    <s v="Luisa Hernández"/>
    <d v="1964-12-31T00:00:00"/>
    <n v="66"/>
    <x v="1"/>
    <x v="1"/>
    <d v="2024-08-01T00:00:00"/>
    <d v="2025-06-11T00:00:00"/>
    <n v="32"/>
    <x v="0"/>
    <n v="0"/>
    <n v="9"/>
    <n v="27233.119999999999"/>
    <n v="4642.49"/>
    <n v="9249.43"/>
  </r>
  <r>
    <s v="992"/>
    <s v="Carmen Pérez"/>
    <d v="1969-12-31T00:00:00"/>
    <n v="56"/>
    <x v="1"/>
    <x v="2"/>
    <d v="2023-12-16T00:00:00"/>
    <d v="2024-06-18T00:00:00"/>
    <n v="4"/>
    <x v="1"/>
    <n v="0"/>
    <n v="3"/>
    <n v="14666.06"/>
    <n v="3277.28"/>
    <n v="4736.5200000000004"/>
  </r>
  <r>
    <s v="993"/>
    <s v="María Ramírez"/>
    <d v="1960-12-31T00:00:00"/>
    <n v="65"/>
    <x v="1"/>
    <x v="5"/>
    <d v="2024-07-23T00:00:00"/>
    <d v="2024-04-19T00:00:00"/>
    <n v="34"/>
    <x v="2"/>
    <n v="2"/>
    <n v="7"/>
    <n v="6082.56"/>
    <n v="14417.13"/>
    <n v="19093.099999999999"/>
  </r>
  <r>
    <s v="994"/>
    <s v="Juan Pérez"/>
    <d v="1948-01-01T00:00:00"/>
    <n v="78"/>
    <x v="0"/>
    <x v="0"/>
    <d v="2024-12-24T00:00:00"/>
    <d v="2023-06-07T00:00:00"/>
    <n v="5"/>
    <x v="2"/>
    <n v="1"/>
    <n v="2"/>
    <n v="15408.88"/>
    <n v="248.96"/>
    <n v="9803.57"/>
  </r>
  <r>
    <s v="995"/>
    <s v="Juan Sánchez"/>
    <d v="1952-01-01T00:00:00"/>
    <n v="74"/>
    <x v="2"/>
    <x v="6"/>
    <d v="2023-05-10T00:00:00"/>
    <d v="2023-03-31T00:00:00"/>
    <n v="22"/>
    <x v="0"/>
    <n v="6"/>
    <n v="2"/>
    <n v="549.87"/>
    <n v="2513.54"/>
    <n v="10450.33"/>
  </r>
  <r>
    <s v="996"/>
    <s v="Ana López"/>
    <d v="2019-01-01T00:00:00"/>
    <n v="7"/>
    <x v="1"/>
    <x v="2"/>
    <d v="2024-06-20T00:00:00"/>
    <d v="2023-07-22T00:00:00"/>
    <n v="20"/>
    <x v="0"/>
    <n v="13"/>
    <n v="7"/>
    <n v="21561.21"/>
    <n v="7005.02"/>
    <n v="11931.44"/>
  </r>
  <r>
    <s v="997"/>
    <s v="Elena Gómez"/>
    <d v="2000-12-31T00:00:00"/>
    <n v="25"/>
    <x v="1"/>
    <x v="6"/>
    <d v="2023-01-11T00:00:00"/>
    <d v="2024-04-07T00:00:00"/>
    <n v="7"/>
    <x v="0"/>
    <n v="6"/>
    <n v="2"/>
    <n v="3373.01"/>
    <n v="2506.04"/>
    <n v="17727.740000000002"/>
  </r>
  <r>
    <s v="998"/>
    <s v="Carmen Pérez"/>
    <d v="1976-01-01T00:00:00"/>
    <n v="50"/>
    <x v="0"/>
    <x v="5"/>
    <d v="2023-09-14T00:00:00"/>
    <d v="2024-04-26T00:00:00"/>
    <n v="27"/>
    <x v="0"/>
    <n v="4"/>
    <n v="1"/>
    <n v="2907.59"/>
    <n v="2503.04"/>
    <n v="10619.52"/>
  </r>
  <r>
    <s v="999"/>
    <s v="Jorge Morales"/>
    <d v="1981-12-31T00:00:00"/>
    <n v="44"/>
    <x v="0"/>
    <x v="6"/>
    <d v="2024-01-04T00:00:00"/>
    <d v="2024-12-10T00:00:00"/>
    <n v="30"/>
    <x v="0"/>
    <n v="2"/>
    <n v="4"/>
    <n v="28363.86"/>
    <n v="9515.2199999999993"/>
    <n v="10773.41"/>
  </r>
  <r>
    <s v="1000"/>
    <s v="Sofía Ramírez"/>
    <d v="1983-01-01T00:00:00"/>
    <n v="43"/>
    <x v="1"/>
    <x v="4"/>
    <d v="2024-01-29T00:00:00"/>
    <d v="2024-07-11T00:00:00"/>
    <n v="8"/>
    <x v="2"/>
    <n v="5"/>
    <n v="2"/>
    <n v="23062.98"/>
    <n v="12285.45"/>
    <n v="4727.8900000000003"/>
  </r>
  <r>
    <s v="1001"/>
    <s v="Ana Hernández"/>
    <d v="2021-12-31T00:00:00"/>
    <n v="4"/>
    <x v="0"/>
    <x v="4"/>
    <d v="2024-08-15T00:00:00"/>
    <d v="2024-03-30T00:00:00"/>
    <n v="32"/>
    <x v="0"/>
    <n v="7"/>
    <n v="5"/>
    <n v="12133.98"/>
    <n v="9924.26"/>
    <n v="12016.63"/>
  </r>
  <r>
    <s v="1002"/>
    <s v="Ricardo Gómez"/>
    <d v="1956-12-31T00:00:00"/>
    <n v="69"/>
    <x v="0"/>
    <x v="2"/>
    <d v="2024-02-23T00:00:00"/>
    <d v="2024-04-15T00:00:00"/>
    <n v="24"/>
    <x v="0"/>
    <n v="11"/>
    <n v="6"/>
    <n v="6807.07"/>
    <n v="1521.78"/>
    <n v="7561.11"/>
  </r>
  <r>
    <s v="1003"/>
    <s v="Luisa Gómez"/>
    <d v="2000-12-31T00:00:00"/>
    <n v="25"/>
    <x v="1"/>
    <x v="3"/>
    <d v="2023-01-19T00:00:00"/>
    <d v="2024-01-16T00:00:00"/>
    <n v="0"/>
    <x v="0"/>
    <n v="0"/>
    <n v="2"/>
    <n v="25226.46"/>
    <n v="13430.68"/>
    <n v="12900.31"/>
  </r>
  <r>
    <s v="1004"/>
    <s v="Miguel Sánchez"/>
    <d v="1959-01-01T00:00:00"/>
    <n v="67"/>
    <x v="0"/>
    <x v="1"/>
    <d v="2023-04-20T00:00:00"/>
    <d v="2024-02-06T00:00:00"/>
    <n v="5"/>
    <x v="0"/>
    <n v="4"/>
    <n v="8"/>
    <n v="0"/>
    <n v="13841.22"/>
    <n v="5945"/>
  </r>
  <r>
    <s v="1005"/>
    <s v="Pedro Pérez"/>
    <d v="2008-01-01T00:00:00"/>
    <n v="18"/>
    <x v="0"/>
    <x v="2"/>
    <d v="2024-03-12T00:00:00"/>
    <d v="2023-03-21T00:00:00"/>
    <n v="10"/>
    <x v="2"/>
    <n v="5"/>
    <n v="9"/>
    <n v="15004.8"/>
    <n v="4215.04"/>
    <n v="14286.14"/>
  </r>
  <r>
    <s v="1006"/>
    <s v="Elena Sánchez"/>
    <d v="1943-01-01T00:00:00"/>
    <n v="83"/>
    <x v="0"/>
    <x v="6"/>
    <d v="2024-05-19T00:00:00"/>
    <d v="2024-07-05T00:00:00"/>
    <n v="39"/>
    <x v="2"/>
    <n v="1"/>
    <n v="0"/>
    <n v="17192.32"/>
    <n v="8296.69"/>
    <n v="12339.95"/>
  </r>
  <r>
    <s v="1007"/>
    <s v="María Hernández"/>
    <d v="2007-01-01T00:00:00"/>
    <n v="19"/>
    <x v="1"/>
    <x v="5"/>
    <d v="2023-02-03T00:00:00"/>
    <d v="2025-03-07T00:00:00"/>
    <n v="0"/>
    <x v="0"/>
    <n v="4"/>
    <n v="6"/>
    <n v="0"/>
    <n v="7278.55"/>
    <n v="9437.1299999999992"/>
  </r>
  <r>
    <s v="1008"/>
    <s v="Elena Pérez"/>
    <d v="2015-01-01T00:00:00"/>
    <n v="11"/>
    <x v="1"/>
    <x v="4"/>
    <d v="2023-10-15T00:00:00"/>
    <d v="2024-01-22T00:00:00"/>
    <n v="17"/>
    <x v="2"/>
    <n v="14"/>
    <n v="3"/>
    <n v="17472.13"/>
    <n v="10023.370000000001"/>
    <n v="1843.12"/>
  </r>
  <r>
    <s v="1009"/>
    <s v="Luis Ramírez"/>
    <d v="1965-01-01T00:00:00"/>
    <n v="46"/>
    <x v="1"/>
    <x v="0"/>
    <d v="2023-09-12T00:00:00"/>
    <d v="2024-10-29T00:00:00"/>
    <n v="32"/>
    <x v="0"/>
    <n v="6"/>
    <n v="6"/>
    <n v="11718.23"/>
    <n v="14669.2"/>
    <n v="12502.06"/>
  </r>
  <r>
    <s v="1010"/>
    <s v="Elena Morales"/>
    <d v="2025-12-31T00:00:00"/>
    <n v="0"/>
    <x v="1"/>
    <x v="0"/>
    <d v="2024-09-29T00:00:00"/>
    <d v="2024-10-23T00:00:00"/>
    <n v="10"/>
    <x v="2"/>
    <n v="11"/>
    <n v="8"/>
    <n v="25290.14"/>
    <n v="14795.71"/>
    <n v="17171.509999999998"/>
  </r>
  <r>
    <s v="1011"/>
    <s v="Juan Gómez"/>
    <d v="1936-12-31T00:00:00"/>
    <n v="89"/>
    <x v="0"/>
    <x v="5"/>
    <d v="2024-12-21T00:00:00"/>
    <d v="2023-12-10T00:00:00"/>
    <n v="17"/>
    <x v="0"/>
    <n v="5"/>
    <n v="8"/>
    <n v="11001.95"/>
    <n v="7637.16"/>
    <n v="3338.6"/>
  </r>
  <r>
    <s v="1012"/>
    <s v="Luisa Hernández"/>
    <d v="2012-12-31T00:00:00"/>
    <n v="13"/>
    <x v="0"/>
    <x v="6"/>
    <d v="2023-05-14T00:00:00"/>
    <d v="2024-03-21T00:00:00"/>
    <n v="21"/>
    <x v="0"/>
    <n v="0"/>
    <n v="0"/>
    <n v="19287.759999999998"/>
    <n v="1379.24"/>
    <n v="1602.86"/>
  </r>
  <r>
    <s v="1013"/>
    <s v="Carlos Morales"/>
    <d v="1963-01-01T00:00:00"/>
    <n v="63"/>
    <x v="0"/>
    <x v="1"/>
    <d v="2024-05-13T00:00:00"/>
    <d v="2023-02-22T00:00:00"/>
    <n v="6"/>
    <x v="0"/>
    <n v="12"/>
    <n v="9"/>
    <n v="5705.71"/>
    <n v="5017.09"/>
    <n v="695.33"/>
  </r>
  <r>
    <s v="1014"/>
    <s v="María Morales"/>
    <d v="1988-12-31T00:00:00"/>
    <n v="37"/>
    <x v="2"/>
    <x v="5"/>
    <d v="2024-02-01T00:00:00"/>
    <d v="2023-09-09T00:00:00"/>
    <n v="27"/>
    <x v="0"/>
    <n v="0"/>
    <n v="3"/>
    <n v="2265.52"/>
    <n v="6203.5"/>
    <n v="539.55999999999995"/>
  </r>
  <r>
    <s v="1015"/>
    <s v="Ana Rodríguez"/>
    <d v="1989-12-31T00:00:00"/>
    <n v="36"/>
    <x v="1"/>
    <x v="6"/>
    <d v="2024-05-01T00:00:00"/>
    <d v="2025-06-13T00:00:00"/>
    <n v="22"/>
    <x v="0"/>
    <n v="11"/>
    <n v="6"/>
    <n v="730.83"/>
    <n v="8019.5"/>
    <n v="16825.59"/>
  </r>
  <r>
    <s v="1016"/>
    <s v="Luisa Sánchez"/>
    <d v="1996-01-01T00:00:00"/>
    <n v="10"/>
    <x v="0"/>
    <x v="2"/>
    <d v="2024-08-20T00:00:00"/>
    <d v="2024-10-21T00:00:00"/>
    <n v="13"/>
    <x v="0"/>
    <n v="2"/>
    <n v="9"/>
    <n v="12177.19"/>
    <n v="14405.56"/>
    <n v="14525.06"/>
  </r>
  <r>
    <s v="1017"/>
    <s v="María Morales"/>
    <d v="1949-12-31T00:00:00"/>
    <n v="76"/>
    <x v="0"/>
    <x v="1"/>
    <d v="2024-08-09T00:00:00"/>
    <d v="2023-11-26T00:00:00"/>
    <n v="5"/>
    <x v="2"/>
    <n v="13"/>
    <n v="5"/>
    <n v="4487.63"/>
    <n v="3936.26"/>
    <n v="3966.2"/>
  </r>
  <r>
    <s v="1018"/>
    <s v="Luisa Sánchez"/>
    <d v="2024-01-01T00:00:00"/>
    <n v="2"/>
    <x v="1"/>
    <x v="3"/>
    <d v="2024-10-08T00:00:00"/>
    <d v="2024-05-09T00:00:00"/>
    <n v="25"/>
    <x v="0"/>
    <n v="3"/>
    <n v="8"/>
    <n v="29801.15"/>
    <n v="8050.32"/>
    <n v="18334.060000000001"/>
  </r>
  <r>
    <s v="1019"/>
    <s v="José Hernández"/>
    <d v="1993-12-31T00:00:00"/>
    <n v="93"/>
    <x v="0"/>
    <x v="6"/>
    <d v="2024-11-15T00:00:00"/>
    <d v="2023-12-17T00:00:00"/>
    <n v="9"/>
    <x v="0"/>
    <n v="3"/>
    <n v="6"/>
    <n v="23850.69"/>
    <n v="4365.72"/>
    <n v="2620.33"/>
  </r>
  <r>
    <s v="1020"/>
    <s v="Miguel Pérez"/>
    <d v="2020-12-31T00:00:00"/>
    <n v="5"/>
    <x v="1"/>
    <x v="0"/>
    <d v="2023-08-01T00:00:00"/>
    <d v="2025-02-09T00:00:00"/>
    <n v="21"/>
    <x v="2"/>
    <n v="12"/>
    <n v="2"/>
    <n v="20647.88"/>
    <n v="13791.93"/>
    <n v="7420.67"/>
  </r>
  <r>
    <s v="1021"/>
    <s v="Ana Pérez"/>
    <d v="1976-12-31T00:00:00"/>
    <n v="49"/>
    <x v="0"/>
    <x v="0"/>
    <d v="2023-12-16T00:00:00"/>
    <d v="2025-02-24T00:00:00"/>
    <n v="26"/>
    <x v="2"/>
    <n v="14"/>
    <n v="6"/>
    <n v="24001.21"/>
    <n v="14849.37"/>
    <n v="8987.3799999999992"/>
  </r>
  <r>
    <s v="1022"/>
    <s v="Ana Gómez"/>
    <d v="2016-12-31T00:00:00"/>
    <n v="9"/>
    <x v="0"/>
    <x v="4"/>
    <d v="2023-01-19T00:00:00"/>
    <d v="2024-04-04T00:00:00"/>
    <n v="12"/>
    <x v="0"/>
    <n v="13"/>
    <n v="9"/>
    <n v="7513.79"/>
    <n v="13061.09"/>
    <n v="1425.5"/>
  </r>
  <r>
    <s v="1023"/>
    <s v="Carmen Martínez"/>
    <d v="2021-12-31T00:00:00"/>
    <n v="4"/>
    <x v="1"/>
    <x v="1"/>
    <d v="2023-04-29T00:00:00"/>
    <d v="2024-05-13T00:00:00"/>
    <n v="15"/>
    <x v="0"/>
    <n v="9"/>
    <n v="4"/>
    <n v="26317.55"/>
    <n v="5081.1499999999996"/>
    <n v="6884.23"/>
  </r>
  <r>
    <s v="1024"/>
    <s v="Miguel Cruz"/>
    <d v="2004-01-01T00:00:00"/>
    <n v="22"/>
    <x v="0"/>
    <x v="3"/>
    <d v="2023-10-29T00:00:00"/>
    <d v="2023-05-06T00:00:00"/>
    <n v="4"/>
    <x v="0"/>
    <n v="0"/>
    <n v="1"/>
    <n v="29866.91"/>
    <n v="4168.26"/>
    <n v="1947.8"/>
  </r>
  <r>
    <s v="1025"/>
    <s v="Carmen Morales"/>
    <d v="2016-12-31T00:00:00"/>
    <n v="9"/>
    <x v="0"/>
    <x v="6"/>
    <d v="2023-10-12T00:00:00"/>
    <d v="2023-07-24T00:00:00"/>
    <n v="10"/>
    <x v="0"/>
    <n v="5"/>
    <n v="9"/>
    <n v="8340.56"/>
    <n v="6467.56"/>
    <n v="15774.47"/>
  </r>
  <r>
    <s v="1026"/>
    <s v="Carlos Sánchez"/>
    <d v="1983-01-01T00:00:00"/>
    <n v="43"/>
    <x v="1"/>
    <x v="3"/>
    <d v="2023-08-15T00:00:00"/>
    <d v="2025-02-07T00:00:00"/>
    <n v="16"/>
    <x v="2"/>
    <n v="6"/>
    <n v="2"/>
    <n v="29531.78"/>
    <n v="11213.64"/>
    <n v="841.24"/>
  </r>
  <r>
    <s v="1027"/>
    <s v="Carlos Hernández"/>
    <d v="2024-12-31T00:00:00"/>
    <n v="1"/>
    <x v="1"/>
    <x v="4"/>
    <d v="2024-05-21T00:00:00"/>
    <d v="2024-10-05T00:00:00"/>
    <n v="2"/>
    <x v="0"/>
    <n v="12"/>
    <n v="5"/>
    <n v="9272.09"/>
    <n v="139.72999999999999"/>
    <n v="244.45"/>
  </r>
  <r>
    <s v="1028"/>
    <s v="Ana Sánchez"/>
    <d v="2013-12-31T00:00:00"/>
    <n v="12"/>
    <x v="1"/>
    <x v="2"/>
    <d v="2024-05-15T00:00:00"/>
    <d v="2023-01-22T00:00:00"/>
    <n v="23"/>
    <x v="2"/>
    <n v="0"/>
    <n v="5"/>
    <n v="142.44"/>
    <n v="14926.67"/>
    <n v="14623.22"/>
  </r>
  <r>
    <s v="1029"/>
    <s v="Carmen Hernández"/>
    <d v="1987-01-01T00:00:00"/>
    <n v="39"/>
    <x v="0"/>
    <x v="3"/>
    <d v="2023-07-31T00:00:00"/>
    <d v="2024-08-13T00:00:00"/>
    <n v="1"/>
    <x v="1"/>
    <n v="2"/>
    <n v="6"/>
    <n v="10700.03"/>
    <n v="13251.17"/>
    <n v="15595.05"/>
  </r>
  <r>
    <s v="1030"/>
    <s v="Pedro Pérez"/>
    <d v="2024-12-31T00:00:00"/>
    <n v="1"/>
    <x v="0"/>
    <x v="2"/>
    <d v="2023-12-22T00:00:00"/>
    <d v="2025-04-27T00:00:00"/>
    <n v="30"/>
    <x v="2"/>
    <n v="13"/>
    <n v="5"/>
    <n v="29924.21"/>
    <n v="357.23"/>
    <n v="9862.16"/>
  </r>
  <r>
    <s v="1031"/>
    <s v="José Pérez"/>
    <d v="1943-01-01T00:00:00"/>
    <n v="83"/>
    <x v="0"/>
    <x v="0"/>
    <d v="2024-12-01T00:00:00"/>
    <d v="2024-07-17T00:00:00"/>
    <n v="34"/>
    <x v="2"/>
    <n v="10"/>
    <n v="8"/>
    <n v="18872.11"/>
    <n v="5731.5"/>
    <n v="6289.24"/>
  </r>
  <r>
    <s v="1032"/>
    <s v="Juan Sánchez"/>
    <d v="1961-12-31T00:00:00"/>
    <n v="64"/>
    <x v="0"/>
    <x v="2"/>
    <d v="2024-05-01T00:00:00"/>
    <d v="2023-12-29T00:00:00"/>
    <n v="22"/>
    <x v="1"/>
    <n v="9"/>
    <n v="4"/>
    <n v="20711.91"/>
    <n v="10317.51"/>
    <n v="4652.71"/>
  </r>
  <r>
    <s v="1033"/>
    <s v="Laura Ramírez"/>
    <d v="1964-01-01T00:00:00"/>
    <n v="62"/>
    <x v="0"/>
    <x v="6"/>
    <d v="2023-11-17T00:00:00"/>
    <d v="2023-12-28T00:00:00"/>
    <n v="22"/>
    <x v="0"/>
    <n v="9"/>
    <n v="4"/>
    <n v="6769.59"/>
    <n v="3621.09"/>
    <n v="2252.2600000000002"/>
  </r>
  <r>
    <s v="1034"/>
    <s v="Carlos Hernández"/>
    <d v="1953-12-31T00:00:00"/>
    <n v="72"/>
    <x v="1"/>
    <x v="1"/>
    <d v="2024-10-24T00:00:00"/>
    <d v="2025-02-17T00:00:00"/>
    <n v="36"/>
    <x v="0"/>
    <n v="1"/>
    <n v="7"/>
    <n v="3950.56"/>
    <n v="2142.58"/>
    <n v="9633.0300000000007"/>
  </r>
  <r>
    <s v="1035"/>
    <s v="Laura Cruz"/>
    <d v="2009-12-31T00:00:00"/>
    <n v="16"/>
    <x v="0"/>
    <x v="1"/>
    <d v="2023-08-11T00:00:00"/>
    <d v="2023-04-27T00:00:00"/>
    <n v="27"/>
    <x v="0"/>
    <n v="14"/>
    <n v="7"/>
    <n v="26508.07"/>
    <n v="9439.7800000000007"/>
    <n v="9770.89"/>
  </r>
  <r>
    <s v="1036"/>
    <s v="Luisa Rodríguez"/>
    <d v="2017-12-31T00:00:00"/>
    <n v="8"/>
    <x v="1"/>
    <x v="6"/>
    <d v="2024-10-01T00:00:00"/>
    <d v="2023-02-25T00:00:00"/>
    <n v="38"/>
    <x v="0"/>
    <n v="2"/>
    <n v="0"/>
    <n v="12108.46"/>
    <n v="13552.88"/>
    <n v="9064.81"/>
  </r>
  <r>
    <s v="1037"/>
    <s v="Ricardo Hernández"/>
    <d v="1952-01-01T00:00:00"/>
    <n v="74"/>
    <x v="1"/>
    <x v="6"/>
    <d v="2024-07-16T00:00:00"/>
    <d v="2023-10-20T00:00:00"/>
    <n v="1"/>
    <x v="1"/>
    <n v="3"/>
    <n v="2"/>
    <n v="0"/>
    <n v="14333.9"/>
    <n v="15543.08"/>
  </r>
  <r>
    <s v="1038"/>
    <s v="Carmen López"/>
    <d v="1976-01-01T00:00:00"/>
    <n v="14"/>
    <x v="0"/>
    <x v="6"/>
    <d v="2023-07-10T00:00:00"/>
    <d v="2023-02-21T00:00:00"/>
    <n v="16"/>
    <x v="2"/>
    <n v="14"/>
    <n v="5"/>
    <n v="8474.5"/>
    <n v="153.94999999999999"/>
    <n v="1905.51"/>
  </r>
  <r>
    <s v="1039"/>
    <s v="Ricardo Rodríguez"/>
    <d v="2003-01-01T00:00:00"/>
    <n v="23"/>
    <x v="1"/>
    <x v="5"/>
    <d v="2024-05-14T00:00:00"/>
    <d v="2025-04-22T00:00:00"/>
    <n v="24"/>
    <x v="1"/>
    <n v="4"/>
    <n v="5"/>
    <n v="5469.83"/>
    <n v="13116.86"/>
    <n v="13367.2"/>
  </r>
  <r>
    <s v="1040"/>
    <s v="Sofía Morales"/>
    <d v="1988-12-31T00:00:00"/>
    <n v="37"/>
    <x v="0"/>
    <x v="4"/>
    <d v="2024-05-09T00:00:00"/>
    <d v="2025-02-24T00:00:00"/>
    <n v="36"/>
    <x v="1"/>
    <n v="0"/>
    <n v="0"/>
    <n v="17915.05"/>
    <n v="8411.52"/>
    <n v="7971.5"/>
  </r>
  <r>
    <s v="1041"/>
    <s v="María Pérez"/>
    <d v="1992-01-01T00:00:00"/>
    <n v="34"/>
    <x v="0"/>
    <x v="2"/>
    <d v="2023-08-25T00:00:00"/>
    <d v="2023-09-12T00:00:00"/>
    <n v="21"/>
    <x v="1"/>
    <n v="8"/>
    <n v="1"/>
    <n v="22561.759999999998"/>
    <n v="3565.56"/>
    <n v="4743.09"/>
  </r>
  <r>
    <s v="1042"/>
    <s v="Laura Gómez"/>
    <d v="1932-12-31T00:00:00"/>
    <n v="93"/>
    <x v="1"/>
    <x v="6"/>
    <d v="2023-01-22T00:00:00"/>
    <d v="2024-05-07T00:00:00"/>
    <n v="34"/>
    <x v="1"/>
    <n v="4"/>
    <n v="9"/>
    <n v="14673.7"/>
    <n v="9254.16"/>
    <n v="13600.04"/>
  </r>
  <r>
    <s v="1043"/>
    <s v="Luisa Morales"/>
    <d v="1932-01-01T00:00:00"/>
    <n v="94"/>
    <x v="1"/>
    <x v="1"/>
    <d v="2024-09-13T00:00:00"/>
    <d v="2024-07-27T00:00:00"/>
    <n v="22"/>
    <x v="1"/>
    <n v="7"/>
    <n v="6"/>
    <n v="0"/>
    <n v="14936.83"/>
    <n v="3873.33"/>
  </r>
  <r>
    <s v="1044"/>
    <s v="Juan Hernández"/>
    <d v="1977-12-31T00:00:00"/>
    <n v="48"/>
    <x v="0"/>
    <x v="3"/>
    <d v="2023-11-23T00:00:00"/>
    <d v="2025-05-09T00:00:00"/>
    <n v="26"/>
    <x v="1"/>
    <n v="10"/>
    <n v="0"/>
    <n v="1267.92"/>
    <n v="4142.59"/>
    <n v="4541.43"/>
  </r>
  <r>
    <s v="1045"/>
    <s v="Ricardo Ramírez"/>
    <d v="1957-12-31T00:00:00"/>
    <n v="68"/>
    <x v="0"/>
    <x v="3"/>
    <d v="2024-06-28T00:00:00"/>
    <d v="2025-05-13T00:00:00"/>
    <n v="28"/>
    <x v="0"/>
    <n v="10"/>
    <n v="9"/>
    <n v="9062.7900000000009"/>
    <n v="4153.32"/>
    <n v="19970.77"/>
  </r>
  <r>
    <s v="1046"/>
    <s v="Sofía Sánchez"/>
    <d v="1964-12-31T00:00:00"/>
    <n v="61"/>
    <x v="1"/>
    <x v="5"/>
    <d v="2023-05-07T00:00:00"/>
    <d v="2023-08-14T00:00:00"/>
    <n v="32"/>
    <x v="1"/>
    <n v="9"/>
    <n v="4"/>
    <n v="24081.88"/>
    <n v="10484.14"/>
    <n v="17762.240000000002"/>
  </r>
  <r>
    <s v="1047"/>
    <s v="José Rodríguez"/>
    <d v="1967-01-01T00:00:00"/>
    <n v="59"/>
    <x v="1"/>
    <x v="2"/>
    <d v="2023-12-31T00:00:00"/>
    <d v="2024-04-14T00:00:00"/>
    <n v="25"/>
    <x v="1"/>
    <n v="6"/>
    <n v="0"/>
    <n v="12295.16"/>
    <n v="648.11"/>
    <n v="13912.5"/>
  </r>
  <r>
    <s v="1048"/>
    <s v="Pedro Ramírez"/>
    <d v="1976-12-31T00:00:00"/>
    <n v="49"/>
    <x v="0"/>
    <x v="2"/>
    <d v="2023-02-13T00:00:00"/>
    <d v="2025-04-28T00:00:00"/>
    <n v="35"/>
    <x v="0"/>
    <n v="13"/>
    <n v="5"/>
    <n v="7193.66"/>
    <n v="12308.21"/>
    <n v="6246.83"/>
  </r>
  <r>
    <s v="1049"/>
    <s v="Carlos Cruz"/>
    <d v="1948-12-31T00:00:00"/>
    <n v="77"/>
    <x v="0"/>
    <x v="4"/>
    <d v="2024-06-02T00:00:00"/>
    <d v="2023-04-14T00:00:00"/>
    <n v="1"/>
    <x v="1"/>
    <n v="13"/>
    <n v="6"/>
    <n v="132.11000000000001"/>
    <n v="9787.93"/>
    <n v="10688.04"/>
  </r>
  <r>
    <s v="1050"/>
    <s v="Jorge Gómez"/>
    <d v="1952-01-01T00:00:00"/>
    <n v="74"/>
    <x v="1"/>
    <x v="2"/>
    <d v="2023-05-08T00:00:00"/>
    <d v="2023-02-18T00:00:00"/>
    <n v="25"/>
    <x v="1"/>
    <n v="12"/>
    <n v="7"/>
    <n v="14629.89"/>
    <n v="12617.87"/>
    <n v="2444.98"/>
  </r>
  <r>
    <s v="1051"/>
    <s v="Carlos Gómez"/>
    <d v="2017-12-31T00:00:00"/>
    <n v="69"/>
    <x v="1"/>
    <x v="1"/>
    <d v="2024-08-25T00:00:00"/>
    <d v="2025-01-07T00:00:00"/>
    <n v="28"/>
    <x v="0"/>
    <n v="1"/>
    <n v="2"/>
    <n v="20387.07"/>
    <n v="3461.1"/>
    <n v="6612.43"/>
  </r>
  <r>
    <s v="1052"/>
    <s v="Elena Pérez"/>
    <d v="1992-12-31T00:00:00"/>
    <n v="33"/>
    <x v="0"/>
    <x v="1"/>
    <d v="2023-05-10T00:00:00"/>
    <d v="2023-12-09T00:00:00"/>
    <n v="20"/>
    <x v="0"/>
    <n v="7"/>
    <n v="2"/>
    <n v="5305.05"/>
    <n v="12707.85"/>
    <n v="1266.21"/>
  </r>
  <r>
    <s v="1053"/>
    <s v="Ana Martínez"/>
    <d v="1951-01-01T00:00:00"/>
    <n v="75"/>
    <x v="0"/>
    <x v="4"/>
    <d v="2024-06-12T00:00:00"/>
    <d v="2023-08-22T00:00:00"/>
    <n v="11"/>
    <x v="0"/>
    <n v="10"/>
    <n v="0"/>
    <n v="15884.26"/>
    <n v="6729.2"/>
    <n v="12167.4"/>
  </r>
  <r>
    <s v="1054"/>
    <s v="Elena Hernández"/>
    <d v="1992-01-01T00:00:00"/>
    <n v="34"/>
    <x v="2"/>
    <x v="5"/>
    <d v="2023-11-17T00:00:00"/>
    <d v="2024-08-05T00:00:00"/>
    <n v="25"/>
    <x v="2"/>
    <n v="9"/>
    <n v="2"/>
    <n v="12332.53"/>
    <n v="1990.83"/>
    <n v="17135.66"/>
  </r>
  <r>
    <s v="1055"/>
    <s v="Luis Pérez"/>
    <d v="2025-12-31T00:00:00"/>
    <n v="0"/>
    <x v="0"/>
    <x v="2"/>
    <d v="2023-07-05T00:00:00"/>
    <d v="2024-07-13T00:00:00"/>
    <n v="11"/>
    <x v="1"/>
    <n v="8"/>
    <n v="4"/>
    <n v="20970.400000000001"/>
    <n v="13521.34"/>
    <n v="16171.98"/>
  </r>
  <r>
    <s v="1056"/>
    <s v="Carlos Pérez"/>
    <d v="1987-01-01T00:00:00"/>
    <n v="39"/>
    <x v="0"/>
    <x v="2"/>
    <d v="2024-09-13T00:00:00"/>
    <d v="2023-08-17T00:00:00"/>
    <n v="2"/>
    <x v="1"/>
    <n v="9"/>
    <n v="5"/>
    <n v="25748.45"/>
    <n v="10575.2"/>
    <n v="17107.23"/>
  </r>
  <r>
    <s v="1057"/>
    <s v="Carmen Martínez"/>
    <d v="1963-01-01T00:00:00"/>
    <n v="63"/>
    <x v="1"/>
    <x v="6"/>
    <d v="2023-12-14T00:00:00"/>
    <d v="2024-06-06T00:00:00"/>
    <n v="29"/>
    <x v="1"/>
    <n v="0"/>
    <n v="2"/>
    <n v="8864.99"/>
    <n v="2524.2800000000002"/>
    <n v="3409.45"/>
  </r>
  <r>
    <s v="1058"/>
    <s v="Luis Hernández"/>
    <d v="2004-12-31T00:00:00"/>
    <n v="21"/>
    <x v="0"/>
    <x v="2"/>
    <d v="2024-04-25T00:00:00"/>
    <d v="2024-11-28T00:00:00"/>
    <n v="38"/>
    <x v="0"/>
    <n v="13"/>
    <n v="3"/>
    <n v="27095.52"/>
    <n v="3697.57"/>
    <n v="12966.7"/>
  </r>
  <r>
    <s v="1059"/>
    <s v="Pedro Morales"/>
    <d v="1967-01-01T00:00:00"/>
    <n v="59"/>
    <x v="1"/>
    <x v="1"/>
    <d v="2024-11-05T00:00:00"/>
    <d v="2024-08-15T00:00:00"/>
    <n v="15"/>
    <x v="0"/>
    <n v="10"/>
    <n v="4"/>
    <n v="21062.03"/>
    <n v="4032.95"/>
    <n v="19130.509999999998"/>
  </r>
  <r>
    <s v="1060"/>
    <s v="Jorge Pérez"/>
    <d v="1963-01-01T00:00:00"/>
    <n v="63"/>
    <x v="0"/>
    <x v="6"/>
    <d v="2024-08-09T00:00:00"/>
    <d v="2023-01-14T00:00:00"/>
    <n v="2"/>
    <x v="1"/>
    <n v="14"/>
    <n v="4"/>
    <n v="633.57000000000005"/>
    <n v="14450.01"/>
    <n v="15643.35"/>
  </r>
  <r>
    <s v="1061"/>
    <s v="Ana Morales"/>
    <d v="1933-12-31T00:00:00"/>
    <n v="92"/>
    <x v="1"/>
    <x v="6"/>
    <d v="2024-12-11T00:00:00"/>
    <d v="2024-05-14T00:00:00"/>
    <n v="39"/>
    <x v="0"/>
    <n v="9"/>
    <n v="8"/>
    <n v="23632.91"/>
    <n v="13292.66"/>
    <n v="31.85"/>
  </r>
  <r>
    <s v="1062"/>
    <s v="Carmen Pérez"/>
    <d v="1955-01-01T00:00:00"/>
    <n v="71"/>
    <x v="1"/>
    <x v="2"/>
    <d v="2023-12-27T00:00:00"/>
    <d v="2024-03-21T00:00:00"/>
    <n v="12"/>
    <x v="0"/>
    <n v="1"/>
    <n v="7"/>
    <n v="14586.13"/>
    <n v="5195.18"/>
    <n v="17634.36"/>
  </r>
  <r>
    <s v="1063"/>
    <s v="Sofía Ramírez"/>
    <d v="2016-01-01T00:00:00"/>
    <n v="10"/>
    <x v="0"/>
    <x v="3"/>
    <d v="2023-10-14T00:00:00"/>
    <d v="2025-04-06T00:00:00"/>
    <n v="39"/>
    <x v="0"/>
    <n v="4"/>
    <n v="0"/>
    <n v="28336.560000000001"/>
    <n v="6999.55"/>
    <n v="14086.17"/>
  </r>
  <r>
    <s v="1064"/>
    <s v="Luisa Martínez"/>
    <d v="2012-12-31T00:00:00"/>
    <n v="13"/>
    <x v="0"/>
    <x v="0"/>
    <d v="2023-07-01T00:00:00"/>
    <d v="2023-12-07T00:00:00"/>
    <n v="13"/>
    <x v="2"/>
    <n v="11"/>
    <n v="1"/>
    <n v="9370.76"/>
    <n v="4279.2"/>
    <n v="2353.4499999999998"/>
  </r>
  <r>
    <s v="1065"/>
    <s v="Luisa Gómez"/>
    <d v="1967-01-01T00:00:00"/>
    <n v="59"/>
    <x v="1"/>
    <x v="1"/>
    <d v="2024-03-26T00:00:00"/>
    <d v="2023-11-21T00:00:00"/>
    <n v="33"/>
    <x v="0"/>
    <n v="1"/>
    <n v="4"/>
    <n v="17532.02"/>
    <n v="11139.73"/>
    <n v="6207.83"/>
  </r>
  <r>
    <s v="1066"/>
    <s v="Ricardo López"/>
    <d v="1996-12-31T00:00:00"/>
    <n v="29"/>
    <x v="0"/>
    <x v="3"/>
    <d v="2023-04-07T00:00:00"/>
    <d v="2024-08-19T00:00:00"/>
    <n v="33"/>
    <x v="0"/>
    <n v="13"/>
    <n v="2"/>
    <n v="28662.46"/>
    <n v="2418.14"/>
    <n v="2262.0500000000002"/>
  </r>
  <r>
    <s v="1067"/>
    <s v="Ricardo Ramírez"/>
    <d v="1992-01-01T00:00:00"/>
    <n v="34"/>
    <x v="1"/>
    <x v="2"/>
    <d v="2024-07-16T00:00:00"/>
    <d v="2024-08-21T00:00:00"/>
    <n v="37"/>
    <x v="2"/>
    <n v="4"/>
    <n v="6"/>
    <n v="7770.37"/>
    <n v="5079.21"/>
    <n v="14569.19"/>
  </r>
  <r>
    <s v="1068"/>
    <s v="Carlos Gómez"/>
    <d v="1941-12-31T00:00:00"/>
    <n v="84"/>
    <x v="1"/>
    <x v="2"/>
    <d v="2023-11-10T00:00:00"/>
    <d v="2023-06-07T00:00:00"/>
    <n v="27"/>
    <x v="0"/>
    <n v="0"/>
    <n v="5"/>
    <n v="13894.58"/>
    <n v="9091.57"/>
    <n v="29.17"/>
  </r>
  <r>
    <s v="1069"/>
    <s v="Miguel Gómez"/>
    <d v="1989-12-31T00:00:00"/>
    <n v="36"/>
    <x v="0"/>
    <x v="3"/>
    <d v="2024-06-29T00:00:00"/>
    <d v="2024-10-18T00:00:00"/>
    <n v="35"/>
    <x v="0"/>
    <n v="10"/>
    <n v="1"/>
    <n v="22451.11"/>
    <n v="13160.17"/>
    <n v="9236.9"/>
  </r>
  <r>
    <s v="1070"/>
    <s v="Elena Pérez"/>
    <d v="2021-12-31T00:00:00"/>
    <n v="4"/>
    <x v="1"/>
    <x v="2"/>
    <d v="2023-01-21T00:00:00"/>
    <d v="2024-07-29T00:00:00"/>
    <n v="20"/>
    <x v="0"/>
    <n v="9"/>
    <n v="7"/>
    <n v="20578.509999999998"/>
    <n v="9533.25"/>
    <n v="19996.16"/>
  </r>
  <r>
    <s v="1071"/>
    <s v="Luis Hernández"/>
    <d v="1944-01-01T00:00:00"/>
    <n v="82"/>
    <x v="0"/>
    <x v="1"/>
    <d v="2024-11-26T00:00:00"/>
    <d v="2024-03-07T00:00:00"/>
    <n v="8"/>
    <x v="1"/>
    <n v="5"/>
    <n v="4"/>
    <n v="25080.45"/>
    <n v="14095.9"/>
    <n v="17007.72"/>
  </r>
  <r>
    <s v="1072"/>
    <s v="José Cruz"/>
    <d v="1948-12-31T00:00:00"/>
    <n v="77"/>
    <x v="1"/>
    <x v="4"/>
    <d v="2024-07-29T00:00:00"/>
    <d v="2024-07-09T00:00:00"/>
    <n v="22"/>
    <x v="0"/>
    <n v="5"/>
    <n v="5"/>
    <n v="15353.8"/>
    <n v="13962.14"/>
    <n v="11703.16"/>
  </r>
  <r>
    <s v="1073"/>
    <s v="Ana Pérez"/>
    <d v="2000-12-31T00:00:00"/>
    <n v="25"/>
    <x v="0"/>
    <x v="6"/>
    <d v="2024-05-11T00:00:00"/>
    <d v="2024-02-12T00:00:00"/>
    <n v="1"/>
    <x v="0"/>
    <n v="10"/>
    <n v="7"/>
    <n v="9227.1"/>
    <n v="10774.49"/>
    <n v="13848.08"/>
  </r>
  <r>
    <s v="1074"/>
    <s v="José Martínez"/>
    <d v="1964-12-31T00:00:00"/>
    <n v="61"/>
    <x v="0"/>
    <x v="5"/>
    <d v="2024-02-07T00:00:00"/>
    <d v="2023-06-08T00:00:00"/>
    <n v="32"/>
    <x v="1"/>
    <n v="2"/>
    <n v="5"/>
    <n v="15820.08"/>
    <n v="4180.53"/>
    <n v="12033.14"/>
  </r>
  <r>
    <s v="1075"/>
    <s v="Miguel Hernández"/>
    <d v="2023-01-01T00:00:00"/>
    <n v="3"/>
    <x v="1"/>
    <x v="2"/>
    <d v="2023-05-04T00:00:00"/>
    <d v="2023-07-05T00:00:00"/>
    <n v="21"/>
    <x v="0"/>
    <n v="0"/>
    <n v="9"/>
    <n v="10173.780000000001"/>
    <n v="10246.19"/>
    <n v="16198"/>
  </r>
  <r>
    <s v="1076"/>
    <s v="Carlos Gómez"/>
    <d v="1937-12-31T00:00:00"/>
    <n v="88"/>
    <x v="1"/>
    <x v="2"/>
    <d v="2024-09-04T00:00:00"/>
    <d v="2025-03-09T00:00:00"/>
    <n v="10"/>
    <x v="0"/>
    <n v="10"/>
    <n v="2"/>
    <n v="4881.13"/>
    <n v="2891.07"/>
    <n v="17708.29"/>
  </r>
  <r>
    <s v="1077"/>
    <s v="José Pérez"/>
    <d v="1984-12-31T00:00:00"/>
    <n v="41"/>
    <x v="0"/>
    <x v="3"/>
    <d v="2023-04-29T00:00:00"/>
    <d v="2024-05-06T00:00:00"/>
    <n v="39"/>
    <x v="1"/>
    <n v="9"/>
    <n v="6"/>
    <n v="16426.580000000002"/>
    <n v="4998.07"/>
    <n v="15308.51"/>
  </r>
  <r>
    <s v="1078"/>
    <s v="Luisa Ramírez"/>
    <d v="2012-01-01T00:00:00"/>
    <n v="88"/>
    <x v="0"/>
    <x v="6"/>
    <d v="2024-08-12T00:00:00"/>
    <d v="2025-04-15T00:00:00"/>
    <n v="34"/>
    <x v="1"/>
    <n v="5"/>
    <n v="3"/>
    <n v="975.61"/>
    <n v="11368.49"/>
    <n v="3557.45"/>
  </r>
  <r>
    <s v="1079"/>
    <s v="Miguel Ramírez"/>
    <d v="2008-12-31T00:00:00"/>
    <n v="17"/>
    <x v="1"/>
    <x v="3"/>
    <d v="2024-11-23T00:00:00"/>
    <d v="2024-06-20T00:00:00"/>
    <n v="27"/>
    <x v="0"/>
    <n v="1"/>
    <n v="5"/>
    <n v="615.54999999999995"/>
    <n v="12759.48"/>
    <n v="7387.68"/>
  </r>
  <r>
    <s v="1080"/>
    <s v="Laura Morales"/>
    <d v="1987-01-01T00:00:00"/>
    <n v="39"/>
    <x v="0"/>
    <x v="4"/>
    <d v="2024-12-11T00:00:00"/>
    <d v="2023-12-24T00:00:00"/>
    <n v="8"/>
    <x v="0"/>
    <n v="10"/>
    <n v="5"/>
    <n v="1469.49"/>
    <n v="6251.53"/>
    <n v="15666.61"/>
  </r>
  <r>
    <s v="1081"/>
    <s v="Juan López"/>
    <d v="1955-01-01T00:00:00"/>
    <n v="71"/>
    <x v="1"/>
    <x v="1"/>
    <d v="2024-04-21T00:00:00"/>
    <d v="2024-12-18T00:00:00"/>
    <n v="20"/>
    <x v="0"/>
    <n v="9"/>
    <n v="4"/>
    <n v="20014.64"/>
    <n v="7851.55"/>
    <n v="16445.87"/>
  </r>
  <r>
    <s v="1082"/>
    <s v="Elena Ramírez"/>
    <d v="1988-01-01T00:00:00"/>
    <n v="38"/>
    <x v="1"/>
    <x v="3"/>
    <d v="2024-12-02T00:00:00"/>
    <d v="2023-12-29T00:00:00"/>
    <n v="25"/>
    <x v="0"/>
    <n v="9"/>
    <n v="0"/>
    <n v="11913.1"/>
    <n v="5791.99"/>
    <n v="12538.93"/>
  </r>
  <r>
    <s v="1083"/>
    <s v="Carmen Cruz"/>
    <d v="2012-12-31T00:00:00"/>
    <n v="13"/>
    <x v="0"/>
    <x v="2"/>
    <d v="2023-04-13T00:00:00"/>
    <d v="2023-08-13T00:00:00"/>
    <n v="26"/>
    <x v="2"/>
    <n v="0"/>
    <n v="7"/>
    <n v="14570.51"/>
    <n v="7189.5"/>
    <n v="14254.32"/>
  </r>
  <r>
    <s v="1084"/>
    <s v="Luis Gómez"/>
    <d v="1995-01-01T00:00:00"/>
    <n v="31"/>
    <x v="1"/>
    <x v="6"/>
    <d v="2023-11-29T00:00:00"/>
    <d v="2024-09-05T00:00:00"/>
    <n v="12"/>
    <x v="0"/>
    <n v="10"/>
    <n v="9"/>
    <n v="9973.67"/>
    <n v="7687.31"/>
    <n v="3407.42"/>
  </r>
  <r>
    <s v="1085"/>
    <s v="Luisa Morales"/>
    <d v="1976-01-01T00:00:00"/>
    <n v="50"/>
    <x v="0"/>
    <x v="1"/>
    <d v="2024-04-03T00:00:00"/>
    <d v="2023-07-24T00:00:00"/>
    <n v="0"/>
    <x v="2"/>
    <n v="13"/>
    <n v="1"/>
    <n v="7235.9"/>
    <n v="10377.52"/>
    <n v="7390.58"/>
  </r>
  <r>
    <s v="1086"/>
    <s v="Juan Ramírez"/>
    <d v="1988-12-31T00:00:00"/>
    <n v="37"/>
    <x v="0"/>
    <x v="2"/>
    <d v="2023-05-10T00:00:00"/>
    <d v="2023-01-09T00:00:00"/>
    <n v="6"/>
    <x v="2"/>
    <n v="0"/>
    <n v="3"/>
    <n v="10428.31"/>
    <n v="11257.87"/>
    <n v="10646.19"/>
  </r>
  <r>
    <s v="1087"/>
    <s v="José Ramírez"/>
    <d v="2004-01-01T00:00:00"/>
    <n v="22"/>
    <x v="0"/>
    <x v="1"/>
    <d v="2023-05-14T00:00:00"/>
    <d v="2024-04-17T00:00:00"/>
    <n v="5"/>
    <x v="1"/>
    <n v="1"/>
    <n v="2"/>
    <n v="5398.03"/>
    <n v="14625.24"/>
    <n v="19672.54"/>
  </r>
  <r>
    <s v="1088"/>
    <s v="Ricardo Morales"/>
    <d v="1964-01-01T00:00:00"/>
    <n v="62"/>
    <x v="0"/>
    <x v="2"/>
    <d v="2023-06-06T00:00:00"/>
    <d v="2023-06-22T00:00:00"/>
    <n v="30"/>
    <x v="1"/>
    <n v="7"/>
    <n v="5"/>
    <n v="20202.12"/>
    <n v="6564.77"/>
    <n v="15964.23"/>
  </r>
  <r>
    <s v="1089"/>
    <s v="Carlos Rodríguez"/>
    <d v="2012-01-01T00:00:00"/>
    <n v="14"/>
    <x v="0"/>
    <x v="2"/>
    <d v="2024-02-29T00:00:00"/>
    <d v="2024-12-21T00:00:00"/>
    <n v="31"/>
    <x v="0"/>
    <n v="4"/>
    <n v="0"/>
    <n v="2602.9299999999998"/>
    <n v="1247.0999999999999"/>
    <n v="3771.66"/>
  </r>
  <r>
    <s v="1090"/>
    <s v="Luisa Gómez"/>
    <d v="2001-12-31T00:00:00"/>
    <n v="24"/>
    <x v="0"/>
    <x v="2"/>
    <d v="2024-03-10T00:00:00"/>
    <d v="2023-04-07T00:00:00"/>
    <n v="6"/>
    <x v="0"/>
    <n v="14"/>
    <n v="8"/>
    <n v="15265.47"/>
    <n v="10322.5"/>
    <n v="6983.37"/>
  </r>
  <r>
    <s v="1091"/>
    <s v="Juan Cruz"/>
    <d v="2009-12-31T00:00:00"/>
    <n v="16"/>
    <x v="0"/>
    <x v="5"/>
    <d v="2024-01-24T00:00:00"/>
    <d v="2024-11-05T00:00:00"/>
    <n v="14"/>
    <x v="0"/>
    <n v="1"/>
    <n v="4"/>
    <n v="14043.22"/>
    <n v="7474.12"/>
    <n v="4259.66"/>
  </r>
  <r>
    <s v="1092"/>
    <s v="Sofía Ramírez"/>
    <d v="1960-12-31T00:00:00"/>
    <n v="65"/>
    <x v="2"/>
    <x v="0"/>
    <d v="2023-11-14T00:00:00"/>
    <d v="2025-03-14T00:00:00"/>
    <n v="38"/>
    <x v="2"/>
    <n v="10"/>
    <n v="4"/>
    <n v="8708.67"/>
    <n v="12615.33"/>
    <n v="2960.41"/>
  </r>
  <r>
    <s v="1093"/>
    <s v="Luisa Rodríguez"/>
    <d v="1948-12-31T00:00:00"/>
    <n v="77"/>
    <x v="0"/>
    <x v="6"/>
    <d v="2024-10-31T00:00:00"/>
    <d v="2024-08-31T00:00:00"/>
    <n v="2"/>
    <x v="2"/>
    <n v="4"/>
    <n v="3"/>
    <n v="0"/>
    <n v="2198.17"/>
    <n v="2311.6"/>
  </r>
  <r>
    <s v="1094"/>
    <s v="Miguel Gómez"/>
    <d v="1973-12-31T00:00:00"/>
    <n v="52"/>
    <x v="1"/>
    <x v="4"/>
    <d v="2024-05-19T00:00:00"/>
    <d v="2023-11-03T00:00:00"/>
    <n v="37"/>
    <x v="0"/>
    <n v="5"/>
    <n v="3"/>
    <n v="20952.41"/>
    <n v="9673.7099999999991"/>
    <n v="19310.63"/>
  </r>
  <r>
    <s v="1095"/>
    <s v="Carmen Ramírez"/>
    <d v="1976-01-01T00:00:00"/>
    <n v="50"/>
    <x v="0"/>
    <x v="5"/>
    <d v="2023-07-09T00:00:00"/>
    <d v="2024-10-19T00:00:00"/>
    <n v="2"/>
    <x v="1"/>
    <n v="1"/>
    <n v="0"/>
    <n v="16870.98"/>
    <n v="6888.88"/>
    <n v="18123.330000000002"/>
  </r>
  <r>
    <s v="1096"/>
    <s v="Sofía Pérez"/>
    <d v="1988-01-01T00:00:00"/>
    <n v="38"/>
    <x v="0"/>
    <x v="0"/>
    <d v="2024-09-03T00:00:00"/>
    <d v="2023-09-16T00:00:00"/>
    <n v="27"/>
    <x v="0"/>
    <n v="13"/>
    <n v="8"/>
    <n v="24189.03"/>
    <n v="6289.55"/>
    <n v="9613.2099999999991"/>
  </r>
  <r>
    <s v="1097"/>
    <s v="Elena López"/>
    <d v="1976-01-01T00:00:00"/>
    <n v="50"/>
    <x v="0"/>
    <x v="1"/>
    <d v="2024-02-15T00:00:00"/>
    <d v="2024-04-19T00:00:00"/>
    <n v="8"/>
    <x v="0"/>
    <n v="2"/>
    <n v="8"/>
    <n v="6683.47"/>
    <n v="8472.99"/>
    <n v="10925.75"/>
  </r>
  <r>
    <s v="1098"/>
    <s v="José Ramírez"/>
    <d v="1956-12-31T00:00:00"/>
    <n v="69"/>
    <x v="0"/>
    <x v="0"/>
    <d v="2023-02-21T00:00:00"/>
    <d v="2023-10-28T00:00:00"/>
    <n v="25"/>
    <x v="0"/>
    <n v="14"/>
    <n v="3"/>
    <n v="23642.71"/>
    <n v="10262.74"/>
    <n v="16756.32"/>
  </r>
  <r>
    <s v="1099"/>
    <s v="Miguel Ramírez"/>
    <d v="2020-12-31T00:00:00"/>
    <n v="5"/>
    <x v="0"/>
    <x v="0"/>
    <d v="2024-07-14T00:00:00"/>
    <d v="2024-04-10T00:00:00"/>
    <n v="35"/>
    <x v="0"/>
    <n v="8"/>
    <n v="9"/>
    <n v="8404.34"/>
    <n v="12763.91"/>
    <n v="12941.65"/>
  </r>
  <r>
    <s v="1100"/>
    <s v="Miguel Gómez"/>
    <d v="1960-01-01T00:00:00"/>
    <n v="66"/>
    <x v="2"/>
    <x v="5"/>
    <d v="2024-03-21T00:00:00"/>
    <d v="2024-09-06T00:00:00"/>
    <n v="14"/>
    <x v="1"/>
    <n v="1"/>
    <n v="9"/>
    <n v="2934.02"/>
    <n v="3526.67"/>
    <n v="14626.42"/>
  </r>
  <r>
    <s v="1101"/>
    <s v="Ricardo López"/>
    <d v="2020-01-01T00:00:00"/>
    <n v="6"/>
    <x v="1"/>
    <x v="6"/>
    <d v="2024-09-03T00:00:00"/>
    <d v="2024-11-20T00:00:00"/>
    <n v="20"/>
    <x v="0"/>
    <n v="4"/>
    <n v="3"/>
    <n v="3614.95"/>
    <n v="4396.42"/>
    <n v="15801.95"/>
  </r>
  <r>
    <s v="1102"/>
    <s v="Luis Pérez"/>
    <d v="1976-01-01T00:00:00"/>
    <n v="50"/>
    <x v="0"/>
    <x v="3"/>
    <d v="2024-03-19T00:00:00"/>
    <d v="2025-06-17T00:00:00"/>
    <n v="15"/>
    <x v="0"/>
    <n v="13"/>
    <n v="6"/>
    <n v="6242.28"/>
    <n v="8228.7199999999993"/>
    <n v="9608.8799999999992"/>
  </r>
  <r>
    <s v="1103"/>
    <s v="Juan Morales"/>
    <d v="1955-01-01T00:00:00"/>
    <n v="34"/>
    <x v="1"/>
    <x v="0"/>
    <d v="2024-01-17T00:00:00"/>
    <d v="2023-11-25T00:00:00"/>
    <n v="34"/>
    <x v="1"/>
    <n v="4"/>
    <n v="3"/>
    <n v="20314.080000000002"/>
    <n v="5198.3599999999997"/>
    <n v="19493.34"/>
  </r>
  <r>
    <s v="1104"/>
    <s v="Carlos Morales"/>
    <d v="1984-12-31T00:00:00"/>
    <n v="41"/>
    <x v="0"/>
    <x v="3"/>
    <d v="2024-01-09T00:00:00"/>
    <d v="2023-04-21T00:00:00"/>
    <n v="24"/>
    <x v="0"/>
    <n v="7"/>
    <n v="0"/>
    <n v="6940.83"/>
    <n v="8525.17"/>
    <n v="12530.14"/>
  </r>
  <r>
    <s v="1105"/>
    <s v="Carlos Sánchez"/>
    <d v="1963-01-01T00:00:00"/>
    <n v="63"/>
    <x v="0"/>
    <x v="3"/>
    <d v="2024-07-19T00:00:00"/>
    <d v="2024-12-11T00:00:00"/>
    <n v="22"/>
    <x v="0"/>
    <n v="0"/>
    <n v="8"/>
    <n v="17918.060000000001"/>
    <n v="3002.26"/>
    <n v="12633.05"/>
  </r>
  <r>
    <s v="1106"/>
    <s v="Sofía Pérez"/>
    <d v="2012-01-01T00:00:00"/>
    <n v="14"/>
    <x v="1"/>
    <x v="2"/>
    <d v="2024-01-10T00:00:00"/>
    <d v="2023-05-10T00:00:00"/>
    <n v="2"/>
    <x v="2"/>
    <n v="3"/>
    <n v="1"/>
    <n v="7323.94"/>
    <n v="4614.72"/>
    <n v="2735.01"/>
  </r>
  <r>
    <s v="1107"/>
    <s v="Ricardo Gómez"/>
    <d v="1997-12-31T00:00:00"/>
    <n v="28"/>
    <x v="1"/>
    <x v="3"/>
    <d v="2024-01-24T00:00:00"/>
    <d v="2025-05-21T00:00:00"/>
    <n v="16"/>
    <x v="1"/>
    <n v="3"/>
    <n v="4"/>
    <n v="10639.32"/>
    <n v="4872.63"/>
    <n v="19753.52"/>
  </r>
  <r>
    <s v="1108"/>
    <s v="Miguel Gómez"/>
    <d v="1993-12-31T00:00:00"/>
    <n v="32"/>
    <x v="0"/>
    <x v="1"/>
    <d v="2024-10-10T00:00:00"/>
    <d v="2023-05-18T00:00:00"/>
    <n v="24"/>
    <x v="0"/>
    <n v="5"/>
    <n v="3"/>
    <n v="26636.5"/>
    <n v="14884.81"/>
    <n v="1322.59"/>
  </r>
  <r>
    <s v="1109"/>
    <s v="Laura López"/>
    <d v="1932-12-31T00:00:00"/>
    <n v="93"/>
    <x v="1"/>
    <x v="1"/>
    <d v="2024-11-04T00:00:00"/>
    <d v="2024-06-23T00:00:00"/>
    <n v="10"/>
    <x v="2"/>
    <n v="3"/>
    <n v="7"/>
    <n v="14761.04"/>
    <n v="12815.22"/>
    <n v="19711.29"/>
  </r>
  <r>
    <s v="1110"/>
    <s v="María Ramírez"/>
    <d v="2000-01-01T00:00:00"/>
    <n v="26"/>
    <x v="1"/>
    <x v="2"/>
    <d v="2024-04-23T00:00:00"/>
    <d v="2024-10-11T00:00:00"/>
    <n v="4"/>
    <x v="1"/>
    <n v="10"/>
    <n v="5"/>
    <n v="17807.68"/>
    <n v="12565.51"/>
    <n v="18202.37"/>
  </r>
  <r>
    <s v="1111"/>
    <s v="Elena Cruz"/>
    <d v="1991-01-01T00:00:00"/>
    <n v="35"/>
    <x v="0"/>
    <x v="6"/>
    <d v="2024-02-08T00:00:00"/>
    <d v="2023-06-14T00:00:00"/>
    <n v="23"/>
    <x v="1"/>
    <n v="12"/>
    <n v="6"/>
    <n v="5272.94"/>
    <n v="7703.55"/>
    <n v="17114.05"/>
  </r>
  <r>
    <s v="1112"/>
    <s v="Luisa Hernández"/>
    <d v="1997-12-31T00:00:00"/>
    <n v="28"/>
    <x v="1"/>
    <x v="4"/>
    <d v="2024-08-15T00:00:00"/>
    <d v="2023-12-16T00:00:00"/>
    <n v="11"/>
    <x v="0"/>
    <n v="8"/>
    <n v="1"/>
    <n v="3510.94"/>
    <n v="7002.72"/>
    <n v="13439.33"/>
  </r>
  <r>
    <s v="1113"/>
    <s v="Laura Morales"/>
    <d v="1988-12-31T00:00:00"/>
    <n v="37"/>
    <x v="0"/>
    <x v="6"/>
    <d v="2024-04-12T00:00:00"/>
    <d v="2024-04-08T00:00:00"/>
    <n v="24"/>
    <x v="2"/>
    <n v="2"/>
    <n v="3"/>
    <n v="12102"/>
    <n v="1051.8800000000001"/>
    <n v="12138.05"/>
  </r>
  <r>
    <s v="1114"/>
    <s v="Juan Morales"/>
    <d v="1969-12-31T00:00:00"/>
    <n v="56"/>
    <x v="0"/>
    <x v="1"/>
    <d v="2024-08-19T00:00:00"/>
    <d v="2025-05-18T00:00:00"/>
    <n v="5"/>
    <x v="2"/>
    <n v="10"/>
    <n v="3"/>
    <n v="25589.26"/>
    <n v="2959.9"/>
    <n v="19932.060000000001"/>
  </r>
  <r>
    <s v="1115"/>
    <s v="Sofía Martínez"/>
    <d v="2000-01-01T00:00:00"/>
    <n v="26"/>
    <x v="1"/>
    <x v="4"/>
    <d v="2024-05-19T00:00:00"/>
    <d v="2024-10-05T00:00:00"/>
    <n v="28"/>
    <x v="2"/>
    <n v="13"/>
    <n v="1"/>
    <n v="6848.17"/>
    <n v="13430.2"/>
    <n v="19477.349999999999"/>
  </r>
  <r>
    <s v="1116"/>
    <s v="Carmen Martínez"/>
    <d v="1972-01-01T00:00:00"/>
    <n v="54"/>
    <x v="1"/>
    <x v="2"/>
    <d v="2023-03-24T00:00:00"/>
    <d v="2024-05-19T00:00:00"/>
    <n v="32"/>
    <x v="1"/>
    <n v="8"/>
    <n v="9"/>
    <n v="18461.62"/>
    <n v="7884.62"/>
    <n v="16217.84"/>
  </r>
  <r>
    <s v="1117"/>
    <s v="José Cruz"/>
    <d v="1993-12-31T00:00:00"/>
    <n v="32"/>
    <x v="0"/>
    <x v="6"/>
    <d v="2023-11-15T00:00:00"/>
    <d v="2025-06-04T00:00:00"/>
    <n v="24"/>
    <x v="0"/>
    <n v="10"/>
    <n v="3"/>
    <n v="26098.93"/>
    <n v="14811.57"/>
    <n v="1645.92"/>
  </r>
  <r>
    <s v="1118"/>
    <s v="Elena Sánchez"/>
    <d v="1959-01-01T00:00:00"/>
    <n v="67"/>
    <x v="0"/>
    <x v="4"/>
    <d v="2023-03-08T00:00:00"/>
    <d v="2023-06-01T00:00:00"/>
    <n v="1"/>
    <x v="1"/>
    <n v="13"/>
    <n v="8"/>
    <n v="27999.52"/>
    <n v="8876.82"/>
    <n v="7380.55"/>
  </r>
  <r>
    <s v="1119"/>
    <s v="Pedro Sánchez"/>
    <d v="1940-12-31T00:00:00"/>
    <n v="85"/>
    <x v="0"/>
    <x v="4"/>
    <d v="2024-02-18T00:00:00"/>
    <d v="2025-06-09T00:00:00"/>
    <n v="39"/>
    <x v="0"/>
    <n v="12"/>
    <n v="7"/>
    <n v="29810.6"/>
    <n v="5662.31"/>
    <n v="17305.150000000001"/>
  </r>
  <r>
    <s v="1120"/>
    <s v="Juan Pérez"/>
    <d v="1960-12-31T00:00:00"/>
    <n v="65"/>
    <x v="0"/>
    <x v="0"/>
    <d v="2024-03-28T00:00:00"/>
    <d v="2023-09-04T00:00:00"/>
    <n v="1"/>
    <x v="0"/>
    <n v="0"/>
    <n v="0"/>
    <n v="22770.19"/>
    <n v="4111.6499999999996"/>
    <n v="14020.66"/>
  </r>
  <r>
    <s v="1121"/>
    <s v="Pedro Martínez"/>
    <d v="2016-12-31T00:00:00"/>
    <n v="9"/>
    <x v="0"/>
    <x v="6"/>
    <d v="2023-07-17T00:00:00"/>
    <d v="2023-04-21T00:00:00"/>
    <n v="15"/>
    <x v="0"/>
    <n v="6"/>
    <n v="7"/>
    <n v="1787.81"/>
    <n v="13775.39"/>
    <n v="2352.2800000000002"/>
  </r>
  <r>
    <s v="1122"/>
    <s v="Sofía Gómez"/>
    <d v="2021-12-31T00:00:00"/>
    <n v="4"/>
    <x v="1"/>
    <x v="2"/>
    <d v="2023-09-16T00:00:00"/>
    <d v="2024-08-08T00:00:00"/>
    <n v="20"/>
    <x v="0"/>
    <n v="3"/>
    <n v="8"/>
    <n v="26079.59"/>
    <n v="5560.98"/>
    <n v="6899.8"/>
  </r>
  <r>
    <s v="1123"/>
    <s v="Sofía Sánchez"/>
    <d v="1952-12-31T00:00:00"/>
    <n v="73"/>
    <x v="1"/>
    <x v="4"/>
    <d v="2024-11-19T00:00:00"/>
    <d v="2025-03-09T00:00:00"/>
    <n v="29"/>
    <x v="1"/>
    <n v="11"/>
    <n v="7"/>
    <n v="26511.919999999998"/>
    <n v="2192.12"/>
    <n v="290.45"/>
  </r>
  <r>
    <s v="1124"/>
    <s v="Sofía López"/>
    <d v="1988-12-31T00:00:00"/>
    <n v="37"/>
    <x v="1"/>
    <x v="1"/>
    <d v="2023-10-25T00:00:00"/>
    <d v="2023-10-03T00:00:00"/>
    <n v="9"/>
    <x v="2"/>
    <n v="2"/>
    <n v="9"/>
    <n v="16497.13"/>
    <n v="4173.88"/>
    <n v="17845.349999999999"/>
  </r>
  <r>
    <s v="1125"/>
    <s v="Juan Pérez"/>
    <d v="2013-12-31T00:00:00"/>
    <n v="12"/>
    <x v="1"/>
    <x v="0"/>
    <d v="2023-10-07T00:00:00"/>
    <d v="2025-05-20T00:00:00"/>
    <n v="17"/>
    <x v="0"/>
    <n v="7"/>
    <n v="0"/>
    <n v="1556.67"/>
    <n v="9684.35"/>
    <n v="14914.81"/>
  </r>
  <r>
    <s v="1126"/>
    <s v="Luis Gómez"/>
    <d v="1996-01-01T00:00:00"/>
    <n v="30"/>
    <x v="0"/>
    <x v="3"/>
    <d v="2023-10-27T00:00:00"/>
    <d v="2023-03-09T00:00:00"/>
    <n v="9"/>
    <x v="0"/>
    <n v="0"/>
    <n v="7"/>
    <n v="14038.29"/>
    <n v="1995.16"/>
    <n v="8660.7999999999993"/>
  </r>
  <r>
    <s v="1127"/>
    <s v="Ricardo Sánchez"/>
    <d v="1980-01-01T00:00:00"/>
    <n v="14"/>
    <x v="0"/>
    <x v="3"/>
    <d v="2023-05-09T00:00:00"/>
    <d v="2023-02-20T00:00:00"/>
    <n v="5"/>
    <x v="1"/>
    <n v="1"/>
    <n v="4"/>
    <n v="5926.35"/>
    <n v="1373.5"/>
    <n v="15183.8"/>
  </r>
  <r>
    <s v="1128"/>
    <s v="Miguel Martínez"/>
    <d v="1939-01-01T00:00:00"/>
    <n v="87"/>
    <x v="1"/>
    <x v="3"/>
    <d v="2024-05-12T00:00:00"/>
    <d v="2025-03-27T00:00:00"/>
    <n v="19"/>
    <x v="2"/>
    <n v="13"/>
    <n v="8"/>
    <n v="12984.27"/>
    <n v="6864.4"/>
    <n v="18661.79"/>
  </r>
  <r>
    <s v="1129"/>
    <s v="Luis Gómez"/>
    <d v="1975-01-01T00:00:00"/>
    <n v="51"/>
    <x v="0"/>
    <x v="1"/>
    <d v="2024-03-13T00:00:00"/>
    <d v="2024-05-30T00:00:00"/>
    <n v="24"/>
    <x v="0"/>
    <n v="6"/>
    <n v="8"/>
    <n v="21585.86"/>
    <n v="1254.78"/>
    <n v="5525.82"/>
  </r>
  <r>
    <s v="1130"/>
    <s v="Luisa Sánchez"/>
    <d v="1971-01-01T00:00:00"/>
    <n v="55"/>
    <x v="1"/>
    <x v="4"/>
    <d v="2024-11-22T00:00:00"/>
    <d v="2023-08-15T00:00:00"/>
    <n v="38"/>
    <x v="0"/>
    <n v="9"/>
    <n v="5"/>
    <n v="19860.29"/>
    <n v="5894.07"/>
    <n v="5644.92"/>
  </r>
  <r>
    <s v="1131"/>
    <s v="Miguel Pérez"/>
    <d v="2012-01-01T00:00:00"/>
    <n v="14"/>
    <x v="1"/>
    <x v="2"/>
    <d v="2023-10-19T00:00:00"/>
    <d v="2024-08-01T00:00:00"/>
    <n v="38"/>
    <x v="0"/>
    <n v="2"/>
    <n v="2"/>
    <n v="0"/>
    <n v="4840.88"/>
    <n v="9601.2900000000009"/>
  </r>
  <r>
    <s v="1132"/>
    <s v="María Morales"/>
    <d v="1997-12-31T00:00:00"/>
    <n v="28"/>
    <x v="0"/>
    <x v="3"/>
    <d v="2023-07-26T00:00:00"/>
    <d v="2024-05-21T00:00:00"/>
    <n v="14"/>
    <x v="0"/>
    <n v="7"/>
    <n v="6"/>
    <n v="14033.94"/>
    <n v="5872.16"/>
    <n v="14108.68"/>
  </r>
  <r>
    <s v="1133"/>
    <s v="Ana Martínez"/>
    <d v="2019-01-01T00:00:00"/>
    <n v="7"/>
    <x v="1"/>
    <x v="6"/>
    <d v="2023-10-21T00:00:00"/>
    <d v="2023-06-05T00:00:00"/>
    <n v="29"/>
    <x v="2"/>
    <n v="8"/>
    <n v="2"/>
    <n v="15079.16"/>
    <n v="7316.82"/>
    <n v="19860.05"/>
  </r>
  <r>
    <s v="1134"/>
    <s v="Elena Gómez"/>
    <d v="2021-12-31T00:00:00"/>
    <n v="4"/>
    <x v="1"/>
    <x v="3"/>
    <d v="2024-11-17T00:00:00"/>
    <d v="2025-05-24T00:00:00"/>
    <n v="30"/>
    <x v="0"/>
    <n v="11"/>
    <n v="6"/>
    <n v="28038.52"/>
    <n v="2779.93"/>
    <n v="3174.92"/>
  </r>
  <r>
    <s v="1135"/>
    <s v="Juan Cruz"/>
    <d v="1997-12-31T00:00:00"/>
    <n v="28"/>
    <x v="1"/>
    <x v="4"/>
    <d v="2023-01-29T00:00:00"/>
    <d v="2024-04-25T00:00:00"/>
    <n v="28"/>
    <x v="2"/>
    <n v="10"/>
    <n v="7"/>
    <n v="18751.099999999999"/>
    <n v="6636.37"/>
    <n v="6776.92"/>
  </r>
  <r>
    <s v="1136"/>
    <s v="Ricardo Pérez"/>
    <d v="1980-01-01T00:00:00"/>
    <n v="46"/>
    <x v="1"/>
    <x v="5"/>
    <d v="2023-06-28T00:00:00"/>
    <d v="2023-04-22T00:00:00"/>
    <n v="3"/>
    <x v="0"/>
    <n v="8"/>
    <n v="4"/>
    <n v="22299.99"/>
    <n v="5422.79"/>
    <n v="7205.14"/>
  </r>
  <r>
    <s v="1137"/>
    <s v="Elena López"/>
    <d v="1959-01-01T00:00:00"/>
    <n v="67"/>
    <x v="0"/>
    <x v="1"/>
    <d v="2023-02-10T00:00:00"/>
    <d v="2024-04-28T00:00:00"/>
    <n v="36"/>
    <x v="0"/>
    <n v="8"/>
    <n v="4"/>
    <n v="19767.78"/>
    <n v="11932.1"/>
    <n v="14489.06"/>
  </r>
  <r>
    <s v="1138"/>
    <s v="María López"/>
    <d v="1951-01-01T00:00:00"/>
    <n v="75"/>
    <x v="0"/>
    <x v="5"/>
    <d v="2024-04-14T00:00:00"/>
    <d v="2025-03-19T00:00:00"/>
    <n v="6"/>
    <x v="2"/>
    <n v="8"/>
    <n v="3"/>
    <n v="19034.810000000001"/>
    <n v="10420.34"/>
    <n v="17720.62"/>
  </r>
  <r>
    <s v="1139"/>
    <s v="Pedro Sánchez"/>
    <d v="1981-12-31T00:00:00"/>
    <n v="44"/>
    <x v="1"/>
    <x v="3"/>
    <d v="2023-07-11T00:00:00"/>
    <d v="2025-06-12T00:00:00"/>
    <n v="39"/>
    <x v="2"/>
    <n v="7"/>
    <n v="2"/>
    <n v="27363.040000000001"/>
    <n v="13088.13"/>
    <n v="3594.28"/>
  </r>
  <r>
    <s v="1140"/>
    <s v="Laura Cruz"/>
    <d v="2024-12-31T00:00:00"/>
    <n v="1"/>
    <x v="1"/>
    <x v="4"/>
    <d v="2023-12-10T00:00:00"/>
    <d v="2025-02-07T00:00:00"/>
    <n v="29"/>
    <x v="0"/>
    <n v="8"/>
    <n v="7"/>
    <n v="10372.82"/>
    <n v="10035.15"/>
    <n v="14244.37"/>
  </r>
  <r>
    <s v="1141"/>
    <s v="Elena Martínez"/>
    <d v="2000-01-01T00:00:00"/>
    <n v="65"/>
    <x v="0"/>
    <x v="3"/>
    <d v="2024-09-17T00:00:00"/>
    <d v="2023-10-02T00:00:00"/>
    <n v="33"/>
    <x v="1"/>
    <n v="7"/>
    <n v="5"/>
    <n v="12544.56"/>
    <n v="1816.27"/>
    <n v="18183.400000000001"/>
  </r>
  <r>
    <s v="1142"/>
    <s v="Luisa Rodríguez"/>
    <d v="1932-01-01T00:00:00"/>
    <n v="94"/>
    <x v="0"/>
    <x v="5"/>
    <d v="2023-10-05T00:00:00"/>
    <d v="2023-06-05T00:00:00"/>
    <n v="13"/>
    <x v="0"/>
    <n v="1"/>
    <n v="5"/>
    <n v="11082.39"/>
    <n v="7606.16"/>
    <n v="2338.04"/>
  </r>
  <r>
    <s v="1143"/>
    <s v="Miguel López"/>
    <d v="1991-01-01T00:00:00"/>
    <n v="35"/>
    <x v="1"/>
    <x v="4"/>
    <d v="2023-12-21T00:00:00"/>
    <d v="2024-10-13T00:00:00"/>
    <n v="9"/>
    <x v="0"/>
    <n v="4"/>
    <n v="1"/>
    <n v="22838.51"/>
    <n v="11137.04"/>
    <n v="12664.71"/>
  </r>
  <r>
    <s v="1144"/>
    <s v="Miguel Cruz"/>
    <d v="1991-01-01T00:00:00"/>
    <n v="35"/>
    <x v="1"/>
    <x v="1"/>
    <d v="2024-06-12T00:00:00"/>
    <d v="2023-06-17T00:00:00"/>
    <n v="38"/>
    <x v="1"/>
    <n v="14"/>
    <n v="3"/>
    <n v="25986.799999999999"/>
    <n v="12625.18"/>
    <n v="3967.92"/>
  </r>
  <r>
    <s v="1145"/>
    <s v="Miguel Morales"/>
    <d v="2000-12-31T00:00:00"/>
    <n v="25"/>
    <x v="0"/>
    <x v="1"/>
    <d v="2023-03-27T00:00:00"/>
    <d v="2023-01-20T00:00:00"/>
    <n v="0"/>
    <x v="1"/>
    <n v="8"/>
    <n v="4"/>
    <n v="10403.82"/>
    <n v="2719.14"/>
    <n v="8766.93"/>
  </r>
  <r>
    <s v="1146"/>
    <s v="Ricardo Pérez"/>
    <d v="2012-01-01T00:00:00"/>
    <n v="42"/>
    <x v="0"/>
    <x v="3"/>
    <d v="2023-11-13T00:00:00"/>
    <d v="2023-12-12T00:00:00"/>
    <n v="24"/>
    <x v="1"/>
    <n v="12"/>
    <n v="9"/>
    <n v="3841.59"/>
    <n v="3352.54"/>
    <n v="2448.86"/>
  </r>
  <r>
    <s v="1147"/>
    <s v="María Martínez"/>
    <d v="2000-01-01T00:00:00"/>
    <n v="26"/>
    <x v="1"/>
    <x v="1"/>
    <d v="2024-11-23T00:00:00"/>
    <d v="2025-01-05T00:00:00"/>
    <n v="24"/>
    <x v="0"/>
    <n v="11"/>
    <n v="4"/>
    <n v="14570.25"/>
    <n v="12933.61"/>
    <n v="13640.75"/>
  </r>
  <r>
    <s v="1148"/>
    <s v="Carlos Gómez"/>
    <d v="1957-12-31T00:00:00"/>
    <n v="68"/>
    <x v="0"/>
    <x v="0"/>
    <d v="2023-12-03T00:00:00"/>
    <d v="2024-07-23T00:00:00"/>
    <n v="6"/>
    <x v="0"/>
    <n v="4"/>
    <n v="2"/>
    <n v="29522.02"/>
    <n v="7281.06"/>
    <n v="7967.65"/>
  </r>
  <r>
    <s v="1149"/>
    <s v="Juan Morales"/>
    <d v="2007-01-01T00:00:00"/>
    <n v="19"/>
    <x v="1"/>
    <x v="4"/>
    <d v="2023-05-25T00:00:00"/>
    <d v="2025-06-17T00:00:00"/>
    <n v="14"/>
    <x v="0"/>
    <n v="14"/>
    <n v="9"/>
    <n v="5712.29"/>
    <n v="6786.35"/>
    <n v="11301.78"/>
  </r>
  <r>
    <s v="1150"/>
    <s v="Carlos Pérez"/>
    <d v="2016-01-01T00:00:00"/>
    <n v="10"/>
    <x v="0"/>
    <x v="4"/>
    <d v="2023-11-11T00:00:00"/>
    <d v="2023-10-22T00:00:00"/>
    <n v="2"/>
    <x v="2"/>
    <n v="12"/>
    <n v="4"/>
    <n v="13286.03"/>
    <n v="7411.73"/>
    <n v="10423.200000000001"/>
  </r>
  <r>
    <s v="1151"/>
    <s v="Jorge Pérez"/>
    <d v="1952-12-31T00:00:00"/>
    <n v="50"/>
    <x v="0"/>
    <x v="1"/>
    <d v="2023-08-13T00:00:00"/>
    <d v="2024-10-07T00:00:00"/>
    <n v="23"/>
    <x v="0"/>
    <n v="6"/>
    <n v="4"/>
    <n v="7777.3"/>
    <n v="2599.9899999999998"/>
    <n v="13849.09"/>
  </r>
  <r>
    <s v="1152"/>
    <s v="Jorge Pérez"/>
    <d v="1988-12-31T00:00:00"/>
    <n v="37"/>
    <x v="0"/>
    <x v="4"/>
    <d v="2024-02-27T00:00:00"/>
    <d v="2024-04-07T00:00:00"/>
    <n v="18"/>
    <x v="0"/>
    <n v="5"/>
    <n v="1"/>
    <n v="27641.71"/>
    <n v="9414.5499999999993"/>
    <n v="17901.12"/>
  </r>
  <r>
    <s v="1153"/>
    <s v="Pedro Rodríguez"/>
    <d v="2020-12-31T00:00:00"/>
    <n v="5"/>
    <x v="1"/>
    <x v="5"/>
    <d v="2023-02-23T00:00:00"/>
    <d v="2023-12-05T00:00:00"/>
    <n v="2"/>
    <x v="1"/>
    <n v="5"/>
    <n v="4"/>
    <n v="16302.98"/>
    <n v="12119.61"/>
    <n v="5522.96"/>
  </r>
  <r>
    <s v="1154"/>
    <s v="Carmen Pérez"/>
    <d v="1955-01-01T00:00:00"/>
    <n v="71"/>
    <x v="1"/>
    <x v="2"/>
    <d v="2023-03-09T00:00:00"/>
    <d v="2025-03-15T00:00:00"/>
    <n v="2"/>
    <x v="1"/>
    <n v="13"/>
    <n v="2"/>
    <n v="17151.71"/>
    <n v="12555.92"/>
    <n v="11862.85"/>
  </r>
  <r>
    <s v="1155"/>
    <s v="Luisa Morales"/>
    <d v="2004-01-01T00:00:00"/>
    <n v="22"/>
    <x v="1"/>
    <x v="5"/>
    <d v="2024-09-10T00:00:00"/>
    <d v="2024-03-28T00:00:00"/>
    <n v="32"/>
    <x v="0"/>
    <n v="0"/>
    <n v="2"/>
    <n v="248.03"/>
    <n v="455.68"/>
    <n v="11432.7"/>
  </r>
  <r>
    <s v="1156"/>
    <s v="Carlos Sánchez"/>
    <d v="1980-01-01T00:00:00"/>
    <n v="46"/>
    <x v="0"/>
    <x v="6"/>
    <d v="2023-11-30T00:00:00"/>
    <d v="2023-12-11T00:00:00"/>
    <n v="6"/>
    <x v="0"/>
    <n v="11"/>
    <n v="4"/>
    <n v="19409.78"/>
    <n v="10727.84"/>
    <n v="6234.42"/>
  </r>
  <r>
    <s v="1157"/>
    <s v="Ana López"/>
    <d v="1936-12-31T00:00:00"/>
    <n v="89"/>
    <x v="1"/>
    <x v="0"/>
    <d v="2023-03-18T00:00:00"/>
    <d v="2024-12-18T00:00:00"/>
    <n v="20"/>
    <x v="0"/>
    <n v="10"/>
    <n v="8"/>
    <n v="8843.75"/>
    <n v="1368.37"/>
    <n v="9941.68"/>
  </r>
  <r>
    <s v="1158"/>
    <s v="Luis Hernández"/>
    <d v="1980-12-31T00:00:00"/>
    <n v="45"/>
    <x v="1"/>
    <x v="2"/>
    <d v="2024-06-22T00:00:00"/>
    <d v="2024-09-23T00:00:00"/>
    <n v="35"/>
    <x v="2"/>
    <n v="9"/>
    <n v="1"/>
    <n v="15159.2"/>
    <n v="14503.04"/>
    <n v="713.11"/>
  </r>
  <r>
    <s v="1159"/>
    <s v="Luisa López"/>
    <d v="2015-01-01T00:00:00"/>
    <n v="11"/>
    <x v="1"/>
    <x v="3"/>
    <d v="2023-06-04T00:00:00"/>
    <d v="2025-02-04T00:00:00"/>
    <n v="38"/>
    <x v="0"/>
    <n v="2"/>
    <n v="8"/>
    <n v="15697.56"/>
    <n v="7233.61"/>
    <n v="8481.35"/>
  </r>
  <r>
    <s v="1160"/>
    <s v="Pedro Hernández"/>
    <d v="1936-12-31T00:00:00"/>
    <n v="89"/>
    <x v="0"/>
    <x v="4"/>
    <d v="2023-03-13T00:00:00"/>
    <d v="2023-03-27T00:00:00"/>
    <n v="1"/>
    <x v="0"/>
    <n v="1"/>
    <n v="2"/>
    <n v="17562.849999999999"/>
    <n v="11631.23"/>
    <n v="5337.59"/>
  </r>
  <r>
    <s v="1161"/>
    <s v="Ricardo Pérez"/>
    <d v="2013-12-31T00:00:00"/>
    <n v="12"/>
    <x v="1"/>
    <x v="6"/>
    <d v="2024-05-15T00:00:00"/>
    <d v="2024-11-28T00:00:00"/>
    <n v="16"/>
    <x v="0"/>
    <n v="14"/>
    <n v="6"/>
    <n v="24617.95"/>
    <n v="9327.8700000000008"/>
    <n v="17265.91"/>
  </r>
  <r>
    <s v="1162"/>
    <s v="Juan Cruz"/>
    <d v="1964-12-31T00:00:00"/>
    <n v="61"/>
    <x v="1"/>
    <x v="6"/>
    <d v="2024-03-22T00:00:00"/>
    <d v="2025-01-07T00:00:00"/>
    <n v="34"/>
    <x v="0"/>
    <n v="10"/>
    <n v="0"/>
    <n v="8617.51"/>
    <n v="14279.05"/>
    <n v="7091.61"/>
  </r>
  <r>
    <s v="1163"/>
    <s v="Miguel Hernández"/>
    <d v="1944-12-31T00:00:00"/>
    <n v="81"/>
    <x v="1"/>
    <x v="0"/>
    <d v="2024-11-22T00:00:00"/>
    <d v="2024-10-22T00:00:00"/>
    <n v="2"/>
    <x v="2"/>
    <n v="9"/>
    <n v="0"/>
    <n v="7312.92"/>
    <n v="14604.87"/>
    <n v="3763.42"/>
  </r>
  <r>
    <s v="1164"/>
    <s v="Miguel Sánchez"/>
    <d v="1937-12-31T00:00:00"/>
    <n v="26"/>
    <x v="0"/>
    <x v="2"/>
    <d v="2024-07-12T00:00:00"/>
    <d v="2024-01-25T00:00:00"/>
    <n v="25"/>
    <x v="2"/>
    <n v="14"/>
    <n v="7"/>
    <n v="23772.17"/>
    <n v="4183.2"/>
    <n v="10546.39"/>
  </r>
  <r>
    <s v="1165"/>
    <s v="Elena Ramírez"/>
    <d v="1967-01-01T00:00:00"/>
    <n v="59"/>
    <x v="0"/>
    <x v="6"/>
    <d v="2023-12-25T00:00:00"/>
    <d v="2025-03-03T00:00:00"/>
    <n v="39"/>
    <x v="0"/>
    <n v="9"/>
    <n v="8"/>
    <n v="21420.92"/>
    <n v="7243.04"/>
    <n v="16200.39"/>
  </r>
  <r>
    <s v="1166"/>
    <s v="Jorge Hernández"/>
    <d v="1984-01-01T00:00:00"/>
    <n v="32"/>
    <x v="0"/>
    <x v="2"/>
    <d v="2023-10-04T00:00:00"/>
    <d v="2023-08-16T00:00:00"/>
    <n v="20"/>
    <x v="2"/>
    <n v="11"/>
    <n v="2"/>
    <n v="6381.26"/>
    <n v="7563.61"/>
    <n v="7016.32"/>
  </r>
  <r>
    <s v="1167"/>
    <s v="Ana Ramírez"/>
    <d v="1951-01-01T00:00:00"/>
    <n v="75"/>
    <x v="0"/>
    <x v="2"/>
    <d v="2023-11-09T00:00:00"/>
    <d v="2023-10-14T00:00:00"/>
    <n v="35"/>
    <x v="0"/>
    <n v="5"/>
    <n v="5"/>
    <n v="474.49"/>
    <n v="2665.47"/>
    <n v="16921.29"/>
  </r>
  <r>
    <s v="1168"/>
    <s v="Sofía Morales"/>
    <d v="1959-01-01T00:00:00"/>
    <n v="67"/>
    <x v="0"/>
    <x v="1"/>
    <d v="2023-04-15T00:00:00"/>
    <d v="2023-10-12T00:00:00"/>
    <n v="20"/>
    <x v="0"/>
    <n v="2"/>
    <n v="2"/>
    <n v="19811.060000000001"/>
    <n v="13559.07"/>
    <n v="6455.2"/>
  </r>
  <r>
    <s v="1169"/>
    <s v="Miguel Ramírez"/>
    <d v="1975-01-01T00:00:00"/>
    <n v="4"/>
    <x v="1"/>
    <x v="6"/>
    <d v="2023-04-05T00:00:00"/>
    <d v="2024-11-24T00:00:00"/>
    <n v="15"/>
    <x v="0"/>
    <n v="7"/>
    <n v="5"/>
    <n v="4293.93"/>
    <n v="5244.1"/>
    <n v="14685.52"/>
  </r>
  <r>
    <s v="1170"/>
    <s v="Juan Morales"/>
    <d v="1989-12-31T00:00:00"/>
    <n v="36"/>
    <x v="0"/>
    <x v="2"/>
    <d v="2023-08-07T00:00:00"/>
    <d v="2023-04-20T00:00:00"/>
    <n v="26"/>
    <x v="0"/>
    <n v="4"/>
    <n v="6"/>
    <n v="28688.39"/>
    <n v="1311.85"/>
    <n v="2216.5500000000002"/>
  </r>
  <r>
    <s v="1171"/>
    <s v="Sofía López"/>
    <d v="1955-01-01T00:00:00"/>
    <n v="71"/>
    <x v="1"/>
    <x v="0"/>
    <d v="2024-11-12T00:00:00"/>
    <d v="2023-05-16T00:00:00"/>
    <n v="25"/>
    <x v="0"/>
    <n v="4"/>
    <n v="4"/>
    <n v="17934.419999999998"/>
    <n v="2317.9899999999998"/>
    <n v="1150.23"/>
  </r>
  <r>
    <s v="1172"/>
    <s v="Laura Rodríguez"/>
    <d v="1935-01-01T00:00:00"/>
    <n v="91"/>
    <x v="1"/>
    <x v="6"/>
    <d v="2023-05-08T00:00:00"/>
    <d v="2023-10-19T00:00:00"/>
    <n v="6"/>
    <x v="0"/>
    <n v="7"/>
    <n v="2"/>
    <n v="25414.38"/>
    <n v="7699.56"/>
    <n v="14725.28"/>
  </r>
  <r>
    <s v="1173"/>
    <s v="Ana López"/>
    <d v="1996-01-01T00:00:00"/>
    <n v="30"/>
    <x v="0"/>
    <x v="0"/>
    <d v="2023-07-19T00:00:00"/>
    <d v="2025-06-06T00:00:00"/>
    <n v="36"/>
    <x v="0"/>
    <n v="11"/>
    <n v="7"/>
    <n v="24071.46"/>
    <n v="13225.28"/>
    <n v="7304.8"/>
  </r>
  <r>
    <s v="1174"/>
    <s v="Elena Morales"/>
    <d v="2017-12-31T00:00:00"/>
    <n v="8"/>
    <x v="1"/>
    <x v="0"/>
    <d v="2023-11-28T00:00:00"/>
    <d v="2025-03-13T00:00:00"/>
    <n v="7"/>
    <x v="0"/>
    <n v="6"/>
    <n v="4"/>
    <n v="16512.830000000002"/>
    <n v="9423.2800000000007"/>
    <n v="7799.21"/>
  </r>
  <r>
    <s v="1175"/>
    <s v="Carmen Gómez"/>
    <d v="1976-01-01T00:00:00"/>
    <n v="50"/>
    <x v="1"/>
    <x v="2"/>
    <d v="2024-06-30T00:00:00"/>
    <d v="2024-09-07T00:00:00"/>
    <n v="1"/>
    <x v="2"/>
    <n v="4"/>
    <n v="0"/>
    <n v="12869.7"/>
    <n v="3222.47"/>
    <n v="11440.47"/>
  </r>
  <r>
    <s v="1176"/>
    <s v="Ricardo Pérez"/>
    <d v="1997-12-31T00:00:00"/>
    <n v="28"/>
    <x v="1"/>
    <x v="2"/>
    <d v="2024-10-17T00:00:00"/>
    <d v="2024-12-14T00:00:00"/>
    <n v="10"/>
    <x v="0"/>
    <n v="11"/>
    <n v="8"/>
    <n v="14652.35"/>
    <n v="4452.04"/>
    <n v="19736.09"/>
  </r>
  <r>
    <s v="1177"/>
    <s v="Jorge Morales"/>
    <d v="1948-12-31T00:00:00"/>
    <n v="77"/>
    <x v="0"/>
    <x v="1"/>
    <d v="2023-10-19T00:00:00"/>
    <d v="2024-05-23T00:00:00"/>
    <n v="35"/>
    <x v="0"/>
    <n v="4"/>
    <n v="2"/>
    <n v="23991.16"/>
    <n v="14640.38"/>
    <n v="3347.35"/>
  </r>
  <r>
    <s v="1178"/>
    <s v="Jorge Pérez"/>
    <d v="1987-01-01T00:00:00"/>
    <n v="39"/>
    <x v="1"/>
    <x v="4"/>
    <d v="2023-03-07T00:00:00"/>
    <d v="2024-09-21T00:00:00"/>
    <n v="24"/>
    <x v="2"/>
    <n v="4"/>
    <n v="1"/>
    <n v="19033.75"/>
    <n v="792.73"/>
    <n v="5927.07"/>
  </r>
  <r>
    <s v="1179"/>
    <s v="Elena Sánchez"/>
    <d v="1985-12-31T00:00:00"/>
    <n v="55"/>
    <x v="0"/>
    <x v="1"/>
    <d v="2024-07-21T00:00:00"/>
    <d v="2025-04-24T00:00:00"/>
    <n v="38"/>
    <x v="0"/>
    <n v="2"/>
    <n v="2"/>
    <n v="5774.37"/>
    <n v="14915.07"/>
    <n v="12938.94"/>
  </r>
  <r>
    <s v="1180"/>
    <s v="Ricardo Gómez"/>
    <d v="1940-12-31T00:00:00"/>
    <n v="85"/>
    <x v="0"/>
    <x v="6"/>
    <d v="2024-10-18T00:00:00"/>
    <d v="2025-04-02T00:00:00"/>
    <n v="17"/>
    <x v="1"/>
    <n v="3"/>
    <n v="6"/>
    <n v="18085.330000000002"/>
    <n v="13587.87"/>
    <n v="13989.36"/>
  </r>
  <r>
    <s v="1181"/>
    <s v="Jorge Morales"/>
    <d v="2016-01-01T00:00:00"/>
    <n v="10"/>
    <x v="0"/>
    <x v="1"/>
    <d v="2024-02-08T00:00:00"/>
    <d v="2023-01-30T00:00:00"/>
    <n v="37"/>
    <x v="1"/>
    <n v="1"/>
    <n v="9"/>
    <n v="11842.33"/>
    <n v="10177.25"/>
    <n v="14093.52"/>
  </r>
  <r>
    <s v="1182"/>
    <s v="Luis López"/>
    <d v="2004-01-01T00:00:00"/>
    <n v="22"/>
    <x v="1"/>
    <x v="3"/>
    <d v="2024-12-25T00:00:00"/>
    <d v="2024-01-30T00:00:00"/>
    <n v="7"/>
    <x v="0"/>
    <n v="7"/>
    <n v="7"/>
    <n v="1369.57"/>
    <n v="14148.04"/>
    <n v="11867.65"/>
  </r>
  <r>
    <s v="1183"/>
    <s v="Pedro Gómez"/>
    <d v="2025-12-31T00:00:00"/>
    <n v="4"/>
    <x v="0"/>
    <x v="6"/>
    <d v="2024-08-28T00:00:00"/>
    <d v="2023-01-28T00:00:00"/>
    <n v="13"/>
    <x v="2"/>
    <n v="12"/>
    <n v="1"/>
    <n v="11128.71"/>
    <n v="2287.02"/>
    <n v="11724.51"/>
  </r>
  <r>
    <s v="1184"/>
    <s v="Miguel Cruz"/>
    <d v="1980-12-31T00:00:00"/>
    <n v="45"/>
    <x v="1"/>
    <x v="0"/>
    <d v="2024-09-09T00:00:00"/>
    <d v="2024-04-12T00:00:00"/>
    <n v="12"/>
    <x v="0"/>
    <n v="13"/>
    <n v="6"/>
    <n v="6441.85"/>
    <n v="14138.84"/>
    <n v="2876.95"/>
  </r>
  <r>
    <s v="1185"/>
    <s v="Luisa Ramírez"/>
    <d v="2005-12-31T00:00:00"/>
    <n v="20"/>
    <x v="1"/>
    <x v="1"/>
    <d v="2024-08-18T00:00:00"/>
    <d v="2023-01-14T00:00:00"/>
    <n v="10"/>
    <x v="2"/>
    <n v="9"/>
    <n v="4"/>
    <n v="25076.83"/>
    <n v="3188.63"/>
    <n v="16675.97"/>
  </r>
  <r>
    <s v="1186"/>
    <s v="Juan Gómez"/>
    <d v="1936-12-31T00:00:00"/>
    <n v="89"/>
    <x v="1"/>
    <x v="1"/>
    <d v="2024-10-09T00:00:00"/>
    <d v="2024-07-08T00:00:00"/>
    <n v="35"/>
    <x v="0"/>
    <n v="0"/>
    <n v="8"/>
    <n v="2702.48"/>
    <n v="8193.19"/>
    <n v="78.81"/>
  </r>
  <r>
    <s v="1187"/>
    <s v="Ana López"/>
    <d v="1991-01-01T00:00:00"/>
    <n v="35"/>
    <x v="0"/>
    <x v="4"/>
    <d v="2023-05-26T00:00:00"/>
    <d v="2024-03-21T00:00:00"/>
    <n v="17"/>
    <x v="0"/>
    <n v="9"/>
    <n v="6"/>
    <n v="10499.02"/>
    <n v="7331.43"/>
    <n v="8293.2999999999993"/>
  </r>
  <r>
    <s v="1188"/>
    <s v="Carmen Rodríguez"/>
    <d v="1972-12-31T00:00:00"/>
    <n v="53"/>
    <x v="1"/>
    <x v="1"/>
    <d v="2024-06-13T00:00:00"/>
    <d v="2023-08-13T00:00:00"/>
    <n v="21"/>
    <x v="0"/>
    <n v="5"/>
    <n v="0"/>
    <n v="20712.509999999998"/>
    <n v="7686.87"/>
    <n v="4229.7299999999996"/>
  </r>
  <r>
    <s v="1189"/>
    <s v="Luisa Sánchez"/>
    <d v="1940-01-01T00:00:00"/>
    <n v="86"/>
    <x v="1"/>
    <x v="2"/>
    <d v="2024-02-06T00:00:00"/>
    <d v="2024-04-08T00:00:00"/>
    <n v="38"/>
    <x v="1"/>
    <n v="1"/>
    <n v="0"/>
    <n v="26870.45"/>
    <n v="4010.7"/>
    <n v="1997.23"/>
  </r>
  <r>
    <s v="1190"/>
    <s v="María López"/>
    <d v="1969-12-31T00:00:00"/>
    <n v="56"/>
    <x v="1"/>
    <x v="0"/>
    <d v="2023-05-05T00:00:00"/>
    <d v="2023-01-22T00:00:00"/>
    <n v="4"/>
    <x v="2"/>
    <n v="8"/>
    <n v="5"/>
    <n v="9727.16"/>
    <n v="11709.58"/>
    <n v="6321.77"/>
  </r>
  <r>
    <s v="1191"/>
    <s v="Ricardo Rodríguez"/>
    <d v="2025-12-31T00:00:00"/>
    <n v="0"/>
    <x v="1"/>
    <x v="1"/>
    <d v="2024-05-28T00:00:00"/>
    <d v="2024-01-23T00:00:00"/>
    <n v="20"/>
    <x v="0"/>
    <n v="10"/>
    <n v="8"/>
    <n v="17996.38"/>
    <n v="11138.75"/>
    <n v="13109.46"/>
  </r>
  <r>
    <s v="1192"/>
    <s v="María Hernández"/>
    <d v="1964-01-01T00:00:00"/>
    <n v="62"/>
    <x v="0"/>
    <x v="5"/>
    <d v="2023-11-28T00:00:00"/>
    <d v="2024-10-10T00:00:00"/>
    <n v="21"/>
    <x v="2"/>
    <n v="5"/>
    <n v="0"/>
    <n v="10896.31"/>
    <n v="14309.48"/>
    <n v="9891.3700000000008"/>
  </r>
  <r>
    <s v="1193"/>
    <s v="Elena López"/>
    <d v="1972-12-31T00:00:00"/>
    <n v="53"/>
    <x v="0"/>
    <x v="5"/>
    <d v="2024-04-24T00:00:00"/>
    <d v="2023-11-23T00:00:00"/>
    <n v="26"/>
    <x v="0"/>
    <n v="0"/>
    <n v="2"/>
    <n v="5687.87"/>
    <n v="7604.87"/>
    <n v="17457.87"/>
  </r>
  <r>
    <s v="1194"/>
    <s v="José Gómez"/>
    <d v="1972-01-01T00:00:00"/>
    <n v="54"/>
    <x v="0"/>
    <x v="0"/>
    <d v="2024-12-12T00:00:00"/>
    <d v="2025-01-03T00:00:00"/>
    <n v="2"/>
    <x v="0"/>
    <n v="3"/>
    <n v="4"/>
    <n v="9434.39"/>
    <n v="8221.3799999999992"/>
    <n v="11953.68"/>
  </r>
  <r>
    <s v="1195"/>
    <s v="Jorge López"/>
    <d v="1987-01-01T00:00:00"/>
    <n v="39"/>
    <x v="1"/>
    <x v="1"/>
    <d v="2024-10-11T00:00:00"/>
    <d v="2024-04-12T00:00:00"/>
    <n v="32"/>
    <x v="0"/>
    <n v="1"/>
    <n v="3"/>
    <n v="18895.02"/>
    <n v="13550.59"/>
    <n v="4987.99"/>
  </r>
  <r>
    <s v="1196"/>
    <s v="Carmen Hernández"/>
    <d v="2012-01-01T00:00:00"/>
    <n v="14"/>
    <x v="1"/>
    <x v="4"/>
    <d v="2024-12-15T00:00:00"/>
    <d v="2024-10-19T00:00:00"/>
    <n v="2"/>
    <x v="1"/>
    <n v="3"/>
    <n v="0"/>
    <n v="21348.35"/>
    <n v="13791.59"/>
    <n v="10255.94"/>
  </r>
  <r>
    <s v="1197"/>
    <s v="Ricardo Martínez"/>
    <d v="2005-12-31T00:00:00"/>
    <n v="20"/>
    <x v="2"/>
    <x v="3"/>
    <d v="2024-02-02T00:00:00"/>
    <d v="2024-06-06T00:00:00"/>
    <n v="33"/>
    <x v="0"/>
    <n v="9"/>
    <n v="9"/>
    <n v="0"/>
    <n v="9743.0499999999993"/>
    <n v="4470.45"/>
  </r>
  <r>
    <s v="1198"/>
    <s v="Carlos Sánchez"/>
    <d v="1980-01-01T00:00:00"/>
    <n v="46"/>
    <x v="1"/>
    <x v="4"/>
    <d v="2023-01-30T00:00:00"/>
    <d v="2023-08-14T00:00:00"/>
    <n v="15"/>
    <x v="1"/>
    <n v="2"/>
    <n v="3"/>
    <n v="4152.2299999999996"/>
    <n v="12305.93"/>
    <n v="3491"/>
  </r>
  <r>
    <s v="1199"/>
    <s v="Luisa Rodríguez"/>
    <d v="1953-12-31T00:00:00"/>
    <n v="72"/>
    <x v="0"/>
    <x v="3"/>
    <d v="2023-02-25T00:00:00"/>
    <d v="2024-10-15T00:00:00"/>
    <n v="3"/>
    <x v="1"/>
    <n v="1"/>
    <n v="3"/>
    <n v="3756.5"/>
    <n v="7577.1"/>
    <n v="19095.91"/>
  </r>
  <r>
    <s v="1200"/>
    <s v="José López"/>
    <d v="1937-01-01T00:00:00"/>
    <n v="52"/>
    <x v="1"/>
    <x v="6"/>
    <d v="2024-09-22T00:00:00"/>
    <d v="2024-04-20T00:00:00"/>
    <n v="20"/>
    <x v="0"/>
    <n v="10"/>
    <n v="9"/>
    <n v="24284.73"/>
    <n v="5822.93"/>
    <n v="9307.4599999999991"/>
  </r>
  <r>
    <s v="1201"/>
    <s v="Carmen Martínez"/>
    <d v="2014-01-01T00:00:00"/>
    <n v="8"/>
    <x v="0"/>
    <x v="6"/>
    <d v="2023-05-12T00:00:00"/>
    <d v="2024-09-10T00:00:00"/>
    <n v="7"/>
    <x v="0"/>
    <n v="12"/>
    <n v="3"/>
    <n v="19424.84"/>
    <n v="12961.02"/>
    <n v="12989.28"/>
  </r>
  <r>
    <s v="1202"/>
    <s v="Carmen Martínez"/>
    <d v="1952-12-31T00:00:00"/>
    <n v="73"/>
    <x v="1"/>
    <x v="4"/>
    <d v="2023-08-19T00:00:00"/>
    <d v="2025-02-19T00:00:00"/>
    <n v="4"/>
    <x v="0"/>
    <n v="1"/>
    <n v="2"/>
    <n v="21704.94"/>
    <n v="11659.08"/>
    <n v="17455.990000000002"/>
  </r>
  <r>
    <s v="1203"/>
    <s v="Luisa Martínez"/>
    <d v="1975-01-01T00:00:00"/>
    <n v="51"/>
    <x v="1"/>
    <x v="1"/>
    <d v="2024-01-30T00:00:00"/>
    <d v="2024-12-07T00:00:00"/>
    <n v="5"/>
    <x v="1"/>
    <n v="5"/>
    <n v="6"/>
    <n v="14391.75"/>
    <n v="3636.17"/>
    <n v="6375.77"/>
  </r>
  <r>
    <s v="1204"/>
    <s v="Carmen Rodríguez"/>
    <d v="1969-12-31T00:00:00"/>
    <n v="56"/>
    <x v="0"/>
    <x v="4"/>
    <d v="2023-06-01T00:00:00"/>
    <d v="2024-04-03T00:00:00"/>
    <n v="10"/>
    <x v="0"/>
    <n v="11"/>
    <n v="0"/>
    <n v="13448.25"/>
    <n v="714.68"/>
    <n v="15759.41"/>
  </r>
  <r>
    <s v="1205"/>
    <s v="Miguel Martínez"/>
    <d v="2000-12-31T00:00:00"/>
    <n v="25"/>
    <x v="0"/>
    <x v="6"/>
    <d v="2024-05-16T00:00:00"/>
    <d v="2024-10-02T00:00:00"/>
    <n v="27"/>
    <x v="2"/>
    <n v="1"/>
    <n v="1"/>
    <n v="5940.08"/>
    <n v="8484"/>
    <n v="15755.42"/>
  </r>
  <r>
    <s v="1206"/>
    <s v="Luisa Martínez"/>
    <d v="1985-12-31T00:00:00"/>
    <n v="40"/>
    <x v="1"/>
    <x v="2"/>
    <d v="2024-05-20T00:00:00"/>
    <d v="2023-08-02T00:00:00"/>
    <n v="15"/>
    <x v="2"/>
    <n v="8"/>
    <n v="0"/>
    <n v="4634.3599999999997"/>
    <n v="12624.25"/>
    <n v="16462.64"/>
  </r>
  <r>
    <s v="1207"/>
    <s v="Luis Cruz"/>
    <d v="1992-01-01T00:00:00"/>
    <n v="34"/>
    <x v="0"/>
    <x v="3"/>
    <d v="2024-01-21T00:00:00"/>
    <d v="2024-10-25T00:00:00"/>
    <n v="11"/>
    <x v="1"/>
    <n v="14"/>
    <n v="3"/>
    <n v="4194.3599999999997"/>
    <n v="3708.02"/>
    <n v="3708.24"/>
  </r>
  <r>
    <s v="1208"/>
    <s v="Laura Rodríguez"/>
    <d v="1964-01-01T00:00:00"/>
    <n v="62"/>
    <x v="0"/>
    <x v="0"/>
    <d v="2024-06-16T00:00:00"/>
    <d v="2024-04-26T00:00:00"/>
    <n v="8"/>
    <x v="1"/>
    <n v="14"/>
    <n v="4"/>
    <n v="29749.55"/>
    <n v="11510.93"/>
    <n v="19253.09"/>
  </r>
  <r>
    <s v="1209"/>
    <s v="Elena Hernández"/>
    <d v="2001-12-31T00:00:00"/>
    <n v="24"/>
    <x v="1"/>
    <x v="4"/>
    <d v="2024-03-23T00:00:00"/>
    <d v="2025-06-15T00:00:00"/>
    <n v="39"/>
    <x v="0"/>
    <n v="10"/>
    <n v="9"/>
    <n v="24537.200000000001"/>
    <n v="6210.11"/>
    <n v="5423.1"/>
  </r>
  <r>
    <s v="1210"/>
    <s v="Juan Morales"/>
    <d v="1990-01-01T00:00:00"/>
    <n v="89"/>
    <x v="1"/>
    <x v="1"/>
    <d v="2024-08-02T00:00:00"/>
    <d v="2023-06-30T00:00:00"/>
    <n v="35"/>
    <x v="0"/>
    <n v="7"/>
    <n v="4"/>
    <n v="18596.95"/>
    <n v="5035.63"/>
    <n v="15513.98"/>
  </r>
  <r>
    <s v="1211"/>
    <s v="Luis Sánchez"/>
    <d v="1952-01-01T00:00:00"/>
    <n v="74"/>
    <x v="1"/>
    <x v="1"/>
    <d v="2023-05-06T00:00:00"/>
    <d v="2025-04-09T00:00:00"/>
    <n v="10"/>
    <x v="1"/>
    <n v="7"/>
    <n v="1"/>
    <n v="6039.32"/>
    <n v="2592.2399999999998"/>
    <n v="3162.35"/>
  </r>
  <r>
    <s v="1212"/>
    <s v="Luis Cruz"/>
    <d v="1988-12-31T00:00:00"/>
    <n v="37"/>
    <x v="1"/>
    <x v="5"/>
    <d v="2024-07-08T00:00:00"/>
    <d v="2024-06-22T00:00:00"/>
    <n v="39"/>
    <x v="1"/>
    <n v="12"/>
    <n v="2"/>
    <n v="9798.59"/>
    <n v="14014.4"/>
    <n v="18476.96"/>
  </r>
  <r>
    <s v="1213"/>
    <s v="Carmen Hernández"/>
    <d v="2024-12-31T00:00:00"/>
    <n v="1"/>
    <x v="0"/>
    <x v="3"/>
    <d v="2024-11-24T00:00:00"/>
    <d v="2024-06-11T00:00:00"/>
    <n v="30"/>
    <x v="2"/>
    <n v="10"/>
    <n v="3"/>
    <n v="10198.959999999999"/>
    <n v="3385.47"/>
    <n v="8499.69"/>
  </r>
  <r>
    <s v="1214"/>
    <s v="Pedro Morales"/>
    <d v="2020-01-01T00:00:00"/>
    <n v="6"/>
    <x v="1"/>
    <x v="3"/>
    <d v="2024-05-03T00:00:00"/>
    <d v="2023-01-23T00:00:00"/>
    <n v="10"/>
    <x v="0"/>
    <n v="8"/>
    <n v="9"/>
    <n v="14069.04"/>
    <n v="4187.83"/>
    <n v="13339.93"/>
  </r>
  <r>
    <s v="1215"/>
    <s v="Pedro Rodríguez"/>
    <d v="1944-12-31T00:00:00"/>
    <n v="81"/>
    <x v="1"/>
    <x v="3"/>
    <d v="2024-09-03T00:00:00"/>
    <d v="2023-12-12T00:00:00"/>
    <n v="22"/>
    <x v="2"/>
    <n v="9"/>
    <n v="5"/>
    <n v="12370.9"/>
    <n v="4972.32"/>
    <n v="16988.86"/>
  </r>
  <r>
    <s v="1216"/>
    <s v="Luisa Ramírez"/>
    <d v="1936-01-01T00:00:00"/>
    <n v="90"/>
    <x v="1"/>
    <x v="4"/>
    <d v="2024-03-21T00:00:00"/>
    <d v="2024-07-31T00:00:00"/>
    <n v="21"/>
    <x v="2"/>
    <n v="7"/>
    <n v="5"/>
    <n v="27991.67"/>
    <n v="4269.93"/>
    <n v="5575.97"/>
  </r>
  <r>
    <s v="1217"/>
    <s v="Ricardo Morales"/>
    <d v="1992-12-31T00:00:00"/>
    <n v="33"/>
    <x v="0"/>
    <x v="6"/>
    <d v="2024-04-14T00:00:00"/>
    <d v="2025-02-02T00:00:00"/>
    <n v="26"/>
    <x v="0"/>
    <n v="14"/>
    <n v="1"/>
    <n v="21484.69"/>
    <n v="2443.58"/>
    <n v="7718.82"/>
  </r>
  <r>
    <s v="1218"/>
    <s v="Jorge Hernández"/>
    <d v="1936-01-01T00:00:00"/>
    <n v="90"/>
    <x v="1"/>
    <x v="2"/>
    <d v="2023-12-15T00:00:00"/>
    <d v="2023-01-22T00:00:00"/>
    <n v="33"/>
    <x v="1"/>
    <n v="1"/>
    <n v="1"/>
    <n v="1982.86"/>
    <n v="5316.75"/>
    <n v="6199.12"/>
  </r>
  <r>
    <s v="1219"/>
    <s v="Jorge Ramírez"/>
    <d v="2009-12-31T00:00:00"/>
    <n v="16"/>
    <x v="1"/>
    <x v="4"/>
    <d v="2024-05-22T00:00:00"/>
    <d v="2025-01-15T00:00:00"/>
    <n v="3"/>
    <x v="1"/>
    <n v="10"/>
    <n v="8"/>
    <n v="10478.68"/>
    <n v="7076.59"/>
    <n v="5585.7"/>
  </r>
  <r>
    <s v="1220"/>
    <s v="Ricardo Gómez"/>
    <d v="1984-01-01T00:00:00"/>
    <n v="42"/>
    <x v="1"/>
    <x v="0"/>
    <d v="2024-04-01T00:00:00"/>
    <d v="2024-02-13T00:00:00"/>
    <n v="15"/>
    <x v="2"/>
    <n v="2"/>
    <n v="1"/>
    <n v="3555.36"/>
    <n v="8276.59"/>
    <n v="10157.06"/>
  </r>
  <r>
    <s v="1221"/>
    <s v="Sofía Morales"/>
    <d v="1968-01-01T00:00:00"/>
    <n v="58"/>
    <x v="0"/>
    <x v="6"/>
    <d v="2024-01-20T00:00:00"/>
    <d v="2024-05-02T00:00:00"/>
    <n v="25"/>
    <x v="2"/>
    <n v="1"/>
    <n v="1"/>
    <n v="8020.31"/>
    <n v="2347.4899999999998"/>
    <n v="10889.57"/>
  </r>
  <r>
    <s v="1222"/>
    <s v="Miguel Pérez"/>
    <d v="1976-01-01T00:00:00"/>
    <n v="50"/>
    <x v="1"/>
    <x v="4"/>
    <d v="2024-12-12T00:00:00"/>
    <d v="2024-06-12T00:00:00"/>
    <n v="2"/>
    <x v="0"/>
    <n v="1"/>
    <n v="2"/>
    <n v="28746.240000000002"/>
    <n v="11691.21"/>
    <n v="1444.14"/>
  </r>
  <r>
    <s v="1223"/>
    <s v="Juan Rodríguez"/>
    <d v="1972-12-31T00:00:00"/>
    <n v="53"/>
    <x v="0"/>
    <x v="2"/>
    <d v="2024-03-23T00:00:00"/>
    <d v="2024-02-21T00:00:00"/>
    <n v="15"/>
    <x v="0"/>
    <n v="12"/>
    <n v="8"/>
    <n v="21010.54"/>
    <n v="4672.9399999999996"/>
    <n v="13433.19"/>
  </r>
  <r>
    <s v="1224"/>
    <s v="Ricardo Rodríguez"/>
    <d v="2003-01-01T00:00:00"/>
    <n v="23"/>
    <x v="1"/>
    <x v="3"/>
    <d v="2024-09-19T00:00:00"/>
    <d v="2023-09-30T00:00:00"/>
    <n v="34"/>
    <x v="0"/>
    <n v="7"/>
    <n v="5"/>
    <n v="260.51"/>
    <n v="13769.23"/>
    <n v="8342.0300000000007"/>
  </r>
  <r>
    <s v="1225"/>
    <s v="Juan Ramírez"/>
    <d v="2001-12-31T00:00:00"/>
    <n v="24"/>
    <x v="1"/>
    <x v="2"/>
    <d v="2023-04-25T00:00:00"/>
    <d v="2023-07-25T00:00:00"/>
    <n v="4"/>
    <x v="1"/>
    <n v="3"/>
    <n v="5"/>
    <n v="9530.27"/>
    <n v="4943.29"/>
    <n v="17779.54"/>
  </r>
  <r>
    <s v="1226"/>
    <s v="Ana Morales"/>
    <d v="1956-01-01T00:00:00"/>
    <n v="70"/>
    <x v="0"/>
    <x v="6"/>
    <d v="2024-03-27T00:00:00"/>
    <d v="2023-10-26T00:00:00"/>
    <n v="6"/>
    <x v="0"/>
    <n v="1"/>
    <n v="9"/>
    <n v="12880.4"/>
    <n v="12943.18"/>
    <n v="17699"/>
  </r>
  <r>
    <s v="1227"/>
    <s v="Elena Gómez"/>
    <d v="1975-01-01T00:00:00"/>
    <n v="39"/>
    <x v="1"/>
    <x v="4"/>
    <d v="2024-10-15T00:00:00"/>
    <d v="2024-11-03T00:00:00"/>
    <n v="32"/>
    <x v="1"/>
    <n v="9"/>
    <n v="4"/>
    <n v="17876.29"/>
    <n v="5287.99"/>
    <n v="14373.86"/>
  </r>
  <r>
    <s v="1228"/>
    <s v="Miguel Martínez"/>
    <d v="1956-12-31T00:00:00"/>
    <n v="69"/>
    <x v="0"/>
    <x v="3"/>
    <d v="2023-04-29T00:00:00"/>
    <d v="2024-07-07T00:00:00"/>
    <n v="9"/>
    <x v="1"/>
    <n v="1"/>
    <n v="6"/>
    <n v="14741.67"/>
    <n v="7587.49"/>
    <n v="17061.04"/>
  </r>
  <r>
    <s v="1229"/>
    <s v="José Cruz"/>
    <d v="1939-01-01T00:00:00"/>
    <n v="87"/>
    <x v="0"/>
    <x v="4"/>
    <d v="2023-04-03T00:00:00"/>
    <d v="2023-04-19T00:00:00"/>
    <n v="37"/>
    <x v="1"/>
    <n v="5"/>
    <n v="3"/>
    <n v="1628.07"/>
    <n v="5585.32"/>
    <n v="18442.53"/>
  </r>
  <r>
    <s v="1230"/>
    <s v="Ana Gómez"/>
    <d v="1993-12-31T00:00:00"/>
    <n v="32"/>
    <x v="0"/>
    <x v="6"/>
    <d v="2024-06-04T00:00:00"/>
    <d v="2024-09-29T00:00:00"/>
    <n v="36"/>
    <x v="0"/>
    <n v="12"/>
    <n v="9"/>
    <n v="15224.2"/>
    <n v="5806.43"/>
    <n v="11504.31"/>
  </r>
  <r>
    <s v="1231"/>
    <s v="Luis Rodríguez"/>
    <d v="1977-12-31T00:00:00"/>
    <n v="48"/>
    <x v="0"/>
    <x v="0"/>
    <d v="2024-08-07T00:00:00"/>
    <d v="2023-06-02T00:00:00"/>
    <n v="21"/>
    <x v="2"/>
    <n v="0"/>
    <n v="9"/>
    <n v="3472.91"/>
    <n v="9278.73"/>
    <n v="19435.32"/>
  </r>
  <r>
    <s v="1232"/>
    <s v="María Pérez"/>
    <d v="1997-12-31T00:00:00"/>
    <n v="28"/>
    <x v="1"/>
    <x v="3"/>
    <d v="2024-06-21T00:00:00"/>
    <d v="2023-01-14T00:00:00"/>
    <n v="6"/>
    <x v="0"/>
    <n v="2"/>
    <n v="2"/>
    <n v="15335.59"/>
    <n v="10393.93"/>
    <n v="19103.52"/>
  </r>
  <r>
    <s v="1233"/>
    <s v="Miguel Gómez"/>
    <d v="1964-01-01T00:00:00"/>
    <n v="62"/>
    <x v="1"/>
    <x v="2"/>
    <d v="2024-03-08T00:00:00"/>
    <d v="2024-12-16T00:00:00"/>
    <n v="9"/>
    <x v="0"/>
    <n v="0"/>
    <n v="6"/>
    <n v="7005.09"/>
    <n v="13057.1"/>
    <n v="2108.64"/>
  </r>
  <r>
    <s v="1234"/>
    <s v="José Sánchez"/>
    <d v="2004-12-31T00:00:00"/>
    <n v="21"/>
    <x v="0"/>
    <x v="6"/>
    <d v="2023-05-25T00:00:00"/>
    <d v="2023-03-21T00:00:00"/>
    <n v="33"/>
    <x v="0"/>
    <n v="7"/>
    <n v="9"/>
    <n v="3897.87"/>
    <n v="8535.7900000000009"/>
    <n v="10407.379999999999"/>
  </r>
  <r>
    <s v="1235"/>
    <s v="Elena Rodríguez"/>
    <d v="2000-12-31T00:00:00"/>
    <n v="25"/>
    <x v="0"/>
    <x v="5"/>
    <d v="2023-03-09T00:00:00"/>
    <d v="2024-07-08T00:00:00"/>
    <n v="34"/>
    <x v="0"/>
    <n v="10"/>
    <n v="0"/>
    <n v="0"/>
    <n v="3252.66"/>
    <n v="2200.8000000000002"/>
  </r>
  <r>
    <s v="1236"/>
    <s v="Carmen Cruz"/>
    <d v="1999-01-01T00:00:00"/>
    <n v="27"/>
    <x v="0"/>
    <x v="2"/>
    <d v="2024-11-30T00:00:00"/>
    <d v="2023-06-19T00:00:00"/>
    <n v="6"/>
    <x v="0"/>
    <n v="7"/>
    <n v="5"/>
    <n v="2538.4699999999998"/>
    <n v="14843.7"/>
    <n v="13651.08"/>
  </r>
  <r>
    <s v="1237"/>
    <s v="Laura Cruz"/>
    <d v="1941-12-31T00:00:00"/>
    <n v="84"/>
    <x v="1"/>
    <x v="2"/>
    <d v="2023-05-11T00:00:00"/>
    <d v="2023-09-07T00:00:00"/>
    <n v="36"/>
    <x v="0"/>
    <n v="10"/>
    <n v="1"/>
    <n v="8161.5"/>
    <n v="10256.6"/>
    <n v="15282.04"/>
  </r>
  <r>
    <s v="1238"/>
    <s v="María Sánchez"/>
    <d v="1977-12-31T00:00:00"/>
    <n v="48"/>
    <x v="1"/>
    <x v="3"/>
    <d v="2023-10-08T00:00:00"/>
    <d v="2023-05-02T00:00:00"/>
    <n v="19"/>
    <x v="2"/>
    <n v="12"/>
    <n v="1"/>
    <n v="25941.45"/>
    <n v="5621.28"/>
    <n v="17682.03"/>
  </r>
  <r>
    <s v="1239"/>
    <s v="Miguel Martínez"/>
    <d v="1956-01-01T00:00:00"/>
    <n v="70"/>
    <x v="0"/>
    <x v="4"/>
    <d v="2024-10-13T00:00:00"/>
    <d v="2024-01-23T00:00:00"/>
    <n v="14"/>
    <x v="0"/>
    <n v="13"/>
    <n v="7"/>
    <n v="8868.7099999999991"/>
    <n v="14523.07"/>
    <n v="12965.19"/>
  </r>
  <r>
    <s v="1240"/>
    <s v="Ana Morales"/>
    <d v="1945-12-31T00:00:00"/>
    <n v="80"/>
    <x v="1"/>
    <x v="1"/>
    <d v="2024-07-19T00:00:00"/>
    <d v="2024-03-15T00:00:00"/>
    <n v="30"/>
    <x v="0"/>
    <n v="11"/>
    <n v="2"/>
    <n v="13841.77"/>
    <n v="14377.1"/>
    <n v="9025.25"/>
  </r>
  <r>
    <s v="1241"/>
    <s v="Luis López"/>
    <d v="1943-01-01T00:00:00"/>
    <n v="83"/>
    <x v="1"/>
    <x v="2"/>
    <d v="2024-05-27T00:00:00"/>
    <d v="2023-09-30T00:00:00"/>
    <n v="21"/>
    <x v="0"/>
    <n v="14"/>
    <n v="8"/>
    <n v="15354.15"/>
    <n v="1193.0899999999999"/>
    <n v="3034.33"/>
  </r>
  <r>
    <s v="1242"/>
    <s v="Pedro López"/>
    <d v="1977-12-31T00:00:00"/>
    <n v="48"/>
    <x v="1"/>
    <x v="6"/>
    <d v="2024-10-01T00:00:00"/>
    <d v="2023-10-28T00:00:00"/>
    <n v="12"/>
    <x v="2"/>
    <n v="13"/>
    <n v="3"/>
    <n v="4937.87"/>
    <n v="297.38"/>
    <n v="2414.59"/>
  </r>
  <r>
    <s v="1243"/>
    <s v="Elena Morales"/>
    <d v="2007-01-01T00:00:00"/>
    <n v="19"/>
    <x v="0"/>
    <x v="5"/>
    <d v="2023-01-01T00:00:00"/>
    <d v="2024-12-22T00:00:00"/>
    <n v="26"/>
    <x v="0"/>
    <n v="11"/>
    <n v="5"/>
    <n v="0"/>
    <n v="666.85"/>
    <n v="9661.91"/>
  </r>
  <r>
    <s v="1244"/>
    <s v="Jorge Hernández"/>
    <d v="1940-12-31T00:00:00"/>
    <n v="85"/>
    <x v="1"/>
    <x v="0"/>
    <d v="2024-11-15T00:00:00"/>
    <d v="2024-04-18T00:00:00"/>
    <n v="29"/>
    <x v="0"/>
    <n v="11"/>
    <n v="0"/>
    <n v="25515.919999999998"/>
    <n v="10279.719999999999"/>
    <n v="16634.21"/>
  </r>
  <r>
    <s v="1245"/>
    <s v="María Martínez"/>
    <d v="1935-01-01T00:00:00"/>
    <n v="91"/>
    <x v="0"/>
    <x v="5"/>
    <d v="2024-03-07T00:00:00"/>
    <d v="2023-06-08T00:00:00"/>
    <n v="30"/>
    <x v="0"/>
    <n v="5"/>
    <n v="9"/>
    <n v="1956.08"/>
    <n v="10663.19"/>
    <n v="14989.45"/>
  </r>
  <r>
    <s v="1246"/>
    <s v="José Martínez"/>
    <d v="1964-01-01T00:00:00"/>
    <n v="62"/>
    <x v="1"/>
    <x v="6"/>
    <d v="2024-01-26T00:00:00"/>
    <d v="2024-09-25T00:00:00"/>
    <n v="26"/>
    <x v="2"/>
    <n v="12"/>
    <n v="9"/>
    <n v="27646"/>
    <n v="10860.42"/>
    <n v="17604.12"/>
  </r>
  <r>
    <s v="1247"/>
    <s v="Jorge Gómez"/>
    <d v="1965-12-31T00:00:00"/>
    <n v="60"/>
    <x v="0"/>
    <x v="3"/>
    <d v="2023-09-23T00:00:00"/>
    <d v="2023-08-16T00:00:00"/>
    <n v="12"/>
    <x v="2"/>
    <n v="5"/>
    <n v="2"/>
    <n v="26068.959999999999"/>
    <n v="9453.59"/>
    <n v="16200.9"/>
  </r>
  <r>
    <s v="1248"/>
    <s v="Ricardo Ramírez"/>
    <d v="1977-12-31T00:00:00"/>
    <n v="48"/>
    <x v="0"/>
    <x v="6"/>
    <d v="2024-02-03T00:00:00"/>
    <d v="2024-02-26T00:00:00"/>
    <n v="24"/>
    <x v="2"/>
    <n v="0"/>
    <n v="3"/>
    <n v="25602.799999999999"/>
    <n v="4282.37"/>
    <n v="4029.88"/>
  </r>
  <r>
    <s v="1249"/>
    <s v="Ana Sánchez"/>
    <d v="1956-01-01T00:00:00"/>
    <n v="70"/>
    <x v="1"/>
    <x v="1"/>
    <d v="2023-09-13T00:00:00"/>
    <d v="2023-01-25T00:00:00"/>
    <n v="31"/>
    <x v="2"/>
    <n v="10"/>
    <n v="4"/>
    <n v="5555.55"/>
    <n v="2506.9299999999998"/>
    <n v="3926.52"/>
  </r>
  <r>
    <s v="1250"/>
    <s v="Luisa Ramírez"/>
    <d v="2025-12-31T00:00:00"/>
    <n v="0"/>
    <x v="0"/>
    <x v="1"/>
    <d v="2024-01-30T00:00:00"/>
    <d v="2025-01-12T00:00:00"/>
    <n v="1"/>
    <x v="1"/>
    <n v="8"/>
    <n v="0"/>
    <n v="14271.56"/>
    <n v="13917.87"/>
    <n v="9106.07"/>
  </r>
  <r>
    <s v="1251"/>
    <s v="Sofía Pérez"/>
    <d v="2013-12-31T00:00:00"/>
    <n v="12"/>
    <x v="1"/>
    <x v="1"/>
    <d v="2023-06-23T00:00:00"/>
    <d v="2024-06-22T00:00:00"/>
    <n v="15"/>
    <x v="2"/>
    <n v="14"/>
    <n v="3"/>
    <n v="18292.740000000002"/>
    <n v="13697.1"/>
    <n v="3742.23"/>
  </r>
  <r>
    <s v="1252"/>
    <s v="Miguel Hernández"/>
    <d v="1932-12-31T00:00:00"/>
    <n v="93"/>
    <x v="1"/>
    <x v="2"/>
    <d v="2023-02-14T00:00:00"/>
    <d v="2024-07-24T00:00:00"/>
    <n v="18"/>
    <x v="0"/>
    <n v="10"/>
    <n v="4"/>
    <n v="2548.4699999999998"/>
    <n v="3637.29"/>
    <n v="3668.23"/>
  </r>
  <r>
    <s v="1253"/>
    <s v="José Hernández"/>
    <d v="1940-01-01T00:00:00"/>
    <n v="86"/>
    <x v="0"/>
    <x v="3"/>
    <d v="2023-05-21T00:00:00"/>
    <d v="2025-02-16T00:00:00"/>
    <n v="5"/>
    <x v="0"/>
    <n v="14"/>
    <n v="3"/>
    <n v="16483.79"/>
    <n v="2519.06"/>
    <n v="5282.36"/>
  </r>
  <r>
    <s v="1254"/>
    <s v="Elena Hernández"/>
    <d v="1976-01-01T00:00:00"/>
    <n v="50"/>
    <x v="1"/>
    <x v="4"/>
    <d v="2024-06-22T00:00:00"/>
    <d v="2024-09-30T00:00:00"/>
    <n v="3"/>
    <x v="0"/>
    <n v="6"/>
    <n v="9"/>
    <n v="25121.32"/>
    <n v="5630.11"/>
    <n v="353.6"/>
  </r>
  <r>
    <s v="1255"/>
    <s v="Jorge Morales"/>
    <d v="1971-01-01T00:00:00"/>
    <n v="55"/>
    <x v="1"/>
    <x v="1"/>
    <d v="2024-12-21T00:00:00"/>
    <d v="2025-02-26T00:00:00"/>
    <n v="17"/>
    <x v="0"/>
    <n v="1"/>
    <n v="9"/>
    <n v="28064.9"/>
    <n v="726.1"/>
    <n v="11383.99"/>
  </r>
  <r>
    <s v="1256"/>
    <s v="Luisa Morales"/>
    <d v="1944-01-01T00:00:00"/>
    <n v="82"/>
    <x v="1"/>
    <x v="4"/>
    <d v="2023-02-19T00:00:00"/>
    <d v="2024-06-24T00:00:00"/>
    <n v="1"/>
    <x v="1"/>
    <n v="6"/>
    <n v="6"/>
    <n v="7989.02"/>
    <n v="2432.09"/>
    <n v="7871.8"/>
  </r>
  <r>
    <s v="1257"/>
    <s v="José Pérez"/>
    <d v="1964-12-31T00:00:00"/>
    <n v="61"/>
    <x v="1"/>
    <x v="0"/>
    <d v="2023-03-02T00:00:00"/>
    <d v="2025-03-24T00:00:00"/>
    <n v="19"/>
    <x v="1"/>
    <n v="3"/>
    <n v="7"/>
    <n v="8306.5499999999993"/>
    <n v="5704.48"/>
    <n v="4671.66"/>
  </r>
  <r>
    <s v="1258"/>
    <s v="Carlos Gómez"/>
    <d v="1995-01-01T00:00:00"/>
    <n v="31"/>
    <x v="0"/>
    <x v="0"/>
    <d v="2023-08-31T00:00:00"/>
    <d v="2023-05-09T00:00:00"/>
    <n v="18"/>
    <x v="1"/>
    <n v="11"/>
    <n v="7"/>
    <n v="7757.28"/>
    <n v="3581.16"/>
    <n v="2597.9"/>
  </r>
  <r>
    <s v="1259"/>
    <s v="José Sánchez"/>
    <d v="1996-12-31T00:00:00"/>
    <n v="29"/>
    <x v="1"/>
    <x v="4"/>
    <d v="2023-09-26T00:00:00"/>
    <d v="2023-04-05T00:00:00"/>
    <n v="3"/>
    <x v="0"/>
    <n v="2"/>
    <n v="2"/>
    <n v="4180.2299999999996"/>
    <n v="11052.3"/>
    <n v="9062.59"/>
  </r>
  <r>
    <s v="1260"/>
    <s v="Carlos Morales"/>
    <d v="1997-12-31T00:00:00"/>
    <n v="28"/>
    <x v="0"/>
    <x v="6"/>
    <d v="2023-05-20T00:00:00"/>
    <d v="2024-12-04T00:00:00"/>
    <n v="29"/>
    <x v="0"/>
    <n v="8"/>
    <n v="4"/>
    <n v="12636.77"/>
    <n v="13574.39"/>
    <n v="11999.36"/>
  </r>
  <r>
    <s v="1261"/>
    <s v="Pedro Sánchez"/>
    <d v="1977-12-31T00:00:00"/>
    <n v="48"/>
    <x v="0"/>
    <x v="1"/>
    <d v="2023-06-06T00:00:00"/>
    <d v="2024-02-26T00:00:00"/>
    <n v="3"/>
    <x v="0"/>
    <n v="0"/>
    <n v="9"/>
    <n v="23426.3"/>
    <n v="13637.1"/>
    <n v="19462.87"/>
  </r>
  <r>
    <s v="1262"/>
    <s v="Luis Sánchez"/>
    <d v="1981-12-31T00:00:00"/>
    <n v="44"/>
    <x v="1"/>
    <x v="2"/>
    <d v="2024-08-19T00:00:00"/>
    <d v="2023-09-30T00:00:00"/>
    <n v="10"/>
    <x v="0"/>
    <n v="1"/>
    <n v="7"/>
    <n v="21218.7"/>
    <n v="9064.17"/>
    <n v="5001.8599999999997"/>
  </r>
  <r>
    <s v="1263"/>
    <s v="José Martínez"/>
    <d v="1933-12-31T00:00:00"/>
    <n v="92"/>
    <x v="1"/>
    <x v="0"/>
    <d v="2024-08-18T00:00:00"/>
    <d v="2024-04-29T00:00:00"/>
    <n v="2"/>
    <x v="2"/>
    <n v="11"/>
    <n v="6"/>
    <n v="26959.74"/>
    <n v="10552.35"/>
    <n v="429.33"/>
  </r>
  <r>
    <s v="1264"/>
    <s v="Sofía Ramírez"/>
    <d v="1996-12-31T00:00:00"/>
    <n v="29"/>
    <x v="0"/>
    <x v="5"/>
    <d v="2023-10-03T00:00:00"/>
    <d v="2023-01-06T00:00:00"/>
    <n v="19"/>
    <x v="2"/>
    <n v="11"/>
    <n v="8"/>
    <n v="10350.120000000001"/>
    <n v="7410.47"/>
    <n v="14693.9"/>
  </r>
  <r>
    <s v="1265"/>
    <s v="Pedro Pérez"/>
    <d v="2011-01-01T00:00:00"/>
    <n v="15"/>
    <x v="1"/>
    <x v="3"/>
    <d v="2023-01-31T00:00:00"/>
    <d v="2023-06-07T00:00:00"/>
    <n v="21"/>
    <x v="0"/>
    <n v="8"/>
    <n v="9"/>
    <n v="16952.689999999999"/>
    <n v="2200.3200000000002"/>
    <n v="4626.91"/>
  </r>
  <r>
    <s v="1266"/>
    <s v="Carmen Gómez"/>
    <d v="1987-01-01T00:00:00"/>
    <n v="39"/>
    <x v="1"/>
    <x v="5"/>
    <d v="2023-01-08T00:00:00"/>
    <d v="2023-02-22T00:00:00"/>
    <n v="38"/>
    <x v="2"/>
    <n v="11"/>
    <n v="6"/>
    <n v="22879.33"/>
    <n v="9525.5400000000009"/>
    <n v="9633.7000000000007"/>
  </r>
  <r>
    <s v="1267"/>
    <s v="Pedro Cruz"/>
    <d v="2008-01-01T00:00:00"/>
    <n v="18"/>
    <x v="1"/>
    <x v="4"/>
    <d v="2024-12-15T00:00:00"/>
    <d v="2023-09-01T00:00:00"/>
    <n v="27"/>
    <x v="2"/>
    <n v="0"/>
    <n v="1"/>
    <n v="26894.29"/>
    <n v="5249.31"/>
    <n v="16145.33"/>
  </r>
  <r>
    <s v="1268"/>
    <s v="Ana Morales"/>
    <d v="2008-12-31T00:00:00"/>
    <n v="17"/>
    <x v="0"/>
    <x v="0"/>
    <d v="2023-02-02T00:00:00"/>
    <d v="2024-10-25T00:00:00"/>
    <n v="19"/>
    <x v="0"/>
    <n v="9"/>
    <n v="3"/>
    <n v="26088.51"/>
    <n v="86.9"/>
    <n v="643.23"/>
  </r>
  <r>
    <s v="1269"/>
    <s v="Carmen Morales"/>
    <d v="2025-12-31T00:00:00"/>
    <n v="42"/>
    <x v="0"/>
    <x v="0"/>
    <d v="2024-10-16T00:00:00"/>
    <d v="2025-02-13T00:00:00"/>
    <n v="9"/>
    <x v="0"/>
    <n v="10"/>
    <n v="7"/>
    <n v="13698.29"/>
    <n v="8624.31"/>
    <n v="2744.54"/>
  </r>
  <r>
    <s v="1270"/>
    <s v="Ricardo Cruz"/>
    <d v="1948-12-31T00:00:00"/>
    <n v="77"/>
    <x v="1"/>
    <x v="6"/>
    <d v="2024-03-27T00:00:00"/>
    <d v="2024-02-25T00:00:00"/>
    <n v="23"/>
    <x v="1"/>
    <n v="14"/>
    <n v="8"/>
    <n v="27159.16"/>
    <n v="2975.53"/>
    <n v="1873.34"/>
  </r>
  <r>
    <s v="1271"/>
    <s v="Ana Morales"/>
    <d v="1980-01-01T00:00:00"/>
    <n v="46"/>
    <x v="1"/>
    <x v="6"/>
    <d v="2024-03-24T00:00:00"/>
    <d v="2025-03-28T00:00:00"/>
    <n v="1"/>
    <x v="0"/>
    <n v="2"/>
    <n v="6"/>
    <n v="13043.7"/>
    <n v="13297.58"/>
    <n v="4597.8999999999996"/>
  </r>
  <r>
    <s v="1272"/>
    <s v="Miguel Morales"/>
    <d v="1960-12-31T00:00:00"/>
    <n v="65"/>
    <x v="0"/>
    <x v="1"/>
    <d v="2023-02-06T00:00:00"/>
    <d v="2024-03-01T00:00:00"/>
    <n v="16"/>
    <x v="0"/>
    <n v="1"/>
    <n v="4"/>
    <n v="27036.38"/>
    <n v="14009.17"/>
    <n v="3377.94"/>
  </r>
  <r>
    <s v="1273"/>
    <s v="Sofía Ramírez"/>
    <d v="1935-01-01T00:00:00"/>
    <n v="91"/>
    <x v="0"/>
    <x v="4"/>
    <d v="2024-10-20T00:00:00"/>
    <d v="2023-03-22T00:00:00"/>
    <n v="13"/>
    <x v="0"/>
    <n v="3"/>
    <n v="0"/>
    <n v="23197.61"/>
    <n v="2432.6"/>
    <n v="6263.7"/>
  </r>
  <r>
    <s v="1274"/>
    <s v="María Cruz"/>
    <d v="1932-12-31T00:00:00"/>
    <n v="93"/>
    <x v="0"/>
    <x v="3"/>
    <d v="2023-02-03T00:00:00"/>
    <d v="2024-11-26T00:00:00"/>
    <n v="9"/>
    <x v="0"/>
    <n v="5"/>
    <n v="8"/>
    <n v="6260.26"/>
    <n v="441.19"/>
    <n v="14900.72"/>
  </r>
  <r>
    <s v="1275"/>
    <s v="Ana Sánchez"/>
    <d v="1988-12-31T00:00:00"/>
    <n v="37"/>
    <x v="0"/>
    <x v="1"/>
    <d v="2024-03-30T00:00:00"/>
    <d v="2023-12-21T00:00:00"/>
    <n v="30"/>
    <x v="2"/>
    <n v="7"/>
    <n v="5"/>
    <n v="27854.86"/>
    <n v="60.67"/>
    <n v="751.11"/>
  </r>
  <r>
    <s v="1276"/>
    <s v="Ricardo Ramírez"/>
    <d v="1976-01-01T00:00:00"/>
    <n v="50"/>
    <x v="1"/>
    <x v="6"/>
    <d v="2024-03-19T00:00:00"/>
    <d v="2024-09-11T00:00:00"/>
    <n v="18"/>
    <x v="2"/>
    <n v="3"/>
    <n v="1"/>
    <n v="6895.17"/>
    <n v="13695.65"/>
    <n v="1382.65"/>
  </r>
  <r>
    <s v="1277"/>
    <s v="Elena Ramírez"/>
    <d v="1964-01-01T00:00:00"/>
    <n v="62"/>
    <x v="0"/>
    <x v="2"/>
    <d v="2023-08-25T00:00:00"/>
    <d v="2024-10-28T00:00:00"/>
    <n v="33"/>
    <x v="0"/>
    <n v="6"/>
    <n v="9"/>
    <n v="27206.81"/>
    <n v="2280.2800000000002"/>
    <n v="11242.91"/>
  </r>
  <r>
    <s v="1278"/>
    <s v="Pedro Pérez"/>
    <d v="2023-01-01T00:00:00"/>
    <n v="3"/>
    <x v="1"/>
    <x v="3"/>
    <d v="2023-07-31T00:00:00"/>
    <d v="2023-10-21T00:00:00"/>
    <n v="6"/>
    <x v="0"/>
    <n v="0"/>
    <n v="9"/>
    <n v="18260.830000000002"/>
    <n v="6529.99"/>
    <n v="10357.219999999999"/>
  </r>
  <r>
    <s v="1279"/>
    <s v="Luis Gómez"/>
    <d v="2025-12-31T00:00:00"/>
    <n v="0"/>
    <x v="1"/>
    <x v="2"/>
    <d v="2023-05-20T00:00:00"/>
    <d v="2024-12-18T00:00:00"/>
    <n v="36"/>
    <x v="1"/>
    <n v="4"/>
    <n v="1"/>
    <n v="19854.97"/>
    <n v="857.42"/>
    <n v="9428.91"/>
  </r>
  <r>
    <s v="1280"/>
    <s v="María Pérez"/>
    <d v="2019-01-01T00:00:00"/>
    <n v="7"/>
    <x v="0"/>
    <x v="1"/>
    <d v="2024-12-02T00:00:00"/>
    <d v="2023-04-27T00:00:00"/>
    <n v="39"/>
    <x v="0"/>
    <n v="6"/>
    <n v="9"/>
    <n v="2834.67"/>
    <n v="5600.19"/>
    <n v="10269.77"/>
  </r>
  <r>
    <s v="1281"/>
    <s v="Luis Gómez"/>
    <d v="1997-12-31T00:00:00"/>
    <n v="28"/>
    <x v="1"/>
    <x v="6"/>
    <d v="2024-08-30T00:00:00"/>
    <d v="2024-06-13T00:00:00"/>
    <n v="5"/>
    <x v="1"/>
    <n v="7"/>
    <n v="0"/>
    <n v="1505.1"/>
    <n v="11781.37"/>
    <n v="14814.98"/>
  </r>
  <r>
    <s v="1282"/>
    <s v="Ana Rodríguez"/>
    <d v="1972-01-01T00:00:00"/>
    <n v="54"/>
    <x v="2"/>
    <x v="3"/>
    <d v="2024-12-06T00:00:00"/>
    <d v="2024-04-25T00:00:00"/>
    <n v="17"/>
    <x v="1"/>
    <n v="9"/>
    <n v="3"/>
    <n v="29034.400000000001"/>
    <n v="6100.03"/>
    <n v="11479.89"/>
  </r>
  <r>
    <s v="1283"/>
    <s v="Carlos Gómez"/>
    <d v="2024-01-01T00:00:00"/>
    <n v="2"/>
    <x v="1"/>
    <x v="1"/>
    <d v="2023-12-27T00:00:00"/>
    <d v="2023-10-16T00:00:00"/>
    <n v="7"/>
    <x v="0"/>
    <n v="2"/>
    <n v="9"/>
    <n v="9776.2999999999993"/>
    <n v="11633.7"/>
    <n v="9085.16"/>
  </r>
  <r>
    <s v="1284"/>
    <s v="Elena Hernández"/>
    <d v="1941-01-01T00:00:00"/>
    <n v="31"/>
    <x v="0"/>
    <x v="0"/>
    <d v="2023-10-31T00:00:00"/>
    <d v="2024-10-30T00:00:00"/>
    <n v="29"/>
    <x v="0"/>
    <n v="2"/>
    <n v="1"/>
    <n v="25253.32"/>
    <n v="10332.59"/>
    <n v="1543.19"/>
  </r>
  <r>
    <s v="1285"/>
    <s v="María Sánchez"/>
    <d v="2016-12-31T00:00:00"/>
    <n v="9"/>
    <x v="0"/>
    <x v="1"/>
    <d v="2023-10-23T00:00:00"/>
    <d v="2024-04-22T00:00:00"/>
    <n v="25"/>
    <x v="0"/>
    <n v="5"/>
    <n v="9"/>
    <n v="20986.5"/>
    <n v="7759.62"/>
    <n v="19492.900000000001"/>
  </r>
  <r>
    <s v="1286"/>
    <s v="Pedro Martínez"/>
    <d v="1952-12-31T00:00:00"/>
    <n v="73"/>
    <x v="1"/>
    <x v="4"/>
    <d v="2023-06-01T00:00:00"/>
    <d v="2023-01-26T00:00:00"/>
    <n v="7"/>
    <x v="1"/>
    <n v="11"/>
    <n v="8"/>
    <n v="17926.22"/>
    <n v="11065.65"/>
    <n v="4710.6099999999997"/>
  </r>
  <r>
    <s v="1287"/>
    <s v="Miguel Ramírez"/>
    <d v="1944-01-01T00:00:00"/>
    <n v="82"/>
    <x v="0"/>
    <x v="5"/>
    <d v="2023-08-11T00:00:00"/>
    <d v="2024-03-07T00:00:00"/>
    <n v="5"/>
    <x v="2"/>
    <n v="2"/>
    <n v="1"/>
    <n v="20398.900000000001"/>
    <n v="13186.71"/>
    <n v="17370.07"/>
  </r>
  <r>
    <s v="1288"/>
    <s v="Ana Pérez"/>
    <d v="1992-12-31T00:00:00"/>
    <n v="33"/>
    <x v="1"/>
    <x v="0"/>
    <d v="2023-07-15T00:00:00"/>
    <d v="2023-10-06T00:00:00"/>
    <n v="30"/>
    <x v="1"/>
    <n v="14"/>
    <n v="8"/>
    <n v="2226.31"/>
    <n v="11895.17"/>
    <n v="7517.45"/>
  </r>
  <r>
    <s v="1289"/>
    <s v="Carmen Gómez"/>
    <d v="1940-01-01T00:00:00"/>
    <n v="86"/>
    <x v="0"/>
    <x v="2"/>
    <d v="2024-08-22T00:00:00"/>
    <d v="2023-11-14T00:00:00"/>
    <n v="10"/>
    <x v="1"/>
    <n v="3"/>
    <n v="0"/>
    <n v="12078.06"/>
    <n v="10375.950000000001"/>
    <n v="13647.12"/>
  </r>
  <r>
    <s v="1290"/>
    <s v="Miguel Morales"/>
    <d v="1972-01-01T00:00:00"/>
    <n v="54"/>
    <x v="1"/>
    <x v="0"/>
    <d v="2023-10-26T00:00:00"/>
    <d v="2024-09-30T00:00:00"/>
    <n v="32"/>
    <x v="1"/>
    <n v="13"/>
    <n v="6"/>
    <n v="18015.830000000002"/>
    <n v="10527.33"/>
    <n v="9028.01"/>
  </r>
  <r>
    <s v="1291"/>
    <s v="Ana Pérez"/>
    <d v="1935-01-01T00:00:00"/>
    <n v="91"/>
    <x v="0"/>
    <x v="1"/>
    <d v="2024-06-12T00:00:00"/>
    <d v="2025-03-23T00:00:00"/>
    <n v="26"/>
    <x v="0"/>
    <n v="13"/>
    <n v="5"/>
    <n v="25960.67"/>
    <n v="2416.48"/>
    <n v="7018.67"/>
  </r>
  <r>
    <s v="1292"/>
    <s v="Laura Sánchez"/>
    <d v="1995-01-01T00:00:00"/>
    <n v="31"/>
    <x v="1"/>
    <x v="0"/>
    <d v="2024-05-02T00:00:00"/>
    <d v="2023-12-25T00:00:00"/>
    <n v="2"/>
    <x v="2"/>
    <n v="0"/>
    <n v="5"/>
    <n v="21297.96"/>
    <n v="14260.08"/>
    <n v="12247.53"/>
  </r>
  <r>
    <s v="1293"/>
    <s v="Sofía López"/>
    <d v="1976-12-31T00:00:00"/>
    <n v="49"/>
    <x v="1"/>
    <x v="5"/>
    <d v="2023-07-30T00:00:00"/>
    <d v="2023-10-04T00:00:00"/>
    <n v="0"/>
    <x v="1"/>
    <n v="0"/>
    <n v="1"/>
    <n v="7210.62"/>
    <n v="3084.96"/>
    <n v="10675.74"/>
  </r>
  <r>
    <s v="1294"/>
    <s v="Miguel Rodríguez"/>
    <d v="2020-01-01T00:00:00"/>
    <n v="6"/>
    <x v="1"/>
    <x v="4"/>
    <d v="2023-08-20T00:00:00"/>
    <d v="2025-05-27T00:00:00"/>
    <n v="34"/>
    <x v="1"/>
    <n v="9"/>
    <n v="0"/>
    <n v="29540.25"/>
    <n v="5234.28"/>
    <n v="4571.8900000000003"/>
  </r>
  <r>
    <s v="1295"/>
    <s v="María Martínez"/>
    <d v="1933-12-31T00:00:00"/>
    <n v="92"/>
    <x v="1"/>
    <x v="1"/>
    <d v="2024-11-25T00:00:00"/>
    <d v="2024-11-21T00:00:00"/>
    <n v="38"/>
    <x v="0"/>
    <n v="12"/>
    <n v="9"/>
    <n v="19112.62"/>
    <n v="7769.8"/>
    <n v="6658.46"/>
  </r>
  <r>
    <s v="1296"/>
    <s v="Ricardo Rodríguez"/>
    <d v="2019-01-01T00:00:00"/>
    <n v="7"/>
    <x v="0"/>
    <x v="5"/>
    <d v="2024-11-04T00:00:00"/>
    <d v="2023-12-11T00:00:00"/>
    <n v="3"/>
    <x v="1"/>
    <n v="8"/>
    <n v="7"/>
    <n v="14790.16"/>
    <n v="1892.71"/>
    <n v="590.97"/>
  </r>
  <r>
    <s v="1297"/>
    <s v="Miguel Ramírez"/>
    <d v="1961-12-31T00:00:00"/>
    <n v="64"/>
    <x v="0"/>
    <x v="0"/>
    <d v="2024-01-02T00:00:00"/>
    <d v="2024-03-07T00:00:00"/>
    <n v="39"/>
    <x v="2"/>
    <n v="3"/>
    <n v="7"/>
    <n v="23332.05"/>
    <n v="8903.64"/>
    <n v="3791.03"/>
  </r>
  <r>
    <s v="1298"/>
    <s v="Carmen Hernández"/>
    <d v="1995-01-01T00:00:00"/>
    <n v="56"/>
    <x v="0"/>
    <x v="5"/>
    <d v="2024-04-25T00:00:00"/>
    <d v="2024-07-13T00:00:00"/>
    <n v="13"/>
    <x v="1"/>
    <n v="10"/>
    <n v="1"/>
    <n v="17882.36"/>
    <n v="2740.18"/>
    <n v="6650.24"/>
  </r>
  <r>
    <s v="1299"/>
    <s v="Juan Sánchez"/>
    <d v="1960-01-01T00:00:00"/>
    <n v="66"/>
    <x v="1"/>
    <x v="0"/>
    <d v="2024-08-04T00:00:00"/>
    <d v="2024-12-13T00:00:00"/>
    <n v="32"/>
    <x v="2"/>
    <n v="8"/>
    <n v="3"/>
    <n v="21154.65"/>
    <n v="13850.52"/>
    <n v="19439.64"/>
  </r>
  <r>
    <s v="1300"/>
    <s v="María Martínez"/>
    <d v="1939-01-01T00:00:00"/>
    <n v="87"/>
    <x v="0"/>
    <x v="3"/>
    <d v="2024-07-25T00:00:00"/>
    <d v="2024-07-17T00:00:00"/>
    <n v="15"/>
    <x v="2"/>
    <n v="8"/>
    <n v="3"/>
    <n v="0"/>
    <n v="13330.14"/>
    <n v="10494.49"/>
  </r>
  <r>
    <s v="1301"/>
    <s v="Sofía Sánchez"/>
    <d v="1940-01-01T00:00:00"/>
    <n v="86"/>
    <x v="1"/>
    <x v="0"/>
    <d v="2023-06-28T00:00:00"/>
    <d v="2024-03-15T00:00:00"/>
    <n v="8"/>
    <x v="0"/>
    <n v="11"/>
    <n v="1"/>
    <n v="4954.5600000000004"/>
    <n v="8166.38"/>
    <n v="13986"/>
  </r>
  <r>
    <s v="1302"/>
    <s v="María Cruz"/>
    <d v="1968-01-01T00:00:00"/>
    <n v="58"/>
    <x v="0"/>
    <x v="6"/>
    <d v="2024-04-28T00:00:00"/>
    <d v="2024-04-07T00:00:00"/>
    <n v="20"/>
    <x v="0"/>
    <n v="13"/>
    <n v="8"/>
    <n v="0"/>
    <n v="6742.14"/>
    <n v="13439.37"/>
  </r>
  <r>
    <s v="1303"/>
    <s v="Luis Morales"/>
    <d v="1955-01-01T00:00:00"/>
    <n v="71"/>
    <x v="2"/>
    <x v="5"/>
    <d v="2024-08-11T00:00:00"/>
    <d v="2025-03-18T00:00:00"/>
    <n v="8"/>
    <x v="0"/>
    <n v="0"/>
    <n v="3"/>
    <n v="8134.59"/>
    <n v="1539.03"/>
    <n v="19615.849999999999"/>
  </r>
  <r>
    <s v="1304"/>
    <s v="Ricardo Hernández"/>
    <d v="1972-12-31T00:00:00"/>
    <n v="53"/>
    <x v="1"/>
    <x v="4"/>
    <d v="2024-05-09T00:00:00"/>
    <d v="2023-09-28T00:00:00"/>
    <n v="26"/>
    <x v="0"/>
    <n v="10"/>
    <n v="3"/>
    <n v="16893.8"/>
    <n v="12349.5"/>
    <n v="11068.87"/>
  </r>
  <r>
    <s v="1305"/>
    <s v="Elena Rodríguez"/>
    <d v="1960-01-01T00:00:00"/>
    <n v="66"/>
    <x v="1"/>
    <x v="5"/>
    <d v="2024-06-30T00:00:00"/>
    <d v="2024-12-10T00:00:00"/>
    <n v="39"/>
    <x v="0"/>
    <n v="4"/>
    <n v="3"/>
    <n v="3327.86"/>
    <n v="5690.55"/>
    <n v="11668.44"/>
  </r>
  <r>
    <s v="1306"/>
    <s v="Elena Rodríguez"/>
    <d v="1976-01-01T00:00:00"/>
    <n v="50"/>
    <x v="1"/>
    <x v="2"/>
    <d v="2023-01-16T00:00:00"/>
    <d v="2024-03-07T00:00:00"/>
    <n v="24"/>
    <x v="0"/>
    <n v="10"/>
    <n v="4"/>
    <n v="6574.96"/>
    <n v="3694.86"/>
    <n v="5931.41"/>
  </r>
  <r>
    <s v="1307"/>
    <s v="Miguel Sánchez"/>
    <d v="1935-01-01T00:00:00"/>
    <n v="91"/>
    <x v="0"/>
    <x v="4"/>
    <d v="2024-04-10T00:00:00"/>
    <d v="2023-01-22T00:00:00"/>
    <n v="6"/>
    <x v="2"/>
    <n v="13"/>
    <n v="9"/>
    <n v="24166.04"/>
    <n v="14929.47"/>
    <n v="12484.97"/>
  </r>
  <r>
    <s v="1308"/>
    <s v="Carmen Morales"/>
    <d v="2019-01-01T00:00:00"/>
    <n v="7"/>
    <x v="0"/>
    <x v="4"/>
    <d v="2024-02-06T00:00:00"/>
    <d v="2023-05-24T00:00:00"/>
    <n v="32"/>
    <x v="0"/>
    <n v="4"/>
    <n v="7"/>
    <n v="11860.75"/>
    <n v="10024.459999999999"/>
    <n v="15130.26"/>
  </r>
  <r>
    <s v="1309"/>
    <s v="Miguel Gómez"/>
    <d v="1992-12-31T00:00:00"/>
    <n v="33"/>
    <x v="0"/>
    <x v="2"/>
    <d v="2023-10-21T00:00:00"/>
    <d v="2025-01-30T00:00:00"/>
    <n v="6"/>
    <x v="0"/>
    <n v="10"/>
    <n v="3"/>
    <n v="20050.439999999999"/>
    <n v="1107.94"/>
    <n v="1975.39"/>
  </r>
  <r>
    <s v="1310"/>
    <s v="Carmen Gómez"/>
    <d v="1992-01-01T00:00:00"/>
    <n v="34"/>
    <x v="1"/>
    <x v="6"/>
    <d v="2023-06-20T00:00:00"/>
    <d v="2025-05-18T00:00:00"/>
    <n v="15"/>
    <x v="0"/>
    <n v="6"/>
    <n v="2"/>
    <n v="14684.38"/>
    <n v="12019.44"/>
    <n v="9550.51"/>
  </r>
  <r>
    <s v="1311"/>
    <s v="Elena Martínez"/>
    <d v="1939-01-01T00:00:00"/>
    <n v="87"/>
    <x v="0"/>
    <x v="5"/>
    <d v="2023-02-01T00:00:00"/>
    <d v="2023-12-20T00:00:00"/>
    <n v="18"/>
    <x v="0"/>
    <n v="14"/>
    <n v="0"/>
    <n v="9891.27"/>
    <n v="11256.03"/>
    <n v="8380.19"/>
  </r>
  <r>
    <s v="1312"/>
    <s v="José Gómez"/>
    <d v="1948-12-31T00:00:00"/>
    <n v="77"/>
    <x v="0"/>
    <x v="4"/>
    <d v="2023-09-20T00:00:00"/>
    <d v="2024-04-10T00:00:00"/>
    <n v="33"/>
    <x v="2"/>
    <n v="13"/>
    <n v="1"/>
    <n v="14602.85"/>
    <n v="6018"/>
    <n v="2183.0500000000002"/>
  </r>
  <r>
    <s v="1313"/>
    <s v="Laura Martínez"/>
    <d v="1995-01-01T00:00:00"/>
    <n v="31"/>
    <x v="1"/>
    <x v="5"/>
    <d v="2023-08-03T00:00:00"/>
    <d v="2024-04-13T00:00:00"/>
    <n v="2"/>
    <x v="1"/>
    <n v="10"/>
    <n v="3"/>
    <n v="24317.85"/>
    <n v="1855.34"/>
    <n v="6759.88"/>
  </r>
  <r>
    <s v="1314"/>
    <s v="Luisa Morales"/>
    <d v="1980-12-31T00:00:00"/>
    <n v="45"/>
    <x v="0"/>
    <x v="4"/>
    <d v="2024-07-11T00:00:00"/>
    <d v="2024-05-28T00:00:00"/>
    <n v="24"/>
    <x v="0"/>
    <n v="1"/>
    <n v="8"/>
    <n v="8088.82"/>
    <n v="7461.67"/>
    <n v="10657.09"/>
  </r>
  <r>
    <s v="1315"/>
    <s v="Miguel Sánchez"/>
    <d v="2011-01-01T00:00:00"/>
    <n v="15"/>
    <x v="1"/>
    <x v="2"/>
    <d v="2023-07-08T00:00:00"/>
    <d v="2024-04-09T00:00:00"/>
    <n v="37"/>
    <x v="0"/>
    <n v="5"/>
    <n v="0"/>
    <n v="12354.03"/>
    <n v="11449.78"/>
    <n v="12962.37"/>
  </r>
  <r>
    <s v="1316"/>
    <s v="Jorge Ramírez"/>
    <d v="1959-01-01T00:00:00"/>
    <n v="67"/>
    <x v="1"/>
    <x v="2"/>
    <d v="2024-08-05T00:00:00"/>
    <d v="2025-05-27T00:00:00"/>
    <n v="35"/>
    <x v="0"/>
    <n v="10"/>
    <n v="5"/>
    <n v="5678.79"/>
    <n v="1140.22"/>
    <n v="5706.78"/>
  </r>
  <r>
    <s v="1317"/>
    <s v="Pedro Cruz"/>
    <d v="1989-12-31T00:00:00"/>
    <n v="36"/>
    <x v="0"/>
    <x v="0"/>
    <d v="2024-08-22T00:00:00"/>
    <d v="2025-04-30T00:00:00"/>
    <n v="26"/>
    <x v="0"/>
    <n v="13"/>
    <n v="5"/>
    <n v="10211.26"/>
    <n v="2451.62"/>
    <n v="9473.6200000000008"/>
  </r>
  <r>
    <s v="1318"/>
    <s v="Laura Martínez"/>
    <d v="1972-12-31T00:00:00"/>
    <n v="53"/>
    <x v="1"/>
    <x v="1"/>
    <d v="2023-09-18T00:00:00"/>
    <d v="2024-01-30T00:00:00"/>
    <n v="37"/>
    <x v="0"/>
    <n v="5"/>
    <n v="9"/>
    <n v="26495.85"/>
    <n v="9283.89"/>
    <n v="14655"/>
  </r>
  <r>
    <s v="1319"/>
    <s v="Elena Martínez"/>
    <d v="1941-12-31T00:00:00"/>
    <n v="84"/>
    <x v="0"/>
    <x v="5"/>
    <d v="2023-07-01T00:00:00"/>
    <d v="2025-02-25T00:00:00"/>
    <n v="16"/>
    <x v="0"/>
    <n v="7"/>
    <n v="2"/>
    <n v="23464.54"/>
    <n v="8393.17"/>
    <n v="8387.18"/>
  </r>
  <r>
    <s v="1320"/>
    <s v="Carmen Morales"/>
    <d v="2012-12-31T00:00:00"/>
    <n v="13"/>
    <x v="0"/>
    <x v="5"/>
    <d v="2024-05-19T00:00:00"/>
    <d v="2025-01-23T00:00:00"/>
    <n v="21"/>
    <x v="2"/>
    <n v="2"/>
    <n v="9"/>
    <n v="10895.27"/>
    <n v="13576.32"/>
    <n v="18809.54"/>
  </r>
  <r>
    <s v="1321"/>
    <s v="Ana Cruz"/>
    <d v="1932-01-01T00:00:00"/>
    <n v="94"/>
    <x v="1"/>
    <x v="4"/>
    <d v="2023-12-08T00:00:00"/>
    <d v="2023-02-28T00:00:00"/>
    <n v="2"/>
    <x v="1"/>
    <n v="13"/>
    <n v="8"/>
    <n v="3538.03"/>
    <n v="12221.88"/>
    <n v="517.19000000000005"/>
  </r>
  <r>
    <s v="1322"/>
    <s v="Luis Gómez"/>
    <d v="1972-01-01T00:00:00"/>
    <n v="54"/>
    <x v="0"/>
    <x v="0"/>
    <d v="2023-01-22T00:00:00"/>
    <d v="2023-05-07T00:00:00"/>
    <n v="33"/>
    <x v="0"/>
    <n v="5"/>
    <n v="9"/>
    <n v="12309.09"/>
    <n v="13782.45"/>
    <n v="5130.57"/>
  </r>
  <r>
    <s v="1323"/>
    <s v="Laura Morales"/>
    <d v="1979-01-01T00:00:00"/>
    <n v="93"/>
    <x v="0"/>
    <x v="5"/>
    <d v="2023-03-15T00:00:00"/>
    <d v="2025-04-21T00:00:00"/>
    <n v="20"/>
    <x v="1"/>
    <n v="10"/>
    <n v="2"/>
    <n v="23037.53"/>
    <n v="6989.38"/>
    <n v="2581.16"/>
  </r>
  <r>
    <s v="1324"/>
    <s v="Pedro Ramírez"/>
    <d v="1944-12-31T00:00:00"/>
    <n v="81"/>
    <x v="1"/>
    <x v="4"/>
    <d v="2024-08-24T00:00:00"/>
    <d v="2025-05-28T00:00:00"/>
    <n v="10"/>
    <x v="0"/>
    <n v="11"/>
    <n v="0"/>
    <n v="835.93"/>
    <n v="11817.01"/>
    <n v="10779.94"/>
  </r>
  <r>
    <s v="1325"/>
    <s v="Pedro Rodríguez"/>
    <d v="2020-01-01T00:00:00"/>
    <n v="6"/>
    <x v="1"/>
    <x v="6"/>
    <d v="2023-06-15T00:00:00"/>
    <d v="2024-04-06T00:00:00"/>
    <n v="27"/>
    <x v="0"/>
    <n v="4"/>
    <n v="1"/>
    <n v="22232.89"/>
    <n v="730.75"/>
    <n v="3465.21"/>
  </r>
  <r>
    <s v="1326"/>
    <s v="Laura López"/>
    <d v="1952-12-31T00:00:00"/>
    <n v="73"/>
    <x v="1"/>
    <x v="2"/>
    <d v="2023-08-22T00:00:00"/>
    <d v="2023-02-22T00:00:00"/>
    <n v="34"/>
    <x v="1"/>
    <n v="2"/>
    <n v="3"/>
    <n v="0"/>
    <n v="4417.38"/>
    <n v="14810.99"/>
  </r>
  <r>
    <s v="1327"/>
    <s v="Luis Hernández"/>
    <d v="1944-01-01T00:00:00"/>
    <n v="6"/>
    <x v="1"/>
    <x v="2"/>
    <d v="2024-01-10T00:00:00"/>
    <d v="2025-01-05T00:00:00"/>
    <n v="8"/>
    <x v="0"/>
    <n v="8"/>
    <n v="3"/>
    <n v="1471.79"/>
    <n v="9664.09"/>
    <n v="18358.84"/>
  </r>
  <r>
    <s v="1328"/>
    <s v="Juan López"/>
    <d v="1993-12-31T00:00:00"/>
    <n v="32"/>
    <x v="1"/>
    <x v="1"/>
    <d v="2024-03-08T00:00:00"/>
    <d v="2025-03-25T00:00:00"/>
    <n v="4"/>
    <x v="0"/>
    <n v="10"/>
    <n v="1"/>
    <n v="18887.03"/>
    <n v="11455.26"/>
    <n v="4064.71"/>
  </r>
  <r>
    <s v="1329"/>
    <s v="Carmen Morales"/>
    <d v="2004-01-01T00:00:00"/>
    <n v="22"/>
    <x v="1"/>
    <x v="2"/>
    <d v="2024-10-02T00:00:00"/>
    <d v="2025-05-25T00:00:00"/>
    <n v="32"/>
    <x v="0"/>
    <n v="6"/>
    <n v="9"/>
    <n v="8609"/>
    <n v="8557.39"/>
    <n v="18125.939999999999"/>
  </r>
  <r>
    <s v="1330"/>
    <s v="Elena Martínez"/>
    <d v="1941-12-31T00:00:00"/>
    <n v="84"/>
    <x v="1"/>
    <x v="3"/>
    <d v="2023-11-30T00:00:00"/>
    <d v="2023-09-27T00:00:00"/>
    <n v="8"/>
    <x v="0"/>
    <n v="1"/>
    <n v="5"/>
    <n v="4907.2"/>
    <n v="7211.04"/>
    <n v="12598.28"/>
  </r>
  <r>
    <s v="1331"/>
    <s v="Luisa Martínez"/>
    <d v="2008-01-01T00:00:00"/>
    <n v="18"/>
    <x v="0"/>
    <x v="6"/>
    <d v="2024-08-29T00:00:00"/>
    <d v="2023-04-07T00:00:00"/>
    <n v="37"/>
    <x v="1"/>
    <n v="6"/>
    <n v="5"/>
    <n v="11238.9"/>
    <n v="3498.99"/>
    <n v="3843.03"/>
  </r>
  <r>
    <s v="1332"/>
    <s v="Elena Pérez"/>
    <d v="2008-01-01T00:00:00"/>
    <n v="18"/>
    <x v="1"/>
    <x v="6"/>
    <d v="2024-06-23T00:00:00"/>
    <d v="2023-10-01T00:00:00"/>
    <n v="18"/>
    <x v="1"/>
    <n v="11"/>
    <n v="2"/>
    <n v="5764.33"/>
    <n v="2612.8000000000002"/>
    <n v="14704.56"/>
  </r>
  <r>
    <s v="1333"/>
    <s v="Carmen Ramírez"/>
    <d v="1991-01-01T00:00:00"/>
    <n v="35"/>
    <x v="0"/>
    <x v="0"/>
    <d v="2023-02-04T00:00:00"/>
    <d v="2023-11-20T00:00:00"/>
    <n v="0"/>
    <x v="0"/>
    <n v="3"/>
    <n v="0"/>
    <n v="0"/>
    <n v="13132.24"/>
    <n v="1726.56"/>
  </r>
  <r>
    <s v="1334"/>
    <s v="Pedro Ramírez"/>
    <d v="1997-12-31T00:00:00"/>
    <n v="28"/>
    <x v="0"/>
    <x v="3"/>
    <d v="2024-03-19T00:00:00"/>
    <d v="2024-07-27T00:00:00"/>
    <n v="27"/>
    <x v="2"/>
    <n v="2"/>
    <n v="9"/>
    <n v="22131.02"/>
    <n v="2133.1799999999998"/>
    <n v="13812.18"/>
  </r>
  <r>
    <s v="1335"/>
    <s v="Carmen López"/>
    <d v="1967-01-01T00:00:00"/>
    <n v="59"/>
    <x v="0"/>
    <x v="5"/>
    <d v="2023-08-19T00:00:00"/>
    <d v="2025-04-13T00:00:00"/>
    <n v="21"/>
    <x v="0"/>
    <n v="1"/>
    <n v="8"/>
    <n v="29412.959999999999"/>
    <n v="6529.31"/>
    <n v="17211.349999999999"/>
  </r>
  <r>
    <s v="1336"/>
    <s v="Pedro Martínez"/>
    <d v="1944-12-31T00:00:00"/>
    <n v="81"/>
    <x v="1"/>
    <x v="1"/>
    <d v="2023-11-14T00:00:00"/>
    <d v="2024-11-24T00:00:00"/>
    <n v="35"/>
    <x v="1"/>
    <n v="13"/>
    <n v="3"/>
    <n v="15789.28"/>
    <n v="13327.22"/>
    <n v="19002.560000000001"/>
  </r>
  <r>
    <s v="1337"/>
    <s v="Miguel Cruz"/>
    <d v="2024-12-31T00:00:00"/>
    <n v="1"/>
    <x v="0"/>
    <x v="6"/>
    <d v="2023-12-09T00:00:00"/>
    <d v="2023-05-14T00:00:00"/>
    <n v="0"/>
    <x v="2"/>
    <n v="12"/>
    <n v="8"/>
    <n v="2220.7800000000002"/>
    <n v="2215.6799999999998"/>
    <n v="996.08"/>
  </r>
  <r>
    <s v="1338"/>
    <s v="Jorge Morales"/>
    <d v="2025-12-31T00:00:00"/>
    <n v="0"/>
    <x v="0"/>
    <x v="3"/>
    <d v="2024-03-05T00:00:00"/>
    <d v="2023-03-31T00:00:00"/>
    <n v="34"/>
    <x v="0"/>
    <n v="10"/>
    <n v="4"/>
    <n v="10716.94"/>
    <n v="1913.19"/>
    <n v="1144.9100000000001"/>
  </r>
  <r>
    <s v="1339"/>
    <s v="Luis Pérez"/>
    <d v="1980-01-01T00:00:00"/>
    <n v="46"/>
    <x v="0"/>
    <x v="3"/>
    <d v="2024-09-28T00:00:00"/>
    <d v="2024-11-16T00:00:00"/>
    <n v="30"/>
    <x v="1"/>
    <n v="8"/>
    <n v="6"/>
    <n v="25078.43"/>
    <n v="10387.64"/>
    <n v="18601.14"/>
  </r>
  <r>
    <s v="1340"/>
    <s v="Jorge Cruz"/>
    <d v="1957-12-31T00:00:00"/>
    <n v="68"/>
    <x v="1"/>
    <x v="4"/>
    <d v="2024-04-10T00:00:00"/>
    <d v="2025-04-04T00:00:00"/>
    <n v="19"/>
    <x v="1"/>
    <n v="5"/>
    <n v="2"/>
    <n v="11604.33"/>
    <n v="4973.63"/>
    <n v="15770.81"/>
  </r>
  <r>
    <s v="1341"/>
    <s v="Jorge Martínez"/>
    <d v="2007-01-01T00:00:00"/>
    <n v="19"/>
    <x v="1"/>
    <x v="6"/>
    <d v="2023-03-20T00:00:00"/>
    <d v="2023-01-06T00:00:00"/>
    <n v="28"/>
    <x v="0"/>
    <n v="11"/>
    <n v="2"/>
    <n v="13398.09"/>
    <n v="6535.59"/>
    <n v="15462.77"/>
  </r>
  <r>
    <s v="1342"/>
    <s v="José López"/>
    <d v="2016-01-01T00:00:00"/>
    <n v="10"/>
    <x v="0"/>
    <x v="4"/>
    <d v="2024-07-26T00:00:00"/>
    <d v="2023-12-24T00:00:00"/>
    <n v="9"/>
    <x v="2"/>
    <n v="5"/>
    <n v="7"/>
    <n v="12065.11"/>
    <n v="9383.9"/>
    <n v="14826.7"/>
  </r>
  <r>
    <s v="1343"/>
    <s v="José Sánchez"/>
    <d v="2024-12-31T00:00:00"/>
    <n v="1"/>
    <x v="1"/>
    <x v="0"/>
    <d v="2024-03-24T00:00:00"/>
    <d v="2023-12-10T00:00:00"/>
    <n v="11"/>
    <x v="0"/>
    <n v="11"/>
    <n v="0"/>
    <n v="6679.05"/>
    <n v="5684.64"/>
    <n v="14318.33"/>
  </r>
  <r>
    <s v="1344"/>
    <s v="Carlos Martínez"/>
    <d v="1960-01-01T00:00:00"/>
    <n v="66"/>
    <x v="1"/>
    <x v="3"/>
    <d v="2024-12-29T00:00:00"/>
    <d v="2023-07-24T00:00:00"/>
    <n v="9"/>
    <x v="0"/>
    <n v="4"/>
    <n v="7"/>
    <n v="0"/>
    <n v="11997.62"/>
    <n v="12225.78"/>
  </r>
  <r>
    <s v="1345"/>
    <s v="María Gómez"/>
    <d v="1940-01-01T00:00:00"/>
    <n v="86"/>
    <x v="1"/>
    <x v="2"/>
    <d v="2023-10-09T00:00:00"/>
    <d v="2024-11-05T00:00:00"/>
    <n v="24"/>
    <x v="1"/>
    <n v="1"/>
    <n v="7"/>
    <n v="5007.09"/>
    <n v="14534.77"/>
    <n v="16236.07"/>
  </r>
  <r>
    <s v="1346"/>
    <s v="Elena Ramírez"/>
    <d v="2015-01-01T00:00:00"/>
    <n v="11"/>
    <x v="0"/>
    <x v="3"/>
    <d v="2024-11-05T00:00:00"/>
    <d v="2024-07-27T00:00:00"/>
    <n v="10"/>
    <x v="2"/>
    <n v="7"/>
    <n v="2"/>
    <n v="10600.26"/>
    <n v="13995.91"/>
    <n v="586.87"/>
  </r>
  <r>
    <s v="1347"/>
    <s v="Miguel Morales"/>
    <d v="2007-01-01T00:00:00"/>
    <n v="19"/>
    <x v="2"/>
    <x v="5"/>
    <d v="2023-02-26T00:00:00"/>
    <d v="2024-04-16T00:00:00"/>
    <n v="21"/>
    <x v="0"/>
    <n v="12"/>
    <n v="0"/>
    <n v="6985.85"/>
    <n v="8181.78"/>
    <n v="14780.07"/>
  </r>
  <r>
    <s v="1348"/>
    <s v="Ricardo Morales"/>
    <d v="2021-12-31T00:00:00"/>
    <n v="4"/>
    <x v="1"/>
    <x v="6"/>
    <d v="2023-07-10T00:00:00"/>
    <d v="2024-04-09T00:00:00"/>
    <n v="35"/>
    <x v="2"/>
    <n v="9"/>
    <n v="8"/>
    <n v="16968.419999999998"/>
    <n v="5322.25"/>
    <n v="11616.64"/>
  </r>
  <r>
    <s v="1349"/>
    <s v="José López"/>
    <d v="1989-12-31T00:00:00"/>
    <n v="36"/>
    <x v="0"/>
    <x v="5"/>
    <d v="2024-10-05T00:00:00"/>
    <d v="2024-05-12T00:00:00"/>
    <n v="6"/>
    <x v="0"/>
    <n v="14"/>
    <n v="3"/>
    <n v="18224.12"/>
    <n v="6505.98"/>
    <n v="18139.93"/>
  </r>
  <r>
    <s v="1350"/>
    <s v="Luis Pérez"/>
    <d v="1988-12-31T00:00:00"/>
    <n v="37"/>
    <x v="0"/>
    <x v="0"/>
    <d v="2024-04-07T00:00:00"/>
    <d v="2024-12-03T00:00:00"/>
    <n v="5"/>
    <x v="1"/>
    <n v="13"/>
    <n v="6"/>
    <n v="16887.02"/>
    <n v="4952.3500000000004"/>
    <n v="18721.11"/>
  </r>
  <r>
    <s v="1351"/>
    <s v="Luisa Sánchez"/>
    <d v="1932-12-31T00:00:00"/>
    <n v="93"/>
    <x v="0"/>
    <x v="1"/>
    <d v="2023-02-11T00:00:00"/>
    <d v="2025-04-17T00:00:00"/>
    <n v="34"/>
    <x v="2"/>
    <n v="0"/>
    <n v="8"/>
    <n v="2090.0300000000002"/>
    <n v="6625.86"/>
    <n v="4750.74"/>
  </r>
  <r>
    <s v="1352"/>
    <s v="Sofía Sánchez"/>
    <d v="2017-12-31T00:00:00"/>
    <n v="8"/>
    <x v="0"/>
    <x v="2"/>
    <d v="2024-04-30T00:00:00"/>
    <d v="2023-03-05T00:00:00"/>
    <n v="12"/>
    <x v="0"/>
    <n v="1"/>
    <n v="2"/>
    <n v="19839.240000000002"/>
    <n v="194.59"/>
    <n v="15768.15"/>
  </r>
  <r>
    <s v="1353"/>
    <s v="Luis Rodríguez"/>
    <d v="1973-12-31T00:00:00"/>
    <n v="52"/>
    <x v="0"/>
    <x v="6"/>
    <d v="2023-06-22T00:00:00"/>
    <d v="2024-07-10T00:00:00"/>
    <n v="4"/>
    <x v="0"/>
    <n v="12"/>
    <n v="4"/>
    <n v="11229.67"/>
    <n v="828.22"/>
    <n v="19135.669999999998"/>
  </r>
  <r>
    <s v="1354"/>
    <s v="Miguel Cruz"/>
    <d v="1983-01-01T00:00:00"/>
    <n v="43"/>
    <x v="0"/>
    <x v="3"/>
    <d v="2024-11-09T00:00:00"/>
    <d v="2023-08-28T00:00:00"/>
    <n v="21"/>
    <x v="1"/>
    <n v="1"/>
    <n v="9"/>
    <n v="26283.84"/>
    <n v="11570.06"/>
    <n v="5259.66"/>
  </r>
  <r>
    <s v="1355"/>
    <s v="Laura Hernández"/>
    <d v="2011-01-01T00:00:00"/>
    <n v="85"/>
    <x v="1"/>
    <x v="2"/>
    <d v="2023-09-07T00:00:00"/>
    <d v="2024-06-24T00:00:00"/>
    <n v="13"/>
    <x v="0"/>
    <n v="5"/>
    <n v="2"/>
    <n v="15531.24"/>
    <n v="5022.2"/>
    <n v="17006.8"/>
  </r>
  <r>
    <s v="1356"/>
    <s v="Laura Martínez"/>
    <d v="2003-01-01T00:00:00"/>
    <n v="23"/>
    <x v="0"/>
    <x v="3"/>
    <d v="2024-05-24T00:00:00"/>
    <d v="2023-07-18T00:00:00"/>
    <n v="21"/>
    <x v="1"/>
    <n v="0"/>
    <n v="4"/>
    <n v="2077.6999999999998"/>
    <n v="11916.09"/>
    <n v="11689.25"/>
  </r>
  <r>
    <s v="1357"/>
    <s v="Elena Rodríguez"/>
    <d v="1945-12-31T00:00:00"/>
    <n v="80"/>
    <x v="1"/>
    <x v="0"/>
    <d v="2024-05-16T00:00:00"/>
    <d v="2025-02-20T00:00:00"/>
    <n v="4"/>
    <x v="1"/>
    <n v="8"/>
    <n v="1"/>
    <n v="218.85"/>
    <n v="7199.16"/>
    <n v="7839.4"/>
  </r>
  <r>
    <s v="1358"/>
    <s v="José Rodríguez"/>
    <d v="1952-12-31T00:00:00"/>
    <n v="73"/>
    <x v="1"/>
    <x v="1"/>
    <d v="2023-07-12T00:00:00"/>
    <d v="2024-11-14T00:00:00"/>
    <n v="25"/>
    <x v="2"/>
    <n v="6"/>
    <n v="3"/>
    <n v="20926.62"/>
    <n v="12088.76"/>
    <n v="16454.55"/>
  </r>
  <r>
    <s v="1359"/>
    <s v="Miguel Hernández"/>
    <d v="1996-12-31T00:00:00"/>
    <n v="29"/>
    <x v="0"/>
    <x v="6"/>
    <d v="2023-06-14T00:00:00"/>
    <d v="2023-01-31T00:00:00"/>
    <n v="1"/>
    <x v="2"/>
    <n v="7"/>
    <n v="1"/>
    <n v="11715.58"/>
    <n v="9953.77"/>
    <n v="17393.009999999998"/>
  </r>
  <r>
    <s v="1360"/>
    <s v="Ana Gómez"/>
    <d v="1968-01-01T00:00:00"/>
    <n v="87"/>
    <x v="0"/>
    <x v="0"/>
    <d v="2023-03-31T00:00:00"/>
    <d v="2024-10-28T00:00:00"/>
    <n v="31"/>
    <x v="0"/>
    <n v="14"/>
    <n v="2"/>
    <n v="8283.8700000000008"/>
    <n v="3015.02"/>
    <n v="5581.2"/>
  </r>
  <r>
    <s v="1361"/>
    <s v="Pedro López"/>
    <d v="1940-01-01T00:00:00"/>
    <n v="86"/>
    <x v="0"/>
    <x v="0"/>
    <d v="2024-11-21T00:00:00"/>
    <d v="2023-07-29T00:00:00"/>
    <n v="35"/>
    <x v="0"/>
    <n v="10"/>
    <n v="4"/>
    <n v="13138.96"/>
    <n v="6715.84"/>
    <n v="15868.71"/>
  </r>
  <r>
    <s v="1362"/>
    <s v="Sofía Ramírez"/>
    <d v="1945-12-31T00:00:00"/>
    <n v="80"/>
    <x v="1"/>
    <x v="1"/>
    <d v="2023-02-27T00:00:00"/>
    <d v="2023-03-05T00:00:00"/>
    <n v="0"/>
    <x v="2"/>
    <n v="9"/>
    <n v="8"/>
    <n v="1707.98"/>
    <n v="10564.99"/>
    <n v="898.2"/>
  </r>
  <r>
    <s v="1363"/>
    <s v="Jorge Gómez"/>
    <d v="1945-12-31T00:00:00"/>
    <n v="80"/>
    <x v="1"/>
    <x v="0"/>
    <d v="2023-09-20T00:00:00"/>
    <d v="2025-04-21T00:00:00"/>
    <n v="2"/>
    <x v="0"/>
    <n v="12"/>
    <n v="2"/>
    <n v="11455.52"/>
    <n v="4959.26"/>
    <n v="8295.02"/>
  </r>
  <r>
    <s v="1364"/>
    <s v="Ana Martínez"/>
    <d v="2012-12-31T00:00:00"/>
    <n v="13"/>
    <x v="0"/>
    <x v="0"/>
    <d v="2024-10-09T00:00:00"/>
    <d v="2023-02-27T00:00:00"/>
    <n v="28"/>
    <x v="1"/>
    <n v="0"/>
    <n v="9"/>
    <n v="9098.34"/>
    <n v="2899.53"/>
    <n v="1302.68"/>
  </r>
  <r>
    <s v="1365"/>
    <s v="Carlos Cruz"/>
    <d v="2017-12-31T00:00:00"/>
    <n v="8"/>
    <x v="1"/>
    <x v="3"/>
    <d v="2023-08-31T00:00:00"/>
    <d v="2025-04-12T00:00:00"/>
    <n v="20"/>
    <x v="0"/>
    <n v="4"/>
    <n v="5"/>
    <n v="23905.77"/>
    <n v="8097.91"/>
    <n v="5806.1"/>
  </r>
  <r>
    <s v="1366"/>
    <s v="Elena Martínez"/>
    <d v="1987-01-01T00:00:00"/>
    <n v="39"/>
    <x v="0"/>
    <x v="4"/>
    <d v="2024-10-24T00:00:00"/>
    <d v="2024-12-21T00:00:00"/>
    <n v="17"/>
    <x v="1"/>
    <n v="9"/>
    <n v="3"/>
    <n v="4833.05"/>
    <n v="4104.72"/>
    <n v="19002.34"/>
  </r>
  <r>
    <s v="1367"/>
    <s v="María Rodríguez"/>
    <d v="1960-12-31T00:00:00"/>
    <n v="65"/>
    <x v="1"/>
    <x v="5"/>
    <d v="2023-08-07T00:00:00"/>
    <d v="2024-03-09T00:00:00"/>
    <n v="13"/>
    <x v="0"/>
    <n v="13"/>
    <n v="3"/>
    <n v="22567.67"/>
    <n v="8915.1299999999992"/>
    <n v="14668.22"/>
  </r>
  <r>
    <s v="1368"/>
    <s v="Ricardo Cruz"/>
    <d v="2001-12-31T00:00:00"/>
    <n v="24"/>
    <x v="1"/>
    <x v="3"/>
    <d v="2023-01-09T00:00:00"/>
    <d v="2023-11-05T00:00:00"/>
    <n v="29"/>
    <x v="2"/>
    <n v="1"/>
    <n v="9"/>
    <n v="14762.28"/>
    <n v="4076.02"/>
    <n v="15087.55"/>
  </r>
  <r>
    <s v="1369"/>
    <s v="Luisa Gómez"/>
    <d v="1953-12-31T00:00:00"/>
    <n v="72"/>
    <x v="2"/>
    <x v="1"/>
    <d v="2024-03-05T00:00:00"/>
    <d v="2024-07-29T00:00:00"/>
    <n v="14"/>
    <x v="1"/>
    <n v="6"/>
    <n v="9"/>
    <n v="1997.58"/>
    <n v="13598.69"/>
    <n v="2603.1799999999998"/>
  </r>
  <r>
    <s v="1370"/>
    <s v="Sofía López"/>
    <d v="2004-12-31T00:00:00"/>
    <n v="21"/>
    <x v="1"/>
    <x v="2"/>
    <d v="2023-01-13T00:00:00"/>
    <d v="2025-01-30T00:00:00"/>
    <n v="15"/>
    <x v="1"/>
    <n v="3"/>
    <n v="4"/>
    <n v="29075.200000000001"/>
    <n v="5158.53"/>
    <n v="11531.59"/>
  </r>
  <r>
    <s v="1371"/>
    <s v="Elena Cruz"/>
    <d v="2023-01-01T00:00:00"/>
    <n v="3"/>
    <x v="1"/>
    <x v="1"/>
    <d v="2023-08-13T00:00:00"/>
    <d v="2024-04-11T00:00:00"/>
    <n v="1"/>
    <x v="0"/>
    <n v="7"/>
    <n v="6"/>
    <n v="0"/>
    <n v="13611.76"/>
    <n v="7715.59"/>
  </r>
  <r>
    <s v="1372"/>
    <s v="Laura Gómez"/>
    <d v="2008-01-01T00:00:00"/>
    <n v="25"/>
    <x v="1"/>
    <x v="1"/>
    <d v="2024-11-20T00:00:00"/>
    <d v="2024-10-15T00:00:00"/>
    <n v="32"/>
    <x v="0"/>
    <n v="1"/>
    <n v="3"/>
    <n v="7432.88"/>
    <n v="4192.2299999999996"/>
    <n v="14657.02"/>
  </r>
  <r>
    <s v="1373"/>
    <s v="Laura Morales"/>
    <d v="1991-01-01T00:00:00"/>
    <n v="57"/>
    <x v="0"/>
    <x v="1"/>
    <d v="2023-03-08T00:00:00"/>
    <d v="2024-08-28T00:00:00"/>
    <n v="37"/>
    <x v="0"/>
    <n v="0"/>
    <n v="7"/>
    <n v="17243.48"/>
    <n v="9066.82"/>
    <n v="3057.42"/>
  </r>
  <r>
    <s v="1374"/>
    <s v="Jorge López"/>
    <d v="1997-12-31T00:00:00"/>
    <n v="28"/>
    <x v="0"/>
    <x v="1"/>
    <d v="2024-10-30T00:00:00"/>
    <d v="2023-04-18T00:00:00"/>
    <n v="33"/>
    <x v="2"/>
    <n v="5"/>
    <n v="8"/>
    <n v="26948.03"/>
    <n v="1953.28"/>
    <n v="5566.62"/>
  </r>
  <r>
    <s v="1375"/>
    <s v="Luis Gómez"/>
    <d v="1940-01-01T00:00:00"/>
    <n v="86"/>
    <x v="1"/>
    <x v="0"/>
    <d v="2024-11-07T00:00:00"/>
    <d v="2025-05-27T00:00:00"/>
    <n v="20"/>
    <x v="0"/>
    <n v="9"/>
    <n v="8"/>
    <n v="27889.61"/>
    <n v="11675.58"/>
    <n v="17961.310000000001"/>
  </r>
  <r>
    <s v="1376"/>
    <s v="Miguel Pérez"/>
    <d v="1989-12-31T00:00:00"/>
    <n v="82"/>
    <x v="1"/>
    <x v="1"/>
    <d v="2024-05-17T00:00:00"/>
    <d v="2024-08-23T00:00:00"/>
    <n v="12"/>
    <x v="1"/>
    <n v="5"/>
    <n v="8"/>
    <n v="21800.32"/>
    <n v="3003.27"/>
    <n v="3312.57"/>
  </r>
  <r>
    <s v="1377"/>
    <s v="Luisa Morales"/>
    <d v="1952-01-01T00:00:00"/>
    <n v="74"/>
    <x v="0"/>
    <x v="2"/>
    <d v="2023-07-03T00:00:00"/>
    <d v="2023-10-29T00:00:00"/>
    <n v="10"/>
    <x v="1"/>
    <n v="11"/>
    <n v="1"/>
    <n v="21693.94"/>
    <n v="12960.31"/>
    <n v="12611.48"/>
  </r>
  <r>
    <s v="1378"/>
    <s v="Juan Sánchez"/>
    <d v="1956-12-31T00:00:00"/>
    <n v="22"/>
    <x v="1"/>
    <x v="1"/>
    <d v="2023-07-27T00:00:00"/>
    <d v="2024-09-12T00:00:00"/>
    <n v="11"/>
    <x v="1"/>
    <n v="8"/>
    <n v="2"/>
    <n v="0"/>
    <n v="6786.69"/>
    <n v="6234.55"/>
  </r>
  <r>
    <s v="1379"/>
    <s v="Carlos Morales"/>
    <d v="2008-12-31T00:00:00"/>
    <n v="17"/>
    <x v="0"/>
    <x v="3"/>
    <d v="2024-06-11T00:00:00"/>
    <d v="2023-02-16T00:00:00"/>
    <n v="11"/>
    <x v="2"/>
    <n v="13"/>
    <n v="4"/>
    <n v="29687.74"/>
    <n v="1418.09"/>
    <n v="1545.89"/>
  </r>
  <r>
    <s v="1380"/>
    <s v="José Ramírez"/>
    <d v="1941-12-31T00:00:00"/>
    <n v="84"/>
    <x v="1"/>
    <x v="0"/>
    <d v="2023-10-27T00:00:00"/>
    <d v="2023-03-19T00:00:00"/>
    <n v="34"/>
    <x v="1"/>
    <n v="3"/>
    <n v="0"/>
    <n v="6926.18"/>
    <n v="5453.08"/>
    <n v="4396.0200000000004"/>
  </r>
  <r>
    <s v="1381"/>
    <s v="Miguel Pérez"/>
    <d v="1984-12-31T00:00:00"/>
    <n v="41"/>
    <x v="1"/>
    <x v="3"/>
    <d v="2023-08-29T00:00:00"/>
    <d v="2024-12-30T00:00:00"/>
    <n v="2"/>
    <x v="1"/>
    <n v="5"/>
    <n v="3"/>
    <n v="2226.9"/>
    <n v="11695.89"/>
    <n v="17375.13"/>
  </r>
  <r>
    <s v="1382"/>
    <s v="Ricardo Hernández"/>
    <d v="1985-12-31T00:00:00"/>
    <n v="40"/>
    <x v="0"/>
    <x v="0"/>
    <d v="2024-03-30T00:00:00"/>
    <d v="2023-06-19T00:00:00"/>
    <n v="19"/>
    <x v="0"/>
    <n v="10"/>
    <n v="4"/>
    <n v="29310.1"/>
    <n v="1144.42"/>
    <n v="18202.05"/>
  </r>
  <r>
    <s v="1383"/>
    <s v="Luisa Hernández"/>
    <d v="1988-12-31T00:00:00"/>
    <n v="37"/>
    <x v="1"/>
    <x v="3"/>
    <d v="2024-06-13T00:00:00"/>
    <d v="2025-03-25T00:00:00"/>
    <n v="25"/>
    <x v="2"/>
    <n v="4"/>
    <n v="8"/>
    <n v="4161.79"/>
    <n v="9385.94"/>
    <n v="8338.66"/>
  </r>
  <r>
    <s v="1384"/>
    <s v="Ana Pérez"/>
    <d v="1992-12-31T00:00:00"/>
    <n v="33"/>
    <x v="0"/>
    <x v="6"/>
    <d v="2024-10-20T00:00:00"/>
    <d v="2023-05-10T00:00:00"/>
    <n v="1"/>
    <x v="1"/>
    <n v="7"/>
    <n v="7"/>
    <n v="15409.21"/>
    <n v="7608.99"/>
    <n v="12380.11"/>
  </r>
  <r>
    <s v="1385"/>
    <s v="Carmen Cruz"/>
    <d v="2009-12-31T00:00:00"/>
    <n v="16"/>
    <x v="1"/>
    <x v="5"/>
    <d v="2023-09-01T00:00:00"/>
    <d v="2024-12-14T00:00:00"/>
    <n v="35"/>
    <x v="0"/>
    <n v="10"/>
    <n v="0"/>
    <n v="13781.42"/>
    <n v="4648.04"/>
    <n v="10362.01"/>
  </r>
  <r>
    <s v="1386"/>
    <s v="Ana Ramírez"/>
    <d v="1989-12-31T00:00:00"/>
    <n v="36"/>
    <x v="1"/>
    <x v="5"/>
    <d v="2024-07-16T00:00:00"/>
    <d v="2024-12-09T00:00:00"/>
    <n v="26"/>
    <x v="1"/>
    <n v="1"/>
    <n v="2"/>
    <n v="25370.28"/>
    <n v="11334.26"/>
    <n v="5521.85"/>
  </r>
  <r>
    <s v="1387"/>
    <s v="Luisa Gómez"/>
    <d v="2001-12-31T00:00:00"/>
    <n v="0"/>
    <x v="2"/>
    <x v="0"/>
    <d v="2023-08-26T00:00:00"/>
    <d v="2025-05-10T00:00:00"/>
    <n v="34"/>
    <x v="0"/>
    <n v="14"/>
    <n v="2"/>
    <n v="11598.11"/>
    <n v="786.61"/>
    <n v="6830.39"/>
  </r>
  <r>
    <s v="1388"/>
    <s v="Juan Sánchez"/>
    <d v="1951-01-01T00:00:00"/>
    <n v="75"/>
    <x v="1"/>
    <x v="6"/>
    <d v="2023-09-03T00:00:00"/>
    <d v="2023-09-26T00:00:00"/>
    <n v="32"/>
    <x v="1"/>
    <n v="2"/>
    <n v="5"/>
    <n v="14816.53"/>
    <n v="7464.63"/>
    <n v="10489.09"/>
  </r>
  <r>
    <s v="1389"/>
    <s v="Pedro Ramírez"/>
    <d v="1940-01-01T00:00:00"/>
    <n v="68"/>
    <x v="0"/>
    <x v="2"/>
    <d v="2023-12-11T00:00:00"/>
    <d v="2024-08-23T00:00:00"/>
    <n v="17"/>
    <x v="2"/>
    <n v="7"/>
    <n v="3"/>
    <n v="834"/>
    <n v="7602.95"/>
    <n v="13876.78"/>
  </r>
  <r>
    <s v="1390"/>
    <s v="Ricardo Sánchez"/>
    <d v="1940-12-31T00:00:00"/>
    <n v="85"/>
    <x v="1"/>
    <x v="6"/>
    <d v="2024-04-28T00:00:00"/>
    <d v="2025-02-04T00:00:00"/>
    <n v="32"/>
    <x v="0"/>
    <n v="8"/>
    <n v="3"/>
    <n v="5839.04"/>
    <n v="1296.0899999999999"/>
    <n v="6932.11"/>
  </r>
  <r>
    <s v="1391"/>
    <s v="Carlos Gómez"/>
    <d v="1941-12-31T00:00:00"/>
    <n v="84"/>
    <x v="0"/>
    <x v="4"/>
    <d v="2023-11-06T00:00:00"/>
    <d v="2025-01-20T00:00:00"/>
    <n v="32"/>
    <x v="2"/>
    <n v="12"/>
    <n v="0"/>
    <n v="24906.37"/>
    <n v="2040.34"/>
    <n v="13948.19"/>
  </r>
  <r>
    <s v="1392"/>
    <s v="Luisa Sánchez"/>
    <d v="2000-01-01T00:00:00"/>
    <n v="26"/>
    <x v="0"/>
    <x v="0"/>
    <d v="2024-07-14T00:00:00"/>
    <d v="2024-08-08T00:00:00"/>
    <n v="17"/>
    <x v="0"/>
    <n v="11"/>
    <n v="9"/>
    <n v="14090.02"/>
    <n v="6144.82"/>
    <n v="19215.71"/>
  </r>
  <r>
    <s v="1393"/>
    <s v="Juan Morales"/>
    <d v="1969-12-31T00:00:00"/>
    <n v="56"/>
    <x v="1"/>
    <x v="6"/>
    <d v="2023-10-11T00:00:00"/>
    <d v="2024-02-24T00:00:00"/>
    <n v="1"/>
    <x v="1"/>
    <n v="13"/>
    <n v="3"/>
    <n v="6543.42"/>
    <n v="8047.84"/>
    <n v="393.6"/>
  </r>
  <r>
    <s v="1394"/>
    <s v="Sofía López"/>
    <d v="1983-01-01T00:00:00"/>
    <n v="30"/>
    <x v="0"/>
    <x v="2"/>
    <d v="2023-02-07T00:00:00"/>
    <d v="2025-05-20T00:00:00"/>
    <n v="15"/>
    <x v="2"/>
    <n v="6"/>
    <n v="0"/>
    <n v="10751.67"/>
    <n v="797.93"/>
    <n v="3193.12"/>
  </r>
  <r>
    <s v="1395"/>
    <s v="Ricardo López"/>
    <d v="2020-12-31T00:00:00"/>
    <n v="5"/>
    <x v="0"/>
    <x v="0"/>
    <d v="2023-02-01T00:00:00"/>
    <d v="2025-05-17T00:00:00"/>
    <n v="27"/>
    <x v="1"/>
    <n v="8"/>
    <n v="4"/>
    <n v="8195.42"/>
    <n v="176.35"/>
    <n v="18317.05"/>
  </r>
  <r>
    <s v="1396"/>
    <s v="Carlos Hernández"/>
    <d v="1936-01-01T00:00:00"/>
    <n v="90"/>
    <x v="1"/>
    <x v="5"/>
    <d v="2023-08-31T00:00:00"/>
    <d v="2023-06-11T00:00:00"/>
    <n v="39"/>
    <x v="2"/>
    <n v="4"/>
    <n v="2"/>
    <n v="16464.73"/>
    <n v="2889.06"/>
    <n v="1338.55"/>
  </r>
  <r>
    <s v="1397"/>
    <s v="Juan Hernández"/>
    <d v="1987-01-01T00:00:00"/>
    <n v="39"/>
    <x v="0"/>
    <x v="1"/>
    <d v="2024-07-06T00:00:00"/>
    <d v="2023-02-28T00:00:00"/>
    <n v="26"/>
    <x v="0"/>
    <n v="10"/>
    <n v="9"/>
    <n v="1069.0999999999999"/>
    <n v="7317.14"/>
    <n v="15277.44"/>
  </r>
  <r>
    <s v="1398"/>
    <s v="María Cruz"/>
    <d v="2015-01-01T00:00:00"/>
    <n v="11"/>
    <x v="0"/>
    <x v="6"/>
    <d v="2023-10-19T00:00:00"/>
    <d v="2024-01-20T00:00:00"/>
    <n v="36"/>
    <x v="0"/>
    <n v="1"/>
    <n v="4"/>
    <n v="6361.58"/>
    <n v="604.17999999999995"/>
    <n v="12441.96"/>
  </r>
  <r>
    <s v="1399"/>
    <s v="María Ramírez"/>
    <d v="1973-12-31T00:00:00"/>
    <n v="52"/>
    <x v="1"/>
    <x v="5"/>
    <d v="2024-09-06T00:00:00"/>
    <d v="2025-06-04T00:00:00"/>
    <n v="19"/>
    <x v="2"/>
    <n v="10"/>
    <n v="2"/>
    <n v="10326.43"/>
    <n v="10998.53"/>
    <n v="858.79"/>
  </r>
  <r>
    <s v="1400"/>
    <s v="Jorge Pérez"/>
    <d v="1956-01-01T00:00:00"/>
    <n v="70"/>
    <x v="1"/>
    <x v="5"/>
    <d v="2023-10-19T00:00:00"/>
    <d v="2025-03-14T00:00:00"/>
    <n v="26"/>
    <x v="1"/>
    <n v="7"/>
    <n v="4"/>
    <n v="27810.53"/>
    <n v="2278.92"/>
    <n v="85.38"/>
  </r>
  <r>
    <s v="1401"/>
    <s v="Jorge Ramírez"/>
    <d v="2016-12-31T00:00:00"/>
    <n v="9"/>
    <x v="1"/>
    <x v="3"/>
    <d v="2024-09-10T00:00:00"/>
    <d v="2024-05-25T00:00:00"/>
    <n v="7"/>
    <x v="1"/>
    <n v="7"/>
    <n v="3"/>
    <n v="18509.990000000002"/>
    <n v="11589.17"/>
    <n v="9990.18"/>
  </r>
  <r>
    <s v="1402"/>
    <s v="Luis Sánchez"/>
    <d v="1981-12-31T00:00:00"/>
    <n v="44"/>
    <x v="1"/>
    <x v="2"/>
    <d v="2024-01-17T00:00:00"/>
    <d v="2024-03-06T00:00:00"/>
    <n v="17"/>
    <x v="1"/>
    <n v="9"/>
    <n v="8"/>
    <n v="14879.74"/>
    <n v="3071"/>
    <n v="2258.64"/>
  </r>
  <r>
    <s v="1403"/>
    <s v="Ana Morales"/>
    <d v="2009-12-31T00:00:00"/>
    <n v="16"/>
    <x v="0"/>
    <x v="4"/>
    <d v="2024-08-21T00:00:00"/>
    <d v="2023-12-07T00:00:00"/>
    <n v="13"/>
    <x v="0"/>
    <n v="4"/>
    <n v="5"/>
    <n v="5320.12"/>
    <n v="5199.29"/>
    <n v="17431.53"/>
  </r>
  <r>
    <s v="1404"/>
    <s v="Luisa Hernández"/>
    <d v="2000-12-31T00:00:00"/>
    <n v="25"/>
    <x v="0"/>
    <x v="1"/>
    <d v="2024-07-31T00:00:00"/>
    <d v="2024-08-01T00:00:00"/>
    <n v="3"/>
    <x v="0"/>
    <n v="0"/>
    <n v="9"/>
    <n v="16514.52"/>
    <n v="7186.39"/>
    <n v="9563.57"/>
  </r>
  <r>
    <s v="1405"/>
    <s v="Luis López"/>
    <d v="1941-12-31T00:00:00"/>
    <n v="84"/>
    <x v="0"/>
    <x v="6"/>
    <d v="2023-05-18T00:00:00"/>
    <d v="2023-01-27T00:00:00"/>
    <n v="14"/>
    <x v="0"/>
    <n v="5"/>
    <n v="1"/>
    <n v="27834.79"/>
    <n v="5209.0600000000004"/>
    <n v="4612.32"/>
  </r>
  <r>
    <s v="1406"/>
    <s v="Laura Ramírez"/>
    <d v="1935-01-01T00:00:00"/>
    <n v="91"/>
    <x v="1"/>
    <x v="5"/>
    <d v="2023-07-19T00:00:00"/>
    <d v="2025-03-21T00:00:00"/>
    <n v="3"/>
    <x v="1"/>
    <n v="13"/>
    <n v="0"/>
    <n v="16772.43"/>
    <n v="354.29"/>
    <n v="3280.92"/>
  </r>
  <r>
    <s v="1407"/>
    <s v="Jorge Martínez"/>
    <d v="1961-01-01T00:00:00"/>
    <n v="61"/>
    <x v="1"/>
    <x v="5"/>
    <d v="2023-12-01T00:00:00"/>
    <d v="2024-08-12T00:00:00"/>
    <n v="19"/>
    <x v="0"/>
    <n v="7"/>
    <n v="0"/>
    <n v="4525.6099999999997"/>
    <n v="13628.61"/>
    <n v="16699.03"/>
  </r>
  <r>
    <s v="1408"/>
    <s v="Luis Pérez"/>
    <d v="1980-12-31T00:00:00"/>
    <n v="29"/>
    <x v="0"/>
    <x v="4"/>
    <d v="2024-08-27T00:00:00"/>
    <d v="2025-03-09T00:00:00"/>
    <n v="15"/>
    <x v="1"/>
    <n v="7"/>
    <n v="0"/>
    <n v="29912.13"/>
    <n v="4297"/>
    <n v="14346.65"/>
  </r>
  <r>
    <s v="1409"/>
    <s v="María Martínez"/>
    <d v="1954-01-01T00:00:00"/>
    <n v="63"/>
    <x v="0"/>
    <x v="2"/>
    <d v="2024-03-22T00:00:00"/>
    <d v="2024-01-08T00:00:00"/>
    <n v="29"/>
    <x v="2"/>
    <n v="1"/>
    <n v="8"/>
    <n v="14715.16"/>
    <n v="2040.54"/>
    <n v="14331.05"/>
  </r>
  <r>
    <s v="1410"/>
    <s v="Elena Rodríguez"/>
    <d v="2024-12-31T00:00:00"/>
    <n v="1"/>
    <x v="0"/>
    <x v="1"/>
    <d v="2023-12-14T00:00:00"/>
    <d v="2023-02-06T00:00:00"/>
    <n v="25"/>
    <x v="2"/>
    <n v="0"/>
    <n v="4"/>
    <n v="9246.44"/>
    <n v="1987.77"/>
    <n v="1614.67"/>
  </r>
  <r>
    <s v="1411"/>
    <s v="Ricardo Gómez"/>
    <d v="1972-12-31T00:00:00"/>
    <n v="53"/>
    <x v="1"/>
    <x v="1"/>
    <d v="2023-10-05T00:00:00"/>
    <d v="2024-06-15T00:00:00"/>
    <n v="39"/>
    <x v="2"/>
    <n v="14"/>
    <n v="3"/>
    <n v="14852.97"/>
    <n v="14619.19"/>
    <n v="12452.81"/>
  </r>
  <r>
    <s v="1412"/>
    <s v="Ricardo López"/>
    <d v="1961-12-31T00:00:00"/>
    <n v="64"/>
    <x v="1"/>
    <x v="4"/>
    <d v="2024-06-15T00:00:00"/>
    <d v="2025-03-01T00:00:00"/>
    <n v="7"/>
    <x v="1"/>
    <n v="14"/>
    <n v="9"/>
    <n v="7542.57"/>
    <n v="1845.87"/>
    <n v="17376.599999999999"/>
  </r>
  <r>
    <s v="1413"/>
    <s v="Ana López"/>
    <d v="1976-01-01T00:00:00"/>
    <n v="50"/>
    <x v="1"/>
    <x v="5"/>
    <d v="2024-02-03T00:00:00"/>
    <d v="2025-04-13T00:00:00"/>
    <n v="38"/>
    <x v="2"/>
    <n v="10"/>
    <n v="4"/>
    <n v="426.38"/>
    <n v="5198.21"/>
    <n v="15294.6"/>
  </r>
  <r>
    <s v="1414"/>
    <s v="Ana Rodríguez"/>
    <d v="1973-12-31T00:00:00"/>
    <n v="52"/>
    <x v="2"/>
    <x v="5"/>
    <d v="2024-01-26T00:00:00"/>
    <d v="2025-04-05T00:00:00"/>
    <n v="19"/>
    <x v="1"/>
    <n v="3"/>
    <n v="8"/>
    <n v="26630.400000000001"/>
    <n v="1014.32"/>
    <n v="2274.9499999999998"/>
  </r>
  <r>
    <s v="1415"/>
    <s v="Elena Ramírez"/>
    <d v="1991-01-01T00:00:00"/>
    <n v="35"/>
    <x v="1"/>
    <x v="5"/>
    <d v="2024-08-24T00:00:00"/>
    <d v="2023-09-25T00:00:00"/>
    <n v="25"/>
    <x v="0"/>
    <n v="9"/>
    <n v="2"/>
    <n v="12580.67"/>
    <n v="11032.09"/>
    <n v="18980.52"/>
  </r>
  <r>
    <s v="1416"/>
    <s v="Sofía Martínez"/>
    <d v="2000-12-31T00:00:00"/>
    <n v="25"/>
    <x v="0"/>
    <x v="5"/>
    <d v="2024-07-15T00:00:00"/>
    <d v="2025-03-05T00:00:00"/>
    <n v="12"/>
    <x v="0"/>
    <n v="8"/>
    <n v="2"/>
    <n v="22463.23"/>
    <n v="8951.27"/>
    <n v="1301.6600000000001"/>
  </r>
  <r>
    <s v="1417"/>
    <s v="Ana Gómez"/>
    <d v="1997-12-31T00:00:00"/>
    <n v="28"/>
    <x v="0"/>
    <x v="3"/>
    <d v="2023-01-10T00:00:00"/>
    <d v="2024-03-08T00:00:00"/>
    <n v="26"/>
    <x v="2"/>
    <n v="11"/>
    <n v="1"/>
    <n v="29123.29"/>
    <n v="8003.53"/>
    <n v="11093.78"/>
  </r>
  <r>
    <s v="1418"/>
    <s v="María Martínez"/>
    <d v="2005-12-31T00:00:00"/>
    <n v="20"/>
    <x v="1"/>
    <x v="3"/>
    <d v="2024-08-13T00:00:00"/>
    <d v="2023-01-20T00:00:00"/>
    <n v="4"/>
    <x v="1"/>
    <n v="5"/>
    <n v="7"/>
    <n v="18793.919999999998"/>
    <n v="12837.61"/>
    <n v="18894.75"/>
  </r>
  <r>
    <s v="1419"/>
    <s v="Luisa Morales"/>
    <d v="2016-01-01T00:00:00"/>
    <n v="10"/>
    <x v="0"/>
    <x v="4"/>
    <d v="2024-07-02T00:00:00"/>
    <d v="2023-12-06T00:00:00"/>
    <n v="31"/>
    <x v="1"/>
    <n v="1"/>
    <n v="6"/>
    <n v="20594.3"/>
    <n v="8600.0499999999993"/>
    <n v="16427.36"/>
  </r>
  <r>
    <s v="1420"/>
    <s v="Miguel Cruz"/>
    <d v="1987-01-01T00:00:00"/>
    <n v="39"/>
    <x v="0"/>
    <x v="1"/>
    <d v="2023-02-28T00:00:00"/>
    <d v="2023-05-21T00:00:00"/>
    <n v="29"/>
    <x v="0"/>
    <n v="10"/>
    <n v="1"/>
    <n v="28268.85"/>
    <n v="14332.96"/>
    <n v="13584.66"/>
  </r>
  <r>
    <s v="1421"/>
    <s v="Elena Ramírez"/>
    <d v="2016-01-01T00:00:00"/>
    <n v="10"/>
    <x v="0"/>
    <x v="0"/>
    <d v="2023-03-29T00:00:00"/>
    <d v="2023-03-09T00:00:00"/>
    <n v="1"/>
    <x v="0"/>
    <n v="2"/>
    <n v="3"/>
    <n v="15254.91"/>
    <n v="9341.7000000000007"/>
    <n v="17112.509999999998"/>
  </r>
  <r>
    <s v="1422"/>
    <s v="Luis Morales"/>
    <d v="1991-01-01T00:00:00"/>
    <n v="35"/>
    <x v="1"/>
    <x v="6"/>
    <d v="2024-04-03T00:00:00"/>
    <d v="2025-04-04T00:00:00"/>
    <n v="23"/>
    <x v="0"/>
    <n v="8"/>
    <n v="6"/>
    <n v="9256.9500000000007"/>
    <n v="5315.11"/>
    <n v="13432.95"/>
  </r>
  <r>
    <s v="1423"/>
    <s v="Miguel Morales"/>
    <d v="1968-01-01T00:00:00"/>
    <n v="58"/>
    <x v="1"/>
    <x v="2"/>
    <d v="2023-04-14T00:00:00"/>
    <d v="2024-06-14T00:00:00"/>
    <n v="8"/>
    <x v="0"/>
    <n v="0"/>
    <n v="0"/>
    <n v="27602.22"/>
    <n v="551.20000000000005"/>
    <n v="1004.47"/>
  </r>
  <r>
    <s v="1424"/>
    <s v="José Rodríguez"/>
    <d v="1988-01-01T00:00:00"/>
    <n v="38"/>
    <x v="1"/>
    <x v="0"/>
    <d v="2023-04-14T00:00:00"/>
    <d v="2024-01-05T00:00:00"/>
    <n v="22"/>
    <x v="0"/>
    <n v="10"/>
    <n v="0"/>
    <n v="1604.32"/>
    <n v="10879.13"/>
    <n v="6952.53"/>
  </r>
  <r>
    <s v="1425"/>
    <s v="Luis Sánchez"/>
    <d v="1972-12-31T00:00:00"/>
    <n v="53"/>
    <x v="1"/>
    <x v="3"/>
    <d v="2023-09-11T00:00:00"/>
    <d v="2023-09-19T00:00:00"/>
    <n v="16"/>
    <x v="0"/>
    <n v="10"/>
    <n v="7"/>
    <n v="6045.54"/>
    <n v="5604.68"/>
    <n v="8485.16"/>
  </r>
  <r>
    <s v="1426"/>
    <s v="Juan Pérez"/>
    <d v="1972-01-01T00:00:00"/>
    <n v="54"/>
    <x v="0"/>
    <x v="3"/>
    <d v="2023-12-01T00:00:00"/>
    <d v="2024-09-16T00:00:00"/>
    <n v="17"/>
    <x v="0"/>
    <n v="9"/>
    <n v="5"/>
    <n v="9908.57"/>
    <n v="8988.0300000000007"/>
    <n v="10882.18"/>
  </r>
  <r>
    <s v="1427"/>
    <s v="Luisa Martínez"/>
    <d v="2003-01-01T00:00:00"/>
    <n v="23"/>
    <x v="0"/>
    <x v="3"/>
    <d v="2024-04-07T00:00:00"/>
    <d v="2024-09-19T00:00:00"/>
    <n v="30"/>
    <x v="0"/>
    <n v="12"/>
    <n v="1"/>
    <n v="23354.400000000001"/>
    <n v="13145.22"/>
    <n v="4515.7700000000004"/>
  </r>
  <r>
    <s v="1428"/>
    <s v="Ricardo Martínez"/>
    <d v="2004-12-31T00:00:00"/>
    <n v="21"/>
    <x v="1"/>
    <x v="0"/>
    <d v="2024-07-02T00:00:00"/>
    <d v="2024-11-09T00:00:00"/>
    <n v="14"/>
    <x v="2"/>
    <n v="13"/>
    <n v="9"/>
    <n v="27068.99"/>
    <n v="114.87"/>
    <n v="17611.57"/>
  </r>
  <r>
    <s v="1429"/>
    <s v="Juan Cruz"/>
    <d v="1957-12-31T00:00:00"/>
    <n v="84"/>
    <x v="0"/>
    <x v="3"/>
    <d v="2023-10-28T00:00:00"/>
    <d v="2024-08-02T00:00:00"/>
    <n v="27"/>
    <x v="0"/>
    <n v="12"/>
    <n v="9"/>
    <n v="13279.49"/>
    <n v="11394.19"/>
    <n v="4496.88"/>
  </r>
  <r>
    <s v="1430"/>
    <s v="Juan Martínez"/>
    <d v="1971-01-01T00:00:00"/>
    <n v="55"/>
    <x v="0"/>
    <x v="0"/>
    <d v="2024-10-15T00:00:00"/>
    <d v="2025-02-06T00:00:00"/>
    <n v="15"/>
    <x v="1"/>
    <n v="8"/>
    <n v="0"/>
    <n v="8226.89"/>
    <n v="6529.27"/>
    <n v="13117.63"/>
  </r>
  <r>
    <s v="1431"/>
    <s v="Miguel Cruz"/>
    <d v="1942-01-01T00:00:00"/>
    <n v="32"/>
    <x v="1"/>
    <x v="3"/>
    <d v="2024-07-08T00:00:00"/>
    <d v="2024-08-05T00:00:00"/>
    <n v="29"/>
    <x v="1"/>
    <n v="11"/>
    <n v="2"/>
    <n v="10272.93"/>
    <n v="1860.9"/>
    <n v="17519.810000000001"/>
  </r>
  <r>
    <s v="1432"/>
    <s v="Ricardo López"/>
    <d v="1991-01-01T00:00:00"/>
    <n v="35"/>
    <x v="1"/>
    <x v="5"/>
    <d v="2024-09-19T00:00:00"/>
    <d v="2025-03-31T00:00:00"/>
    <n v="37"/>
    <x v="1"/>
    <n v="10"/>
    <n v="3"/>
    <n v="19524.689999999999"/>
    <n v="8736.8700000000008"/>
    <n v="14629.54"/>
  </r>
  <r>
    <s v="1433"/>
    <s v="Elena Sánchez"/>
    <d v="2007-01-01T00:00:00"/>
    <n v="19"/>
    <x v="0"/>
    <x v="5"/>
    <d v="2023-12-07T00:00:00"/>
    <d v="2023-07-23T00:00:00"/>
    <n v="1"/>
    <x v="0"/>
    <n v="11"/>
    <n v="4"/>
    <n v="4319.22"/>
    <n v="7989.22"/>
    <n v="2633.85"/>
  </r>
  <r>
    <s v="1434"/>
    <s v="José Rodríguez"/>
    <d v="1996-01-01T00:00:00"/>
    <n v="82"/>
    <x v="0"/>
    <x v="6"/>
    <d v="2024-05-06T00:00:00"/>
    <d v="2024-10-01T00:00:00"/>
    <n v="29"/>
    <x v="1"/>
    <n v="0"/>
    <n v="9"/>
    <n v="0"/>
    <n v="12634.62"/>
    <n v="19023.02"/>
  </r>
  <r>
    <s v="1435"/>
    <s v="Ana Gómez"/>
    <d v="1945-12-31T00:00:00"/>
    <n v="80"/>
    <x v="0"/>
    <x v="3"/>
    <d v="2023-03-25T00:00:00"/>
    <d v="2024-02-15T00:00:00"/>
    <n v="16"/>
    <x v="0"/>
    <n v="5"/>
    <n v="2"/>
    <n v="0"/>
    <n v="7823.44"/>
    <n v="1747.52"/>
  </r>
  <r>
    <s v="1436"/>
    <s v="Juan Sánchez"/>
    <d v="1964-12-31T00:00:00"/>
    <n v="61"/>
    <x v="1"/>
    <x v="4"/>
    <d v="2023-09-16T00:00:00"/>
    <d v="2025-04-13T00:00:00"/>
    <n v="0"/>
    <x v="1"/>
    <n v="0"/>
    <n v="4"/>
    <n v="21089.599999999999"/>
    <n v="12410.28"/>
    <n v="3921.35"/>
  </r>
  <r>
    <s v="1437"/>
    <s v="Juan Pérez"/>
    <d v="1953-12-31T00:00:00"/>
    <n v="72"/>
    <x v="1"/>
    <x v="6"/>
    <d v="2023-12-26T00:00:00"/>
    <d v="2023-03-22T00:00:00"/>
    <n v="35"/>
    <x v="0"/>
    <n v="1"/>
    <n v="6"/>
    <n v="17918.89"/>
    <n v="8167.34"/>
    <n v="2698.79"/>
  </r>
  <r>
    <s v="1438"/>
    <s v="Ana Morales"/>
    <d v="2000-12-31T00:00:00"/>
    <n v="25"/>
    <x v="1"/>
    <x v="0"/>
    <d v="2023-03-28T00:00:00"/>
    <d v="2024-11-19T00:00:00"/>
    <n v="25"/>
    <x v="0"/>
    <n v="2"/>
    <n v="8"/>
    <n v="2457.15"/>
    <n v="6704.18"/>
    <n v="13305.03"/>
  </r>
  <r>
    <s v="1439"/>
    <s v="Jorge Morales"/>
    <d v="1960-12-31T00:00:00"/>
    <n v="65"/>
    <x v="0"/>
    <x v="6"/>
    <d v="2024-03-03T00:00:00"/>
    <d v="2023-04-24T00:00:00"/>
    <n v="35"/>
    <x v="1"/>
    <n v="13"/>
    <n v="4"/>
    <n v="20508.37"/>
    <n v="5567.76"/>
    <n v="16128.94"/>
  </r>
  <r>
    <s v="1440"/>
    <s v="Laura Hernández"/>
    <d v="1953-12-31T00:00:00"/>
    <n v="72"/>
    <x v="0"/>
    <x v="3"/>
    <d v="2024-01-02T00:00:00"/>
    <d v="2024-09-15T00:00:00"/>
    <n v="3"/>
    <x v="0"/>
    <n v="12"/>
    <n v="3"/>
    <n v="163.30000000000001"/>
    <n v="2605.46"/>
    <n v="4684.12"/>
  </r>
  <r>
    <s v="1441"/>
    <s v="Sofía Pérez"/>
    <d v="1953-12-31T00:00:00"/>
    <n v="72"/>
    <x v="1"/>
    <x v="0"/>
    <d v="2023-12-09T00:00:00"/>
    <d v="2025-04-01T00:00:00"/>
    <n v="37"/>
    <x v="0"/>
    <n v="4"/>
    <n v="9"/>
    <n v="11404.42"/>
    <n v="8760.4599999999991"/>
    <n v="19582.89"/>
  </r>
  <r>
    <s v="1442"/>
    <s v="Luisa Morales"/>
    <d v="1982-01-01T00:00:00"/>
    <n v="39"/>
    <x v="0"/>
    <x v="4"/>
    <d v="2023-12-13T00:00:00"/>
    <d v="2023-05-18T00:00:00"/>
    <n v="14"/>
    <x v="0"/>
    <n v="14"/>
    <n v="8"/>
    <n v="12220.42"/>
    <n v="8163.75"/>
    <n v="2698.8"/>
  </r>
  <r>
    <s v="1443"/>
    <s v="Carmen Martínez"/>
    <d v="2009-12-31T00:00:00"/>
    <n v="16"/>
    <x v="0"/>
    <x v="0"/>
    <d v="2023-04-06T00:00:00"/>
    <d v="2024-10-07T00:00:00"/>
    <n v="39"/>
    <x v="0"/>
    <n v="8"/>
    <n v="7"/>
    <n v="3057.23"/>
    <n v="14636.09"/>
    <n v="6248.96"/>
  </r>
  <r>
    <s v="1444"/>
    <s v="Jorge Sánchez"/>
    <d v="2025-12-31T00:00:00"/>
    <n v="0"/>
    <x v="0"/>
    <x v="5"/>
    <d v="2023-09-12T00:00:00"/>
    <d v="2025-06-03T00:00:00"/>
    <n v="2"/>
    <x v="0"/>
    <n v="8"/>
    <n v="4"/>
    <n v="199.36"/>
    <n v="6186.13"/>
    <n v="9755.2199999999993"/>
  </r>
  <r>
    <s v="1445"/>
    <s v="Ricardo Ramírez"/>
    <d v="1937-12-31T00:00:00"/>
    <n v="88"/>
    <x v="2"/>
    <x v="0"/>
    <d v="2023-05-16T00:00:00"/>
    <d v="2025-04-20T00:00:00"/>
    <n v="16"/>
    <x v="0"/>
    <n v="2"/>
    <n v="8"/>
    <n v="1670.44"/>
    <n v="6322.85"/>
    <n v="16157.84"/>
  </r>
  <r>
    <s v="1446"/>
    <s v="Ana López"/>
    <d v="1965-12-31T00:00:00"/>
    <n v="60"/>
    <x v="1"/>
    <x v="0"/>
    <d v="2023-09-05T00:00:00"/>
    <d v="2023-07-09T00:00:00"/>
    <n v="39"/>
    <x v="0"/>
    <n v="1"/>
    <n v="8"/>
    <n v="13112.15"/>
    <n v="2458.0700000000002"/>
    <n v="7468.5"/>
  </r>
  <r>
    <s v="1447"/>
    <s v="José Hernández"/>
    <d v="1984-01-01T00:00:00"/>
    <n v="42"/>
    <x v="0"/>
    <x v="6"/>
    <d v="2024-05-13T00:00:00"/>
    <d v="2023-10-05T00:00:00"/>
    <n v="32"/>
    <x v="2"/>
    <n v="1"/>
    <n v="0"/>
    <n v="6830.8"/>
    <n v="8963.57"/>
    <n v="3515.92"/>
  </r>
  <r>
    <s v="1448"/>
    <s v="Sofía Martínez"/>
    <d v="1984-12-31T00:00:00"/>
    <n v="41"/>
    <x v="1"/>
    <x v="4"/>
    <d v="2024-04-30T00:00:00"/>
    <d v="2025-01-07T00:00:00"/>
    <n v="19"/>
    <x v="2"/>
    <n v="7"/>
    <n v="5"/>
    <n v="1603.9"/>
    <n v="12717.78"/>
    <n v="9245.2199999999993"/>
  </r>
  <r>
    <s v="1449"/>
    <s v="Pedro Martínez"/>
    <d v="2001-12-31T00:00:00"/>
    <n v="24"/>
    <x v="1"/>
    <x v="1"/>
    <d v="2024-02-06T00:00:00"/>
    <d v="2023-04-14T00:00:00"/>
    <n v="21"/>
    <x v="2"/>
    <n v="1"/>
    <n v="4"/>
    <n v="7320.37"/>
    <n v="3718.85"/>
    <n v="9477.56"/>
  </r>
  <r>
    <s v="1450"/>
    <s v="María Hernández"/>
    <d v="1988-01-01T00:00:00"/>
    <n v="38"/>
    <x v="0"/>
    <x v="0"/>
    <d v="2024-08-26T00:00:00"/>
    <d v="2023-04-18T00:00:00"/>
    <n v="7"/>
    <x v="2"/>
    <n v="5"/>
    <n v="5"/>
    <n v="15629.08"/>
    <n v="136.16999999999999"/>
    <n v="225.72"/>
  </r>
  <r>
    <s v="1451"/>
    <s v="Sofía Rodríguez"/>
    <d v="1992-01-01T00:00:00"/>
    <n v="34"/>
    <x v="0"/>
    <x v="2"/>
    <d v="2024-02-16T00:00:00"/>
    <d v="2024-07-29T00:00:00"/>
    <n v="1"/>
    <x v="0"/>
    <n v="9"/>
    <n v="9"/>
    <n v="22135.23"/>
    <n v="10372.1"/>
    <n v="319.86"/>
  </r>
  <r>
    <s v="1452"/>
    <s v="Juan Pérez"/>
    <d v="2024-01-01T00:00:00"/>
    <n v="2"/>
    <x v="0"/>
    <x v="1"/>
    <d v="2024-03-23T00:00:00"/>
    <d v="2025-01-27T00:00:00"/>
    <n v="25"/>
    <x v="2"/>
    <n v="10"/>
    <n v="2"/>
    <n v="12066.04"/>
    <n v="470.61"/>
    <n v="5480.54"/>
  </r>
  <r>
    <s v="1453"/>
    <s v="Elena Rodríguez"/>
    <d v="1983-01-01T00:00:00"/>
    <n v="43"/>
    <x v="0"/>
    <x v="5"/>
    <d v="2023-09-04T00:00:00"/>
    <d v="2023-06-23T00:00:00"/>
    <n v="38"/>
    <x v="1"/>
    <n v="10"/>
    <n v="2"/>
    <n v="18201.04"/>
    <n v="6139.14"/>
    <n v="14798.54"/>
  </r>
  <r>
    <s v="1454"/>
    <s v="Miguel Martínez"/>
    <d v="1976-01-01T00:00:00"/>
    <n v="50"/>
    <x v="0"/>
    <x v="4"/>
    <d v="2024-11-29T00:00:00"/>
    <d v="2025-04-25T00:00:00"/>
    <n v="34"/>
    <x v="2"/>
    <n v="10"/>
    <n v="9"/>
    <n v="17701.32"/>
    <n v="9190.66"/>
    <n v="7256.41"/>
  </r>
  <r>
    <s v="1455"/>
    <s v="Carlos Cruz"/>
    <d v="1932-12-31T00:00:00"/>
    <n v="93"/>
    <x v="0"/>
    <x v="4"/>
    <d v="2024-02-25T00:00:00"/>
    <d v="2023-11-28T00:00:00"/>
    <n v="14"/>
    <x v="1"/>
    <n v="13"/>
    <n v="4"/>
    <n v="26837.59"/>
    <n v="5790.18"/>
    <n v="4145.21"/>
  </r>
  <r>
    <s v="1456"/>
    <s v="Pedro Rodríguez"/>
    <d v="2015-01-01T00:00:00"/>
    <n v="11"/>
    <x v="1"/>
    <x v="5"/>
    <d v="2023-05-04T00:00:00"/>
    <d v="2024-12-23T00:00:00"/>
    <n v="3"/>
    <x v="1"/>
    <n v="12"/>
    <n v="6"/>
    <n v="4971.53"/>
    <n v="3908.67"/>
    <n v="2170.79"/>
  </r>
  <r>
    <s v="1457"/>
    <s v="Sofía Hernández"/>
    <d v="1998-01-01T00:00:00"/>
    <n v="18"/>
    <x v="0"/>
    <x v="0"/>
    <d v="2023-09-17T00:00:00"/>
    <d v="2023-07-11T00:00:00"/>
    <n v="2"/>
    <x v="0"/>
    <n v="5"/>
    <n v="3"/>
    <n v="14031.13"/>
    <n v="11989"/>
    <n v="5538.5"/>
  </r>
  <r>
    <s v="1458"/>
    <s v="Elena Ramírez"/>
    <d v="1983-01-01T00:00:00"/>
    <n v="43"/>
    <x v="0"/>
    <x v="6"/>
    <d v="2023-06-18T00:00:00"/>
    <d v="2024-11-01T00:00:00"/>
    <n v="36"/>
    <x v="0"/>
    <n v="1"/>
    <n v="5"/>
    <n v="18770.810000000001"/>
    <n v="4514"/>
    <n v="9576.93"/>
  </r>
  <r>
    <s v="1459"/>
    <s v="Ana López"/>
    <d v="1968-01-01T00:00:00"/>
    <n v="1"/>
    <x v="1"/>
    <x v="1"/>
    <d v="2023-04-21T00:00:00"/>
    <d v="2025-04-11T00:00:00"/>
    <n v="4"/>
    <x v="0"/>
    <n v="1"/>
    <n v="4"/>
    <n v="15351.53"/>
    <n v="2700.7"/>
    <n v="1776.93"/>
  </r>
  <r>
    <s v="1460"/>
    <s v="Jorge Gómez"/>
    <d v="1977-12-31T00:00:00"/>
    <n v="48"/>
    <x v="1"/>
    <x v="5"/>
    <d v="2023-10-17T00:00:00"/>
    <d v="2023-08-14T00:00:00"/>
    <n v="29"/>
    <x v="2"/>
    <n v="4"/>
    <n v="1"/>
    <n v="13235.42"/>
    <n v="5825.95"/>
    <n v="200.17"/>
  </r>
  <r>
    <s v="1461"/>
    <s v="Luis Sánchez"/>
    <d v="1965-12-31T00:00:00"/>
    <n v="60"/>
    <x v="0"/>
    <x v="5"/>
    <d v="2024-08-21T00:00:00"/>
    <d v="2024-11-15T00:00:00"/>
    <n v="1"/>
    <x v="0"/>
    <n v="6"/>
    <n v="0"/>
    <n v="29190.5"/>
    <n v="1974.97"/>
    <n v="2458.87"/>
  </r>
  <r>
    <s v="1462"/>
    <s v="Luisa Ramírez"/>
    <d v="2009-12-31T00:00:00"/>
    <n v="16"/>
    <x v="0"/>
    <x v="2"/>
    <d v="2023-01-13T00:00:00"/>
    <d v="2023-11-20T00:00:00"/>
    <n v="18"/>
    <x v="1"/>
    <n v="5"/>
    <n v="5"/>
    <n v="28231.42"/>
    <n v="10355.950000000001"/>
    <n v="14733.39"/>
  </r>
  <r>
    <s v="1463"/>
    <s v="José Rodríguez"/>
    <d v="1952-12-31T00:00:00"/>
    <n v="73"/>
    <x v="0"/>
    <x v="0"/>
    <d v="2023-09-20T00:00:00"/>
    <d v="2024-05-23T00:00:00"/>
    <n v="39"/>
    <x v="0"/>
    <n v="4"/>
    <n v="4"/>
    <n v="0"/>
    <n v="10651.21"/>
    <n v="9272.83"/>
  </r>
  <r>
    <s v="1464"/>
    <s v="Luis Pérez"/>
    <d v="1969-12-31T00:00:00"/>
    <n v="56"/>
    <x v="0"/>
    <x v="1"/>
    <d v="2023-01-23T00:00:00"/>
    <d v="2024-07-02T00:00:00"/>
    <n v="29"/>
    <x v="0"/>
    <n v="8"/>
    <n v="8"/>
    <n v="12907.06"/>
    <n v="221.68"/>
    <n v="8847.86"/>
  </r>
  <r>
    <s v="1465"/>
    <s v="Luisa Cruz"/>
    <d v="1972-01-01T00:00:00"/>
    <n v="54"/>
    <x v="1"/>
    <x v="5"/>
    <d v="2023-07-19T00:00:00"/>
    <d v="2023-05-15T00:00:00"/>
    <n v="15"/>
    <x v="2"/>
    <n v="1"/>
    <n v="6"/>
    <n v="22539.15"/>
    <n v="10423"/>
    <n v="297.02999999999997"/>
  </r>
  <r>
    <s v="1466"/>
    <s v="Juan Gómez"/>
    <d v="1980-01-01T00:00:00"/>
    <n v="46"/>
    <x v="0"/>
    <x v="4"/>
    <d v="2023-08-30T00:00:00"/>
    <d v="2023-02-07T00:00:00"/>
    <n v="30"/>
    <x v="0"/>
    <n v="12"/>
    <n v="0"/>
    <n v="15144.51"/>
    <n v="4484.8100000000004"/>
    <n v="14189.98"/>
  </r>
  <r>
    <s v="1467"/>
    <s v="Carlos Rodríguez"/>
    <d v="2015-01-01T00:00:00"/>
    <n v="20"/>
    <x v="0"/>
    <x v="5"/>
    <d v="2023-08-27T00:00:00"/>
    <d v="2023-04-04T00:00:00"/>
    <n v="11"/>
    <x v="0"/>
    <n v="10"/>
    <n v="9"/>
    <n v="29864.87"/>
    <n v="9843.0499999999993"/>
    <n v="3958.37"/>
  </r>
  <r>
    <s v="1468"/>
    <s v="Pedro Ramírez"/>
    <d v="1964-12-31T00:00:00"/>
    <n v="61"/>
    <x v="0"/>
    <x v="5"/>
    <d v="2023-10-30T00:00:00"/>
    <d v="2023-03-17T00:00:00"/>
    <n v="3"/>
    <x v="0"/>
    <n v="9"/>
    <n v="5"/>
    <n v="20421.09"/>
    <n v="10597.26"/>
    <n v="1726.4"/>
  </r>
  <r>
    <s v="1469"/>
    <s v="José Morales"/>
    <d v="1947-01-01T00:00:00"/>
    <n v="39"/>
    <x v="0"/>
    <x v="5"/>
    <d v="2023-06-14T00:00:00"/>
    <d v="2025-01-26T00:00:00"/>
    <n v="8"/>
    <x v="0"/>
    <n v="5"/>
    <n v="6"/>
    <n v="1578.88"/>
    <n v="4166.72"/>
    <n v="16824.86"/>
  </r>
  <r>
    <s v="1470"/>
    <s v="Miguel López"/>
    <d v="1939-01-01T00:00:00"/>
    <n v="87"/>
    <x v="0"/>
    <x v="6"/>
    <d v="2023-06-25T00:00:00"/>
    <d v="2023-07-03T00:00:00"/>
    <n v="17"/>
    <x v="1"/>
    <n v="4"/>
    <n v="2"/>
    <n v="11758.27"/>
    <n v="2780.78"/>
    <n v="9660.7199999999993"/>
  </r>
  <r>
    <s v="1471"/>
    <s v="Sofía Pérez"/>
    <d v="1944-01-01T00:00:00"/>
    <n v="82"/>
    <x v="0"/>
    <x v="3"/>
    <d v="2023-01-29T00:00:00"/>
    <d v="2024-12-18T00:00:00"/>
    <n v="26"/>
    <x v="1"/>
    <n v="6"/>
    <n v="8"/>
    <n v="21773.07"/>
    <n v="12395.38"/>
    <n v="14953.55"/>
  </r>
  <r>
    <s v="1472"/>
    <s v="Carmen Gómez"/>
    <d v="2019-01-01T00:00:00"/>
    <n v="7"/>
    <x v="0"/>
    <x v="2"/>
    <d v="2024-11-07T00:00:00"/>
    <d v="2024-04-04T00:00:00"/>
    <n v="32"/>
    <x v="0"/>
    <n v="2"/>
    <n v="1"/>
    <n v="25192.26"/>
    <n v="11087.76"/>
    <n v="16419.89"/>
  </r>
  <r>
    <s v="1473"/>
    <s v="Laura López"/>
    <d v="1932-01-01T00:00:00"/>
    <n v="94"/>
    <x v="1"/>
    <x v="4"/>
    <d v="2024-06-18T00:00:00"/>
    <d v="2024-11-30T00:00:00"/>
    <n v="13"/>
    <x v="2"/>
    <n v="7"/>
    <n v="0"/>
    <n v="0"/>
    <n v="12557.14"/>
    <n v="19288.8"/>
  </r>
  <r>
    <s v="1474"/>
    <s v="Carlos Pérez"/>
    <d v="2005-12-31T00:00:00"/>
    <n v="20"/>
    <x v="0"/>
    <x v="6"/>
    <d v="2023-10-21T00:00:00"/>
    <d v="2024-11-09T00:00:00"/>
    <n v="4"/>
    <x v="2"/>
    <n v="13"/>
    <n v="9"/>
    <n v="29305.75"/>
    <n v="6535.8"/>
    <n v="12436.36"/>
  </r>
  <r>
    <s v="1475"/>
    <s v="Luis Ramírez"/>
    <d v="1945-12-31T00:00:00"/>
    <n v="80"/>
    <x v="1"/>
    <x v="2"/>
    <d v="2024-04-21T00:00:00"/>
    <d v="2024-09-19T00:00:00"/>
    <n v="37"/>
    <x v="1"/>
    <n v="1"/>
    <n v="9"/>
    <n v="14418.18"/>
    <n v="6845.53"/>
    <n v="1272.3900000000001"/>
  </r>
  <r>
    <s v="1476"/>
    <s v="María Martínez"/>
    <d v="1940-01-01T00:00:00"/>
    <n v="86"/>
    <x v="1"/>
    <x v="5"/>
    <d v="2024-01-18T00:00:00"/>
    <d v="2024-02-14T00:00:00"/>
    <n v="33"/>
    <x v="0"/>
    <n v="10"/>
    <n v="8"/>
    <n v="3772.04"/>
    <n v="5162.51"/>
    <n v="11109.53"/>
  </r>
  <r>
    <s v="1477"/>
    <s v="José Ramírez"/>
    <d v="1947-01-01T00:00:00"/>
    <n v="79"/>
    <x v="0"/>
    <x v="2"/>
    <d v="2024-07-09T00:00:00"/>
    <d v="2023-07-27T00:00:00"/>
    <n v="28"/>
    <x v="2"/>
    <n v="14"/>
    <n v="6"/>
    <n v="19393.419999999998"/>
    <n v="7485.94"/>
    <n v="10141.41"/>
  </r>
  <r>
    <s v="1478"/>
    <s v="Juan Ramírez"/>
    <d v="1956-12-31T00:00:00"/>
    <n v="69"/>
    <x v="1"/>
    <x v="0"/>
    <d v="2024-11-22T00:00:00"/>
    <d v="2023-09-03T00:00:00"/>
    <n v="39"/>
    <x v="0"/>
    <n v="11"/>
    <n v="9"/>
    <n v="1657.84"/>
    <n v="9698.5499999999993"/>
    <n v="1057.03"/>
  </r>
  <r>
    <s v="1479"/>
    <s v="Ana Sánchez"/>
    <d v="1955-01-01T00:00:00"/>
    <n v="71"/>
    <x v="0"/>
    <x v="0"/>
    <d v="2023-10-23T00:00:00"/>
    <d v="2023-11-30T00:00:00"/>
    <n v="3"/>
    <x v="1"/>
    <n v="5"/>
    <n v="0"/>
    <n v="0"/>
    <n v="12218.17"/>
    <n v="6056.67"/>
  </r>
  <r>
    <s v="1480"/>
    <s v="Elena López"/>
    <d v="2001-12-31T00:00:00"/>
    <n v="24"/>
    <x v="1"/>
    <x v="3"/>
    <d v="2024-10-12T00:00:00"/>
    <d v="2024-11-04T00:00:00"/>
    <n v="26"/>
    <x v="1"/>
    <n v="7"/>
    <n v="3"/>
    <n v="22635.26"/>
    <n v="2747.56"/>
    <n v="8184.78"/>
  </r>
  <r>
    <s v="1481"/>
    <s v="José Cruz"/>
    <d v="1944-12-31T00:00:00"/>
    <n v="81"/>
    <x v="1"/>
    <x v="3"/>
    <d v="2023-11-30T00:00:00"/>
    <d v="2024-06-09T00:00:00"/>
    <n v="24"/>
    <x v="0"/>
    <n v="14"/>
    <n v="9"/>
    <n v="29455.52"/>
    <n v="6081.26"/>
    <n v="3135.6"/>
  </r>
  <r>
    <s v="1482"/>
    <s v="Luis López"/>
    <d v="1937-12-31T00:00:00"/>
    <n v="19"/>
    <x v="0"/>
    <x v="2"/>
    <d v="2023-09-05T00:00:00"/>
    <d v="2023-10-22T00:00:00"/>
    <n v="1"/>
    <x v="0"/>
    <n v="14"/>
    <n v="2"/>
    <n v="11006.22"/>
    <n v="6918.02"/>
    <n v="76.11"/>
  </r>
  <r>
    <s v="1483"/>
    <s v="Pedro Cruz"/>
    <d v="2015-01-01T00:00:00"/>
    <n v="11"/>
    <x v="1"/>
    <x v="6"/>
    <d v="2023-08-29T00:00:00"/>
    <d v="2025-01-18T00:00:00"/>
    <n v="19"/>
    <x v="1"/>
    <n v="8"/>
    <n v="6"/>
    <n v="18.2"/>
    <n v="7319.92"/>
    <n v="15115.26"/>
  </r>
  <r>
    <s v="1484"/>
    <s v="Ana Rodríguez"/>
    <d v="2012-01-01T00:00:00"/>
    <n v="14"/>
    <x v="0"/>
    <x v="6"/>
    <d v="2023-04-16T00:00:00"/>
    <d v="2023-10-01T00:00:00"/>
    <n v="6"/>
    <x v="0"/>
    <n v="12"/>
    <n v="4"/>
    <n v="15399.34"/>
    <n v="8129.59"/>
    <n v="17017.849999999999"/>
  </r>
  <r>
    <s v="1485"/>
    <s v="Pedro Martínez"/>
    <d v="1968-01-01T00:00:00"/>
    <n v="61"/>
    <x v="1"/>
    <x v="5"/>
    <d v="2024-11-15T00:00:00"/>
    <d v="2024-01-15T00:00:00"/>
    <n v="8"/>
    <x v="2"/>
    <n v="1"/>
    <n v="8"/>
    <n v="3196.09"/>
    <n v="12026.21"/>
    <n v="4504.9399999999996"/>
  </r>
  <r>
    <s v="1486"/>
    <s v="María Morales"/>
    <d v="2000-12-31T00:00:00"/>
    <n v="25"/>
    <x v="1"/>
    <x v="6"/>
    <d v="2024-07-14T00:00:00"/>
    <d v="2024-09-18T00:00:00"/>
    <n v="13"/>
    <x v="1"/>
    <n v="8"/>
    <n v="2"/>
    <n v="20228.64"/>
    <n v="13293.76"/>
    <n v="23.61"/>
  </r>
  <r>
    <s v="1487"/>
    <s v="Sofía Rodríguez"/>
    <d v="2000-12-31T00:00:00"/>
    <n v="25"/>
    <x v="1"/>
    <x v="3"/>
    <d v="2023-05-03T00:00:00"/>
    <d v="2024-10-26T00:00:00"/>
    <n v="10"/>
    <x v="2"/>
    <n v="14"/>
    <n v="5"/>
    <n v="14675.32"/>
    <n v="2387.37"/>
    <n v="17787.73"/>
  </r>
  <r>
    <s v="1488"/>
    <s v="Jorge Gómez"/>
    <d v="1980-01-01T00:00:00"/>
    <n v="46"/>
    <x v="1"/>
    <x v="6"/>
    <d v="2023-02-04T00:00:00"/>
    <d v="2023-01-27T00:00:00"/>
    <n v="15"/>
    <x v="1"/>
    <n v="1"/>
    <n v="9"/>
    <n v="22480.13"/>
    <n v="10690.23"/>
    <n v="2592.6"/>
  </r>
  <r>
    <s v="1489"/>
    <s v="Juan Sánchez"/>
    <d v="1995-01-01T00:00:00"/>
    <n v="31"/>
    <x v="0"/>
    <x v="5"/>
    <d v="2024-09-09T00:00:00"/>
    <d v="2024-11-11T00:00:00"/>
    <n v="22"/>
    <x v="2"/>
    <n v="5"/>
    <n v="1"/>
    <n v="8377.6"/>
    <n v="7186.62"/>
    <n v="8004.91"/>
  </r>
  <r>
    <s v="1490"/>
    <s v="Carmen Rodríguez"/>
    <d v="2016-12-31T00:00:00"/>
    <n v="9"/>
    <x v="1"/>
    <x v="0"/>
    <d v="2024-02-20T00:00:00"/>
    <d v="2024-06-28T00:00:00"/>
    <n v="30"/>
    <x v="0"/>
    <n v="7"/>
    <n v="2"/>
    <n v="24789.55"/>
    <n v="6265.75"/>
    <n v="7255.92"/>
  </r>
  <r>
    <s v="1491"/>
    <s v="Luisa Pérez"/>
    <d v="2011-01-01T00:00:00"/>
    <n v="15"/>
    <x v="0"/>
    <x v="6"/>
    <d v="2024-12-08T00:00:00"/>
    <d v="2025-01-03T00:00:00"/>
    <n v="7"/>
    <x v="2"/>
    <n v="12"/>
    <n v="3"/>
    <n v="19350.03"/>
    <n v="1700.15"/>
    <n v="3201.65"/>
  </r>
  <r>
    <s v="1492"/>
    <s v="Juan Cruz"/>
    <d v="1956-01-01T00:00:00"/>
    <n v="70"/>
    <x v="0"/>
    <x v="6"/>
    <d v="2024-09-12T00:00:00"/>
    <d v="2024-12-19T00:00:00"/>
    <n v="27"/>
    <x v="0"/>
    <n v="1"/>
    <n v="5"/>
    <n v="29625.15"/>
    <n v="962.04"/>
    <n v="11936.09"/>
  </r>
  <r>
    <s v="1493"/>
    <s v="Laura Sánchez"/>
    <d v="2009-12-31T00:00:00"/>
    <n v="16"/>
    <x v="0"/>
    <x v="3"/>
    <d v="2024-09-28T00:00:00"/>
    <d v="2025-05-04T00:00:00"/>
    <n v="2"/>
    <x v="0"/>
    <n v="4"/>
    <n v="0"/>
    <n v="4945.99"/>
    <n v="14667.16"/>
    <n v="18362.7"/>
  </r>
  <r>
    <s v="1494"/>
    <s v="Jorge Rodríguez"/>
    <d v="2004-01-01T00:00:00"/>
    <n v="22"/>
    <x v="0"/>
    <x v="2"/>
    <d v="2023-11-23T00:00:00"/>
    <d v="2024-09-02T00:00:00"/>
    <n v="30"/>
    <x v="1"/>
    <n v="9"/>
    <n v="5"/>
    <n v="1060.77"/>
    <n v="9635.5300000000007"/>
    <n v="10225.84"/>
  </r>
  <r>
    <s v="1495"/>
    <s v="José Rodríguez"/>
    <d v="2000-12-31T00:00:00"/>
    <n v="25"/>
    <x v="1"/>
    <x v="0"/>
    <d v="2023-10-22T00:00:00"/>
    <d v="2023-04-02T00:00:00"/>
    <n v="12"/>
    <x v="2"/>
    <n v="12"/>
    <n v="3"/>
    <n v="25457.02"/>
    <n v="6786.39"/>
    <n v="19455.54"/>
  </r>
  <r>
    <s v="1496"/>
    <s v="Elena López"/>
    <d v="1941-12-31T00:00:00"/>
    <n v="84"/>
    <x v="1"/>
    <x v="2"/>
    <d v="2024-03-07T00:00:00"/>
    <d v="2024-04-21T00:00:00"/>
    <n v="26"/>
    <x v="1"/>
    <n v="0"/>
    <n v="7"/>
    <n v="9822.76"/>
    <n v="11426.45"/>
    <n v="3734.51"/>
  </r>
  <r>
    <s v="1497"/>
    <s v="Juan Martínez"/>
    <d v="1940-12-31T00:00:00"/>
    <n v="85"/>
    <x v="0"/>
    <x v="5"/>
    <d v="2023-12-13T00:00:00"/>
    <d v="2025-06-08T00:00:00"/>
    <n v="1"/>
    <x v="0"/>
    <n v="3"/>
    <n v="8"/>
    <n v="12653.01"/>
    <n v="1366.99"/>
    <n v="16954.900000000001"/>
  </r>
  <r>
    <s v="1498"/>
    <s v="Juan Pérez"/>
    <d v="2020-01-01T00:00:00"/>
    <n v="24"/>
    <x v="0"/>
    <x v="5"/>
    <d v="2023-02-06T00:00:00"/>
    <d v="2024-12-27T00:00:00"/>
    <n v="8"/>
    <x v="0"/>
    <n v="13"/>
    <n v="7"/>
    <n v="27732.880000000001"/>
    <n v="9111.7000000000007"/>
    <n v="5063.8500000000004"/>
  </r>
  <r>
    <s v="1499"/>
    <s v="Miguel Ramírez"/>
    <d v="2012-12-31T00:00:00"/>
    <n v="38"/>
    <x v="0"/>
    <x v="2"/>
    <d v="2024-11-30T00:00:00"/>
    <d v="2023-07-08T00:00:00"/>
    <n v="31"/>
    <x v="0"/>
    <n v="12"/>
    <n v="7"/>
    <n v="12941.25"/>
    <n v="9909.17"/>
    <n v="4935.88"/>
  </r>
  <r>
    <s v="1500"/>
    <s v="Jorge Hernández"/>
    <d v="1948-01-01T00:00:00"/>
    <n v="78"/>
    <x v="0"/>
    <x v="3"/>
    <d v="2024-05-26T00:00:00"/>
    <d v="2024-07-23T00:00:00"/>
    <n v="38"/>
    <x v="0"/>
    <n v="5"/>
    <n v="1"/>
    <n v="8589.58"/>
    <n v="6780.82"/>
    <n v="2265.6"/>
  </r>
  <r>
    <s v="1501"/>
    <s v="María Gómez"/>
    <d v="2020-01-01T00:00:00"/>
    <n v="6"/>
    <x v="1"/>
    <x v="1"/>
    <d v="2024-06-18T00:00:00"/>
    <d v="2024-09-11T00:00:00"/>
    <n v="16"/>
    <x v="1"/>
    <n v="12"/>
    <n v="9"/>
    <n v="1314.61"/>
    <n v="3788.98"/>
    <n v="17259.02"/>
  </r>
  <r>
    <s v="1502"/>
    <s v="Carmen Ramírez"/>
    <d v="2017-12-31T00:00:00"/>
    <n v="8"/>
    <x v="1"/>
    <x v="3"/>
    <d v="2024-12-06T00:00:00"/>
    <d v="2023-07-15T00:00:00"/>
    <n v="1"/>
    <x v="0"/>
    <n v="5"/>
    <n v="1"/>
    <n v="13009.53"/>
    <n v="14318.77"/>
    <n v="14473.68"/>
  </r>
  <r>
    <s v="1503"/>
    <s v="Juan Gómez"/>
    <d v="1979-01-01T00:00:00"/>
    <n v="50"/>
    <x v="0"/>
    <x v="1"/>
    <d v="2024-10-25T00:00:00"/>
    <d v="2024-06-18T00:00:00"/>
    <n v="17"/>
    <x v="0"/>
    <n v="8"/>
    <n v="5"/>
    <n v="19476.02"/>
    <n v="4517.0200000000004"/>
    <n v="6767.3"/>
  </r>
  <r>
    <s v="1504"/>
    <s v="Jorge Sánchez"/>
    <d v="1955-01-01T00:00:00"/>
    <n v="71"/>
    <x v="0"/>
    <x v="1"/>
    <d v="2023-01-18T00:00:00"/>
    <d v="2024-11-29T00:00:00"/>
    <n v="38"/>
    <x v="1"/>
    <n v="14"/>
    <n v="4"/>
    <n v="7709.84"/>
    <n v="1871.95"/>
    <n v="6923.28"/>
  </r>
  <r>
    <s v="1505"/>
    <s v="José Gómez"/>
    <d v="1968-01-01T00:00:00"/>
    <n v="58"/>
    <x v="1"/>
    <x v="3"/>
    <d v="2023-01-27T00:00:00"/>
    <d v="2025-05-30T00:00:00"/>
    <n v="28"/>
    <x v="1"/>
    <n v="5"/>
    <n v="5"/>
    <n v="21392.27"/>
    <n v="9457.1"/>
    <n v="16880.37"/>
  </r>
  <r>
    <s v="1506"/>
    <s v="Luisa López"/>
    <d v="1940-01-01T00:00:00"/>
    <n v="86"/>
    <x v="0"/>
    <x v="1"/>
    <d v="2024-06-19T00:00:00"/>
    <d v="2023-03-27T00:00:00"/>
    <n v="1"/>
    <x v="0"/>
    <n v="10"/>
    <n v="8"/>
    <n v="14087.05"/>
    <n v="8614.84"/>
    <n v="18544.39"/>
  </r>
  <r>
    <s v="1507"/>
    <s v="María Hernández"/>
    <d v="1933-12-31T00:00:00"/>
    <n v="92"/>
    <x v="1"/>
    <x v="1"/>
    <d v="2023-01-29T00:00:00"/>
    <d v="2024-08-15T00:00:00"/>
    <n v="26"/>
    <x v="0"/>
    <n v="2"/>
    <n v="9"/>
    <n v="25672.27"/>
    <n v="11321.59"/>
    <n v="12008.76"/>
  </r>
  <r>
    <s v="1508"/>
    <s v="Carmen Cruz"/>
    <d v="1944-12-31T00:00:00"/>
    <n v="81"/>
    <x v="1"/>
    <x v="1"/>
    <d v="2024-10-12T00:00:00"/>
    <d v="2025-04-21T00:00:00"/>
    <n v="27"/>
    <x v="0"/>
    <n v="10"/>
    <n v="6"/>
    <n v="4432.99"/>
    <n v="11306.75"/>
    <n v="8077.47"/>
  </r>
  <r>
    <s v="1509"/>
    <s v="Carmen Cruz"/>
    <d v="1932-01-01T00:00:00"/>
    <n v="48"/>
    <x v="0"/>
    <x v="0"/>
    <d v="2024-10-19T00:00:00"/>
    <d v="2023-03-19T00:00:00"/>
    <n v="10"/>
    <x v="2"/>
    <n v="4"/>
    <n v="4"/>
    <n v="22590.93"/>
    <n v="9303.5400000000009"/>
    <n v="968.19"/>
  </r>
  <r>
    <s v="1510"/>
    <s v="Ricardo Sánchez"/>
    <d v="1932-12-31T00:00:00"/>
    <n v="93"/>
    <x v="0"/>
    <x v="5"/>
    <d v="2024-09-26T00:00:00"/>
    <d v="2023-11-27T00:00:00"/>
    <n v="12"/>
    <x v="2"/>
    <n v="9"/>
    <n v="9"/>
    <n v="27942.85"/>
    <n v="3113.03"/>
    <n v="2443.96"/>
  </r>
  <r>
    <s v="1511"/>
    <s v="Laura Rodríguez"/>
    <d v="1988-01-01T00:00:00"/>
    <n v="38"/>
    <x v="0"/>
    <x v="1"/>
    <d v="2024-10-01T00:00:00"/>
    <d v="2024-01-19T00:00:00"/>
    <n v="17"/>
    <x v="2"/>
    <n v="8"/>
    <n v="6"/>
    <n v="22112.639999999999"/>
    <n v="13307.18"/>
    <n v="2749.94"/>
  </r>
  <r>
    <s v="1512"/>
    <s v="Carlos Gómez"/>
    <d v="2008-12-31T00:00:00"/>
    <n v="17"/>
    <x v="1"/>
    <x v="5"/>
    <d v="2023-04-27T00:00:00"/>
    <d v="2024-03-09T00:00:00"/>
    <n v="31"/>
    <x v="2"/>
    <n v="4"/>
    <n v="7"/>
    <n v="11881.09"/>
    <n v="3724.25"/>
    <n v="5463.75"/>
  </r>
  <r>
    <s v="1513"/>
    <s v="Luis López"/>
    <d v="1968-01-01T00:00:00"/>
    <n v="58"/>
    <x v="1"/>
    <x v="4"/>
    <d v="2023-05-12T00:00:00"/>
    <d v="2024-01-13T00:00:00"/>
    <n v="25"/>
    <x v="1"/>
    <n v="5"/>
    <n v="0"/>
    <n v="6528.9"/>
    <n v="1409.76"/>
    <n v="5066.34"/>
  </r>
  <r>
    <s v="1514"/>
    <s v="Luisa López"/>
    <d v="2009-12-31T00:00:00"/>
    <n v="16"/>
    <x v="0"/>
    <x v="5"/>
    <d v="2023-10-16T00:00:00"/>
    <d v="2023-12-08T00:00:00"/>
    <n v="17"/>
    <x v="0"/>
    <n v="7"/>
    <n v="9"/>
    <n v="2500.21"/>
    <n v="4522.49"/>
    <n v="10811.92"/>
  </r>
  <r>
    <s v="1515"/>
    <s v="Sofía Gómez"/>
    <d v="2012-12-31T00:00:00"/>
    <n v="13"/>
    <x v="1"/>
    <x v="4"/>
    <d v="2024-12-18T00:00:00"/>
    <d v="2023-06-27T00:00:00"/>
    <n v="22"/>
    <x v="0"/>
    <n v="4"/>
    <n v="6"/>
    <n v="0"/>
    <n v="7248.48"/>
    <n v="18876.41"/>
  </r>
  <r>
    <s v="1516"/>
    <s v="Carmen Hernández"/>
    <d v="1996-01-01T00:00:00"/>
    <n v="30"/>
    <x v="0"/>
    <x v="0"/>
    <d v="2023-08-24T00:00:00"/>
    <d v="2024-03-02T00:00:00"/>
    <n v="24"/>
    <x v="1"/>
    <n v="10"/>
    <n v="3"/>
    <n v="3857.06"/>
    <n v="3107.74"/>
    <n v="17219.39"/>
  </r>
  <r>
    <s v="1517"/>
    <s v="Laura Ramírez"/>
    <d v="2003-01-01T00:00:00"/>
    <n v="23"/>
    <x v="0"/>
    <x v="5"/>
    <d v="2023-02-11T00:00:00"/>
    <d v="2024-02-29T00:00:00"/>
    <n v="27"/>
    <x v="2"/>
    <n v="8"/>
    <n v="4"/>
    <n v="25068.27"/>
    <n v="5005.08"/>
    <n v="10134.18"/>
  </r>
  <r>
    <s v="1518"/>
    <s v="Ana Hernández"/>
    <d v="1967-01-01T00:00:00"/>
    <n v="59"/>
    <x v="0"/>
    <x v="2"/>
    <d v="2023-06-09T00:00:00"/>
    <d v="2023-06-24T00:00:00"/>
    <n v="38"/>
    <x v="0"/>
    <n v="1"/>
    <n v="1"/>
    <n v="28802.49"/>
    <n v="7705.4"/>
    <n v="247.7"/>
  </r>
  <r>
    <s v="1519"/>
    <s v="Luisa López"/>
    <d v="1981-12-31T00:00:00"/>
    <n v="44"/>
    <x v="1"/>
    <x v="6"/>
    <d v="2024-11-21T00:00:00"/>
    <d v="2024-02-11T00:00:00"/>
    <n v="17"/>
    <x v="0"/>
    <n v="6"/>
    <n v="9"/>
    <n v="0"/>
    <n v="4844.09"/>
    <n v="1274.82"/>
  </r>
  <r>
    <s v="1520"/>
    <s v="Laura Sánchez"/>
    <d v="2024-01-01T00:00:00"/>
    <n v="2"/>
    <x v="0"/>
    <x v="0"/>
    <d v="2023-05-05T00:00:00"/>
    <d v="2023-03-24T00:00:00"/>
    <n v="2"/>
    <x v="1"/>
    <n v="0"/>
    <n v="4"/>
    <n v="10969.62"/>
    <n v="1339.76"/>
    <n v="17193.05"/>
  </r>
  <r>
    <s v="1521"/>
    <s v="Sofía Pérez"/>
    <d v="1989-12-31T00:00:00"/>
    <n v="36"/>
    <x v="1"/>
    <x v="6"/>
    <d v="2023-09-17T00:00:00"/>
    <d v="2023-01-22T00:00:00"/>
    <n v="32"/>
    <x v="1"/>
    <n v="1"/>
    <n v="8"/>
    <n v="28086.799999999999"/>
    <n v="2958.2"/>
    <n v="5600.96"/>
  </r>
  <r>
    <s v="1522"/>
    <s v="Luisa Cruz"/>
    <d v="1984-01-01T00:00:00"/>
    <n v="42"/>
    <x v="1"/>
    <x v="2"/>
    <d v="2023-10-03T00:00:00"/>
    <d v="2024-11-22T00:00:00"/>
    <n v="21"/>
    <x v="0"/>
    <n v="10"/>
    <n v="0"/>
    <n v="13856.49"/>
    <n v="11913.1"/>
    <n v="6293.62"/>
  </r>
  <r>
    <s v="1523"/>
    <s v="Laura Morales"/>
    <d v="1987-01-01T00:00:00"/>
    <n v="39"/>
    <x v="1"/>
    <x v="3"/>
    <d v="2023-08-01T00:00:00"/>
    <d v="2024-02-03T00:00:00"/>
    <n v="22"/>
    <x v="2"/>
    <n v="3"/>
    <n v="2"/>
    <n v="15830.19"/>
    <n v="14314.97"/>
    <n v="2709.53"/>
  </r>
  <r>
    <s v="1524"/>
    <s v="Luis Gómez"/>
    <d v="2012-01-01T00:00:00"/>
    <n v="89"/>
    <x v="1"/>
    <x v="3"/>
    <d v="2024-04-17T00:00:00"/>
    <d v="2023-11-27T00:00:00"/>
    <n v="37"/>
    <x v="2"/>
    <n v="4"/>
    <n v="3"/>
    <n v="22299.24"/>
    <n v="2226.5500000000002"/>
    <n v="4384.58"/>
  </r>
  <r>
    <s v="1525"/>
    <s v="Miguel Hernández"/>
    <d v="1972-01-01T00:00:00"/>
    <n v="54"/>
    <x v="0"/>
    <x v="1"/>
    <d v="2024-12-02T00:00:00"/>
    <d v="2023-08-14T00:00:00"/>
    <n v="9"/>
    <x v="0"/>
    <n v="5"/>
    <n v="8"/>
    <n v="5921.27"/>
    <n v="10215.290000000001"/>
    <n v="4868.4799999999996"/>
  </r>
  <r>
    <s v="1526"/>
    <s v="Jorge Ramírez"/>
    <d v="1940-01-01T00:00:00"/>
    <n v="86"/>
    <x v="1"/>
    <x v="3"/>
    <d v="2024-07-23T00:00:00"/>
    <d v="2025-02-16T00:00:00"/>
    <n v="8"/>
    <x v="0"/>
    <n v="10"/>
    <n v="1"/>
    <n v="29364.05"/>
    <n v="13583.7"/>
    <n v="8183.08"/>
  </r>
  <r>
    <s v="1527"/>
    <s v="María Gómez"/>
    <d v="1988-01-01T00:00:00"/>
    <n v="38"/>
    <x v="1"/>
    <x v="0"/>
    <d v="2024-03-06T00:00:00"/>
    <d v="2024-02-07T00:00:00"/>
    <n v="27"/>
    <x v="0"/>
    <n v="2"/>
    <n v="6"/>
    <n v="23316.95"/>
    <n v="4487.1400000000003"/>
    <n v="12425.22"/>
  </r>
  <r>
    <s v="1528"/>
    <s v="Miguel Morales"/>
    <d v="1980-01-01T00:00:00"/>
    <n v="14"/>
    <x v="2"/>
    <x v="3"/>
    <d v="2024-12-15T00:00:00"/>
    <d v="2025-02-20T00:00:00"/>
    <n v="10"/>
    <x v="2"/>
    <n v="1"/>
    <n v="8"/>
    <n v="4421.8900000000003"/>
    <n v="12441.93"/>
    <n v="6998.44"/>
  </r>
  <r>
    <s v="1529"/>
    <s v="Juan López"/>
    <d v="2023-01-01T00:00:00"/>
    <n v="3"/>
    <x v="1"/>
    <x v="0"/>
    <d v="2023-03-21T00:00:00"/>
    <d v="2025-02-02T00:00:00"/>
    <n v="22"/>
    <x v="0"/>
    <n v="7"/>
    <n v="9"/>
    <n v="2887.62"/>
    <n v="13574.04"/>
    <n v="8942.25"/>
  </r>
  <r>
    <s v="1530"/>
    <s v="Luisa Cruz"/>
    <d v="1933-12-31T00:00:00"/>
    <n v="92"/>
    <x v="0"/>
    <x v="0"/>
    <d v="2023-08-16T00:00:00"/>
    <d v="2025-02-24T00:00:00"/>
    <n v="22"/>
    <x v="0"/>
    <n v="2"/>
    <n v="3"/>
    <n v="28016.1"/>
    <n v="4492.47"/>
    <n v="3556.19"/>
  </r>
  <r>
    <s v="1531"/>
    <s v="Laura Rodríguez"/>
    <d v="1940-12-31T00:00:00"/>
    <n v="85"/>
    <x v="1"/>
    <x v="6"/>
    <d v="2023-04-05T00:00:00"/>
    <d v="2025-06-13T00:00:00"/>
    <n v="14"/>
    <x v="0"/>
    <n v="7"/>
    <n v="4"/>
    <n v="20393.349999999999"/>
    <n v="851.11"/>
    <n v="1033.43"/>
  </r>
  <r>
    <s v="1532"/>
    <s v="Jorge Ramírez"/>
    <d v="2001-12-31T00:00:00"/>
    <n v="24"/>
    <x v="1"/>
    <x v="3"/>
    <d v="2024-02-28T00:00:00"/>
    <d v="2025-05-05T00:00:00"/>
    <n v="9"/>
    <x v="0"/>
    <n v="7"/>
    <n v="9"/>
    <n v="676.3"/>
    <n v="13751.9"/>
    <n v="6899.63"/>
  </r>
  <r>
    <s v="1533"/>
    <s v="Luisa Ramírez"/>
    <d v="2013-12-31T00:00:00"/>
    <n v="14"/>
    <x v="0"/>
    <x v="5"/>
    <d v="2024-05-30T00:00:00"/>
    <d v="2024-03-14T00:00:00"/>
    <n v="8"/>
    <x v="2"/>
    <n v="9"/>
    <n v="3"/>
    <n v="3830.61"/>
    <n v="4957.24"/>
    <n v="1156.08"/>
  </r>
  <r>
    <s v="1534"/>
    <s v="María Hernández"/>
    <d v="1944-12-31T00:00:00"/>
    <n v="81"/>
    <x v="1"/>
    <x v="4"/>
    <d v="2023-06-14T00:00:00"/>
    <d v="2023-09-30T00:00:00"/>
    <n v="7"/>
    <x v="1"/>
    <n v="10"/>
    <n v="6"/>
    <n v="958.79"/>
    <n v="206.07"/>
    <n v="5924.37"/>
  </r>
  <r>
    <s v="1535"/>
    <s v="María Hernández"/>
    <d v="1993-12-31T00:00:00"/>
    <n v="32"/>
    <x v="0"/>
    <x v="3"/>
    <d v="2024-03-01T00:00:00"/>
    <d v="2023-10-08T00:00:00"/>
    <n v="14"/>
    <x v="1"/>
    <n v="12"/>
    <n v="7"/>
    <n v="29209.49"/>
    <n v="7123.8"/>
    <n v="16735.740000000002"/>
  </r>
  <r>
    <s v="1536"/>
    <s v="Elena Morales"/>
    <d v="2011-01-01T00:00:00"/>
    <n v="15"/>
    <x v="1"/>
    <x v="3"/>
    <d v="2023-02-11T00:00:00"/>
    <d v="2023-08-12T00:00:00"/>
    <n v="13"/>
    <x v="1"/>
    <n v="1"/>
    <n v="7"/>
    <n v="14684.45"/>
    <n v="1738.15"/>
    <n v="7275.31"/>
  </r>
  <r>
    <s v="1537"/>
    <s v="Carlos Gómez"/>
    <d v="1984-12-31T00:00:00"/>
    <n v="41"/>
    <x v="1"/>
    <x v="3"/>
    <d v="2024-02-07T00:00:00"/>
    <d v="2024-08-10T00:00:00"/>
    <n v="17"/>
    <x v="0"/>
    <n v="1"/>
    <n v="2"/>
    <n v="13595.53"/>
    <n v="13525.53"/>
    <n v="3784.56"/>
  </r>
  <r>
    <s v="1538"/>
    <s v="Jorge Hernández"/>
    <d v="1960-12-31T00:00:00"/>
    <n v="65"/>
    <x v="1"/>
    <x v="1"/>
    <d v="2024-12-24T00:00:00"/>
    <d v="2024-10-25T00:00:00"/>
    <n v="2"/>
    <x v="0"/>
    <n v="11"/>
    <n v="1"/>
    <n v="28651.25"/>
    <n v="2324.9299999999998"/>
    <n v="18031.560000000001"/>
  </r>
  <r>
    <s v="1539"/>
    <s v="María Martínez"/>
    <d v="1972-01-01T00:00:00"/>
    <n v="54"/>
    <x v="1"/>
    <x v="5"/>
    <d v="2024-02-20T00:00:00"/>
    <d v="2025-05-21T00:00:00"/>
    <n v="38"/>
    <x v="2"/>
    <n v="12"/>
    <n v="5"/>
    <n v="14891.4"/>
    <n v="4566.28"/>
    <n v="12750.92"/>
  </r>
  <r>
    <s v="1540"/>
    <s v="María Rodríguez"/>
    <d v="1984-12-31T00:00:00"/>
    <n v="41"/>
    <x v="1"/>
    <x v="5"/>
    <d v="2023-10-27T00:00:00"/>
    <d v="2024-05-24T00:00:00"/>
    <n v="29"/>
    <x v="1"/>
    <n v="9"/>
    <n v="0"/>
    <n v="15291.52"/>
    <n v="11856.75"/>
    <n v="19763.86"/>
  </r>
  <r>
    <s v="1541"/>
    <s v="Carlos Hernández"/>
    <d v="1992-12-31T00:00:00"/>
    <n v="33"/>
    <x v="0"/>
    <x v="0"/>
    <d v="2023-02-24T00:00:00"/>
    <d v="2023-12-09T00:00:00"/>
    <n v="24"/>
    <x v="1"/>
    <n v="11"/>
    <n v="8"/>
    <n v="0"/>
    <n v="12095.2"/>
    <n v="5935.05"/>
  </r>
  <r>
    <s v="1542"/>
    <s v="José Morales"/>
    <d v="1996-12-31T00:00:00"/>
    <n v="29"/>
    <x v="0"/>
    <x v="5"/>
    <d v="2023-12-02T00:00:00"/>
    <d v="2024-09-09T00:00:00"/>
    <n v="1"/>
    <x v="0"/>
    <n v="6"/>
    <n v="6"/>
    <n v="2898.68"/>
    <n v="13519.2"/>
    <n v="3927.42"/>
  </r>
  <r>
    <s v="1543"/>
    <s v="Carlos Rodríguez"/>
    <d v="2013-12-31T00:00:00"/>
    <n v="12"/>
    <x v="1"/>
    <x v="0"/>
    <d v="2024-03-05T00:00:00"/>
    <d v="2023-02-12T00:00:00"/>
    <n v="38"/>
    <x v="0"/>
    <n v="1"/>
    <n v="7"/>
    <n v="29565.52"/>
    <n v="7460.94"/>
    <n v="5888.6"/>
  </r>
  <r>
    <s v="1544"/>
    <s v="Elena Pérez"/>
    <d v="2013-12-31T00:00:00"/>
    <n v="12"/>
    <x v="1"/>
    <x v="4"/>
    <d v="2024-11-15T00:00:00"/>
    <d v="2023-06-26T00:00:00"/>
    <n v="4"/>
    <x v="1"/>
    <n v="4"/>
    <n v="6"/>
    <n v="4553.18"/>
    <n v="14800.81"/>
    <n v="16231.1"/>
  </r>
  <r>
    <s v="1545"/>
    <s v="Luisa Sánchez"/>
    <d v="2008-12-31T00:00:00"/>
    <n v="17"/>
    <x v="0"/>
    <x v="6"/>
    <d v="2023-11-30T00:00:00"/>
    <d v="2023-09-03T00:00:00"/>
    <n v="11"/>
    <x v="0"/>
    <n v="4"/>
    <n v="4"/>
    <n v="13923.8"/>
    <n v="7742.84"/>
    <n v="2945.72"/>
  </r>
  <r>
    <s v="1546"/>
    <s v="María López"/>
    <d v="1995-01-01T00:00:00"/>
    <n v="31"/>
    <x v="0"/>
    <x v="0"/>
    <d v="2024-02-10T00:00:00"/>
    <d v="2023-09-11T00:00:00"/>
    <n v="36"/>
    <x v="0"/>
    <n v="7"/>
    <n v="4"/>
    <n v="9797.2199999999993"/>
    <n v="11860.62"/>
    <n v="4745.67"/>
  </r>
  <r>
    <s v="1547"/>
    <s v="Miguel Ramírez"/>
    <d v="1988-01-01T00:00:00"/>
    <n v="6"/>
    <x v="0"/>
    <x v="3"/>
    <d v="2023-01-30T00:00:00"/>
    <d v="2023-10-02T00:00:00"/>
    <n v="21"/>
    <x v="0"/>
    <n v="14"/>
    <n v="6"/>
    <n v="28640.35"/>
    <n v="5428.54"/>
    <n v="14002.82"/>
  </r>
  <r>
    <s v="1548"/>
    <s v="Pedro Pérez"/>
    <d v="1980-12-31T00:00:00"/>
    <n v="45"/>
    <x v="0"/>
    <x v="2"/>
    <d v="2024-06-18T00:00:00"/>
    <d v="2023-12-01T00:00:00"/>
    <n v="15"/>
    <x v="0"/>
    <n v="0"/>
    <n v="6"/>
    <n v="14307.85"/>
    <n v="14119.37"/>
    <n v="14733.81"/>
  </r>
  <r>
    <s v="1549"/>
    <s v="Ana Hernández"/>
    <d v="1997-12-31T00:00:00"/>
    <n v="28"/>
    <x v="1"/>
    <x v="2"/>
    <d v="2024-05-31T00:00:00"/>
    <d v="2024-08-27T00:00:00"/>
    <n v="35"/>
    <x v="0"/>
    <n v="12"/>
    <n v="1"/>
    <n v="201.94"/>
    <n v="10275.24"/>
    <n v="19172.71"/>
  </r>
  <r>
    <s v="1550"/>
    <s v="Carlos Martínez"/>
    <d v="1964-12-31T00:00:00"/>
    <n v="61"/>
    <x v="1"/>
    <x v="1"/>
    <d v="2024-07-28T00:00:00"/>
    <d v="2023-01-12T00:00:00"/>
    <n v="36"/>
    <x v="0"/>
    <n v="6"/>
    <n v="1"/>
    <n v="6261.58"/>
    <n v="1156.47"/>
    <n v="19601.05"/>
  </r>
  <r>
    <s v="1551"/>
    <s v="Miguel Cruz"/>
    <d v="1933-12-31T00:00:00"/>
    <n v="92"/>
    <x v="0"/>
    <x v="3"/>
    <d v="2023-08-09T00:00:00"/>
    <d v="2023-06-02T00:00:00"/>
    <n v="37"/>
    <x v="0"/>
    <n v="5"/>
    <n v="6"/>
    <n v="12639.77"/>
    <n v="1627.8"/>
    <n v="13236.98"/>
  </r>
  <r>
    <s v="1552"/>
    <s v="Carmen Rodríguez"/>
    <d v="1964-12-31T00:00:00"/>
    <n v="47"/>
    <x v="0"/>
    <x v="0"/>
    <d v="2024-08-16T00:00:00"/>
    <d v="2023-07-09T00:00:00"/>
    <n v="2"/>
    <x v="0"/>
    <n v="0"/>
    <n v="4"/>
    <n v="20129.91"/>
    <n v="13362.16"/>
    <n v="7192.17"/>
  </r>
  <r>
    <s v="1553"/>
    <s v="Luis Sánchez"/>
    <d v="1969-12-31T00:00:00"/>
    <n v="56"/>
    <x v="0"/>
    <x v="3"/>
    <d v="2024-05-08T00:00:00"/>
    <d v="2024-11-07T00:00:00"/>
    <n v="14"/>
    <x v="0"/>
    <n v="1"/>
    <n v="1"/>
    <n v="16638.04"/>
    <n v="12143.38"/>
    <n v="9005.58"/>
  </r>
  <r>
    <s v="1554"/>
    <s v="José López"/>
    <d v="2011-01-01T00:00:00"/>
    <n v="15"/>
    <x v="1"/>
    <x v="1"/>
    <d v="2023-09-10T00:00:00"/>
    <d v="2024-09-30T00:00:00"/>
    <n v="23"/>
    <x v="2"/>
    <n v="2"/>
    <n v="0"/>
    <n v="25422.23"/>
    <n v="4951.41"/>
    <n v="8729.2800000000007"/>
  </r>
  <r>
    <s v="1555"/>
    <s v="Pedro Rodríguez"/>
    <d v="2013-01-01T00:00:00"/>
    <n v="86"/>
    <x v="2"/>
    <x v="5"/>
    <d v="2024-07-17T00:00:00"/>
    <d v="2023-07-31T00:00:00"/>
    <n v="19"/>
    <x v="0"/>
    <n v="0"/>
    <n v="8"/>
    <n v="24767.22"/>
    <n v="7823.94"/>
    <n v="7686.3"/>
  </r>
  <r>
    <s v="1556"/>
    <s v="Carlos López"/>
    <d v="2016-12-31T00:00:00"/>
    <n v="9"/>
    <x v="0"/>
    <x v="0"/>
    <d v="2023-11-17T00:00:00"/>
    <d v="2023-04-08T00:00:00"/>
    <n v="36"/>
    <x v="0"/>
    <n v="1"/>
    <n v="7"/>
    <n v="17510.53"/>
    <n v="12791.23"/>
    <n v="6698.73"/>
  </r>
  <r>
    <s v="1557"/>
    <s v="Sofía Martínez"/>
    <d v="1996-12-31T00:00:00"/>
    <n v="29"/>
    <x v="1"/>
    <x v="4"/>
    <d v="2023-02-08T00:00:00"/>
    <d v="2025-04-01T00:00:00"/>
    <n v="15"/>
    <x v="2"/>
    <n v="12"/>
    <n v="1"/>
    <n v="16925.11"/>
    <n v="1551.47"/>
    <n v="3274.8"/>
  </r>
  <r>
    <s v="1558"/>
    <s v="Pedro Hernández"/>
    <d v="2001-12-31T00:00:00"/>
    <n v="24"/>
    <x v="0"/>
    <x v="3"/>
    <d v="2024-04-09T00:00:00"/>
    <d v="2023-12-06T00:00:00"/>
    <n v="35"/>
    <x v="0"/>
    <n v="13"/>
    <n v="1"/>
    <n v="7984.02"/>
    <n v="2072.09"/>
    <n v="7259.8"/>
  </r>
  <r>
    <s v="1559"/>
    <s v="Carlos Sánchez"/>
    <d v="1943-01-01T00:00:00"/>
    <n v="83"/>
    <x v="1"/>
    <x v="5"/>
    <d v="2024-02-15T00:00:00"/>
    <d v="2023-02-17T00:00:00"/>
    <n v="25"/>
    <x v="0"/>
    <n v="0"/>
    <n v="2"/>
    <n v="28716.13"/>
    <n v="10732.9"/>
    <n v="19381.52"/>
  </r>
  <r>
    <s v="1560"/>
    <s v="Jorge Cruz"/>
    <d v="2021-12-31T00:00:00"/>
    <n v="4"/>
    <x v="1"/>
    <x v="1"/>
    <d v="2024-02-16T00:00:00"/>
    <d v="2025-03-31T00:00:00"/>
    <n v="18"/>
    <x v="1"/>
    <n v="12"/>
    <n v="3"/>
    <n v="0"/>
    <n v="1233.08"/>
    <n v="17631.34"/>
  </r>
  <r>
    <s v="1561"/>
    <s v="Pedro López"/>
    <d v="1961-12-31T00:00:00"/>
    <n v="64"/>
    <x v="1"/>
    <x v="5"/>
    <d v="2024-05-06T00:00:00"/>
    <d v="2025-01-06T00:00:00"/>
    <n v="35"/>
    <x v="1"/>
    <n v="7"/>
    <n v="8"/>
    <n v="11609.42"/>
    <n v="5288.5"/>
    <n v="12308.27"/>
  </r>
  <r>
    <s v="1562"/>
    <s v="Ricardo Hernández"/>
    <d v="1932-12-31T00:00:00"/>
    <n v="93"/>
    <x v="1"/>
    <x v="0"/>
    <d v="2024-03-13T00:00:00"/>
    <d v="2023-02-27T00:00:00"/>
    <n v="30"/>
    <x v="1"/>
    <n v="2"/>
    <n v="5"/>
    <n v="19655.490000000002"/>
    <n v="3777.12"/>
    <n v="3775.4"/>
  </r>
  <r>
    <s v="1563"/>
    <s v="Juan López"/>
    <d v="1977-12-31T00:00:00"/>
    <n v="48"/>
    <x v="1"/>
    <x v="1"/>
    <d v="2024-04-23T00:00:00"/>
    <d v="2023-03-17T00:00:00"/>
    <n v="27"/>
    <x v="2"/>
    <n v="14"/>
    <n v="2"/>
    <n v="28342.720000000001"/>
    <n v="11404.29"/>
    <n v="17561.16"/>
  </r>
  <r>
    <s v="1564"/>
    <s v="Pedro Pérez"/>
    <d v="2024-01-01T00:00:00"/>
    <n v="2"/>
    <x v="0"/>
    <x v="1"/>
    <d v="2023-03-13T00:00:00"/>
    <d v="2023-09-12T00:00:00"/>
    <n v="39"/>
    <x v="0"/>
    <n v="1"/>
    <n v="7"/>
    <n v="14796.66"/>
    <n v="36.72"/>
    <n v="6168.51"/>
  </r>
  <r>
    <s v="1565"/>
    <s v="Carlos Pérez"/>
    <d v="1981-12-31T00:00:00"/>
    <n v="44"/>
    <x v="1"/>
    <x v="1"/>
    <d v="2024-08-04T00:00:00"/>
    <d v="2024-10-25T00:00:00"/>
    <n v="5"/>
    <x v="2"/>
    <n v="6"/>
    <n v="5"/>
    <n v="26825.54"/>
    <n v="1730.77"/>
    <n v="10868.87"/>
  </r>
  <r>
    <s v="1566"/>
    <s v="Sofía Gómez"/>
    <d v="2012-12-31T00:00:00"/>
    <n v="13"/>
    <x v="0"/>
    <x v="6"/>
    <d v="2023-08-08T00:00:00"/>
    <d v="2024-07-25T00:00:00"/>
    <n v="27"/>
    <x v="2"/>
    <n v="2"/>
    <n v="7"/>
    <n v="2696.39"/>
    <n v="1485.11"/>
    <n v="18227.080000000002"/>
  </r>
  <r>
    <s v="1567"/>
    <s v="Sofía López"/>
    <d v="1996-12-31T00:00:00"/>
    <n v="29"/>
    <x v="1"/>
    <x v="1"/>
    <d v="2023-01-04T00:00:00"/>
    <d v="2025-04-17T00:00:00"/>
    <n v="36"/>
    <x v="0"/>
    <n v="14"/>
    <n v="9"/>
    <n v="15713.32"/>
    <n v="4771.16"/>
    <n v="6627.27"/>
  </r>
  <r>
    <s v="1568"/>
    <s v="María López"/>
    <d v="1959-01-01T00:00:00"/>
    <n v="67"/>
    <x v="1"/>
    <x v="6"/>
    <d v="2023-10-17T00:00:00"/>
    <d v="2024-08-21T00:00:00"/>
    <n v="6"/>
    <x v="0"/>
    <n v="12"/>
    <n v="1"/>
    <n v="9139.5400000000009"/>
    <n v="3487.19"/>
    <n v="18258.189999999999"/>
  </r>
  <r>
    <s v="1569"/>
    <s v="Jorge Morales"/>
    <d v="2008-12-31T00:00:00"/>
    <n v="17"/>
    <x v="0"/>
    <x v="5"/>
    <d v="2024-01-15T00:00:00"/>
    <d v="2023-06-20T00:00:00"/>
    <n v="30"/>
    <x v="0"/>
    <n v="8"/>
    <n v="7"/>
    <n v="23768.75"/>
    <n v="3424.24"/>
    <n v="4626.08"/>
  </r>
  <r>
    <s v="1570"/>
    <s v="José Ramírez"/>
    <d v="1964-12-31T00:00:00"/>
    <n v="61"/>
    <x v="0"/>
    <x v="4"/>
    <d v="2023-12-21T00:00:00"/>
    <d v="2023-05-27T00:00:00"/>
    <n v="26"/>
    <x v="0"/>
    <n v="9"/>
    <n v="4"/>
    <n v="13072.34"/>
    <n v="5555.9"/>
    <n v="18566.93"/>
  </r>
  <r>
    <s v="1571"/>
    <s v="Carlos Rodríguez"/>
    <d v="1989-12-31T00:00:00"/>
    <n v="36"/>
    <x v="0"/>
    <x v="6"/>
    <d v="2023-03-21T00:00:00"/>
    <d v="2025-04-19T00:00:00"/>
    <n v="28"/>
    <x v="0"/>
    <n v="9"/>
    <n v="9"/>
    <n v="13995.2"/>
    <n v="3210.73"/>
    <n v="7109.18"/>
  </r>
  <r>
    <s v="1572"/>
    <s v="Jorge Morales"/>
    <d v="2001-12-31T00:00:00"/>
    <n v="24"/>
    <x v="2"/>
    <x v="5"/>
    <d v="2023-03-07T00:00:00"/>
    <d v="2023-02-03T00:00:00"/>
    <n v="0"/>
    <x v="1"/>
    <n v="6"/>
    <n v="3"/>
    <n v="1475.85"/>
    <n v="1593.21"/>
    <n v="7429.48"/>
  </r>
  <r>
    <s v="1573"/>
    <s v="Jorge Sánchez"/>
    <d v="1979-01-01T00:00:00"/>
    <n v="47"/>
    <x v="1"/>
    <x v="6"/>
    <d v="2023-05-16T00:00:00"/>
    <d v="2024-05-30T00:00:00"/>
    <n v="35"/>
    <x v="0"/>
    <n v="6"/>
    <n v="2"/>
    <n v="12859.31"/>
    <n v="8748.77"/>
    <n v="11015.46"/>
  </r>
  <r>
    <s v="1574"/>
    <s v="Luis López"/>
    <d v="1961-12-31T00:00:00"/>
    <n v="64"/>
    <x v="1"/>
    <x v="5"/>
    <d v="2024-02-03T00:00:00"/>
    <d v="2025-03-07T00:00:00"/>
    <n v="8"/>
    <x v="2"/>
    <n v="14"/>
    <n v="8"/>
    <n v="1965.28"/>
    <n v="14276.07"/>
    <n v="6875.23"/>
  </r>
  <r>
    <s v="1575"/>
    <s v="Luisa Ramírez"/>
    <d v="1973-12-31T00:00:00"/>
    <n v="52"/>
    <x v="0"/>
    <x v="5"/>
    <d v="2024-12-03T00:00:00"/>
    <d v="2023-09-15T00:00:00"/>
    <n v="2"/>
    <x v="1"/>
    <n v="7"/>
    <n v="9"/>
    <n v="8636.64"/>
    <n v="9107.4699999999993"/>
    <n v="8944.65"/>
  </r>
  <r>
    <s v="1576"/>
    <s v="Elena Cruz"/>
    <d v="1948-01-01T00:00:00"/>
    <n v="78"/>
    <x v="2"/>
    <x v="4"/>
    <d v="2023-12-13T00:00:00"/>
    <d v="2023-05-07T00:00:00"/>
    <n v="28"/>
    <x v="2"/>
    <n v="12"/>
    <n v="6"/>
    <n v="3369.88"/>
    <n v="11355.31"/>
    <n v="9976.61"/>
  </r>
  <r>
    <s v="1577"/>
    <s v="Sofía Martínez"/>
    <d v="1953-12-31T00:00:00"/>
    <n v="72"/>
    <x v="0"/>
    <x v="1"/>
    <d v="2023-02-28T00:00:00"/>
    <d v="2023-04-24T00:00:00"/>
    <n v="17"/>
    <x v="0"/>
    <n v="10"/>
    <n v="6"/>
    <n v="9701.67"/>
    <n v="14582.65"/>
    <n v="9769.49"/>
  </r>
  <r>
    <s v="1578"/>
    <s v="Elena Sánchez"/>
    <d v="2012-01-01T00:00:00"/>
    <n v="3"/>
    <x v="0"/>
    <x v="4"/>
    <d v="2024-06-02T00:00:00"/>
    <d v="2025-03-26T00:00:00"/>
    <n v="1"/>
    <x v="0"/>
    <n v="14"/>
    <n v="5"/>
    <n v="6435.34"/>
    <n v="2297.44"/>
    <n v="19218.3"/>
  </r>
  <r>
    <s v="1579"/>
    <s v="Miguel Pérez"/>
    <d v="1977-12-31T00:00:00"/>
    <n v="48"/>
    <x v="0"/>
    <x v="4"/>
    <d v="2024-12-14T00:00:00"/>
    <d v="2025-03-16T00:00:00"/>
    <n v="5"/>
    <x v="1"/>
    <n v="8"/>
    <n v="8"/>
    <n v="8197.99"/>
    <n v="6897.15"/>
    <n v="5563.95"/>
  </r>
  <r>
    <s v="1580"/>
    <s v="Sofía Sánchez"/>
    <d v="1939-01-01T00:00:00"/>
    <n v="87"/>
    <x v="1"/>
    <x v="1"/>
    <d v="2023-08-25T00:00:00"/>
    <d v="2023-12-09T00:00:00"/>
    <n v="39"/>
    <x v="0"/>
    <n v="5"/>
    <n v="2"/>
    <n v="4025.77"/>
    <n v="8727.7099999999991"/>
    <n v="5620.05"/>
  </r>
  <r>
    <s v="1581"/>
    <s v="José Rodríguez"/>
    <d v="1959-01-01T00:00:00"/>
    <n v="67"/>
    <x v="0"/>
    <x v="5"/>
    <d v="2023-03-20T00:00:00"/>
    <d v="2023-02-18T00:00:00"/>
    <n v="32"/>
    <x v="1"/>
    <n v="14"/>
    <n v="0"/>
    <n v="12908.03"/>
    <n v="4831.6899999999996"/>
    <n v="16742.23"/>
  </r>
  <r>
    <s v="1582"/>
    <s v="Carlos Sánchez"/>
    <d v="2015-01-01T00:00:00"/>
    <n v="11"/>
    <x v="0"/>
    <x v="1"/>
    <d v="2024-07-11T00:00:00"/>
    <d v="2023-12-31T00:00:00"/>
    <n v="10"/>
    <x v="1"/>
    <n v="2"/>
    <n v="6"/>
    <n v="14676.08"/>
    <n v="9196.94"/>
    <n v="7779.38"/>
  </r>
  <r>
    <s v="1583"/>
    <s v="Luis Morales"/>
    <d v="1968-01-01T00:00:00"/>
    <n v="58"/>
    <x v="0"/>
    <x v="5"/>
    <d v="2024-11-02T00:00:00"/>
    <d v="2025-02-26T00:00:00"/>
    <n v="2"/>
    <x v="1"/>
    <n v="10"/>
    <n v="8"/>
    <n v="25017.75"/>
    <n v="9357.31"/>
    <n v="1371.26"/>
  </r>
  <r>
    <s v="1584"/>
    <s v="Carmen Ramírez"/>
    <d v="1989-12-31T00:00:00"/>
    <n v="36"/>
    <x v="1"/>
    <x v="1"/>
    <d v="2023-04-25T00:00:00"/>
    <d v="2024-02-03T00:00:00"/>
    <n v="37"/>
    <x v="0"/>
    <n v="10"/>
    <n v="5"/>
    <n v="15934.17"/>
    <n v="12633.44"/>
    <n v="9573.2000000000007"/>
  </r>
  <r>
    <s v="1585"/>
    <s v="Luis Sánchez"/>
    <d v="1965-12-31T00:00:00"/>
    <n v="60"/>
    <x v="1"/>
    <x v="2"/>
    <d v="2024-04-06T00:00:00"/>
    <d v="2023-07-15T00:00:00"/>
    <n v="16"/>
    <x v="1"/>
    <n v="12"/>
    <n v="9"/>
    <n v="6477.1"/>
    <n v="12487.73"/>
    <n v="10959.6"/>
  </r>
  <r>
    <s v="1586"/>
    <s v="Miguel Morales"/>
    <d v="1984-01-01T00:00:00"/>
    <n v="42"/>
    <x v="1"/>
    <x v="6"/>
    <d v="2024-09-17T00:00:00"/>
    <d v="2025-05-01T00:00:00"/>
    <n v="15"/>
    <x v="1"/>
    <n v="0"/>
    <n v="1"/>
    <n v="21944.82"/>
    <n v="2137.83"/>
    <n v="12315.62"/>
  </r>
  <r>
    <s v="1587"/>
    <s v="Ana Gómez"/>
    <d v="1956-12-31T00:00:00"/>
    <n v="69"/>
    <x v="1"/>
    <x v="4"/>
    <d v="2023-05-06T00:00:00"/>
    <d v="2025-01-07T00:00:00"/>
    <n v="30"/>
    <x v="0"/>
    <n v="4"/>
    <n v="7"/>
    <n v="8566.0300000000007"/>
    <n v="2533.38"/>
    <n v="4625.37"/>
  </r>
  <r>
    <s v="1588"/>
    <s v="Carlos Sánchez"/>
    <d v="1988-01-01T00:00:00"/>
    <n v="38"/>
    <x v="0"/>
    <x v="5"/>
    <d v="2024-08-24T00:00:00"/>
    <d v="2024-12-26T00:00:00"/>
    <n v="1"/>
    <x v="2"/>
    <n v="13"/>
    <n v="8"/>
    <n v="22570.09"/>
    <n v="3335.58"/>
    <n v="19462.509999999998"/>
  </r>
  <r>
    <s v="1589"/>
    <s v="Laura Ramírez"/>
    <d v="1971-01-01T00:00:00"/>
    <n v="55"/>
    <x v="1"/>
    <x v="3"/>
    <d v="2024-07-26T00:00:00"/>
    <d v="2023-11-18T00:00:00"/>
    <n v="15"/>
    <x v="0"/>
    <n v="2"/>
    <n v="9"/>
    <n v="11308.5"/>
    <n v="3918.45"/>
    <n v="14714.07"/>
  </r>
  <r>
    <s v="1590"/>
    <s v="Elena Gómez"/>
    <d v="1964-01-01T00:00:00"/>
    <n v="62"/>
    <x v="1"/>
    <x v="1"/>
    <d v="2024-05-14T00:00:00"/>
    <d v="2025-03-05T00:00:00"/>
    <n v="21"/>
    <x v="0"/>
    <n v="13"/>
    <n v="7"/>
    <n v="15167.09"/>
    <n v="8467.4"/>
    <n v="14374.83"/>
  </r>
  <r>
    <s v="1591"/>
    <s v="José Cruz"/>
    <d v="1980-12-31T00:00:00"/>
    <n v="45"/>
    <x v="1"/>
    <x v="1"/>
    <d v="2023-04-12T00:00:00"/>
    <d v="2023-05-19T00:00:00"/>
    <n v="26"/>
    <x v="0"/>
    <n v="13"/>
    <n v="8"/>
    <n v="14864.54"/>
    <n v="4912.3599999999997"/>
    <n v="17444.740000000002"/>
  </r>
  <r>
    <s v="1592"/>
    <s v="Laura López"/>
    <d v="1939-01-01T00:00:00"/>
    <n v="87"/>
    <x v="0"/>
    <x v="0"/>
    <d v="2024-09-17T00:00:00"/>
    <d v="2023-12-22T00:00:00"/>
    <n v="28"/>
    <x v="1"/>
    <n v="4"/>
    <n v="0"/>
    <n v="28646.89"/>
    <n v="14294.44"/>
    <n v="425.16"/>
  </r>
  <r>
    <s v="1593"/>
    <s v="Sofía Gómez"/>
    <d v="2016-01-01T00:00:00"/>
    <n v="10"/>
    <x v="0"/>
    <x v="3"/>
    <d v="2023-06-23T00:00:00"/>
    <d v="2025-04-25T00:00:00"/>
    <n v="25"/>
    <x v="0"/>
    <n v="14"/>
    <n v="2"/>
    <n v="4186.79"/>
    <n v="1774.52"/>
    <n v="12224.16"/>
  </r>
  <r>
    <s v="1594"/>
    <s v="María Cruz"/>
    <d v="1964-12-31T00:00:00"/>
    <n v="61"/>
    <x v="1"/>
    <x v="3"/>
    <d v="2024-03-27T00:00:00"/>
    <d v="2023-03-12T00:00:00"/>
    <n v="6"/>
    <x v="0"/>
    <n v="6"/>
    <n v="2"/>
    <n v="28125.95"/>
    <n v="3697.27"/>
    <n v="16338.52"/>
  </r>
  <r>
    <s v="1595"/>
    <s v="Jorge Ramírez"/>
    <d v="1949-12-31T00:00:00"/>
    <n v="76"/>
    <x v="1"/>
    <x v="4"/>
    <d v="2023-04-02T00:00:00"/>
    <d v="2025-03-22T00:00:00"/>
    <n v="23"/>
    <x v="0"/>
    <n v="1"/>
    <n v="8"/>
    <n v="16640.650000000001"/>
    <n v="13024.76"/>
    <n v="590.91"/>
  </r>
  <r>
    <s v="1596"/>
    <s v="Luisa Pérez"/>
    <d v="2001-12-31T00:00:00"/>
    <n v="24"/>
    <x v="1"/>
    <x v="2"/>
    <d v="2024-11-25T00:00:00"/>
    <d v="2024-08-05T00:00:00"/>
    <n v="1"/>
    <x v="0"/>
    <n v="1"/>
    <n v="2"/>
    <n v="29807.5"/>
    <n v="8764.9699999999993"/>
    <n v="15098.53"/>
  </r>
  <r>
    <s v="1597"/>
    <s v="Elena Hernández"/>
    <d v="1956-01-01T00:00:00"/>
    <n v="70"/>
    <x v="0"/>
    <x v="6"/>
    <d v="2024-01-20T00:00:00"/>
    <d v="2024-04-28T00:00:00"/>
    <n v="3"/>
    <x v="1"/>
    <n v="3"/>
    <n v="9"/>
    <n v="16980.72"/>
    <n v="8211.43"/>
    <n v="19792.91"/>
  </r>
  <r>
    <s v="1598"/>
    <s v="Elena Ramírez"/>
    <d v="1975-01-01T00:00:00"/>
    <n v="51"/>
    <x v="1"/>
    <x v="2"/>
    <d v="2023-07-24T00:00:00"/>
    <d v="2024-12-21T00:00:00"/>
    <n v="26"/>
    <x v="0"/>
    <n v="14"/>
    <n v="0"/>
    <n v="19519.47"/>
    <n v="8915.18"/>
    <n v="11827.55"/>
  </r>
  <r>
    <s v="1599"/>
    <s v="Carmen Hernández"/>
    <d v="2023-01-01T00:00:00"/>
    <n v="3"/>
    <x v="0"/>
    <x v="6"/>
    <d v="2023-12-29T00:00:00"/>
    <d v="2024-12-13T00:00:00"/>
    <n v="23"/>
    <x v="0"/>
    <n v="10"/>
    <n v="2"/>
    <n v="22362.01"/>
    <n v="3783.97"/>
    <n v="8436.32"/>
  </r>
  <r>
    <s v="1600"/>
    <s v="José Gómez"/>
    <d v="1968-01-01T00:00:00"/>
    <n v="58"/>
    <x v="1"/>
    <x v="5"/>
    <d v="2024-12-07T00:00:00"/>
    <d v="2023-03-01T00:00:00"/>
    <n v="25"/>
    <x v="1"/>
    <n v="13"/>
    <n v="1"/>
    <n v="24564.57"/>
    <n v="11421.71"/>
    <n v="9017.5300000000007"/>
  </r>
  <r>
    <s v="1601"/>
    <s v="José López"/>
    <d v="1955-01-01T00:00:00"/>
    <n v="71"/>
    <x v="1"/>
    <x v="4"/>
    <d v="2024-05-12T00:00:00"/>
    <d v="2025-02-10T00:00:00"/>
    <n v="4"/>
    <x v="0"/>
    <n v="1"/>
    <n v="8"/>
    <n v="14065.69"/>
    <n v="7447.98"/>
    <n v="13557.56"/>
  </r>
  <r>
    <s v="1602"/>
    <s v="Sofía Pérez"/>
    <d v="2007-01-01T00:00:00"/>
    <n v="19"/>
    <x v="0"/>
    <x v="2"/>
    <d v="2024-06-20T00:00:00"/>
    <d v="2024-01-25T00:00:00"/>
    <n v="31"/>
    <x v="0"/>
    <n v="4"/>
    <n v="0"/>
    <n v="20197.11"/>
    <n v="638.94000000000005"/>
    <n v="11356.11"/>
  </r>
  <r>
    <s v="1603"/>
    <s v="Elena Sánchez"/>
    <d v="1978-01-01T00:00:00"/>
    <n v="92"/>
    <x v="1"/>
    <x v="0"/>
    <d v="2023-08-22T00:00:00"/>
    <d v="2025-05-03T00:00:00"/>
    <n v="7"/>
    <x v="1"/>
    <n v="13"/>
    <n v="1"/>
    <n v="18253.93"/>
    <n v="2657.37"/>
    <n v="15730.16"/>
  </r>
  <r>
    <s v="1604"/>
    <s v="Luis Pérez"/>
    <d v="1964-01-01T00:00:00"/>
    <n v="62"/>
    <x v="0"/>
    <x v="6"/>
    <d v="2023-01-16T00:00:00"/>
    <d v="2023-12-18T00:00:00"/>
    <n v="38"/>
    <x v="0"/>
    <n v="1"/>
    <n v="0"/>
    <n v="11916.15"/>
    <n v="12249.36"/>
    <n v="8374.91"/>
  </r>
  <r>
    <s v="1605"/>
    <s v="Ana Pérez"/>
    <d v="1972-12-31T00:00:00"/>
    <n v="53"/>
    <x v="1"/>
    <x v="2"/>
    <d v="2023-05-21T00:00:00"/>
    <d v="2025-04-26T00:00:00"/>
    <n v="37"/>
    <x v="1"/>
    <n v="1"/>
    <n v="8"/>
    <n v="24534.33"/>
    <n v="5175.67"/>
    <n v="8288.23"/>
  </r>
  <r>
    <s v="1606"/>
    <s v="José Gómez"/>
    <d v="1952-12-31T00:00:00"/>
    <n v="73"/>
    <x v="0"/>
    <x v="4"/>
    <d v="2024-09-11T00:00:00"/>
    <d v="2025-05-19T00:00:00"/>
    <n v="19"/>
    <x v="0"/>
    <n v="7"/>
    <n v="6"/>
    <n v="5369.68"/>
    <n v="11601.66"/>
    <n v="14893.9"/>
  </r>
  <r>
    <s v="1607"/>
    <s v="Laura Martínez"/>
    <d v="1969-12-31T00:00:00"/>
    <n v="56"/>
    <x v="0"/>
    <x v="0"/>
    <d v="2024-02-24T00:00:00"/>
    <d v="2023-12-06T00:00:00"/>
    <n v="24"/>
    <x v="0"/>
    <n v="3"/>
    <n v="0"/>
    <n v="4597.49"/>
    <n v="9950.65"/>
    <n v="12874.93"/>
  </r>
  <r>
    <s v="1608"/>
    <s v="Luisa Gómez"/>
    <d v="1936-12-31T00:00:00"/>
    <n v="89"/>
    <x v="0"/>
    <x v="4"/>
    <d v="2024-03-31T00:00:00"/>
    <d v="2024-11-08T00:00:00"/>
    <n v="36"/>
    <x v="2"/>
    <n v="11"/>
    <n v="9"/>
    <n v="0"/>
    <n v="4521.8999999999996"/>
    <n v="15539.77"/>
  </r>
  <r>
    <s v="1609"/>
    <s v="José Hernández"/>
    <d v="1985-12-31T00:00:00"/>
    <n v="40"/>
    <x v="1"/>
    <x v="3"/>
    <d v="2023-10-27T00:00:00"/>
    <d v="2025-01-27T00:00:00"/>
    <n v="19"/>
    <x v="0"/>
    <n v="13"/>
    <n v="5"/>
    <n v="18943.3"/>
    <n v="1905.53"/>
    <n v="17731.990000000002"/>
  </r>
  <r>
    <s v="1610"/>
    <s v="Luis Martínez"/>
    <d v="2024-01-01T00:00:00"/>
    <n v="2"/>
    <x v="1"/>
    <x v="1"/>
    <d v="2023-12-05T00:00:00"/>
    <d v="2024-08-19T00:00:00"/>
    <n v="16"/>
    <x v="0"/>
    <n v="14"/>
    <n v="4"/>
    <n v="9188.64"/>
    <n v="12104.18"/>
    <n v="5194.46"/>
  </r>
  <r>
    <s v="1611"/>
    <s v="Ricardo Rodríguez"/>
    <d v="2020-12-31T00:00:00"/>
    <n v="5"/>
    <x v="1"/>
    <x v="5"/>
    <d v="2023-10-30T00:00:00"/>
    <d v="2024-03-12T00:00:00"/>
    <n v="33"/>
    <x v="0"/>
    <n v="11"/>
    <n v="9"/>
    <n v="18871.46"/>
    <n v="9646.31"/>
    <n v="6232.22"/>
  </r>
  <r>
    <s v="1612"/>
    <s v="Laura Morales"/>
    <d v="2021-12-31T00:00:00"/>
    <n v="4"/>
    <x v="0"/>
    <x v="4"/>
    <d v="2024-08-14T00:00:00"/>
    <d v="2024-03-26T00:00:00"/>
    <n v="6"/>
    <x v="2"/>
    <n v="0"/>
    <n v="4"/>
    <n v="23004.74"/>
    <n v="4511.96"/>
    <n v="10491.71"/>
  </r>
  <r>
    <s v="1613"/>
    <s v="Laura Morales"/>
    <d v="2021-12-31T00:00:00"/>
    <n v="4"/>
    <x v="0"/>
    <x v="5"/>
    <d v="2023-03-17T00:00:00"/>
    <d v="2024-01-13T00:00:00"/>
    <n v="16"/>
    <x v="1"/>
    <n v="0"/>
    <n v="3"/>
    <n v="6117.47"/>
    <n v="7849.12"/>
    <n v="18602.099999999999"/>
  </r>
  <r>
    <s v="1614"/>
    <s v="Carmen Gómez"/>
    <d v="1972-12-31T00:00:00"/>
    <n v="53"/>
    <x v="1"/>
    <x v="4"/>
    <d v="2024-09-15T00:00:00"/>
    <d v="2024-01-27T00:00:00"/>
    <n v="1"/>
    <x v="2"/>
    <n v="9"/>
    <n v="2"/>
    <n v="17232.52"/>
    <n v="9178.5499999999993"/>
    <n v="16677.23"/>
  </r>
  <r>
    <s v="1615"/>
    <s v="Luisa Pérez"/>
    <d v="1980-01-01T00:00:00"/>
    <n v="46"/>
    <x v="1"/>
    <x v="3"/>
    <d v="2023-11-12T00:00:00"/>
    <d v="2024-04-26T00:00:00"/>
    <n v="25"/>
    <x v="2"/>
    <n v="12"/>
    <n v="7"/>
    <n v="24652.31"/>
    <n v="31.78"/>
    <n v="9315.76"/>
  </r>
  <r>
    <s v="1616"/>
    <s v="José Hernández"/>
    <d v="1940-01-01T00:00:00"/>
    <n v="86"/>
    <x v="0"/>
    <x v="4"/>
    <d v="2024-05-14T00:00:00"/>
    <d v="2025-04-01T00:00:00"/>
    <n v="36"/>
    <x v="1"/>
    <n v="7"/>
    <n v="6"/>
    <n v="12042.78"/>
    <n v="10057.700000000001"/>
    <n v="11419.69"/>
  </r>
  <r>
    <s v="1617"/>
    <s v="Carlos Gómez"/>
    <d v="1977-12-31T00:00:00"/>
    <n v="48"/>
    <x v="1"/>
    <x v="4"/>
    <d v="2023-03-16T00:00:00"/>
    <d v="2023-04-25T00:00:00"/>
    <n v="19"/>
    <x v="2"/>
    <n v="10"/>
    <n v="4"/>
    <n v="0"/>
    <n v="9841.17"/>
    <n v="14217.43"/>
  </r>
  <r>
    <s v="1618"/>
    <s v="Jorge Gómez"/>
    <d v="2017-12-31T00:00:00"/>
    <n v="8"/>
    <x v="1"/>
    <x v="2"/>
    <d v="2024-12-26T00:00:00"/>
    <d v="2025-01-16T00:00:00"/>
    <n v="3"/>
    <x v="0"/>
    <n v="14"/>
    <n v="8"/>
    <n v="1895.34"/>
    <n v="1238.68"/>
    <n v="10405.870000000001"/>
  </r>
  <r>
    <s v="1619"/>
    <s v="Ricardo Cruz"/>
    <d v="2007-01-01T00:00:00"/>
    <n v="19"/>
    <x v="1"/>
    <x v="1"/>
    <d v="2024-01-01T00:00:00"/>
    <d v="2025-02-13T00:00:00"/>
    <n v="4"/>
    <x v="0"/>
    <n v="1"/>
    <n v="6"/>
    <n v="24829.3"/>
    <n v="11816.3"/>
    <n v="1878.82"/>
  </r>
  <r>
    <s v="1620"/>
    <s v="Carmen Martínez"/>
    <d v="1965-12-31T00:00:00"/>
    <n v="60"/>
    <x v="0"/>
    <x v="3"/>
    <d v="2024-06-29T00:00:00"/>
    <d v="2023-06-22T00:00:00"/>
    <n v="3"/>
    <x v="2"/>
    <n v="8"/>
    <n v="9"/>
    <n v="0"/>
    <n v="12376.33"/>
    <n v="6990.01"/>
  </r>
  <r>
    <s v="1621"/>
    <s v="Luisa Martínez"/>
    <d v="1992-01-01T00:00:00"/>
    <n v="34"/>
    <x v="0"/>
    <x v="0"/>
    <d v="2024-10-14T00:00:00"/>
    <d v="2023-01-19T00:00:00"/>
    <n v="30"/>
    <x v="0"/>
    <n v="1"/>
    <n v="1"/>
    <n v="13415.76"/>
    <n v="4352.4399999999996"/>
    <n v="857.01"/>
  </r>
  <r>
    <s v="1622"/>
    <s v="Luisa López"/>
    <d v="1976-12-31T00:00:00"/>
    <n v="49"/>
    <x v="2"/>
    <x v="1"/>
    <d v="2024-11-08T00:00:00"/>
    <d v="2023-08-24T00:00:00"/>
    <n v="11"/>
    <x v="0"/>
    <n v="10"/>
    <n v="6"/>
    <n v="3137.08"/>
    <n v="2433.19"/>
    <n v="13364.29"/>
  </r>
  <r>
    <s v="1623"/>
    <s v="Pedro Morales"/>
    <d v="1944-12-31T00:00:00"/>
    <n v="81"/>
    <x v="1"/>
    <x v="6"/>
    <d v="2024-01-31T00:00:00"/>
    <d v="2023-11-07T00:00:00"/>
    <n v="2"/>
    <x v="1"/>
    <n v="11"/>
    <n v="6"/>
    <n v="19642.16"/>
    <n v="10297.219999999999"/>
    <n v="6676.19"/>
  </r>
  <r>
    <s v="1624"/>
    <s v="Elena Morales"/>
    <d v="1964-12-31T00:00:00"/>
    <n v="61"/>
    <x v="0"/>
    <x v="2"/>
    <d v="2023-08-19T00:00:00"/>
    <d v="2025-06-14T00:00:00"/>
    <n v="22"/>
    <x v="2"/>
    <n v="11"/>
    <n v="3"/>
    <n v="16975.89"/>
    <n v="1850.25"/>
    <n v="14741.09"/>
  </r>
  <r>
    <s v="1625"/>
    <s v="Luisa Morales"/>
    <d v="1966-01-01T00:00:00"/>
    <n v="16"/>
    <x v="0"/>
    <x v="1"/>
    <d v="2023-01-28T00:00:00"/>
    <d v="2024-10-31T00:00:00"/>
    <n v="3"/>
    <x v="1"/>
    <n v="8"/>
    <n v="7"/>
    <n v="27544.14"/>
    <n v="12870.64"/>
    <n v="8537.17"/>
  </r>
  <r>
    <s v="1626"/>
    <s v="Laura Martínez"/>
    <d v="1939-01-01T00:00:00"/>
    <n v="87"/>
    <x v="1"/>
    <x v="6"/>
    <d v="2024-04-19T00:00:00"/>
    <d v="2024-12-24T00:00:00"/>
    <n v="25"/>
    <x v="1"/>
    <n v="9"/>
    <n v="3"/>
    <n v="8034.16"/>
    <n v="7201.94"/>
    <n v="816.33"/>
  </r>
  <r>
    <s v="1627"/>
    <s v="Carmen Hernández"/>
    <d v="2024-01-01T00:00:00"/>
    <n v="2"/>
    <x v="0"/>
    <x v="3"/>
    <d v="2023-10-22T00:00:00"/>
    <d v="2023-10-09T00:00:00"/>
    <n v="15"/>
    <x v="0"/>
    <n v="5"/>
    <n v="6"/>
    <n v="485.96"/>
    <n v="13647.13"/>
    <n v="7530.28"/>
  </r>
  <r>
    <s v="1628"/>
    <s v="Luis Ramírez"/>
    <d v="1995-01-01T00:00:00"/>
    <n v="31"/>
    <x v="1"/>
    <x v="4"/>
    <d v="2024-03-02T00:00:00"/>
    <d v="2025-04-11T00:00:00"/>
    <n v="24"/>
    <x v="0"/>
    <n v="12"/>
    <n v="3"/>
    <n v="7269.56"/>
    <n v="9632.5400000000009"/>
    <n v="4295.76"/>
  </r>
  <r>
    <s v="1629"/>
    <s v="Jorge Gómez"/>
    <d v="2013-12-31T00:00:00"/>
    <n v="12"/>
    <x v="1"/>
    <x v="5"/>
    <d v="2023-04-01T00:00:00"/>
    <d v="2023-07-16T00:00:00"/>
    <n v="1"/>
    <x v="0"/>
    <n v="1"/>
    <n v="7"/>
    <n v="12551.16"/>
    <n v="4276.38"/>
    <n v="4207.24"/>
  </r>
  <r>
    <s v="1630"/>
    <s v="Luis Morales"/>
    <d v="1937-12-31T00:00:00"/>
    <n v="88"/>
    <x v="1"/>
    <x v="1"/>
    <d v="2023-04-25T00:00:00"/>
    <d v="2023-04-26T00:00:00"/>
    <n v="37"/>
    <x v="1"/>
    <n v="0"/>
    <n v="2"/>
    <n v="4241.0600000000004"/>
    <n v="7020.57"/>
    <n v="7489.96"/>
  </r>
  <r>
    <s v="1631"/>
    <s v="Laura Rodríguez"/>
    <d v="1953-12-31T00:00:00"/>
    <n v="72"/>
    <x v="1"/>
    <x v="1"/>
    <d v="2023-06-08T00:00:00"/>
    <d v="2024-02-02T00:00:00"/>
    <n v="18"/>
    <x v="2"/>
    <n v="12"/>
    <n v="1"/>
    <n v="29381.919999999998"/>
    <n v="7940.21"/>
    <n v="19564.36"/>
  </r>
  <r>
    <s v="1632"/>
    <s v="Sofía Hernández"/>
    <d v="1959-01-01T00:00:00"/>
    <n v="67"/>
    <x v="0"/>
    <x v="6"/>
    <d v="2023-09-15T00:00:00"/>
    <d v="2024-11-03T00:00:00"/>
    <n v="20"/>
    <x v="0"/>
    <n v="4"/>
    <n v="9"/>
    <n v="6282.93"/>
    <n v="12227.38"/>
    <n v="19197.39"/>
  </r>
  <r>
    <s v="1633"/>
    <s v="Elena Morales"/>
    <d v="2012-12-31T00:00:00"/>
    <n v="13"/>
    <x v="1"/>
    <x v="6"/>
    <d v="2024-01-08T00:00:00"/>
    <d v="2024-10-29T00:00:00"/>
    <n v="1"/>
    <x v="0"/>
    <n v="7"/>
    <n v="5"/>
    <n v="20174.759999999998"/>
    <n v="12927.83"/>
    <n v="16049.43"/>
  </r>
  <r>
    <s v="1634"/>
    <s v="Carlos Ramírez"/>
    <d v="2016-01-01T00:00:00"/>
    <n v="10"/>
    <x v="1"/>
    <x v="5"/>
    <d v="2023-03-31T00:00:00"/>
    <d v="2024-07-17T00:00:00"/>
    <n v="13"/>
    <x v="2"/>
    <n v="10"/>
    <n v="6"/>
    <n v="13350.44"/>
    <n v="10245.18"/>
    <n v="4833.8900000000003"/>
  </r>
  <r>
    <s v="1635"/>
    <s v="Ana Rodríguez"/>
    <d v="1971-01-01T00:00:00"/>
    <n v="55"/>
    <x v="1"/>
    <x v="6"/>
    <d v="2023-10-25T00:00:00"/>
    <d v="2024-02-23T00:00:00"/>
    <n v="1"/>
    <x v="2"/>
    <n v="7"/>
    <n v="6"/>
    <n v="16432.009999999998"/>
    <n v="4412.97"/>
    <n v="15254.97"/>
  </r>
  <r>
    <s v="1636"/>
    <s v="Pedro López"/>
    <d v="1960-01-01T00:00:00"/>
    <n v="66"/>
    <x v="0"/>
    <x v="6"/>
    <d v="2023-01-31T00:00:00"/>
    <d v="2023-10-12T00:00:00"/>
    <n v="31"/>
    <x v="0"/>
    <n v="10"/>
    <n v="5"/>
    <n v="27946.74"/>
    <n v="7928.53"/>
    <n v="208.81"/>
  </r>
  <r>
    <s v="1637"/>
    <s v="Carmen Pérez"/>
    <d v="1935-01-01T00:00:00"/>
    <n v="38"/>
    <x v="0"/>
    <x v="1"/>
    <d v="2023-12-24T00:00:00"/>
    <d v="2024-08-08T00:00:00"/>
    <n v="2"/>
    <x v="1"/>
    <n v="6"/>
    <n v="7"/>
    <n v="15712.39"/>
    <n v="1959.33"/>
    <n v="1032.6199999999999"/>
  </r>
  <r>
    <s v="1638"/>
    <s v="José Morales"/>
    <d v="1997-12-31T00:00:00"/>
    <n v="28"/>
    <x v="0"/>
    <x v="5"/>
    <d v="2024-04-14T00:00:00"/>
    <d v="2023-11-25T00:00:00"/>
    <n v="31"/>
    <x v="0"/>
    <n v="12"/>
    <n v="5"/>
    <n v="8809.41"/>
    <n v="3451.64"/>
    <n v="16698.23"/>
  </r>
  <r>
    <s v="1639"/>
    <s v="Carmen Pérez"/>
    <d v="2017-12-31T00:00:00"/>
    <n v="8"/>
    <x v="0"/>
    <x v="5"/>
    <d v="2023-05-08T00:00:00"/>
    <d v="2023-12-08T00:00:00"/>
    <n v="19"/>
    <x v="0"/>
    <n v="1"/>
    <n v="5"/>
    <n v="6234.84"/>
    <n v="4545.88"/>
    <n v="11241.16"/>
  </r>
  <r>
    <s v="1640"/>
    <s v="Luis Ramírez"/>
    <d v="1960-01-01T00:00:00"/>
    <n v="66"/>
    <x v="1"/>
    <x v="4"/>
    <d v="2023-09-27T00:00:00"/>
    <d v="2024-09-14T00:00:00"/>
    <n v="17"/>
    <x v="0"/>
    <n v="0"/>
    <n v="2"/>
    <n v="26705.78"/>
    <n v="1091.4000000000001"/>
    <n v="7403.48"/>
  </r>
  <r>
    <s v="1641"/>
    <s v="Laura Hernández"/>
    <d v="2001-12-31T00:00:00"/>
    <n v="24"/>
    <x v="1"/>
    <x v="1"/>
    <d v="2024-05-12T00:00:00"/>
    <d v="2025-03-09T00:00:00"/>
    <n v="36"/>
    <x v="1"/>
    <n v="1"/>
    <n v="1"/>
    <n v="29595.11"/>
    <n v="13274.83"/>
    <n v="14783.21"/>
  </r>
  <r>
    <s v="1642"/>
    <s v="Ricardo Gómez"/>
    <d v="1951-01-01T00:00:00"/>
    <n v="75"/>
    <x v="0"/>
    <x v="4"/>
    <d v="2024-02-17T00:00:00"/>
    <d v="2023-08-10T00:00:00"/>
    <n v="10"/>
    <x v="2"/>
    <n v="9"/>
    <n v="6"/>
    <n v="7180.88"/>
    <n v="1839.66"/>
    <n v="2198.6999999999998"/>
  </r>
  <r>
    <s v="1643"/>
    <s v="Carmen López"/>
    <d v="1984-12-31T00:00:00"/>
    <n v="41"/>
    <x v="1"/>
    <x v="3"/>
    <d v="2023-07-28T00:00:00"/>
    <d v="2023-01-10T00:00:00"/>
    <n v="31"/>
    <x v="2"/>
    <n v="9"/>
    <n v="5"/>
    <n v="21518.98"/>
    <n v="10452.58"/>
    <n v="5662.4"/>
  </r>
  <r>
    <s v="1644"/>
    <s v="Carmen Gómez"/>
    <d v="2017-12-31T00:00:00"/>
    <n v="8"/>
    <x v="1"/>
    <x v="3"/>
    <d v="2024-11-20T00:00:00"/>
    <d v="2023-03-24T00:00:00"/>
    <n v="3"/>
    <x v="2"/>
    <n v="7"/>
    <n v="0"/>
    <n v="14925.45"/>
    <n v="7584.93"/>
    <n v="14524.93"/>
  </r>
  <r>
    <s v="1645"/>
    <s v="Carmen Pérez"/>
    <d v="1948-01-01T00:00:00"/>
    <n v="78"/>
    <x v="0"/>
    <x v="1"/>
    <d v="2023-11-02T00:00:00"/>
    <d v="2025-04-12T00:00:00"/>
    <n v="26"/>
    <x v="1"/>
    <n v="11"/>
    <n v="1"/>
    <n v="0"/>
    <n v="12476.52"/>
    <n v="4064.09"/>
  </r>
  <r>
    <s v="1646"/>
    <s v="Laura Rodríguez"/>
    <d v="1987-01-01T00:00:00"/>
    <n v="39"/>
    <x v="1"/>
    <x v="6"/>
    <d v="2023-07-10T00:00:00"/>
    <d v="2023-10-22T00:00:00"/>
    <n v="30"/>
    <x v="1"/>
    <n v="12"/>
    <n v="1"/>
    <n v="28908.54"/>
    <n v="11115.54"/>
    <n v="11972.92"/>
  </r>
  <r>
    <s v="1647"/>
    <s v="Carlos Ramírez"/>
    <d v="2001-12-31T00:00:00"/>
    <n v="24"/>
    <x v="1"/>
    <x v="2"/>
    <d v="2023-12-23T00:00:00"/>
    <d v="2024-01-11T00:00:00"/>
    <n v="2"/>
    <x v="2"/>
    <n v="3"/>
    <n v="0"/>
    <n v="7920.65"/>
    <n v="11396.07"/>
    <n v="8898.0300000000007"/>
  </r>
  <r>
    <s v="1648"/>
    <s v="Juan Cruz"/>
    <d v="2021-12-31T00:00:00"/>
    <n v="4"/>
    <x v="1"/>
    <x v="3"/>
    <d v="2024-04-01T00:00:00"/>
    <d v="2024-06-18T00:00:00"/>
    <n v="4"/>
    <x v="0"/>
    <n v="10"/>
    <n v="2"/>
    <n v="22068.35"/>
    <n v="6275.19"/>
    <n v="3967.51"/>
  </r>
  <r>
    <s v="1649"/>
    <s v="Carmen Hernández"/>
    <d v="2016-01-01T00:00:00"/>
    <n v="10"/>
    <x v="1"/>
    <x v="3"/>
    <d v="2024-03-24T00:00:00"/>
    <d v="2024-02-20T00:00:00"/>
    <n v="19"/>
    <x v="0"/>
    <n v="14"/>
    <n v="4"/>
    <n v="12857.38"/>
    <n v="12509.64"/>
    <n v="17756.490000000002"/>
  </r>
  <r>
    <s v="1650"/>
    <s v="Ana Rodríguez"/>
    <d v="1968-01-01T00:00:00"/>
    <n v="58"/>
    <x v="0"/>
    <x v="1"/>
    <d v="2023-03-09T00:00:00"/>
    <d v="2023-04-10T00:00:00"/>
    <n v="29"/>
    <x v="2"/>
    <n v="1"/>
    <n v="3"/>
    <n v="19402.29"/>
    <n v="1421.13"/>
    <n v="8654.1"/>
  </r>
  <r>
    <s v="1651"/>
    <s v="Laura Rodríguez"/>
    <d v="1939-01-01T00:00:00"/>
    <n v="87"/>
    <x v="0"/>
    <x v="4"/>
    <d v="2024-04-11T00:00:00"/>
    <d v="2024-11-13T00:00:00"/>
    <n v="11"/>
    <x v="0"/>
    <n v="8"/>
    <n v="1"/>
    <n v="11902.88"/>
    <n v="6666.29"/>
    <n v="11936.68"/>
  </r>
  <r>
    <s v="1652"/>
    <s v="María Gómez"/>
    <d v="1948-01-01T00:00:00"/>
    <n v="78"/>
    <x v="0"/>
    <x v="1"/>
    <d v="2023-12-26T00:00:00"/>
    <d v="2024-12-03T00:00:00"/>
    <n v="21"/>
    <x v="0"/>
    <n v="8"/>
    <n v="7"/>
    <n v="21104.25"/>
    <n v="14919.21"/>
    <n v="4986.0600000000004"/>
  </r>
  <r>
    <s v="1653"/>
    <s v="Ricardo Morales"/>
    <d v="1988-12-31T00:00:00"/>
    <n v="37"/>
    <x v="0"/>
    <x v="2"/>
    <d v="2024-01-22T00:00:00"/>
    <d v="2024-09-10T00:00:00"/>
    <n v="16"/>
    <x v="2"/>
    <n v="9"/>
    <n v="8"/>
    <n v="9793.7999999999993"/>
    <n v="14221.72"/>
    <n v="6870.78"/>
  </r>
  <r>
    <s v="1654"/>
    <s v="Luis Cruz"/>
    <d v="1955-01-01T00:00:00"/>
    <n v="71"/>
    <x v="1"/>
    <x v="2"/>
    <d v="2023-05-08T00:00:00"/>
    <d v="2025-04-12T00:00:00"/>
    <n v="24"/>
    <x v="2"/>
    <n v="3"/>
    <n v="7"/>
    <n v="14394.83"/>
    <n v="1233.19"/>
    <n v="884.58"/>
  </r>
  <r>
    <s v="1655"/>
    <s v="María Gómez"/>
    <d v="2021-12-31T00:00:00"/>
    <n v="4"/>
    <x v="1"/>
    <x v="5"/>
    <d v="2024-04-29T00:00:00"/>
    <d v="2025-02-16T00:00:00"/>
    <n v="20"/>
    <x v="1"/>
    <n v="12"/>
    <n v="6"/>
    <n v="0"/>
    <n v="8594.7800000000007"/>
    <n v="9612.61"/>
  </r>
  <r>
    <s v="1656"/>
    <s v="Jorge Hernández"/>
    <d v="1979-01-01T00:00:00"/>
    <n v="47"/>
    <x v="1"/>
    <x v="1"/>
    <d v="2023-09-01T00:00:00"/>
    <d v="2024-01-18T00:00:00"/>
    <n v="18"/>
    <x v="0"/>
    <n v="9"/>
    <n v="9"/>
    <n v="802.56"/>
    <n v="4734.76"/>
    <n v="6831.41"/>
  </r>
  <r>
    <s v="1657"/>
    <s v="Elena Morales"/>
    <d v="1978-01-01T00:00:00"/>
    <n v="89"/>
    <x v="1"/>
    <x v="3"/>
    <d v="2023-01-19T00:00:00"/>
    <d v="2025-05-13T00:00:00"/>
    <n v="26"/>
    <x v="0"/>
    <n v="13"/>
    <n v="1"/>
    <n v="9506.73"/>
    <n v="10927.09"/>
    <n v="6521.02"/>
  </r>
  <r>
    <s v="1658"/>
    <s v="María López"/>
    <d v="2008-12-31T00:00:00"/>
    <n v="17"/>
    <x v="2"/>
    <x v="4"/>
    <d v="2024-01-31T00:00:00"/>
    <d v="2024-05-19T00:00:00"/>
    <n v="2"/>
    <x v="2"/>
    <n v="10"/>
    <n v="5"/>
    <n v="16158.63"/>
    <n v="11036.81"/>
    <n v="17787.86"/>
  </r>
  <r>
    <s v="1659"/>
    <s v="José Martínez"/>
    <d v="1956-12-31T00:00:00"/>
    <n v="69"/>
    <x v="0"/>
    <x v="4"/>
    <d v="2024-10-28T00:00:00"/>
    <d v="2024-03-23T00:00:00"/>
    <n v="28"/>
    <x v="0"/>
    <n v="1"/>
    <n v="3"/>
    <n v="1761.12"/>
    <n v="1.4"/>
    <n v="14047.78"/>
  </r>
  <r>
    <s v="1660"/>
    <s v="Juan Hernández"/>
    <d v="1966-01-01T00:00:00"/>
    <n v="36"/>
    <x v="1"/>
    <x v="0"/>
    <d v="2023-08-17T00:00:00"/>
    <d v="2024-11-11T00:00:00"/>
    <n v="24"/>
    <x v="2"/>
    <n v="7"/>
    <n v="4"/>
    <n v="20946.28"/>
    <n v="12687.29"/>
    <n v="9091.52"/>
  </r>
  <r>
    <s v="1661"/>
    <s v="Juan Rodríguez"/>
    <d v="1967-01-01T00:00:00"/>
    <n v="59"/>
    <x v="1"/>
    <x v="0"/>
    <d v="2024-01-03T00:00:00"/>
    <d v="2023-12-11T00:00:00"/>
    <n v="33"/>
    <x v="1"/>
    <n v="11"/>
    <n v="8"/>
    <n v="24305.25"/>
    <n v="3353.74"/>
    <n v="3826.56"/>
  </r>
  <r>
    <s v="1662"/>
    <s v="Miguel Martínez"/>
    <d v="1979-01-01T00:00:00"/>
    <n v="47"/>
    <x v="1"/>
    <x v="6"/>
    <d v="2023-02-27T00:00:00"/>
    <d v="2024-03-01T00:00:00"/>
    <n v="24"/>
    <x v="0"/>
    <n v="1"/>
    <n v="8"/>
    <n v="4481.4799999999996"/>
    <n v="14488.6"/>
    <n v="19462.349999999999"/>
  </r>
  <r>
    <s v="1663"/>
    <s v="Ricardo Morales"/>
    <d v="1949-12-31T00:00:00"/>
    <n v="76"/>
    <x v="1"/>
    <x v="3"/>
    <d v="2023-10-08T00:00:00"/>
    <d v="2024-09-17T00:00:00"/>
    <n v="12"/>
    <x v="0"/>
    <n v="1"/>
    <n v="3"/>
    <n v="21870.62"/>
    <n v="13581.47"/>
    <n v="1402.78"/>
  </r>
  <r>
    <s v="1664"/>
    <s v="Elena Martínez"/>
    <d v="1999-01-01T00:00:00"/>
    <n v="27"/>
    <x v="1"/>
    <x v="0"/>
    <d v="2024-07-10T00:00:00"/>
    <d v="2025-04-20T00:00:00"/>
    <n v="22"/>
    <x v="0"/>
    <n v="1"/>
    <n v="7"/>
    <n v="19209.099999999999"/>
    <n v="2859.89"/>
    <n v="2635.73"/>
  </r>
  <r>
    <s v="1665"/>
    <s v="Elena Morales"/>
    <d v="1957-12-31T00:00:00"/>
    <n v="68"/>
    <x v="0"/>
    <x v="4"/>
    <d v="2023-04-12T00:00:00"/>
    <d v="2023-11-03T00:00:00"/>
    <n v="12"/>
    <x v="1"/>
    <n v="4"/>
    <n v="4"/>
    <n v="12031.79"/>
    <n v="9545.0300000000007"/>
    <n v="5333.46"/>
  </r>
  <r>
    <s v="1666"/>
    <s v="José Morales"/>
    <d v="1949-12-31T00:00:00"/>
    <n v="76"/>
    <x v="0"/>
    <x v="3"/>
    <d v="2023-02-17T00:00:00"/>
    <d v="2023-05-29T00:00:00"/>
    <n v="37"/>
    <x v="0"/>
    <n v="9"/>
    <n v="8"/>
    <n v="4532.1400000000003"/>
    <n v="4445.2700000000004"/>
    <n v="19086.02"/>
  </r>
  <r>
    <s v="1667"/>
    <s v="Pedro Martínez"/>
    <d v="1945-12-31T00:00:00"/>
    <n v="80"/>
    <x v="0"/>
    <x v="1"/>
    <d v="2024-07-15T00:00:00"/>
    <d v="2025-04-29T00:00:00"/>
    <n v="16"/>
    <x v="2"/>
    <n v="12"/>
    <n v="1"/>
    <n v="28623.79"/>
    <n v="1544.76"/>
    <n v="5505.53"/>
  </r>
  <r>
    <s v="1668"/>
    <s v="Ricardo Pérez"/>
    <d v="1987-01-01T00:00:00"/>
    <n v="39"/>
    <x v="1"/>
    <x v="3"/>
    <d v="2024-08-15T00:00:00"/>
    <d v="2025-01-02T00:00:00"/>
    <n v="8"/>
    <x v="1"/>
    <n v="0"/>
    <n v="3"/>
    <n v="13652.33"/>
    <n v="13110.03"/>
    <n v="9777.67"/>
  </r>
  <r>
    <s v="1669"/>
    <s v="Luis Rodríguez"/>
    <d v="1981-12-31T00:00:00"/>
    <n v="44"/>
    <x v="1"/>
    <x v="0"/>
    <d v="2023-02-28T00:00:00"/>
    <d v="2024-03-30T00:00:00"/>
    <n v="38"/>
    <x v="1"/>
    <n v="12"/>
    <n v="2"/>
    <n v="5101.13"/>
    <n v="2712.4"/>
    <n v="15199.41"/>
  </r>
  <r>
    <s v="1670"/>
    <s v="Ana Sánchez"/>
    <d v="1964-12-31T00:00:00"/>
    <n v="61"/>
    <x v="0"/>
    <x v="4"/>
    <d v="2023-06-10T00:00:00"/>
    <d v="2023-02-03T00:00:00"/>
    <n v="30"/>
    <x v="0"/>
    <n v="14"/>
    <n v="6"/>
    <n v="21404.01"/>
    <n v="6314.51"/>
    <n v="18576.63"/>
  </r>
  <r>
    <s v="1671"/>
    <s v="Luisa Martínez"/>
    <d v="1933-12-31T00:00:00"/>
    <n v="92"/>
    <x v="0"/>
    <x v="3"/>
    <d v="2023-04-13T00:00:00"/>
    <d v="2025-01-02T00:00:00"/>
    <n v="38"/>
    <x v="0"/>
    <n v="1"/>
    <n v="1"/>
    <n v="18040.89"/>
    <n v="13862.84"/>
    <n v="12062.31"/>
  </r>
  <r>
    <s v="1672"/>
    <s v="María Hernández"/>
    <d v="1968-12-31T00:00:00"/>
    <n v="57"/>
    <x v="0"/>
    <x v="2"/>
    <d v="2024-02-16T00:00:00"/>
    <d v="2024-05-16T00:00:00"/>
    <n v="20"/>
    <x v="1"/>
    <n v="6"/>
    <n v="2"/>
    <n v="24394.04"/>
    <n v="1130.32"/>
    <n v="7623.98"/>
  </r>
  <r>
    <s v="1673"/>
    <s v="Carmen Hernández"/>
    <d v="1960-01-01T00:00:00"/>
    <n v="66"/>
    <x v="0"/>
    <x v="6"/>
    <d v="2023-07-02T00:00:00"/>
    <d v="2023-11-16T00:00:00"/>
    <n v="9"/>
    <x v="0"/>
    <n v="9"/>
    <n v="8"/>
    <n v="29880.95"/>
    <n v="8258.77"/>
    <n v="19708.72"/>
  </r>
  <r>
    <s v="1674"/>
    <s v="Miguel Morales"/>
    <d v="1971-01-01T00:00:00"/>
    <n v="55"/>
    <x v="0"/>
    <x v="5"/>
    <d v="2024-02-21T00:00:00"/>
    <d v="2024-11-28T00:00:00"/>
    <n v="1"/>
    <x v="0"/>
    <n v="14"/>
    <n v="7"/>
    <n v="868.45"/>
    <n v="8582.17"/>
    <n v="425.87"/>
  </r>
  <r>
    <s v="1675"/>
    <s v="Ricardo Hernández"/>
    <d v="1987-01-01T00:00:00"/>
    <n v="39"/>
    <x v="0"/>
    <x v="4"/>
    <d v="2023-04-26T00:00:00"/>
    <d v="2023-07-13T00:00:00"/>
    <n v="18"/>
    <x v="1"/>
    <n v="8"/>
    <n v="1"/>
    <n v="22049.13"/>
    <n v="11446"/>
    <n v="16626.68"/>
  </r>
  <r>
    <s v="1676"/>
    <s v="Ricardo Cruz"/>
    <d v="1987-01-01T00:00:00"/>
    <n v="39"/>
    <x v="1"/>
    <x v="0"/>
    <d v="2024-02-03T00:00:00"/>
    <d v="2025-05-23T00:00:00"/>
    <n v="11"/>
    <x v="0"/>
    <n v="13"/>
    <n v="5"/>
    <n v="29668.49"/>
    <n v="12406.96"/>
    <n v="5476.34"/>
  </r>
  <r>
    <s v="1677"/>
    <s v="Carmen Sánchez"/>
    <d v="1936-01-01T00:00:00"/>
    <n v="90"/>
    <x v="0"/>
    <x v="1"/>
    <d v="2024-11-06T00:00:00"/>
    <d v="2023-06-30T00:00:00"/>
    <n v="31"/>
    <x v="2"/>
    <n v="7"/>
    <n v="2"/>
    <n v="15916.06"/>
    <n v="6362.16"/>
    <n v="16330.78"/>
  </r>
  <r>
    <s v="1678"/>
    <s v="Pedro Pérez"/>
    <d v="1949-12-31T00:00:00"/>
    <n v="76"/>
    <x v="1"/>
    <x v="5"/>
    <d v="2024-10-16T00:00:00"/>
    <d v="2025-05-17T00:00:00"/>
    <n v="12"/>
    <x v="2"/>
    <n v="8"/>
    <n v="5"/>
    <n v="21328.91"/>
    <n v="11155.25"/>
    <n v="3159.55"/>
  </r>
  <r>
    <s v="1679"/>
    <s v="Luis Ramírez"/>
    <d v="1993-12-31T00:00:00"/>
    <n v="32"/>
    <x v="1"/>
    <x v="6"/>
    <d v="2024-03-12T00:00:00"/>
    <d v="2024-06-02T00:00:00"/>
    <n v="18"/>
    <x v="2"/>
    <n v="11"/>
    <n v="4"/>
    <n v="12953.87"/>
    <n v="13656.59"/>
    <n v="6871.05"/>
  </r>
  <r>
    <s v="1680"/>
    <s v="José Martínez"/>
    <d v="2020-12-31T00:00:00"/>
    <n v="5"/>
    <x v="0"/>
    <x v="4"/>
    <d v="2023-11-14T00:00:00"/>
    <d v="2024-01-27T00:00:00"/>
    <n v="20"/>
    <x v="0"/>
    <n v="10"/>
    <n v="9"/>
    <n v="10381.6"/>
    <n v="13293.99"/>
    <n v="1025.02"/>
  </r>
  <r>
    <s v="1681"/>
    <s v="Pedro Rodríguez"/>
    <d v="1939-01-01T00:00:00"/>
    <n v="87"/>
    <x v="1"/>
    <x v="4"/>
    <d v="2024-08-28T00:00:00"/>
    <d v="2024-06-05T00:00:00"/>
    <n v="18"/>
    <x v="0"/>
    <n v="1"/>
    <n v="3"/>
    <n v="20741.97"/>
    <n v="7527.29"/>
    <n v="3912.41"/>
  </r>
  <r>
    <s v="1682"/>
    <s v="José Martínez"/>
    <d v="2008-01-01T00:00:00"/>
    <n v="18"/>
    <x v="1"/>
    <x v="2"/>
    <d v="2023-09-07T00:00:00"/>
    <d v="2023-12-24T00:00:00"/>
    <n v="11"/>
    <x v="0"/>
    <n v="1"/>
    <n v="6"/>
    <n v="29636.73"/>
    <n v="9105.44"/>
    <n v="12016.13"/>
  </r>
  <r>
    <s v="1683"/>
    <s v="Pedro López"/>
    <d v="1985-01-01T00:00:00"/>
    <n v="79"/>
    <x v="1"/>
    <x v="2"/>
    <d v="2024-03-22T00:00:00"/>
    <d v="2024-07-27T00:00:00"/>
    <n v="18"/>
    <x v="2"/>
    <n v="12"/>
    <n v="9"/>
    <n v="2295.83"/>
    <n v="10092.129999999999"/>
    <n v="15206.19"/>
  </r>
  <r>
    <s v="1684"/>
    <s v="Pedro Morales"/>
    <d v="1987-01-01T00:00:00"/>
    <n v="39"/>
    <x v="1"/>
    <x v="2"/>
    <d v="2024-05-11T00:00:00"/>
    <d v="2024-04-09T00:00:00"/>
    <n v="9"/>
    <x v="0"/>
    <n v="3"/>
    <n v="6"/>
    <n v="12374.71"/>
    <n v="12286.63"/>
    <n v="18215.66"/>
  </r>
  <r>
    <s v="1685"/>
    <s v="Ricardo Gómez"/>
    <d v="1935-01-01T00:00:00"/>
    <n v="91"/>
    <x v="1"/>
    <x v="2"/>
    <d v="2023-12-09T00:00:00"/>
    <d v="2024-11-06T00:00:00"/>
    <n v="39"/>
    <x v="1"/>
    <n v="14"/>
    <n v="3"/>
    <n v="28188.87"/>
    <n v="7616"/>
    <n v="2305.6799999999998"/>
  </r>
  <r>
    <s v="1686"/>
    <s v="Sofía Cruz"/>
    <d v="1968-01-01T00:00:00"/>
    <n v="58"/>
    <x v="1"/>
    <x v="0"/>
    <d v="2024-03-02T00:00:00"/>
    <d v="2023-04-10T00:00:00"/>
    <n v="2"/>
    <x v="1"/>
    <n v="5"/>
    <n v="2"/>
    <n v="2940.35"/>
    <n v="1678.5"/>
    <n v="2725.51"/>
  </r>
  <r>
    <s v="1687"/>
    <s v="Laura Morales"/>
    <d v="1968-01-01T00:00:00"/>
    <n v="58"/>
    <x v="1"/>
    <x v="4"/>
    <d v="2023-08-28T00:00:00"/>
    <d v="2023-05-29T00:00:00"/>
    <n v="1"/>
    <x v="2"/>
    <n v="8"/>
    <n v="3"/>
    <n v="19353.47"/>
    <n v="5779.53"/>
    <n v="18769.39"/>
  </r>
  <r>
    <s v="1688"/>
    <s v="Miguel Hernández"/>
    <d v="1979-01-01T00:00:00"/>
    <n v="47"/>
    <x v="1"/>
    <x v="0"/>
    <d v="2023-02-28T00:00:00"/>
    <d v="2024-07-24T00:00:00"/>
    <n v="19"/>
    <x v="0"/>
    <n v="2"/>
    <n v="1"/>
    <n v="12620.03"/>
    <n v="10803.03"/>
    <n v="15296.09"/>
  </r>
  <r>
    <s v="1689"/>
    <s v="Ana López"/>
    <d v="1985-12-31T00:00:00"/>
    <n v="40"/>
    <x v="2"/>
    <x v="3"/>
    <d v="2024-06-10T00:00:00"/>
    <d v="2024-12-28T00:00:00"/>
    <n v="3"/>
    <x v="0"/>
    <n v="4"/>
    <n v="3"/>
    <n v="10995.22"/>
    <n v="9356.98"/>
    <n v="10749"/>
  </r>
  <r>
    <s v="1690"/>
    <s v="Elena Hernández"/>
    <d v="2013-12-31T00:00:00"/>
    <n v="24"/>
    <x v="1"/>
    <x v="1"/>
    <d v="2023-07-22T00:00:00"/>
    <d v="2023-11-13T00:00:00"/>
    <n v="1"/>
    <x v="0"/>
    <n v="1"/>
    <n v="3"/>
    <n v="5887.91"/>
    <n v="11302.38"/>
    <n v="9482.18"/>
  </r>
  <r>
    <s v="1691"/>
    <s v="Luis Hernández"/>
    <d v="1981-12-31T00:00:00"/>
    <n v="44"/>
    <x v="1"/>
    <x v="3"/>
    <d v="2024-04-10T00:00:00"/>
    <d v="2023-07-02T00:00:00"/>
    <n v="26"/>
    <x v="1"/>
    <n v="2"/>
    <n v="4"/>
    <n v="4878.2"/>
    <n v="7499.31"/>
    <n v="3070.09"/>
  </r>
  <r>
    <s v="1692"/>
    <s v="Luisa Ramírez"/>
    <d v="1937-12-31T00:00:00"/>
    <n v="88"/>
    <x v="0"/>
    <x v="1"/>
    <d v="2023-10-23T00:00:00"/>
    <d v="2024-07-01T00:00:00"/>
    <n v="33"/>
    <x v="0"/>
    <n v="6"/>
    <n v="0"/>
    <n v="15246.74"/>
    <n v="2616.0700000000002"/>
    <n v="7523.96"/>
  </r>
  <r>
    <s v="1693"/>
    <s v="Sofía Sánchez"/>
    <d v="1973-12-31T00:00:00"/>
    <n v="52"/>
    <x v="0"/>
    <x v="6"/>
    <d v="2023-10-14T00:00:00"/>
    <d v="2023-10-31T00:00:00"/>
    <n v="4"/>
    <x v="1"/>
    <n v="3"/>
    <n v="1"/>
    <n v="11011.84"/>
    <n v="1728.11"/>
    <n v="7389.36"/>
  </r>
  <r>
    <s v="1694"/>
    <s v="Elena Hernández"/>
    <d v="1984-12-31T00:00:00"/>
    <n v="41"/>
    <x v="0"/>
    <x v="3"/>
    <d v="2023-03-14T00:00:00"/>
    <d v="2024-07-12T00:00:00"/>
    <n v="13"/>
    <x v="1"/>
    <n v="6"/>
    <n v="7"/>
    <n v="14492.1"/>
    <n v="7218.93"/>
    <n v="12931.76"/>
  </r>
  <r>
    <s v="1695"/>
    <s v="Jorge Hernández"/>
    <d v="1964-01-01T00:00:00"/>
    <n v="62"/>
    <x v="1"/>
    <x v="6"/>
    <d v="2024-12-26T00:00:00"/>
    <d v="2024-08-22T00:00:00"/>
    <n v="30"/>
    <x v="0"/>
    <n v="10"/>
    <n v="7"/>
    <n v="5476.09"/>
    <n v="3085.87"/>
    <n v="11937.99"/>
  </r>
  <r>
    <s v="1696"/>
    <s v="Laura Martínez"/>
    <d v="2000-01-01T00:00:00"/>
    <n v="26"/>
    <x v="0"/>
    <x v="6"/>
    <d v="2024-06-06T00:00:00"/>
    <d v="2023-01-05T00:00:00"/>
    <n v="30"/>
    <x v="0"/>
    <n v="14"/>
    <n v="7"/>
    <n v="10181.15"/>
    <n v="14734"/>
    <n v="1100.19"/>
  </r>
  <r>
    <s v="1697"/>
    <s v="Juan Cruz"/>
    <d v="1988-12-31T00:00:00"/>
    <n v="37"/>
    <x v="0"/>
    <x v="6"/>
    <d v="2023-12-03T00:00:00"/>
    <d v="2025-02-17T00:00:00"/>
    <n v="11"/>
    <x v="1"/>
    <n v="1"/>
    <n v="4"/>
    <n v="29890.74"/>
    <n v="2981.29"/>
    <n v="16954.45"/>
  </r>
  <r>
    <s v="1698"/>
    <s v="Sofía Cruz"/>
    <d v="1967-01-01T00:00:00"/>
    <n v="59"/>
    <x v="0"/>
    <x v="2"/>
    <d v="2023-11-14T00:00:00"/>
    <d v="2023-04-18T00:00:00"/>
    <n v="9"/>
    <x v="0"/>
    <n v="11"/>
    <n v="7"/>
    <n v="10726.16"/>
    <n v="8501.76"/>
    <n v="18744.71"/>
  </r>
  <r>
    <s v="1699"/>
    <s v="Laura Sánchez"/>
    <d v="2020-01-01T00:00:00"/>
    <n v="6"/>
    <x v="0"/>
    <x v="5"/>
    <d v="2023-07-22T00:00:00"/>
    <d v="2023-03-17T00:00:00"/>
    <n v="3"/>
    <x v="1"/>
    <n v="8"/>
    <n v="8"/>
    <n v="12087.63"/>
    <n v="26.52"/>
    <n v="15582.19"/>
  </r>
  <r>
    <s v="1700"/>
    <s v="Elena Morales"/>
    <d v="2021-12-31T00:00:00"/>
    <n v="4"/>
    <x v="0"/>
    <x v="5"/>
    <d v="2023-08-19T00:00:00"/>
    <d v="2023-02-10T00:00:00"/>
    <n v="9"/>
    <x v="2"/>
    <n v="7"/>
    <n v="3"/>
    <n v="106.22"/>
    <n v="3804.68"/>
    <n v="3485.53"/>
  </r>
  <r>
    <s v="1701"/>
    <s v="Elena Rodríguez"/>
    <d v="1981-12-31T00:00:00"/>
    <n v="44"/>
    <x v="0"/>
    <x v="0"/>
    <d v="2024-07-16T00:00:00"/>
    <d v="2024-10-01T00:00:00"/>
    <n v="28"/>
    <x v="0"/>
    <n v="2"/>
    <n v="3"/>
    <n v="11115.19"/>
    <n v="3887.08"/>
    <n v="3360.58"/>
  </r>
  <r>
    <s v="1702"/>
    <s v="Juan Sánchez"/>
    <d v="1968-12-31T00:00:00"/>
    <n v="57"/>
    <x v="0"/>
    <x v="6"/>
    <d v="2023-02-26T00:00:00"/>
    <d v="2024-11-26T00:00:00"/>
    <n v="9"/>
    <x v="2"/>
    <n v="7"/>
    <n v="6"/>
    <n v="22783.439999999999"/>
    <n v="11069.81"/>
    <n v="14494.85"/>
  </r>
  <r>
    <s v="1703"/>
    <s v="Luisa Martínez"/>
    <d v="1996-01-01T00:00:00"/>
    <n v="30"/>
    <x v="1"/>
    <x v="2"/>
    <d v="2024-10-05T00:00:00"/>
    <d v="2023-04-30T00:00:00"/>
    <n v="7"/>
    <x v="1"/>
    <n v="14"/>
    <n v="4"/>
    <n v="15225.7"/>
    <n v="7434.39"/>
    <n v="8761.44"/>
  </r>
  <r>
    <s v="1704"/>
    <s v="Miguel Ramírez"/>
    <d v="2004-01-01T00:00:00"/>
    <n v="22"/>
    <x v="0"/>
    <x v="3"/>
    <d v="2024-02-24T00:00:00"/>
    <d v="2023-03-15T00:00:00"/>
    <n v="37"/>
    <x v="0"/>
    <n v="6"/>
    <n v="9"/>
    <n v="19539.89"/>
    <n v="181.38"/>
    <n v="15553.96"/>
  </r>
  <r>
    <s v="1705"/>
    <s v="Miguel López"/>
    <d v="1984-12-31T00:00:00"/>
    <n v="41"/>
    <x v="0"/>
    <x v="3"/>
    <d v="2023-10-07T00:00:00"/>
    <d v="2024-07-06T00:00:00"/>
    <n v="24"/>
    <x v="0"/>
    <n v="6"/>
    <n v="0"/>
    <n v="16474.84"/>
    <n v="5687.56"/>
    <n v="1417.13"/>
  </r>
  <r>
    <s v="1706"/>
    <s v="Sofía Morales"/>
    <d v="2016-12-31T00:00:00"/>
    <n v="9"/>
    <x v="1"/>
    <x v="0"/>
    <d v="2023-11-01T00:00:00"/>
    <d v="2023-07-24T00:00:00"/>
    <n v="4"/>
    <x v="0"/>
    <n v="11"/>
    <n v="7"/>
    <n v="2717.48"/>
    <n v="9671.7199999999993"/>
    <n v="14300.37"/>
  </r>
  <r>
    <s v="1707"/>
    <s v="Ricardo Gómez"/>
    <d v="1995-01-01T00:00:00"/>
    <n v="31"/>
    <x v="2"/>
    <x v="0"/>
    <d v="2024-04-10T00:00:00"/>
    <d v="2023-04-07T00:00:00"/>
    <n v="33"/>
    <x v="0"/>
    <n v="10"/>
    <n v="3"/>
    <n v="9630.4"/>
    <n v="9550.6"/>
    <n v="8424.33"/>
  </r>
  <r>
    <s v="1708"/>
    <s v="Sofía Cruz"/>
    <d v="1973-12-31T00:00:00"/>
    <n v="52"/>
    <x v="1"/>
    <x v="6"/>
    <d v="2023-06-23T00:00:00"/>
    <d v="2023-10-07T00:00:00"/>
    <n v="30"/>
    <x v="2"/>
    <n v="0"/>
    <n v="7"/>
    <n v="20674.11"/>
    <n v="808.33"/>
    <n v="522.79999999999995"/>
  </r>
  <r>
    <s v="1709"/>
    <s v="Luis Pérez"/>
    <d v="1996-12-31T00:00:00"/>
    <n v="29"/>
    <x v="1"/>
    <x v="6"/>
    <d v="2023-09-23T00:00:00"/>
    <d v="2023-05-24T00:00:00"/>
    <n v="24"/>
    <x v="2"/>
    <n v="13"/>
    <n v="1"/>
    <n v="16212.14"/>
    <n v="13933.69"/>
    <n v="10857.67"/>
  </r>
  <r>
    <s v="1710"/>
    <s v="Luisa Morales"/>
    <d v="1988-01-01T00:00:00"/>
    <n v="38"/>
    <x v="0"/>
    <x v="3"/>
    <d v="2023-09-04T00:00:00"/>
    <d v="2023-04-26T00:00:00"/>
    <n v="5"/>
    <x v="0"/>
    <n v="13"/>
    <n v="3"/>
    <n v="20086.310000000001"/>
    <n v="3704.87"/>
    <n v="13950.62"/>
  </r>
  <r>
    <s v="1711"/>
    <s v="Miguel López"/>
    <d v="1996-01-01T00:00:00"/>
    <n v="30"/>
    <x v="1"/>
    <x v="3"/>
    <d v="2023-03-19T00:00:00"/>
    <d v="2024-04-21T00:00:00"/>
    <n v="2"/>
    <x v="0"/>
    <n v="12"/>
    <n v="1"/>
    <n v="10485.5"/>
    <n v="13372.89"/>
    <n v="10517.61"/>
  </r>
  <r>
    <s v="1712"/>
    <s v="Sofía Hernández"/>
    <d v="1944-12-31T00:00:00"/>
    <n v="81"/>
    <x v="1"/>
    <x v="3"/>
    <d v="2024-10-08T00:00:00"/>
    <d v="2025-06-03T00:00:00"/>
    <n v="5"/>
    <x v="0"/>
    <n v="1"/>
    <n v="4"/>
    <n v="5407.52"/>
    <n v="3201.22"/>
    <n v="2369.89"/>
  </r>
  <r>
    <s v="1713"/>
    <s v="Elena Rodríguez"/>
    <d v="1960-01-01T00:00:00"/>
    <n v="1"/>
    <x v="1"/>
    <x v="3"/>
    <d v="2024-10-13T00:00:00"/>
    <d v="2023-05-14T00:00:00"/>
    <n v="37"/>
    <x v="2"/>
    <n v="8"/>
    <n v="9"/>
    <n v="24809.33"/>
    <n v="8517.75"/>
    <n v="16299.77"/>
  </r>
  <r>
    <s v="1714"/>
    <s v="José Morales"/>
    <d v="1948-12-31T00:00:00"/>
    <n v="68"/>
    <x v="1"/>
    <x v="5"/>
    <d v="2023-09-10T00:00:00"/>
    <d v="2023-06-18T00:00:00"/>
    <n v="18"/>
    <x v="1"/>
    <n v="7"/>
    <n v="9"/>
    <n v="10977.19"/>
    <n v="6091.2"/>
    <n v="6273.41"/>
  </r>
  <r>
    <s v="1715"/>
    <s v="José Martínez"/>
    <d v="1949-12-31T00:00:00"/>
    <n v="76"/>
    <x v="1"/>
    <x v="6"/>
    <d v="2024-04-19T00:00:00"/>
    <d v="2023-09-03T00:00:00"/>
    <n v="21"/>
    <x v="0"/>
    <n v="1"/>
    <n v="7"/>
    <n v="19477.84"/>
    <n v="8720.24"/>
    <n v="18421.34"/>
  </r>
  <r>
    <s v="1716"/>
    <s v="María Morales"/>
    <d v="1933-12-31T00:00:00"/>
    <n v="92"/>
    <x v="1"/>
    <x v="6"/>
    <d v="2023-06-25T00:00:00"/>
    <d v="2023-10-05T00:00:00"/>
    <n v="4"/>
    <x v="0"/>
    <n v="12"/>
    <n v="6"/>
    <n v="11128.01"/>
    <n v="7467.94"/>
    <n v="18128.2"/>
  </r>
  <r>
    <s v="1717"/>
    <s v="Miguel Gómez"/>
    <d v="2015-01-01T00:00:00"/>
    <n v="11"/>
    <x v="1"/>
    <x v="3"/>
    <d v="2024-02-25T00:00:00"/>
    <d v="2023-09-17T00:00:00"/>
    <n v="16"/>
    <x v="1"/>
    <n v="12"/>
    <n v="4"/>
    <n v="0"/>
    <n v="30.71"/>
    <n v="3927.29"/>
  </r>
  <r>
    <s v="1718"/>
    <s v="Luisa Gómez"/>
    <d v="1988-01-01T00:00:00"/>
    <n v="38"/>
    <x v="2"/>
    <x v="2"/>
    <d v="2024-07-25T00:00:00"/>
    <d v="2023-02-16T00:00:00"/>
    <n v="28"/>
    <x v="2"/>
    <n v="6"/>
    <n v="6"/>
    <n v="29754.15"/>
    <n v="5269.99"/>
    <n v="9474.94"/>
  </r>
  <r>
    <s v="1719"/>
    <s v="Jorge Hernández"/>
    <d v="1960-12-31T00:00:00"/>
    <n v="65"/>
    <x v="2"/>
    <x v="3"/>
    <d v="2024-04-05T00:00:00"/>
    <d v="2023-12-13T00:00:00"/>
    <n v="33"/>
    <x v="0"/>
    <n v="3"/>
    <n v="4"/>
    <n v="19292.330000000002"/>
    <n v="168.26"/>
    <n v="2661.05"/>
  </r>
  <r>
    <s v="1720"/>
    <s v="Luis López"/>
    <d v="2013-12-31T00:00:00"/>
    <n v="12"/>
    <x v="1"/>
    <x v="1"/>
    <d v="2023-09-11T00:00:00"/>
    <d v="2025-04-27T00:00:00"/>
    <n v="24"/>
    <x v="0"/>
    <n v="12"/>
    <n v="6"/>
    <n v="17865.61"/>
    <n v="10250.5"/>
    <n v="13522.71"/>
  </r>
  <r>
    <s v="1721"/>
    <s v="Luisa Sánchez"/>
    <d v="1980-12-31T00:00:00"/>
    <n v="45"/>
    <x v="0"/>
    <x v="4"/>
    <d v="2024-06-03T00:00:00"/>
    <d v="2025-06-14T00:00:00"/>
    <n v="26"/>
    <x v="2"/>
    <n v="5"/>
    <n v="3"/>
    <n v="25145.22"/>
    <n v="12802.44"/>
    <n v="17023.53"/>
  </r>
  <r>
    <s v="1722"/>
    <s v="Ana Pérez"/>
    <d v="2008-01-01T00:00:00"/>
    <n v="26"/>
    <x v="1"/>
    <x v="4"/>
    <d v="2023-04-17T00:00:00"/>
    <d v="2023-08-26T00:00:00"/>
    <n v="20"/>
    <x v="0"/>
    <n v="2"/>
    <n v="3"/>
    <n v="15245.07"/>
    <n v="5770.72"/>
    <n v="12932.3"/>
  </r>
  <r>
    <s v="1723"/>
    <s v="Juan Pérez"/>
    <d v="2009-12-31T00:00:00"/>
    <n v="16"/>
    <x v="1"/>
    <x v="0"/>
    <d v="2023-06-20T00:00:00"/>
    <d v="2023-02-23T00:00:00"/>
    <n v="17"/>
    <x v="0"/>
    <n v="6"/>
    <n v="9"/>
    <n v="26019.93"/>
    <n v="7872.03"/>
    <n v="5135.54"/>
  </r>
  <r>
    <s v="1724"/>
    <s v="Carmen Pérez"/>
    <d v="1932-01-01T00:00:00"/>
    <n v="94"/>
    <x v="1"/>
    <x v="1"/>
    <d v="2023-02-27T00:00:00"/>
    <d v="2023-05-29T00:00:00"/>
    <n v="3"/>
    <x v="0"/>
    <n v="2"/>
    <n v="3"/>
    <n v="12094.62"/>
    <n v="987.56"/>
    <n v="1433.93"/>
  </r>
  <r>
    <s v="1725"/>
    <s v="Luis López"/>
    <d v="1967-01-01T00:00:00"/>
    <n v="59"/>
    <x v="2"/>
    <x v="2"/>
    <d v="2023-12-03T00:00:00"/>
    <d v="2024-11-30T00:00:00"/>
    <n v="9"/>
    <x v="2"/>
    <n v="3"/>
    <n v="7"/>
    <n v="472.86"/>
    <n v="5777.96"/>
    <n v="1292.1400000000001"/>
  </r>
  <r>
    <s v="1726"/>
    <s v="Elena Cruz"/>
    <d v="1963-01-01T00:00:00"/>
    <n v="63"/>
    <x v="0"/>
    <x v="0"/>
    <d v="2023-12-08T00:00:00"/>
    <d v="2024-06-17T00:00:00"/>
    <n v="9"/>
    <x v="2"/>
    <n v="12"/>
    <n v="0"/>
    <n v="27761.01"/>
    <n v="2082.91"/>
    <n v="12179.65"/>
  </r>
  <r>
    <s v="1727"/>
    <s v="Laura Rodríguez"/>
    <d v="1939-01-01T00:00:00"/>
    <n v="87"/>
    <x v="1"/>
    <x v="4"/>
    <d v="2023-10-17T00:00:00"/>
    <d v="2023-04-01T00:00:00"/>
    <n v="0"/>
    <x v="1"/>
    <n v="1"/>
    <n v="9"/>
    <n v="21506.62"/>
    <n v="970.53"/>
    <n v="19061.900000000001"/>
  </r>
  <r>
    <s v="1728"/>
    <s v="Ricardo Ramírez"/>
    <d v="1979-01-01T00:00:00"/>
    <n v="34"/>
    <x v="1"/>
    <x v="2"/>
    <d v="2023-03-25T00:00:00"/>
    <d v="2023-08-22T00:00:00"/>
    <n v="39"/>
    <x v="2"/>
    <n v="8"/>
    <n v="4"/>
    <n v="15078.4"/>
    <n v="2580.5"/>
    <n v="13875.09"/>
  </r>
  <r>
    <s v="1729"/>
    <s v="Carmen Sánchez"/>
    <d v="1956-12-31T00:00:00"/>
    <n v="69"/>
    <x v="1"/>
    <x v="0"/>
    <d v="2023-04-27T00:00:00"/>
    <d v="2024-12-28T00:00:00"/>
    <n v="36"/>
    <x v="2"/>
    <n v="6"/>
    <n v="9"/>
    <n v="28319.26"/>
    <n v="13062.66"/>
    <n v="14585.59"/>
  </r>
  <r>
    <s v="1730"/>
    <s v="José Morales"/>
    <d v="1944-01-01T00:00:00"/>
    <n v="82"/>
    <x v="0"/>
    <x v="3"/>
    <d v="2024-12-12T00:00:00"/>
    <d v="2025-05-31T00:00:00"/>
    <n v="32"/>
    <x v="0"/>
    <n v="5"/>
    <n v="1"/>
    <n v="26546.43"/>
    <n v="14733.07"/>
    <n v="6518.94"/>
  </r>
  <r>
    <s v="1731"/>
    <s v="Elena Pérez"/>
    <d v="1996-12-31T00:00:00"/>
    <n v="18"/>
    <x v="0"/>
    <x v="3"/>
    <d v="2024-06-17T00:00:00"/>
    <d v="2023-02-21T00:00:00"/>
    <n v="16"/>
    <x v="1"/>
    <n v="9"/>
    <n v="9"/>
    <n v="2806.99"/>
    <n v="13188.21"/>
    <n v="11679.37"/>
  </r>
  <r>
    <s v="1732"/>
    <s v="Pedro Morales"/>
    <d v="1956-01-01T00:00:00"/>
    <n v="70"/>
    <x v="1"/>
    <x v="2"/>
    <d v="2023-08-07T00:00:00"/>
    <d v="2024-10-27T00:00:00"/>
    <n v="1"/>
    <x v="0"/>
    <n v="3"/>
    <n v="3"/>
    <n v="18544.12"/>
    <n v="14545.06"/>
    <n v="6263.66"/>
  </r>
  <r>
    <s v="1733"/>
    <s v="Carlos Sánchez"/>
    <d v="1952-12-31T00:00:00"/>
    <n v="73"/>
    <x v="0"/>
    <x v="0"/>
    <d v="2023-04-12T00:00:00"/>
    <d v="2025-04-16T00:00:00"/>
    <n v="28"/>
    <x v="2"/>
    <n v="14"/>
    <n v="4"/>
    <n v="15912.18"/>
    <n v="10962.1"/>
    <n v="18023.48"/>
  </r>
  <r>
    <s v="1734"/>
    <s v="Jorge López"/>
    <d v="1964-01-01T00:00:00"/>
    <n v="62"/>
    <x v="1"/>
    <x v="5"/>
    <d v="2024-10-18T00:00:00"/>
    <d v="2024-09-20T00:00:00"/>
    <n v="39"/>
    <x v="1"/>
    <n v="4"/>
    <n v="7"/>
    <n v="23182.45"/>
    <n v="2395.58"/>
    <n v="2563.5300000000002"/>
  </r>
  <r>
    <s v="1735"/>
    <s v="Pedro Pérez"/>
    <d v="1999-01-01T00:00:00"/>
    <n v="27"/>
    <x v="0"/>
    <x v="2"/>
    <d v="2024-03-31T00:00:00"/>
    <d v="2024-01-30T00:00:00"/>
    <n v="35"/>
    <x v="0"/>
    <n v="1"/>
    <n v="1"/>
    <n v="8673.42"/>
    <n v="8447.56"/>
    <n v="12603.69"/>
  </r>
  <r>
    <s v="1736"/>
    <s v="Carlos Hernández"/>
    <d v="1967-01-01T00:00:00"/>
    <n v="59"/>
    <x v="0"/>
    <x v="2"/>
    <d v="2024-10-20T00:00:00"/>
    <d v="2023-08-03T00:00:00"/>
    <n v="30"/>
    <x v="1"/>
    <n v="6"/>
    <n v="1"/>
    <n v="252.47"/>
    <n v="10973.94"/>
    <n v="14589.98"/>
  </r>
  <r>
    <s v="1737"/>
    <s v="Laura Cruz"/>
    <d v="1948-01-01T00:00:00"/>
    <n v="78"/>
    <x v="1"/>
    <x v="1"/>
    <d v="2024-06-09T00:00:00"/>
    <d v="2024-03-27T00:00:00"/>
    <n v="3"/>
    <x v="2"/>
    <n v="7"/>
    <n v="1"/>
    <n v="5154.6899999999996"/>
    <n v="7701.94"/>
    <n v="13939.65"/>
  </r>
  <r>
    <s v="1738"/>
    <s v="María Pérez"/>
    <d v="1932-12-31T00:00:00"/>
    <n v="93"/>
    <x v="0"/>
    <x v="6"/>
    <d v="2023-09-23T00:00:00"/>
    <d v="2023-12-06T00:00:00"/>
    <n v="5"/>
    <x v="1"/>
    <n v="9"/>
    <n v="7"/>
    <n v="5933.69"/>
    <n v="8320.01"/>
    <n v="5072.07"/>
  </r>
  <r>
    <s v="1739"/>
    <s v="Laura Morales"/>
    <d v="1989-12-31T00:00:00"/>
    <n v="36"/>
    <x v="0"/>
    <x v="2"/>
    <d v="2023-10-14T00:00:00"/>
    <d v="2023-12-18T00:00:00"/>
    <n v="25"/>
    <x v="1"/>
    <n v="14"/>
    <n v="2"/>
    <n v="0"/>
    <n v="8792.85"/>
    <n v="9669.24"/>
  </r>
  <r>
    <s v="1740"/>
    <s v="Carlos López"/>
    <d v="1933-12-31T00:00:00"/>
    <n v="92"/>
    <x v="1"/>
    <x v="5"/>
    <d v="2023-05-21T00:00:00"/>
    <d v="2024-10-11T00:00:00"/>
    <n v="12"/>
    <x v="1"/>
    <n v="3"/>
    <n v="4"/>
    <n v="10796.98"/>
    <n v="7002.7"/>
    <n v="13233.27"/>
  </r>
  <r>
    <s v="1741"/>
    <s v="Carmen Martínez"/>
    <d v="2004-12-31T00:00:00"/>
    <n v="21"/>
    <x v="1"/>
    <x v="3"/>
    <d v="2024-02-10T00:00:00"/>
    <d v="2023-10-13T00:00:00"/>
    <n v="28"/>
    <x v="2"/>
    <n v="8"/>
    <n v="1"/>
    <n v="0"/>
    <n v="4358.83"/>
    <n v="18611.96"/>
  </r>
  <r>
    <s v="1742"/>
    <s v="Carlos Morales"/>
    <d v="1959-01-01T00:00:00"/>
    <n v="67"/>
    <x v="0"/>
    <x v="0"/>
    <d v="2023-10-20T00:00:00"/>
    <d v="2025-05-28T00:00:00"/>
    <n v="5"/>
    <x v="2"/>
    <n v="5"/>
    <n v="5"/>
    <n v="1764.47"/>
    <n v="9555.3799999999992"/>
    <n v="9943.17"/>
  </r>
  <r>
    <s v="1743"/>
    <s v="Carmen Gómez"/>
    <d v="2007-01-01T00:00:00"/>
    <n v="19"/>
    <x v="1"/>
    <x v="6"/>
    <d v="2023-01-31T00:00:00"/>
    <d v="2024-08-06T00:00:00"/>
    <n v="3"/>
    <x v="1"/>
    <n v="8"/>
    <n v="9"/>
    <n v="14339.69"/>
    <n v="802.63"/>
    <n v="5940.23"/>
  </r>
  <r>
    <s v="1744"/>
    <s v="María Ramírez"/>
    <d v="1959-01-01T00:00:00"/>
    <n v="67"/>
    <x v="1"/>
    <x v="0"/>
    <d v="2023-06-20T00:00:00"/>
    <d v="2023-09-03T00:00:00"/>
    <n v="26"/>
    <x v="0"/>
    <n v="11"/>
    <n v="5"/>
    <n v="14708.63"/>
    <n v="2563.91"/>
    <n v="7669.07"/>
  </r>
  <r>
    <s v="1745"/>
    <s v="Sofía Morales"/>
    <d v="1936-01-01T00:00:00"/>
    <n v="90"/>
    <x v="1"/>
    <x v="3"/>
    <d v="2023-12-21T00:00:00"/>
    <d v="2024-07-04T00:00:00"/>
    <n v="31"/>
    <x v="0"/>
    <n v="2"/>
    <n v="1"/>
    <n v="18284.03"/>
    <n v="13878.92"/>
    <n v="10780.51"/>
  </r>
  <r>
    <s v="1746"/>
    <s v="María Ramírez"/>
    <d v="1963-01-01T00:00:00"/>
    <n v="63"/>
    <x v="0"/>
    <x v="2"/>
    <d v="2023-07-24T00:00:00"/>
    <d v="2024-12-29T00:00:00"/>
    <n v="4"/>
    <x v="2"/>
    <n v="13"/>
    <n v="3"/>
    <n v="8971.7000000000007"/>
    <n v="7332.24"/>
    <n v="19524.810000000001"/>
  </r>
  <r>
    <s v="1747"/>
    <s v="Luisa Ramírez"/>
    <d v="2009-12-31T00:00:00"/>
    <n v="16"/>
    <x v="0"/>
    <x v="1"/>
    <d v="2024-04-22T00:00:00"/>
    <d v="2024-10-01T00:00:00"/>
    <n v="37"/>
    <x v="0"/>
    <n v="4"/>
    <n v="1"/>
    <n v="7423.56"/>
    <n v="12325.26"/>
    <n v="12529.47"/>
  </r>
  <r>
    <s v="1748"/>
    <s v="Carlos Ramírez"/>
    <d v="2015-01-01T00:00:00"/>
    <n v="11"/>
    <x v="0"/>
    <x v="5"/>
    <d v="2023-10-18T00:00:00"/>
    <d v="2024-08-07T00:00:00"/>
    <n v="7"/>
    <x v="0"/>
    <n v="0"/>
    <n v="9"/>
    <n v="14258.49"/>
    <n v="10898.11"/>
    <n v="3010.2"/>
  </r>
  <r>
    <s v="1749"/>
    <s v="Juan Morales"/>
    <d v="2004-12-31T00:00:00"/>
    <n v="21"/>
    <x v="0"/>
    <x v="6"/>
    <d v="2023-04-21T00:00:00"/>
    <d v="2023-08-15T00:00:00"/>
    <n v="10"/>
    <x v="1"/>
    <n v="2"/>
    <n v="3"/>
    <n v="19618.04"/>
    <n v="4810.6400000000003"/>
    <n v="16847.2"/>
  </r>
  <r>
    <s v="1750"/>
    <s v="Juan Martínez"/>
    <d v="2009-12-31T00:00:00"/>
    <n v="16"/>
    <x v="1"/>
    <x v="5"/>
    <d v="2023-03-09T00:00:00"/>
    <d v="2025-04-07T00:00:00"/>
    <n v="19"/>
    <x v="0"/>
    <n v="3"/>
    <n v="6"/>
    <n v="860.06"/>
    <n v="12054.74"/>
    <n v="3547.09"/>
  </r>
  <r>
    <s v="1751"/>
    <s v="Laura Gómez"/>
    <d v="2016-12-31T00:00:00"/>
    <n v="9"/>
    <x v="0"/>
    <x v="4"/>
    <d v="2024-11-25T00:00:00"/>
    <d v="2024-03-17T00:00:00"/>
    <n v="18"/>
    <x v="2"/>
    <n v="12"/>
    <n v="4"/>
    <n v="8454.25"/>
    <n v="1369.84"/>
    <n v="678.8"/>
  </r>
  <r>
    <s v="1752"/>
    <s v="Sofía Ramírez"/>
    <d v="1945-01-01T00:00:00"/>
    <n v="64"/>
    <x v="0"/>
    <x v="5"/>
    <d v="2024-01-08T00:00:00"/>
    <d v="2024-04-19T00:00:00"/>
    <n v="2"/>
    <x v="0"/>
    <n v="7"/>
    <n v="9"/>
    <n v="23512.959999999999"/>
    <n v="13124.67"/>
    <n v="1914.22"/>
  </r>
  <r>
    <s v="1753"/>
    <s v="Ana López"/>
    <d v="2004-12-31T00:00:00"/>
    <n v="21"/>
    <x v="1"/>
    <x v="5"/>
    <d v="2023-07-15T00:00:00"/>
    <d v="2024-03-20T00:00:00"/>
    <n v="38"/>
    <x v="0"/>
    <n v="11"/>
    <n v="3"/>
    <n v="14267.78"/>
    <n v="10208.4"/>
    <n v="15701.05"/>
  </r>
  <r>
    <s v="1754"/>
    <s v="María Martínez"/>
    <d v="1936-12-31T00:00:00"/>
    <n v="89"/>
    <x v="1"/>
    <x v="5"/>
    <d v="2023-05-06T00:00:00"/>
    <d v="2025-03-07T00:00:00"/>
    <n v="39"/>
    <x v="2"/>
    <n v="7"/>
    <n v="9"/>
    <n v="28530.69"/>
    <n v="13906.08"/>
    <n v="18028.099999999999"/>
  </r>
  <r>
    <s v="1755"/>
    <s v="Ana Pérez"/>
    <d v="1944-12-31T00:00:00"/>
    <n v="81"/>
    <x v="1"/>
    <x v="3"/>
    <d v="2024-11-17T00:00:00"/>
    <d v="2024-02-17T00:00:00"/>
    <n v="1"/>
    <x v="2"/>
    <n v="6"/>
    <n v="9"/>
    <n v="25960.02"/>
    <n v="13432.66"/>
    <n v="5290.89"/>
  </r>
  <r>
    <s v="1756"/>
    <s v="Jorge Sánchez"/>
    <d v="1976-12-31T00:00:00"/>
    <n v="49"/>
    <x v="0"/>
    <x v="5"/>
    <d v="2023-09-19T00:00:00"/>
    <d v="2025-03-25T00:00:00"/>
    <n v="26"/>
    <x v="1"/>
    <n v="11"/>
    <n v="2"/>
    <n v="9990.32"/>
    <n v="5703.93"/>
    <n v="9912.01"/>
  </r>
  <r>
    <s v="1757"/>
    <s v="Carlos Hernández"/>
    <d v="2012-12-31T00:00:00"/>
    <n v="13"/>
    <x v="0"/>
    <x v="1"/>
    <d v="2023-06-04T00:00:00"/>
    <d v="2023-09-04T00:00:00"/>
    <n v="8"/>
    <x v="0"/>
    <n v="13"/>
    <n v="5"/>
    <n v="21651.27"/>
    <n v="12852.49"/>
    <n v="11904.18"/>
  </r>
  <r>
    <s v="1758"/>
    <s v="Ana Cruz"/>
    <d v="1963-01-01T00:00:00"/>
    <n v="63"/>
    <x v="0"/>
    <x v="5"/>
    <d v="2024-08-03T00:00:00"/>
    <d v="2024-08-06T00:00:00"/>
    <n v="34"/>
    <x v="0"/>
    <n v="10"/>
    <n v="1"/>
    <n v="7866.41"/>
    <n v="8445.24"/>
    <n v="8315.68"/>
  </r>
  <r>
    <s v="1759"/>
    <s v="Luisa Cruz"/>
    <d v="1980-01-01T00:00:00"/>
    <n v="46"/>
    <x v="2"/>
    <x v="3"/>
    <d v="2023-04-18T00:00:00"/>
    <d v="2024-12-08T00:00:00"/>
    <n v="4"/>
    <x v="1"/>
    <n v="12"/>
    <n v="3"/>
    <n v="4846.54"/>
    <n v="2356.71"/>
    <n v="1213.01"/>
  </r>
  <r>
    <s v="1760"/>
    <s v="Miguel Rodríguez"/>
    <d v="1997-12-31T00:00:00"/>
    <n v="28"/>
    <x v="1"/>
    <x v="0"/>
    <d v="2024-02-27T00:00:00"/>
    <d v="2024-05-15T00:00:00"/>
    <n v="32"/>
    <x v="0"/>
    <n v="2"/>
    <n v="7"/>
    <n v="26371.119999999999"/>
    <n v="12443.26"/>
    <n v="1038.72"/>
  </r>
  <r>
    <s v="1761"/>
    <s v="Juan Martínez"/>
    <d v="1951-01-01T00:00:00"/>
    <n v="75"/>
    <x v="0"/>
    <x v="3"/>
    <d v="2023-02-04T00:00:00"/>
    <d v="2024-07-04T00:00:00"/>
    <n v="27"/>
    <x v="0"/>
    <n v="4"/>
    <n v="1"/>
    <n v="10182.6"/>
    <n v="13618.8"/>
    <n v="8751.02"/>
  </r>
  <r>
    <s v="1762"/>
    <s v="Carlos Hernández"/>
    <d v="1991-01-01T00:00:00"/>
    <n v="35"/>
    <x v="0"/>
    <x v="4"/>
    <d v="2023-02-13T00:00:00"/>
    <d v="2023-04-28T00:00:00"/>
    <n v="13"/>
    <x v="2"/>
    <n v="5"/>
    <n v="8"/>
    <n v="5704.25"/>
    <n v="1268.21"/>
    <n v="15937.14"/>
  </r>
  <r>
    <s v="1763"/>
    <s v="Pedro López"/>
    <d v="1975-01-01T00:00:00"/>
    <n v="51"/>
    <x v="1"/>
    <x v="4"/>
    <d v="2024-10-16T00:00:00"/>
    <d v="2025-01-20T00:00:00"/>
    <n v="12"/>
    <x v="2"/>
    <n v="11"/>
    <n v="1"/>
    <n v="0"/>
    <n v="13958.29"/>
    <n v="1601.06"/>
  </r>
  <r>
    <s v="1764"/>
    <s v="Luis Martínez"/>
    <d v="1951-01-01T00:00:00"/>
    <n v="75"/>
    <x v="2"/>
    <x v="1"/>
    <d v="2024-12-23T00:00:00"/>
    <d v="2023-12-31T00:00:00"/>
    <n v="37"/>
    <x v="0"/>
    <n v="1"/>
    <n v="7"/>
    <n v="446.38"/>
    <n v="9018.9699999999993"/>
    <n v="4034.08"/>
  </r>
  <r>
    <s v="1765"/>
    <s v="Ana López"/>
    <d v="2020-01-01T00:00:00"/>
    <n v="6"/>
    <x v="1"/>
    <x v="1"/>
    <d v="2024-02-20T00:00:00"/>
    <d v="2023-07-24T00:00:00"/>
    <n v="17"/>
    <x v="1"/>
    <n v="11"/>
    <n v="7"/>
    <n v="10690.43"/>
    <n v="388.46"/>
    <n v="5322.33"/>
  </r>
  <r>
    <s v="1766"/>
    <s v="Ana López"/>
    <d v="1997-12-31T00:00:00"/>
    <n v="28"/>
    <x v="0"/>
    <x v="2"/>
    <d v="2023-10-12T00:00:00"/>
    <d v="2023-12-18T00:00:00"/>
    <n v="25"/>
    <x v="0"/>
    <n v="1"/>
    <n v="6"/>
    <n v="671.75"/>
    <n v="8126.92"/>
    <n v="11138.43"/>
  </r>
  <r>
    <s v="1767"/>
    <s v="Ana Martínez"/>
    <d v="2016-01-01T00:00:00"/>
    <n v="10"/>
    <x v="0"/>
    <x v="3"/>
    <d v="2024-03-22T00:00:00"/>
    <d v="2023-11-16T00:00:00"/>
    <n v="34"/>
    <x v="0"/>
    <n v="2"/>
    <n v="9"/>
    <n v="14875.06"/>
    <n v="11951.24"/>
    <n v="768.24"/>
  </r>
  <r>
    <s v="1768"/>
    <s v="María Gómez"/>
    <d v="1993-12-31T00:00:00"/>
    <n v="32"/>
    <x v="0"/>
    <x v="0"/>
    <d v="2024-06-01T00:00:00"/>
    <d v="2023-12-26T00:00:00"/>
    <n v="0"/>
    <x v="2"/>
    <n v="1"/>
    <n v="5"/>
    <n v="11735.85"/>
    <n v="7997.72"/>
    <n v="17186.86"/>
  </r>
  <r>
    <s v="1769"/>
    <s v="Sofía Gómez"/>
    <d v="2020-12-31T00:00:00"/>
    <n v="5"/>
    <x v="0"/>
    <x v="2"/>
    <d v="2024-12-30T00:00:00"/>
    <d v="2024-06-01T00:00:00"/>
    <n v="26"/>
    <x v="0"/>
    <n v="8"/>
    <n v="0"/>
    <n v="21480.400000000001"/>
    <n v="10608.69"/>
    <n v="9361.61"/>
  </r>
  <r>
    <s v="1770"/>
    <s v="José Gómez"/>
    <d v="1944-01-01T00:00:00"/>
    <n v="78"/>
    <x v="1"/>
    <x v="2"/>
    <d v="2023-01-27T00:00:00"/>
    <d v="2024-05-04T00:00:00"/>
    <n v="34"/>
    <x v="1"/>
    <n v="2"/>
    <n v="1"/>
    <n v="28598.05"/>
    <n v="13193.74"/>
    <n v="9653.17"/>
  </r>
  <r>
    <s v="1771"/>
    <s v="Luis López"/>
    <d v="2008-01-01T00:00:00"/>
    <n v="31"/>
    <x v="0"/>
    <x v="6"/>
    <d v="2023-08-15T00:00:00"/>
    <d v="2024-10-31T00:00:00"/>
    <n v="6"/>
    <x v="2"/>
    <n v="11"/>
    <n v="6"/>
    <n v="0"/>
    <n v="13046.42"/>
    <n v="6463.03"/>
  </r>
  <r>
    <s v="1772"/>
    <s v="Jorge Ramírez"/>
    <d v="1976-01-01T00:00:00"/>
    <n v="50"/>
    <x v="1"/>
    <x v="5"/>
    <d v="2024-02-29T00:00:00"/>
    <d v="2023-04-18T00:00:00"/>
    <n v="24"/>
    <x v="2"/>
    <n v="11"/>
    <n v="3"/>
    <n v="0"/>
    <n v="2683.05"/>
    <n v="4161.25"/>
  </r>
  <r>
    <s v="1773"/>
    <s v="Laura Ramírez"/>
    <d v="1952-01-01T00:00:00"/>
    <n v="74"/>
    <x v="0"/>
    <x v="2"/>
    <d v="2024-07-21T00:00:00"/>
    <d v="2025-01-10T00:00:00"/>
    <n v="29"/>
    <x v="1"/>
    <n v="7"/>
    <n v="8"/>
    <n v="26101.360000000001"/>
    <n v="6406.95"/>
    <n v="7209.75"/>
  </r>
  <r>
    <s v="1774"/>
    <s v="Elena Hernández"/>
    <d v="1968-12-31T00:00:00"/>
    <n v="57"/>
    <x v="0"/>
    <x v="2"/>
    <d v="2024-01-03T00:00:00"/>
    <d v="2024-10-16T00:00:00"/>
    <n v="36"/>
    <x v="0"/>
    <n v="0"/>
    <n v="2"/>
    <n v="17938.46"/>
    <n v="1667.48"/>
    <n v="18259.34"/>
  </r>
  <r>
    <s v="1775"/>
    <s v="Miguel Martínez"/>
    <d v="1940-01-01T00:00:00"/>
    <n v="86"/>
    <x v="0"/>
    <x v="1"/>
    <d v="2023-11-06T00:00:00"/>
    <d v="2025-04-06T00:00:00"/>
    <n v="28"/>
    <x v="0"/>
    <n v="12"/>
    <n v="3"/>
    <n v="16381.28"/>
    <n v="8926.4699999999993"/>
    <n v="1794.04"/>
  </r>
  <r>
    <s v="1776"/>
    <s v="Juan Rodríguez"/>
    <d v="2000-12-31T00:00:00"/>
    <n v="25"/>
    <x v="1"/>
    <x v="0"/>
    <d v="2023-04-15T00:00:00"/>
    <d v="2023-06-22T00:00:00"/>
    <n v="23"/>
    <x v="0"/>
    <n v="2"/>
    <n v="2"/>
    <n v="5251.53"/>
    <n v="14320.9"/>
    <n v="1120.6400000000001"/>
  </r>
  <r>
    <s v="1777"/>
    <s v="Sofía Pérez"/>
    <d v="1948-01-01T00:00:00"/>
    <n v="45"/>
    <x v="0"/>
    <x v="2"/>
    <d v="2023-01-18T00:00:00"/>
    <d v="2024-10-20T00:00:00"/>
    <n v="37"/>
    <x v="2"/>
    <n v="5"/>
    <n v="6"/>
    <n v="738.04"/>
    <n v="2727.7"/>
    <n v="2200.4699999999998"/>
  </r>
  <r>
    <s v="1778"/>
    <s v="Luis Gómez"/>
    <d v="1997-12-31T00:00:00"/>
    <n v="28"/>
    <x v="0"/>
    <x v="4"/>
    <d v="2023-07-24T00:00:00"/>
    <d v="2024-06-03T00:00:00"/>
    <n v="0"/>
    <x v="0"/>
    <n v="0"/>
    <n v="1"/>
    <n v="13572.85"/>
    <n v="6054.46"/>
    <n v="15517.25"/>
  </r>
  <r>
    <s v="1779"/>
    <s v="Ana Pérez"/>
    <d v="2023-01-01T00:00:00"/>
    <n v="3"/>
    <x v="0"/>
    <x v="0"/>
    <d v="2023-02-12T00:00:00"/>
    <d v="2025-05-05T00:00:00"/>
    <n v="8"/>
    <x v="0"/>
    <n v="6"/>
    <n v="9"/>
    <n v="0"/>
    <n v="14310.4"/>
    <n v="873.17"/>
  </r>
  <r>
    <s v="1780"/>
    <s v="Carlos Morales"/>
    <d v="1945-12-31T00:00:00"/>
    <n v="80"/>
    <x v="1"/>
    <x v="5"/>
    <d v="2023-03-30T00:00:00"/>
    <d v="2025-05-15T00:00:00"/>
    <n v="26"/>
    <x v="1"/>
    <n v="8"/>
    <n v="1"/>
    <n v="0"/>
    <n v="11251.77"/>
    <n v="6596.62"/>
  </r>
  <r>
    <s v="1781"/>
    <s v="Luisa Morales"/>
    <d v="2013-12-31T00:00:00"/>
    <n v="12"/>
    <x v="1"/>
    <x v="4"/>
    <d v="2024-08-08T00:00:00"/>
    <d v="2025-03-24T00:00:00"/>
    <n v="24"/>
    <x v="0"/>
    <n v="2"/>
    <n v="1"/>
    <n v="1311.6"/>
    <n v="1067.54"/>
    <n v="8439.67"/>
  </r>
  <r>
    <s v="1782"/>
    <s v="Laura Rodríguez"/>
    <d v="1988-01-01T00:00:00"/>
    <n v="38"/>
    <x v="1"/>
    <x v="1"/>
    <d v="2023-06-06T00:00:00"/>
    <d v="2024-06-12T00:00:00"/>
    <n v="7"/>
    <x v="0"/>
    <n v="7"/>
    <n v="3"/>
    <n v="6090.45"/>
    <n v="6426.23"/>
    <n v="10092.93"/>
  </r>
  <r>
    <s v="1783"/>
    <s v="Ana Gómez"/>
    <d v="2012-01-01T00:00:00"/>
    <n v="14"/>
    <x v="0"/>
    <x v="4"/>
    <d v="2023-09-23T00:00:00"/>
    <d v="2023-11-17T00:00:00"/>
    <n v="32"/>
    <x v="2"/>
    <n v="12"/>
    <n v="7"/>
    <n v="1424.5"/>
    <n v="14818.29"/>
    <n v="35.700000000000003"/>
  </r>
  <r>
    <s v="1784"/>
    <s v="Carlos Cruz"/>
    <d v="1997-12-31T00:00:00"/>
    <n v="28"/>
    <x v="0"/>
    <x v="6"/>
    <d v="2023-05-14T00:00:00"/>
    <d v="2023-02-07T00:00:00"/>
    <n v="20"/>
    <x v="0"/>
    <n v="1"/>
    <n v="7"/>
    <n v="1212.22"/>
    <n v="6798.64"/>
    <n v="9683.98"/>
  </r>
  <r>
    <s v="1785"/>
    <s v="Carlos Martínez"/>
    <d v="1936-01-01T00:00:00"/>
    <n v="28"/>
    <x v="2"/>
    <x v="6"/>
    <d v="2024-04-08T00:00:00"/>
    <d v="2024-05-14T00:00:00"/>
    <n v="3"/>
    <x v="0"/>
    <n v="5"/>
    <n v="7"/>
    <n v="13047.07"/>
    <n v="9441.02"/>
    <n v="3817.98"/>
  </r>
  <r>
    <s v="1786"/>
    <s v="María López"/>
    <d v="1952-01-01T00:00:00"/>
    <n v="74"/>
    <x v="1"/>
    <x v="5"/>
    <d v="2024-08-23T00:00:00"/>
    <d v="2024-10-27T00:00:00"/>
    <n v="8"/>
    <x v="1"/>
    <n v="1"/>
    <n v="7"/>
    <n v="24212.45"/>
    <n v="10514.65"/>
    <n v="1867.33"/>
  </r>
  <r>
    <s v="1787"/>
    <s v="Jorge Ramírez"/>
    <d v="1995-01-01T00:00:00"/>
    <n v="31"/>
    <x v="1"/>
    <x v="5"/>
    <d v="2023-05-12T00:00:00"/>
    <d v="2023-09-23T00:00:00"/>
    <n v="24"/>
    <x v="2"/>
    <n v="9"/>
    <n v="6"/>
    <n v="19751.64"/>
    <n v="9958.9699999999993"/>
    <n v="10619.26"/>
  </r>
  <r>
    <s v="1788"/>
    <s v="Ricardo Ramírez"/>
    <d v="2024-12-31T00:00:00"/>
    <n v="1"/>
    <x v="0"/>
    <x v="4"/>
    <d v="2023-02-03T00:00:00"/>
    <d v="2024-11-26T00:00:00"/>
    <n v="28"/>
    <x v="1"/>
    <n v="8"/>
    <n v="5"/>
    <n v="20222.12"/>
    <n v="7780.78"/>
    <n v="14857.4"/>
  </r>
  <r>
    <s v="1789"/>
    <s v="Jorge Rodríguez"/>
    <d v="1980-01-01T00:00:00"/>
    <n v="46"/>
    <x v="0"/>
    <x v="1"/>
    <d v="2023-03-24T00:00:00"/>
    <d v="2024-10-30T00:00:00"/>
    <n v="27"/>
    <x v="0"/>
    <n v="9"/>
    <n v="6"/>
    <n v="7504.32"/>
    <n v="1991.94"/>
    <n v="18688.47"/>
  </r>
  <r>
    <s v="1790"/>
    <s v="Luis Pérez"/>
    <d v="1948-12-31T00:00:00"/>
    <n v="77"/>
    <x v="0"/>
    <x v="1"/>
    <d v="2023-05-12T00:00:00"/>
    <d v="2024-10-11T00:00:00"/>
    <n v="0"/>
    <x v="0"/>
    <n v="7"/>
    <n v="4"/>
    <n v="161.32"/>
    <n v="10626.22"/>
    <n v="18244.46"/>
  </r>
  <r>
    <s v="1791"/>
    <s v="Miguel Morales"/>
    <d v="1943-01-01T00:00:00"/>
    <n v="83"/>
    <x v="0"/>
    <x v="3"/>
    <d v="2024-03-03T00:00:00"/>
    <d v="2024-02-07T00:00:00"/>
    <n v="10"/>
    <x v="0"/>
    <n v="12"/>
    <n v="7"/>
    <n v="13244.72"/>
    <n v="13999.92"/>
    <n v="7919.83"/>
  </r>
  <r>
    <s v="1792"/>
    <s v="Miguel Pérez"/>
    <d v="2004-12-31T00:00:00"/>
    <n v="21"/>
    <x v="1"/>
    <x v="2"/>
    <d v="2023-07-23T00:00:00"/>
    <d v="2024-08-25T00:00:00"/>
    <n v="37"/>
    <x v="0"/>
    <n v="10"/>
    <n v="1"/>
    <n v="11002.29"/>
    <n v="14125.45"/>
    <n v="14051.56"/>
  </r>
  <r>
    <s v="1793"/>
    <s v="Luis Morales"/>
    <d v="1952-01-01T00:00:00"/>
    <n v="74"/>
    <x v="0"/>
    <x v="2"/>
    <d v="2023-12-02T00:00:00"/>
    <d v="2023-08-07T00:00:00"/>
    <n v="18"/>
    <x v="0"/>
    <n v="8"/>
    <n v="4"/>
    <n v="28390.67"/>
    <n v="8900.84"/>
    <n v="13881.97"/>
  </r>
  <r>
    <s v="1794"/>
    <s v="Sofía Pérez"/>
    <d v="2000-01-01T00:00:00"/>
    <n v="26"/>
    <x v="0"/>
    <x v="2"/>
    <d v="2024-05-11T00:00:00"/>
    <d v="2023-11-27T00:00:00"/>
    <n v="8"/>
    <x v="2"/>
    <n v="10"/>
    <n v="6"/>
    <n v="1696.6"/>
    <n v="7382.96"/>
    <n v="8183.32"/>
  </r>
  <r>
    <s v="1795"/>
    <s v="Juan López"/>
    <d v="1960-01-01T00:00:00"/>
    <n v="66"/>
    <x v="0"/>
    <x v="0"/>
    <d v="2024-03-17T00:00:00"/>
    <d v="2023-07-06T00:00:00"/>
    <n v="0"/>
    <x v="1"/>
    <n v="11"/>
    <n v="8"/>
    <n v="23180.79"/>
    <n v="5009.42"/>
    <n v="1874.03"/>
  </r>
  <r>
    <s v="1796"/>
    <s v="Ana Gómez"/>
    <d v="1945-12-31T00:00:00"/>
    <n v="80"/>
    <x v="1"/>
    <x v="3"/>
    <d v="2023-09-15T00:00:00"/>
    <d v="2024-01-17T00:00:00"/>
    <n v="35"/>
    <x v="0"/>
    <n v="8"/>
    <n v="9"/>
    <n v="11255.19"/>
    <n v="1553.53"/>
    <n v="7578.38"/>
  </r>
  <r>
    <s v="1797"/>
    <s v="Sofía Cruz"/>
    <d v="1971-01-01T00:00:00"/>
    <n v="55"/>
    <x v="1"/>
    <x v="4"/>
    <d v="2023-10-19T00:00:00"/>
    <d v="2023-07-29T00:00:00"/>
    <n v="28"/>
    <x v="0"/>
    <n v="10"/>
    <n v="0"/>
    <n v="24803.4"/>
    <n v="13246.77"/>
    <n v="19846.39"/>
  </r>
  <r>
    <s v="1798"/>
    <s v="Elena Gómez"/>
    <d v="1935-01-01T00:00:00"/>
    <n v="91"/>
    <x v="1"/>
    <x v="2"/>
    <d v="2023-05-05T00:00:00"/>
    <d v="2024-07-17T00:00:00"/>
    <n v="21"/>
    <x v="2"/>
    <n v="1"/>
    <n v="8"/>
    <n v="14594.69"/>
    <n v="2055.8000000000002"/>
    <n v="11056.2"/>
  </r>
  <r>
    <s v="1799"/>
    <s v="Ricardo Cruz"/>
    <d v="1933-12-31T00:00:00"/>
    <n v="92"/>
    <x v="0"/>
    <x v="0"/>
    <d v="2024-10-24T00:00:00"/>
    <d v="2023-10-16T00:00:00"/>
    <n v="39"/>
    <x v="0"/>
    <n v="1"/>
    <n v="2"/>
    <n v="24525.31"/>
    <n v="4319.1899999999996"/>
    <n v="6761.96"/>
  </r>
  <r>
    <s v="1800"/>
    <s v="Laura Hernández"/>
    <d v="2005-12-31T00:00:00"/>
    <n v="20"/>
    <x v="1"/>
    <x v="0"/>
    <d v="2023-06-24T00:00:00"/>
    <d v="2023-03-30T00:00:00"/>
    <n v="9"/>
    <x v="0"/>
    <n v="10"/>
    <n v="0"/>
    <n v="13738.88"/>
    <n v="11105.98"/>
    <n v="14850.68"/>
  </r>
  <r>
    <s v="1801"/>
    <s v="Pedro Morales"/>
    <d v="1980-01-01T00:00:00"/>
    <n v="46"/>
    <x v="1"/>
    <x v="6"/>
    <d v="2024-05-06T00:00:00"/>
    <d v="2023-05-17T00:00:00"/>
    <n v="24"/>
    <x v="0"/>
    <n v="5"/>
    <n v="6"/>
    <n v="11756.72"/>
    <n v="10571.46"/>
    <n v="13695.15"/>
  </r>
  <r>
    <s v="1802"/>
    <s v="Elena López"/>
    <d v="1991-01-01T00:00:00"/>
    <n v="79"/>
    <x v="1"/>
    <x v="0"/>
    <d v="2023-03-21T00:00:00"/>
    <d v="2023-06-08T00:00:00"/>
    <n v="18"/>
    <x v="0"/>
    <n v="12"/>
    <n v="2"/>
    <n v="28893.11"/>
    <n v="10215.19"/>
    <n v="11533.88"/>
  </r>
  <r>
    <s v="1803"/>
    <s v="María Gómez"/>
    <d v="1968-01-01T00:00:00"/>
    <n v="58"/>
    <x v="0"/>
    <x v="5"/>
    <d v="2024-09-10T00:00:00"/>
    <d v="2025-03-05T00:00:00"/>
    <n v="22"/>
    <x v="0"/>
    <n v="14"/>
    <n v="7"/>
    <n v="10750.17"/>
    <n v="11125.6"/>
    <n v="12712.4"/>
  </r>
  <r>
    <s v="1804"/>
    <s v="Sofía Pérez"/>
    <d v="1943-01-01T00:00:00"/>
    <n v="83"/>
    <x v="1"/>
    <x v="1"/>
    <d v="2023-11-01T00:00:00"/>
    <d v="2023-06-05T00:00:00"/>
    <n v="27"/>
    <x v="0"/>
    <n v="11"/>
    <n v="1"/>
    <n v="24061.65"/>
    <n v="8129.66"/>
    <n v="11657.25"/>
  </r>
  <r>
    <s v="1805"/>
    <s v="Jorge Ramírez"/>
    <d v="2020-12-31T00:00:00"/>
    <n v="5"/>
    <x v="0"/>
    <x v="0"/>
    <d v="2024-05-24T00:00:00"/>
    <d v="2024-04-08T00:00:00"/>
    <n v="27"/>
    <x v="1"/>
    <n v="1"/>
    <n v="3"/>
    <n v="1544.49"/>
    <n v="2324.2600000000002"/>
    <n v="19121.169999999998"/>
  </r>
  <r>
    <s v="1806"/>
    <s v="Carmen Rodríguez"/>
    <d v="2008-01-01T00:00:00"/>
    <n v="18"/>
    <x v="1"/>
    <x v="5"/>
    <d v="2023-12-10T00:00:00"/>
    <d v="2023-08-09T00:00:00"/>
    <n v="7"/>
    <x v="1"/>
    <n v="13"/>
    <n v="1"/>
    <n v="1410.78"/>
    <n v="14975.37"/>
    <n v="10133.59"/>
  </r>
  <r>
    <s v="1807"/>
    <s v="Carlos Gómez"/>
    <d v="1969-12-31T00:00:00"/>
    <n v="56"/>
    <x v="1"/>
    <x v="5"/>
    <d v="2024-07-23T00:00:00"/>
    <d v="2024-04-04T00:00:00"/>
    <n v="0"/>
    <x v="1"/>
    <n v="3"/>
    <n v="3"/>
    <n v="12862.3"/>
    <n v="13382.09"/>
    <n v="11762.84"/>
  </r>
  <r>
    <s v="1808"/>
    <s v="Ricardo Morales"/>
    <d v="1957-12-31T00:00:00"/>
    <n v="68"/>
    <x v="0"/>
    <x v="6"/>
    <d v="2023-04-01T00:00:00"/>
    <d v="2023-06-17T00:00:00"/>
    <n v="10"/>
    <x v="0"/>
    <n v="4"/>
    <n v="0"/>
    <n v="17359.89"/>
    <n v="6467.28"/>
    <n v="9380.26"/>
  </r>
  <r>
    <s v="1809"/>
    <s v="José Morales"/>
    <d v="2024-01-01T00:00:00"/>
    <n v="2"/>
    <x v="1"/>
    <x v="4"/>
    <d v="2024-10-08T00:00:00"/>
    <d v="2023-11-19T00:00:00"/>
    <n v="24"/>
    <x v="0"/>
    <n v="12"/>
    <n v="9"/>
    <n v="18060.259999999998"/>
    <n v="7954.89"/>
    <n v="11964.47"/>
  </r>
  <r>
    <s v="1810"/>
    <s v="María Morales"/>
    <d v="2025-12-31T00:00:00"/>
    <n v="0"/>
    <x v="1"/>
    <x v="6"/>
    <d v="2023-06-18T00:00:00"/>
    <d v="2024-11-22T00:00:00"/>
    <n v="15"/>
    <x v="2"/>
    <n v="1"/>
    <n v="4"/>
    <n v="609.78"/>
    <n v="5903.26"/>
    <n v="17805.62"/>
  </r>
  <r>
    <s v="1811"/>
    <s v="Laura López"/>
    <d v="1968-12-31T00:00:00"/>
    <n v="57"/>
    <x v="1"/>
    <x v="0"/>
    <d v="2023-11-30T00:00:00"/>
    <d v="2025-04-21T00:00:00"/>
    <n v="21"/>
    <x v="2"/>
    <n v="14"/>
    <n v="2"/>
    <n v="20750.57"/>
    <n v="9569.67"/>
    <n v="6729.07"/>
  </r>
  <r>
    <s v="1812"/>
    <s v="Miguel Cruz"/>
    <d v="1988-12-31T00:00:00"/>
    <n v="37"/>
    <x v="0"/>
    <x v="6"/>
    <d v="2024-09-25T00:00:00"/>
    <d v="2024-07-16T00:00:00"/>
    <n v="11"/>
    <x v="2"/>
    <n v="11"/>
    <n v="8"/>
    <n v="3462.74"/>
    <n v="10967.1"/>
    <n v="9867.65"/>
  </r>
  <r>
    <s v="1813"/>
    <s v="Sofía Hernández"/>
    <d v="2012-01-01T00:00:00"/>
    <n v="14"/>
    <x v="0"/>
    <x v="6"/>
    <d v="2023-08-24T00:00:00"/>
    <d v="2025-03-24T00:00:00"/>
    <n v="36"/>
    <x v="1"/>
    <n v="4"/>
    <n v="3"/>
    <n v="28638.02"/>
    <n v="3473.45"/>
    <n v="8917.08"/>
  </r>
  <r>
    <s v="1814"/>
    <s v="Elena López"/>
    <d v="1992-12-31T00:00:00"/>
    <n v="33"/>
    <x v="1"/>
    <x v="4"/>
    <d v="2024-02-03T00:00:00"/>
    <d v="2024-05-27T00:00:00"/>
    <n v="1"/>
    <x v="1"/>
    <n v="2"/>
    <n v="5"/>
    <n v="9673.24"/>
    <n v="6491.95"/>
    <n v="7899.34"/>
  </r>
  <r>
    <s v="1815"/>
    <s v="Luisa Pérez"/>
    <d v="1965-12-31T00:00:00"/>
    <n v="60"/>
    <x v="1"/>
    <x v="1"/>
    <d v="2024-08-10T00:00:00"/>
    <d v="2023-03-29T00:00:00"/>
    <n v="13"/>
    <x v="1"/>
    <n v="4"/>
    <n v="8"/>
    <n v="7474.07"/>
    <n v="9603.52"/>
    <n v="16402.849999999999"/>
  </r>
  <r>
    <s v="1816"/>
    <s v="Jorge López"/>
    <d v="1992-01-01T00:00:00"/>
    <n v="34"/>
    <x v="2"/>
    <x v="2"/>
    <d v="2024-04-21T00:00:00"/>
    <d v="2024-06-29T00:00:00"/>
    <n v="7"/>
    <x v="0"/>
    <n v="4"/>
    <n v="1"/>
    <n v="8383.61"/>
    <n v="14820.3"/>
    <n v="4562.1000000000004"/>
  </r>
  <r>
    <s v="1817"/>
    <s v="Luis Sánchez"/>
    <d v="1963-01-01T00:00:00"/>
    <n v="63"/>
    <x v="0"/>
    <x v="0"/>
    <d v="2024-06-18T00:00:00"/>
    <d v="2023-10-03T00:00:00"/>
    <n v="34"/>
    <x v="1"/>
    <n v="14"/>
    <n v="6"/>
    <n v="28089.279999999999"/>
    <n v="4873.1099999999997"/>
    <n v="9948.35"/>
  </r>
  <r>
    <s v="1818"/>
    <s v="Jorge Gómez"/>
    <d v="2001-12-31T00:00:00"/>
    <n v="24"/>
    <x v="1"/>
    <x v="4"/>
    <d v="2024-08-07T00:00:00"/>
    <d v="2023-05-22T00:00:00"/>
    <n v="24"/>
    <x v="0"/>
    <n v="2"/>
    <n v="2"/>
    <n v="14226.66"/>
    <n v="11175.01"/>
    <n v="18485.150000000001"/>
  </r>
  <r>
    <s v="1819"/>
    <s v="Jorge Martínez"/>
    <d v="2003-01-01T00:00:00"/>
    <n v="23"/>
    <x v="0"/>
    <x v="0"/>
    <d v="2023-03-29T00:00:00"/>
    <d v="2024-12-19T00:00:00"/>
    <n v="2"/>
    <x v="0"/>
    <n v="1"/>
    <n v="0"/>
    <n v="12757.73"/>
    <n v="5200.08"/>
    <n v="3141.22"/>
  </r>
  <r>
    <s v="1820"/>
    <s v="José Martínez"/>
    <d v="2015-01-01T00:00:00"/>
    <n v="11"/>
    <x v="0"/>
    <x v="0"/>
    <d v="2024-09-06T00:00:00"/>
    <d v="2025-01-06T00:00:00"/>
    <n v="2"/>
    <x v="0"/>
    <n v="1"/>
    <n v="8"/>
    <n v="16759.900000000001"/>
    <n v="1385.1"/>
    <n v="6.65"/>
  </r>
  <r>
    <s v="1821"/>
    <s v="Laura Cruz"/>
    <d v="2008-12-31T00:00:00"/>
    <n v="17"/>
    <x v="0"/>
    <x v="6"/>
    <d v="2024-08-28T00:00:00"/>
    <d v="2024-09-17T00:00:00"/>
    <n v="10"/>
    <x v="0"/>
    <n v="9"/>
    <n v="8"/>
    <n v="27888.240000000002"/>
    <n v="11552.19"/>
    <n v="5230.99"/>
  </r>
  <r>
    <s v="1822"/>
    <s v="Miguel Pérez"/>
    <d v="2012-01-01T00:00:00"/>
    <n v="14"/>
    <x v="1"/>
    <x v="1"/>
    <d v="2023-09-10T00:00:00"/>
    <d v="2025-03-01T00:00:00"/>
    <n v="0"/>
    <x v="2"/>
    <n v="8"/>
    <n v="3"/>
    <n v="8904.3700000000008"/>
    <n v="9739.6"/>
    <n v="18438.46"/>
  </r>
  <r>
    <s v="1823"/>
    <s v="Ricardo Rodríguez"/>
    <d v="1947-01-01T00:00:00"/>
    <n v="79"/>
    <x v="1"/>
    <x v="6"/>
    <d v="2023-12-24T00:00:00"/>
    <d v="2023-12-20T00:00:00"/>
    <n v="14"/>
    <x v="0"/>
    <n v="5"/>
    <n v="8"/>
    <n v="5015.01"/>
    <n v="7715.1"/>
    <n v="1661.25"/>
  </r>
  <r>
    <s v="1824"/>
    <s v="Ricardo Gómez"/>
    <d v="2000-01-01T00:00:00"/>
    <n v="26"/>
    <x v="1"/>
    <x v="5"/>
    <d v="2023-02-27T00:00:00"/>
    <d v="2023-01-06T00:00:00"/>
    <n v="16"/>
    <x v="2"/>
    <n v="0"/>
    <n v="6"/>
    <n v="17662.47"/>
    <n v="10125.540000000001"/>
    <n v="2655.2"/>
  </r>
  <r>
    <s v="1825"/>
    <s v="Jorge Rodríguez"/>
    <d v="1955-01-01T00:00:00"/>
    <n v="71"/>
    <x v="0"/>
    <x v="3"/>
    <d v="2024-02-03T00:00:00"/>
    <d v="2024-01-18T00:00:00"/>
    <n v="34"/>
    <x v="0"/>
    <n v="2"/>
    <n v="3"/>
    <n v="14496.08"/>
    <n v="13189.5"/>
    <n v="6338.83"/>
  </r>
  <r>
    <s v="1826"/>
    <s v="Miguel Cruz"/>
    <d v="1967-01-01T00:00:00"/>
    <n v="59"/>
    <x v="0"/>
    <x v="3"/>
    <d v="2024-06-04T00:00:00"/>
    <d v="2024-12-25T00:00:00"/>
    <n v="2"/>
    <x v="0"/>
    <n v="4"/>
    <n v="1"/>
    <n v="1390.03"/>
    <n v="11347.66"/>
    <n v="15371.04"/>
  </r>
  <r>
    <s v="1827"/>
    <s v="Elena Cruz"/>
    <d v="1980-12-31T00:00:00"/>
    <n v="45"/>
    <x v="1"/>
    <x v="4"/>
    <d v="2024-06-08T00:00:00"/>
    <d v="2025-02-07T00:00:00"/>
    <n v="39"/>
    <x v="1"/>
    <n v="3"/>
    <n v="4"/>
    <n v="15419.09"/>
    <n v="12867.26"/>
    <n v="15000.74"/>
  </r>
  <r>
    <s v="1828"/>
    <s v="Miguel Gómez"/>
    <d v="1937-12-31T00:00:00"/>
    <n v="88"/>
    <x v="0"/>
    <x v="3"/>
    <d v="2024-02-21T00:00:00"/>
    <d v="2023-12-01T00:00:00"/>
    <n v="21"/>
    <x v="2"/>
    <n v="12"/>
    <n v="7"/>
    <n v="16653.75"/>
    <n v="4350.28"/>
    <n v="1650.11"/>
  </r>
  <r>
    <s v="1829"/>
    <s v="Ricardo Rodríguez"/>
    <d v="2009-12-31T00:00:00"/>
    <n v="16"/>
    <x v="0"/>
    <x v="4"/>
    <d v="2024-01-28T00:00:00"/>
    <d v="2024-04-20T00:00:00"/>
    <n v="30"/>
    <x v="0"/>
    <n v="4"/>
    <n v="9"/>
    <n v="20671.59"/>
    <n v="12007.25"/>
    <n v="18670.23"/>
  </r>
  <r>
    <s v="1830"/>
    <s v="Ricardo López"/>
    <d v="1933-12-31T00:00:00"/>
    <n v="92"/>
    <x v="2"/>
    <x v="2"/>
    <d v="2024-10-04T00:00:00"/>
    <d v="2023-01-31T00:00:00"/>
    <n v="18"/>
    <x v="2"/>
    <n v="3"/>
    <n v="9"/>
    <n v="29864.03"/>
    <n v="5400.14"/>
    <n v="4700.26"/>
  </r>
  <r>
    <s v="1831"/>
    <s v="Sofía Rodríguez"/>
    <d v="1973-12-31T00:00:00"/>
    <n v="52"/>
    <x v="0"/>
    <x v="6"/>
    <d v="2023-08-10T00:00:00"/>
    <d v="2023-12-14T00:00:00"/>
    <n v="0"/>
    <x v="1"/>
    <n v="7"/>
    <n v="5"/>
    <n v="12358.22"/>
    <n v="309.77999999999997"/>
    <n v="5540.8"/>
  </r>
  <r>
    <s v="1832"/>
    <s v="Elena Ramírez"/>
    <d v="2019-01-01T00:00:00"/>
    <n v="7"/>
    <x v="2"/>
    <x v="5"/>
    <d v="2023-11-25T00:00:00"/>
    <d v="2024-08-17T00:00:00"/>
    <n v="1"/>
    <x v="0"/>
    <n v="9"/>
    <n v="4"/>
    <n v="15061.2"/>
    <n v="647.76"/>
    <n v="7667"/>
  </r>
  <r>
    <s v="1833"/>
    <s v="Jorge Rodríguez"/>
    <d v="1948-01-01T00:00:00"/>
    <n v="78"/>
    <x v="1"/>
    <x v="5"/>
    <d v="2024-01-07T00:00:00"/>
    <d v="2024-05-08T00:00:00"/>
    <n v="29"/>
    <x v="1"/>
    <n v="14"/>
    <n v="3"/>
    <n v="1787.57"/>
    <n v="10955.32"/>
    <n v="12653.3"/>
  </r>
  <r>
    <s v="1834"/>
    <s v="Luisa Ramírez"/>
    <d v="2000-01-01T00:00:00"/>
    <n v="26"/>
    <x v="0"/>
    <x v="3"/>
    <d v="2024-05-25T00:00:00"/>
    <d v="2025-01-18T00:00:00"/>
    <n v="21"/>
    <x v="0"/>
    <n v="10"/>
    <n v="5"/>
    <n v="24863.439999999999"/>
    <n v="4078.64"/>
    <n v="10378.32"/>
  </r>
  <r>
    <s v="1835"/>
    <s v="Sofía Gómez"/>
    <d v="1980-12-31T00:00:00"/>
    <n v="45"/>
    <x v="0"/>
    <x v="1"/>
    <d v="2023-06-02T00:00:00"/>
    <d v="2024-05-10T00:00:00"/>
    <n v="32"/>
    <x v="1"/>
    <n v="11"/>
    <n v="2"/>
    <n v="2493.75"/>
    <n v="4613.76"/>
    <n v="18565.16"/>
  </r>
  <r>
    <s v="1836"/>
    <s v="Elena Hernández"/>
    <d v="1976-12-31T00:00:00"/>
    <n v="49"/>
    <x v="1"/>
    <x v="2"/>
    <d v="2024-04-24T00:00:00"/>
    <d v="2025-05-06T00:00:00"/>
    <n v="15"/>
    <x v="1"/>
    <n v="14"/>
    <n v="1"/>
    <n v="27981.82"/>
    <n v="9338.67"/>
    <n v="11248.88"/>
  </r>
  <r>
    <s v="1837"/>
    <s v="Sofía Gómez"/>
    <d v="1956-01-01T00:00:00"/>
    <n v="70"/>
    <x v="1"/>
    <x v="4"/>
    <d v="2024-08-05T00:00:00"/>
    <d v="2024-01-24T00:00:00"/>
    <n v="0"/>
    <x v="0"/>
    <n v="0"/>
    <n v="0"/>
    <n v="10129.26"/>
    <n v="11122.64"/>
    <n v="17126.439999999999"/>
  </r>
  <r>
    <s v="1838"/>
    <s v="María Martínez"/>
    <d v="2024-01-01T00:00:00"/>
    <n v="2"/>
    <x v="2"/>
    <x v="2"/>
    <d v="2023-01-20T00:00:00"/>
    <d v="2025-05-23T00:00:00"/>
    <n v="36"/>
    <x v="0"/>
    <n v="2"/>
    <n v="8"/>
    <n v="9796.27"/>
    <n v="8383.26"/>
    <n v="1471.9"/>
  </r>
  <r>
    <s v="1839"/>
    <s v="Miguel Morales"/>
    <d v="1933-12-31T00:00:00"/>
    <n v="92"/>
    <x v="1"/>
    <x v="3"/>
    <d v="2024-08-15T00:00:00"/>
    <d v="2025-04-15T00:00:00"/>
    <n v="23"/>
    <x v="0"/>
    <n v="1"/>
    <n v="0"/>
    <n v="9522.57"/>
    <n v="10595.58"/>
    <n v="17103.63"/>
  </r>
  <r>
    <s v="1840"/>
    <s v="Jorge Morales"/>
    <d v="1963-01-01T00:00:00"/>
    <n v="63"/>
    <x v="0"/>
    <x v="4"/>
    <d v="2023-08-16T00:00:00"/>
    <d v="2023-09-11T00:00:00"/>
    <n v="21"/>
    <x v="0"/>
    <n v="10"/>
    <n v="3"/>
    <n v="28489.93"/>
    <n v="14115.79"/>
    <n v="3874.03"/>
  </r>
  <r>
    <s v="1841"/>
    <s v="Pedro Cruz"/>
    <d v="1983-01-01T00:00:00"/>
    <n v="43"/>
    <x v="1"/>
    <x v="4"/>
    <d v="2023-12-12T00:00:00"/>
    <d v="2024-09-22T00:00:00"/>
    <n v="2"/>
    <x v="2"/>
    <n v="11"/>
    <n v="5"/>
    <n v="29393.29"/>
    <n v="12812.4"/>
    <n v="7187.35"/>
  </r>
  <r>
    <s v="1842"/>
    <s v="María Martínez"/>
    <d v="1973-12-31T00:00:00"/>
    <n v="52"/>
    <x v="1"/>
    <x v="3"/>
    <d v="2023-01-19T00:00:00"/>
    <d v="2023-01-31T00:00:00"/>
    <n v="31"/>
    <x v="0"/>
    <n v="5"/>
    <n v="8"/>
    <n v="29183.83"/>
    <n v="3612.05"/>
    <n v="6329.72"/>
  </r>
  <r>
    <s v="1843"/>
    <s v="Ricardo Ramírez"/>
    <d v="1968-01-01T00:00:00"/>
    <n v="23"/>
    <x v="1"/>
    <x v="6"/>
    <d v="2024-03-19T00:00:00"/>
    <d v="2024-09-15T00:00:00"/>
    <n v="9"/>
    <x v="2"/>
    <n v="1"/>
    <n v="3"/>
    <n v="20996.01"/>
    <n v="13601.87"/>
    <n v="6679.36"/>
  </r>
  <r>
    <s v="1844"/>
    <s v="Laura Hernández"/>
    <d v="1967-01-01T00:00:00"/>
    <n v="59"/>
    <x v="1"/>
    <x v="1"/>
    <d v="2024-11-07T00:00:00"/>
    <d v="2025-02-05T00:00:00"/>
    <n v="14"/>
    <x v="0"/>
    <n v="4"/>
    <n v="6"/>
    <n v="2887.27"/>
    <n v="4458.96"/>
    <n v="18365.490000000002"/>
  </r>
  <r>
    <s v="1845"/>
    <s v="José Ramírez"/>
    <d v="2024-01-01T00:00:00"/>
    <n v="2"/>
    <x v="0"/>
    <x v="2"/>
    <d v="2024-01-03T00:00:00"/>
    <d v="2024-12-12T00:00:00"/>
    <n v="18"/>
    <x v="0"/>
    <n v="8"/>
    <n v="6"/>
    <n v="11284.05"/>
    <n v="9908.82"/>
    <n v="8776.0300000000007"/>
  </r>
  <r>
    <s v="1846"/>
    <s v="Carlos Rodríguez"/>
    <d v="2007-01-01T00:00:00"/>
    <n v="19"/>
    <x v="0"/>
    <x v="5"/>
    <d v="2024-09-10T00:00:00"/>
    <d v="2025-03-18T00:00:00"/>
    <n v="18"/>
    <x v="1"/>
    <n v="8"/>
    <n v="5"/>
    <n v="8323.93"/>
    <n v="13120.74"/>
    <n v="5286.16"/>
  </r>
  <r>
    <s v="1847"/>
    <s v="Miguel Cruz"/>
    <d v="1980-12-31T00:00:00"/>
    <n v="45"/>
    <x v="1"/>
    <x v="3"/>
    <d v="2024-12-26T00:00:00"/>
    <d v="2023-12-09T00:00:00"/>
    <n v="0"/>
    <x v="0"/>
    <n v="11"/>
    <n v="8"/>
    <n v="21105.88"/>
    <n v="9351.69"/>
    <n v="5817.48"/>
  </r>
  <r>
    <s v="1848"/>
    <s v="Ricardo Sánchez"/>
    <d v="2012-01-01T00:00:00"/>
    <n v="14"/>
    <x v="1"/>
    <x v="6"/>
    <d v="2023-05-27T00:00:00"/>
    <d v="2025-03-20T00:00:00"/>
    <n v="25"/>
    <x v="1"/>
    <n v="7"/>
    <n v="9"/>
    <n v="14525.96"/>
    <n v="12092.94"/>
    <n v="16047.06"/>
  </r>
  <r>
    <s v="1849"/>
    <s v="Luis Hernández"/>
    <d v="2001-12-31T00:00:00"/>
    <n v="24"/>
    <x v="1"/>
    <x v="5"/>
    <d v="2024-11-23T00:00:00"/>
    <d v="2023-10-15T00:00:00"/>
    <n v="22"/>
    <x v="0"/>
    <n v="0"/>
    <n v="6"/>
    <n v="18303.29"/>
    <n v="13910.21"/>
    <n v="10736.2"/>
  </r>
  <r>
    <s v="1850"/>
    <s v="Carmen Morales"/>
    <d v="1932-12-31T00:00:00"/>
    <n v="93"/>
    <x v="1"/>
    <x v="2"/>
    <d v="2024-05-18T00:00:00"/>
    <d v="2024-02-02T00:00:00"/>
    <n v="3"/>
    <x v="0"/>
    <n v="14"/>
    <n v="2"/>
    <n v="233.7"/>
    <n v="14504.06"/>
    <n v="8934.89"/>
  </r>
  <r>
    <s v="1851"/>
    <s v="Juan Morales"/>
    <d v="1948-12-31T00:00:00"/>
    <n v="77"/>
    <x v="0"/>
    <x v="3"/>
    <d v="2024-03-05T00:00:00"/>
    <d v="2024-05-24T00:00:00"/>
    <n v="39"/>
    <x v="1"/>
    <n v="1"/>
    <n v="5"/>
    <n v="23377.35"/>
    <n v="6159.49"/>
    <n v="18528.96"/>
  </r>
  <r>
    <s v="1852"/>
    <s v="Jorge Pérez"/>
    <d v="1956-01-01T00:00:00"/>
    <n v="70"/>
    <x v="1"/>
    <x v="4"/>
    <d v="2024-03-15T00:00:00"/>
    <d v="2023-09-02T00:00:00"/>
    <n v="27"/>
    <x v="0"/>
    <n v="10"/>
    <n v="6"/>
    <n v="28537.58"/>
    <n v="14891.52"/>
    <n v="18593.150000000001"/>
  </r>
  <r>
    <s v="1853"/>
    <s v="Ana Gómez"/>
    <d v="2009-12-31T00:00:00"/>
    <n v="16"/>
    <x v="1"/>
    <x v="1"/>
    <d v="2023-07-17T00:00:00"/>
    <d v="2023-08-10T00:00:00"/>
    <n v="29"/>
    <x v="2"/>
    <n v="13"/>
    <n v="6"/>
    <n v="19915.89"/>
    <n v="4075.22"/>
    <n v="15097.98"/>
  </r>
  <r>
    <s v="1854"/>
    <s v="Carmen Ramírez"/>
    <d v="1943-01-01T00:00:00"/>
    <n v="83"/>
    <x v="0"/>
    <x v="3"/>
    <d v="2023-10-14T00:00:00"/>
    <d v="2023-06-06T00:00:00"/>
    <n v="19"/>
    <x v="0"/>
    <n v="9"/>
    <n v="5"/>
    <n v="25484.09"/>
    <n v="6932.8"/>
    <n v="10311.93"/>
  </r>
  <r>
    <s v="1855"/>
    <s v="María Morales"/>
    <d v="2017-12-31T00:00:00"/>
    <n v="8"/>
    <x v="1"/>
    <x v="1"/>
    <d v="2024-07-18T00:00:00"/>
    <d v="2024-01-19T00:00:00"/>
    <n v="35"/>
    <x v="1"/>
    <n v="9"/>
    <n v="2"/>
    <n v="14086.64"/>
    <n v="11410.58"/>
    <n v="2243.89"/>
  </r>
  <r>
    <s v="1856"/>
    <s v="María Martínez"/>
    <d v="1988-12-31T00:00:00"/>
    <n v="37"/>
    <x v="1"/>
    <x v="6"/>
    <d v="2024-01-04T00:00:00"/>
    <d v="2025-01-18T00:00:00"/>
    <n v="11"/>
    <x v="1"/>
    <n v="9"/>
    <n v="5"/>
    <n v="116.35"/>
    <n v="14552.3"/>
    <n v="14129.79"/>
  </r>
  <r>
    <s v="1857"/>
    <s v="Ana Sánchez"/>
    <d v="1979-01-01T00:00:00"/>
    <n v="47"/>
    <x v="1"/>
    <x v="6"/>
    <d v="2023-08-28T00:00:00"/>
    <d v="2023-11-17T00:00:00"/>
    <n v="31"/>
    <x v="2"/>
    <n v="8"/>
    <n v="1"/>
    <n v="29709.31"/>
    <n v="794.12"/>
    <n v="16283.76"/>
  </r>
  <r>
    <s v="1858"/>
    <s v="Ana Hernández"/>
    <d v="1967-01-01T00:00:00"/>
    <n v="2"/>
    <x v="0"/>
    <x v="2"/>
    <d v="2023-10-14T00:00:00"/>
    <d v="2024-01-09T00:00:00"/>
    <n v="23"/>
    <x v="2"/>
    <n v="11"/>
    <n v="9"/>
    <n v="1294.3800000000001"/>
    <n v="14184.63"/>
    <n v="17026.04"/>
  </r>
  <r>
    <s v="1859"/>
    <s v="Luis Gómez"/>
    <d v="1964-01-01T00:00:00"/>
    <n v="62"/>
    <x v="0"/>
    <x v="1"/>
    <d v="2024-11-30T00:00:00"/>
    <d v="2024-06-15T00:00:00"/>
    <n v="37"/>
    <x v="2"/>
    <n v="1"/>
    <n v="0"/>
    <n v="5379.61"/>
    <n v="14980.13"/>
    <n v="11595.49"/>
  </r>
  <r>
    <s v="1860"/>
    <s v="Carmen Sánchez"/>
    <d v="1940-12-31T00:00:00"/>
    <n v="85"/>
    <x v="0"/>
    <x v="3"/>
    <d v="2024-01-30T00:00:00"/>
    <d v="2023-08-04T00:00:00"/>
    <n v="10"/>
    <x v="1"/>
    <n v="4"/>
    <n v="7"/>
    <n v="1099.42"/>
    <n v="13643.69"/>
    <n v="12298.47"/>
  </r>
  <r>
    <s v="1861"/>
    <s v="María Cruz"/>
    <d v="2024-12-31T00:00:00"/>
    <n v="1"/>
    <x v="1"/>
    <x v="6"/>
    <d v="2024-06-01T00:00:00"/>
    <d v="2024-01-03T00:00:00"/>
    <n v="27"/>
    <x v="0"/>
    <n v="13"/>
    <n v="2"/>
    <n v="18561.23"/>
    <n v="1625.76"/>
    <n v="14156.75"/>
  </r>
  <r>
    <s v="1862"/>
    <s v="Laura Cruz"/>
    <d v="1939-01-01T00:00:00"/>
    <n v="87"/>
    <x v="1"/>
    <x v="3"/>
    <d v="2024-07-14T00:00:00"/>
    <d v="2023-04-25T00:00:00"/>
    <n v="16"/>
    <x v="0"/>
    <n v="11"/>
    <n v="7"/>
    <n v="17288.54"/>
    <n v="12610.5"/>
    <n v="17465.97"/>
  </r>
  <r>
    <s v="1863"/>
    <s v="Carlos López"/>
    <d v="1955-01-01T00:00:00"/>
    <n v="71"/>
    <x v="0"/>
    <x v="2"/>
    <d v="2024-12-12T00:00:00"/>
    <d v="2023-07-20T00:00:00"/>
    <n v="39"/>
    <x v="2"/>
    <n v="5"/>
    <n v="2"/>
    <n v="5894.92"/>
    <n v="9596.43"/>
    <n v="813.02"/>
  </r>
  <r>
    <s v="1864"/>
    <s v="Pedro Cruz"/>
    <d v="2016-01-01T00:00:00"/>
    <n v="10"/>
    <x v="0"/>
    <x v="1"/>
    <d v="2023-03-01T00:00:00"/>
    <d v="2023-01-26T00:00:00"/>
    <n v="38"/>
    <x v="1"/>
    <n v="9"/>
    <n v="1"/>
    <n v="28677.919999999998"/>
    <n v="142.9"/>
    <n v="11220.76"/>
  </r>
  <r>
    <s v="1865"/>
    <s v="Carlos Martínez"/>
    <d v="1963-01-01T00:00:00"/>
    <n v="63"/>
    <x v="2"/>
    <x v="3"/>
    <d v="2024-06-28T00:00:00"/>
    <d v="2023-05-02T00:00:00"/>
    <n v="36"/>
    <x v="0"/>
    <n v="6"/>
    <n v="7"/>
    <n v="27361.33"/>
    <n v="14765.64"/>
    <n v="7318.83"/>
  </r>
  <r>
    <s v="1866"/>
    <s v="Carmen Sánchez"/>
    <d v="1949-12-31T00:00:00"/>
    <n v="76"/>
    <x v="1"/>
    <x v="5"/>
    <d v="2023-10-30T00:00:00"/>
    <d v="2025-01-12T00:00:00"/>
    <n v="0"/>
    <x v="2"/>
    <n v="2"/>
    <n v="2"/>
    <n v="8034.21"/>
    <n v="2257.86"/>
    <n v="16646.5"/>
  </r>
  <r>
    <s v="1867"/>
    <s v="Carlos Ramírez"/>
    <d v="1945-12-31T00:00:00"/>
    <n v="80"/>
    <x v="1"/>
    <x v="3"/>
    <d v="2023-09-01T00:00:00"/>
    <d v="2024-09-03T00:00:00"/>
    <n v="28"/>
    <x v="0"/>
    <n v="14"/>
    <n v="7"/>
    <n v="19595.38"/>
    <n v="5952.32"/>
    <n v="2589.6"/>
  </r>
  <r>
    <s v="1868"/>
    <s v="Carmen Sánchez"/>
    <d v="1955-01-01T00:00:00"/>
    <n v="71"/>
    <x v="0"/>
    <x v="0"/>
    <d v="2024-11-14T00:00:00"/>
    <d v="2025-05-08T00:00:00"/>
    <n v="9"/>
    <x v="0"/>
    <n v="6"/>
    <n v="1"/>
    <n v="25584.62"/>
    <n v="454.09"/>
    <n v="18185"/>
  </r>
  <r>
    <s v="1869"/>
    <s v="Miguel Rodríguez"/>
    <d v="2005-12-31T00:00:00"/>
    <n v="20"/>
    <x v="0"/>
    <x v="0"/>
    <d v="2023-07-26T00:00:00"/>
    <d v="2023-01-04T00:00:00"/>
    <n v="12"/>
    <x v="0"/>
    <n v="5"/>
    <n v="3"/>
    <n v="10473.84"/>
    <n v="4642.79"/>
    <n v="2392.5300000000002"/>
  </r>
  <r>
    <s v="1870"/>
    <s v="María Morales"/>
    <d v="2008-12-31T00:00:00"/>
    <n v="17"/>
    <x v="0"/>
    <x v="4"/>
    <d v="2024-01-10T00:00:00"/>
    <d v="2025-06-17T00:00:00"/>
    <n v="35"/>
    <x v="1"/>
    <n v="9"/>
    <n v="8"/>
    <n v="7234.27"/>
    <n v="8524.89"/>
    <n v="1695.47"/>
  </r>
  <r>
    <s v="1871"/>
    <s v="Elena Ramírez"/>
    <d v="1932-12-31T00:00:00"/>
    <n v="93"/>
    <x v="0"/>
    <x v="2"/>
    <d v="2023-10-10T00:00:00"/>
    <d v="2025-02-12T00:00:00"/>
    <n v="37"/>
    <x v="1"/>
    <n v="6"/>
    <n v="0"/>
    <n v="7313.79"/>
    <n v="13962.8"/>
    <n v="6864.63"/>
  </r>
  <r>
    <s v="1872"/>
    <s v="Jorge Cruz"/>
    <d v="2019-01-01T00:00:00"/>
    <n v="63"/>
    <x v="0"/>
    <x v="2"/>
    <d v="2024-04-22T00:00:00"/>
    <d v="2024-03-21T00:00:00"/>
    <n v="11"/>
    <x v="1"/>
    <n v="3"/>
    <n v="1"/>
    <n v="24523.919999999998"/>
    <n v="14855.47"/>
    <n v="19893.96"/>
  </r>
  <r>
    <s v="1873"/>
    <s v="Juan Rodríguez"/>
    <d v="1944-12-31T00:00:00"/>
    <n v="81"/>
    <x v="0"/>
    <x v="2"/>
    <d v="2023-01-22T00:00:00"/>
    <d v="2023-09-12T00:00:00"/>
    <n v="32"/>
    <x v="0"/>
    <n v="8"/>
    <n v="1"/>
    <n v="13623.64"/>
    <n v="6350.37"/>
    <n v="12639.43"/>
  </r>
  <r>
    <s v="1874"/>
    <s v="Luis Rodríguez"/>
    <d v="1932-01-01T00:00:00"/>
    <n v="94"/>
    <x v="0"/>
    <x v="5"/>
    <d v="2024-07-12T00:00:00"/>
    <d v="2023-01-21T00:00:00"/>
    <n v="13"/>
    <x v="0"/>
    <n v="5"/>
    <n v="8"/>
    <n v="21317.81"/>
    <n v="6422.76"/>
    <n v="431.42"/>
  </r>
  <r>
    <s v="1875"/>
    <s v="Juan Ramírez"/>
    <d v="1988-12-31T00:00:00"/>
    <n v="37"/>
    <x v="2"/>
    <x v="1"/>
    <d v="2023-12-15T00:00:00"/>
    <d v="2023-07-24T00:00:00"/>
    <n v="21"/>
    <x v="2"/>
    <n v="14"/>
    <n v="9"/>
    <n v="19334.169999999998"/>
    <n v="2405.15"/>
    <n v="4910.22"/>
  </r>
  <r>
    <s v="1876"/>
    <s v="Luisa Morales"/>
    <d v="1995-01-01T00:00:00"/>
    <n v="31"/>
    <x v="0"/>
    <x v="5"/>
    <d v="2024-05-03T00:00:00"/>
    <d v="2025-03-17T00:00:00"/>
    <n v="14"/>
    <x v="0"/>
    <n v="12"/>
    <n v="4"/>
    <n v="8839.8799999999992"/>
    <n v="7475.38"/>
    <n v="2898.22"/>
  </r>
  <r>
    <s v="1877"/>
    <s v="Jorge Sánchez"/>
    <d v="2016-01-01T00:00:00"/>
    <n v="10"/>
    <x v="1"/>
    <x v="4"/>
    <d v="2024-10-31T00:00:00"/>
    <d v="2023-12-24T00:00:00"/>
    <n v="15"/>
    <x v="2"/>
    <n v="14"/>
    <n v="3"/>
    <n v="5846.34"/>
    <n v="14101.22"/>
    <n v="79.81"/>
  </r>
  <r>
    <s v="1878"/>
    <s v="Luis Morales"/>
    <d v="1981-12-31T00:00:00"/>
    <n v="44"/>
    <x v="1"/>
    <x v="3"/>
    <d v="2023-09-15T00:00:00"/>
    <d v="2023-05-09T00:00:00"/>
    <n v="39"/>
    <x v="2"/>
    <n v="2"/>
    <n v="9"/>
    <n v="3336.46"/>
    <n v="2480.94"/>
    <n v="10250.31"/>
  </r>
  <r>
    <s v="1879"/>
    <s v="Jorge Martínez"/>
    <d v="1937-12-31T00:00:00"/>
    <n v="88"/>
    <x v="0"/>
    <x v="6"/>
    <d v="2024-10-16T00:00:00"/>
    <d v="2023-12-25T00:00:00"/>
    <n v="14"/>
    <x v="1"/>
    <n v="11"/>
    <n v="9"/>
    <n v="228.51"/>
    <n v="3997.1"/>
    <n v="7560.26"/>
  </r>
  <r>
    <s v="1880"/>
    <s v="Luis Pérez"/>
    <d v="1993-12-31T00:00:00"/>
    <n v="32"/>
    <x v="1"/>
    <x v="1"/>
    <d v="2023-02-16T00:00:00"/>
    <d v="2023-10-20T00:00:00"/>
    <n v="13"/>
    <x v="2"/>
    <n v="1"/>
    <n v="3"/>
    <n v="1978.32"/>
    <n v="13369.77"/>
    <n v="12226.93"/>
  </r>
  <r>
    <s v="1881"/>
    <s v="Miguel Martínez"/>
    <d v="1985-12-31T00:00:00"/>
    <n v="40"/>
    <x v="0"/>
    <x v="0"/>
    <d v="2023-01-27T00:00:00"/>
    <d v="2023-06-24T00:00:00"/>
    <n v="18"/>
    <x v="2"/>
    <n v="1"/>
    <n v="6"/>
    <n v="7315.52"/>
    <n v="9396.4599999999991"/>
    <n v="4248.92"/>
  </r>
  <r>
    <s v="1882"/>
    <s v="José Pérez"/>
    <d v="2019-01-01T00:00:00"/>
    <n v="7"/>
    <x v="1"/>
    <x v="0"/>
    <d v="2023-01-27T00:00:00"/>
    <d v="2025-01-03T00:00:00"/>
    <n v="21"/>
    <x v="0"/>
    <n v="10"/>
    <n v="2"/>
    <n v="0"/>
    <n v="4957.6099999999997"/>
    <n v="16604.169999999998"/>
  </r>
  <r>
    <s v="1883"/>
    <s v="Carmen Ramírez"/>
    <d v="2016-01-01T00:00:00"/>
    <n v="10"/>
    <x v="1"/>
    <x v="4"/>
    <d v="2024-02-01T00:00:00"/>
    <d v="2023-12-22T00:00:00"/>
    <n v="31"/>
    <x v="1"/>
    <n v="8"/>
    <n v="8"/>
    <n v="4225.03"/>
    <n v="12191.17"/>
    <n v="7601.58"/>
  </r>
  <r>
    <s v="1884"/>
    <s v="Juan Gómez"/>
    <d v="1940-12-31T00:00:00"/>
    <n v="85"/>
    <x v="0"/>
    <x v="0"/>
    <d v="2023-05-25T00:00:00"/>
    <d v="2025-05-31T00:00:00"/>
    <n v="33"/>
    <x v="2"/>
    <n v="13"/>
    <n v="4"/>
    <n v="15463.56"/>
    <n v="1634.46"/>
    <n v="9606.3799999999992"/>
  </r>
  <r>
    <s v="1885"/>
    <s v="María Martínez"/>
    <d v="1976-01-01T00:00:00"/>
    <n v="50"/>
    <x v="1"/>
    <x v="4"/>
    <d v="2024-08-09T00:00:00"/>
    <d v="2023-02-07T00:00:00"/>
    <n v="24"/>
    <x v="2"/>
    <n v="7"/>
    <n v="8"/>
    <n v="6976.53"/>
    <n v="12875.27"/>
    <n v="14622.97"/>
  </r>
  <r>
    <s v="1886"/>
    <s v="Ricardo Morales"/>
    <d v="1939-01-01T00:00:00"/>
    <n v="87"/>
    <x v="1"/>
    <x v="3"/>
    <d v="2024-11-29T00:00:00"/>
    <d v="2023-11-07T00:00:00"/>
    <n v="36"/>
    <x v="2"/>
    <n v="13"/>
    <n v="0"/>
    <n v="15110.2"/>
    <n v="7770.02"/>
    <n v="3239.92"/>
  </r>
  <r>
    <s v="1887"/>
    <s v="Elena Ramírez"/>
    <d v="1985-12-31T00:00:00"/>
    <n v="40"/>
    <x v="1"/>
    <x v="3"/>
    <d v="2024-06-05T00:00:00"/>
    <d v="2024-10-23T00:00:00"/>
    <n v="14"/>
    <x v="0"/>
    <n v="9"/>
    <n v="9"/>
    <n v="22375.34"/>
    <n v="11354.02"/>
    <n v="5173.1000000000004"/>
  </r>
  <r>
    <s v="1888"/>
    <s v="Juan Morales"/>
    <d v="2009-12-31T00:00:00"/>
    <n v="16"/>
    <x v="0"/>
    <x v="2"/>
    <d v="2023-05-01T00:00:00"/>
    <d v="2024-08-27T00:00:00"/>
    <n v="22"/>
    <x v="0"/>
    <n v="2"/>
    <n v="7"/>
    <n v="7612.42"/>
    <n v="7775.87"/>
    <n v="3010.52"/>
  </r>
  <r>
    <s v="1889"/>
    <s v="Juan Pérez"/>
    <d v="1951-01-01T00:00:00"/>
    <n v="75"/>
    <x v="1"/>
    <x v="6"/>
    <d v="2024-04-06T00:00:00"/>
    <d v="2024-08-05T00:00:00"/>
    <n v="35"/>
    <x v="1"/>
    <n v="12"/>
    <n v="1"/>
    <n v="10110.91"/>
    <n v="3694.09"/>
    <n v="15338.44"/>
  </r>
  <r>
    <s v="1890"/>
    <s v="José Gómez"/>
    <d v="1980-12-31T00:00:00"/>
    <n v="45"/>
    <x v="0"/>
    <x v="2"/>
    <d v="2024-11-07T00:00:00"/>
    <d v="2023-03-26T00:00:00"/>
    <n v="39"/>
    <x v="0"/>
    <n v="3"/>
    <n v="7"/>
    <n v="21551.52"/>
    <n v="9612.73"/>
    <n v="1860.19"/>
  </r>
  <r>
    <s v="1891"/>
    <s v="Juan Hernández"/>
    <d v="1995-01-01T00:00:00"/>
    <n v="31"/>
    <x v="1"/>
    <x v="3"/>
    <d v="2024-01-17T00:00:00"/>
    <d v="2024-05-25T00:00:00"/>
    <n v="18"/>
    <x v="1"/>
    <n v="13"/>
    <n v="3"/>
    <n v="16163.31"/>
    <n v="2321.87"/>
    <n v="9728.9599999999991"/>
  </r>
  <r>
    <s v="1892"/>
    <s v="Ricardo Gómez"/>
    <d v="1948-01-01T00:00:00"/>
    <n v="78"/>
    <x v="0"/>
    <x v="5"/>
    <d v="2024-11-03T00:00:00"/>
    <d v="2024-03-20T00:00:00"/>
    <n v="1"/>
    <x v="0"/>
    <n v="1"/>
    <n v="1"/>
    <n v="2384.2800000000002"/>
    <n v="3448.06"/>
    <n v="14973.18"/>
  </r>
  <r>
    <s v="1893"/>
    <s v="José Morales"/>
    <d v="1947-01-01T00:00:00"/>
    <n v="79"/>
    <x v="1"/>
    <x v="2"/>
    <d v="2024-02-22T00:00:00"/>
    <d v="2024-02-25T00:00:00"/>
    <n v="22"/>
    <x v="1"/>
    <n v="10"/>
    <n v="1"/>
    <n v="22623.71"/>
    <n v="8239.89"/>
    <n v="10106.01"/>
  </r>
  <r>
    <s v="1894"/>
    <s v="Pedro Gómez"/>
    <d v="1972-12-31T00:00:00"/>
    <n v="53"/>
    <x v="1"/>
    <x v="1"/>
    <d v="2023-11-23T00:00:00"/>
    <d v="2023-07-25T00:00:00"/>
    <n v="27"/>
    <x v="0"/>
    <n v="9"/>
    <n v="5"/>
    <n v="0"/>
    <n v="5849.75"/>
    <n v="10124.41"/>
  </r>
  <r>
    <s v="1895"/>
    <s v="Carmen Cruz"/>
    <d v="1940-12-31T00:00:00"/>
    <n v="85"/>
    <x v="1"/>
    <x v="3"/>
    <d v="2024-01-26T00:00:00"/>
    <d v="2024-05-03T00:00:00"/>
    <n v="30"/>
    <x v="1"/>
    <n v="4"/>
    <n v="2"/>
    <n v="11244.26"/>
    <n v="11178.03"/>
    <n v="1179.8599999999999"/>
  </r>
  <r>
    <s v="1896"/>
    <s v="Pedro Morales"/>
    <d v="1935-01-01T00:00:00"/>
    <n v="91"/>
    <x v="1"/>
    <x v="3"/>
    <d v="2023-10-24T00:00:00"/>
    <d v="2025-02-18T00:00:00"/>
    <n v="36"/>
    <x v="2"/>
    <n v="2"/>
    <n v="9"/>
    <n v="6977.9"/>
    <n v="8753.59"/>
    <n v="15635.51"/>
  </r>
  <r>
    <s v="1897"/>
    <s v="Juan Ramírez"/>
    <d v="2007-01-01T00:00:00"/>
    <n v="19"/>
    <x v="0"/>
    <x v="5"/>
    <d v="2024-09-21T00:00:00"/>
    <d v="2023-03-30T00:00:00"/>
    <n v="23"/>
    <x v="0"/>
    <n v="3"/>
    <n v="2"/>
    <n v="16072.39"/>
    <n v="5720.03"/>
    <n v="12040.55"/>
  </r>
  <r>
    <s v="1898"/>
    <s v="Ricardo Morales"/>
    <d v="1993-12-31T00:00:00"/>
    <n v="32"/>
    <x v="1"/>
    <x v="5"/>
    <d v="2023-03-25T00:00:00"/>
    <d v="2023-09-10T00:00:00"/>
    <n v="22"/>
    <x v="0"/>
    <n v="9"/>
    <n v="8"/>
    <n v="21086.93"/>
    <n v="4900.95"/>
    <n v="13317.01"/>
  </r>
  <r>
    <s v="1899"/>
    <s v="José Hernández"/>
    <d v="1952-12-31T00:00:00"/>
    <n v="73"/>
    <x v="1"/>
    <x v="5"/>
    <d v="2023-05-26T00:00:00"/>
    <d v="2024-12-24T00:00:00"/>
    <n v="13"/>
    <x v="0"/>
    <n v="5"/>
    <n v="4"/>
    <n v="23998.1"/>
    <n v="13698.64"/>
    <n v="15292.57"/>
  </r>
  <r>
    <s v="1900"/>
    <s v="José Hernández"/>
    <d v="1987-01-01T00:00:00"/>
    <n v="39"/>
    <x v="0"/>
    <x v="6"/>
    <d v="2023-06-20T00:00:00"/>
    <d v="2025-05-05T00:00:00"/>
    <n v="21"/>
    <x v="1"/>
    <n v="10"/>
    <n v="6"/>
    <n v="27624.73"/>
    <n v="601.24"/>
    <n v="11168.42"/>
  </r>
  <r>
    <s v="1901"/>
    <s v="Miguel Ramírez"/>
    <d v="1995-01-01T00:00:00"/>
    <n v="31"/>
    <x v="1"/>
    <x v="1"/>
    <d v="2023-11-30T00:00:00"/>
    <d v="2023-02-01T00:00:00"/>
    <n v="2"/>
    <x v="1"/>
    <n v="5"/>
    <n v="4"/>
    <n v="10456.11"/>
    <n v="10365.469999999999"/>
    <n v="10123.32"/>
  </r>
  <r>
    <s v="1902"/>
    <s v="Jorge Rodríguez"/>
    <d v="1939-01-01T00:00:00"/>
    <n v="1"/>
    <x v="1"/>
    <x v="3"/>
    <d v="2024-02-28T00:00:00"/>
    <d v="2025-05-19T00:00:00"/>
    <n v="39"/>
    <x v="2"/>
    <n v="7"/>
    <n v="1"/>
    <n v="27944.73"/>
    <n v="5878.48"/>
    <n v="13229.62"/>
  </r>
  <r>
    <s v="1903"/>
    <s v="Ricardo Hernández"/>
    <d v="1955-01-01T00:00:00"/>
    <n v="32"/>
    <x v="0"/>
    <x v="5"/>
    <d v="2023-11-05T00:00:00"/>
    <d v="2024-02-26T00:00:00"/>
    <n v="36"/>
    <x v="0"/>
    <n v="0"/>
    <n v="7"/>
    <n v="18317.12"/>
    <n v="5660.37"/>
    <n v="17990.16"/>
  </r>
  <r>
    <s v="1904"/>
    <s v="Carlos Ramírez"/>
    <d v="1949-12-31T00:00:00"/>
    <n v="76"/>
    <x v="0"/>
    <x v="6"/>
    <d v="2024-06-09T00:00:00"/>
    <d v="2025-04-08T00:00:00"/>
    <n v="10"/>
    <x v="2"/>
    <n v="12"/>
    <n v="8"/>
    <n v="11382.63"/>
    <n v="9778.15"/>
    <n v="12733.79"/>
  </r>
  <r>
    <s v="1905"/>
    <s v="Luisa Sánchez"/>
    <d v="1996-12-31T00:00:00"/>
    <n v="29"/>
    <x v="1"/>
    <x v="0"/>
    <d v="2024-10-22T00:00:00"/>
    <d v="2023-03-03T00:00:00"/>
    <n v="27"/>
    <x v="0"/>
    <n v="2"/>
    <n v="1"/>
    <n v="26562.47"/>
    <n v="12756.97"/>
    <n v="15745.27"/>
  </r>
  <r>
    <s v="1906"/>
    <s v="María Cruz"/>
    <d v="1993-12-31T00:00:00"/>
    <n v="32"/>
    <x v="1"/>
    <x v="1"/>
    <d v="2024-07-22T00:00:00"/>
    <d v="2024-08-02T00:00:00"/>
    <n v="4"/>
    <x v="0"/>
    <n v="13"/>
    <n v="1"/>
    <n v="17178.7"/>
    <n v="10866.18"/>
    <n v="9553.4599999999991"/>
  </r>
  <r>
    <s v="1907"/>
    <s v="Elena Martínez"/>
    <d v="1949-12-31T00:00:00"/>
    <n v="76"/>
    <x v="2"/>
    <x v="4"/>
    <d v="2023-12-13T00:00:00"/>
    <d v="2023-08-15T00:00:00"/>
    <n v="14"/>
    <x v="1"/>
    <n v="6"/>
    <n v="3"/>
    <n v="13355.65"/>
    <n v="10051.67"/>
    <n v="11750.4"/>
  </r>
  <r>
    <s v="1908"/>
    <s v="Sofía Morales"/>
    <d v="2000-12-31T00:00:00"/>
    <n v="62"/>
    <x v="1"/>
    <x v="4"/>
    <d v="2023-10-29T00:00:00"/>
    <d v="2023-12-02T00:00:00"/>
    <n v="24"/>
    <x v="2"/>
    <n v="14"/>
    <n v="7"/>
    <n v="149.19999999999999"/>
    <n v="7443.04"/>
    <n v="3521.01"/>
  </r>
  <r>
    <s v="1909"/>
    <s v="Luis Ramírez"/>
    <d v="2004-12-31T00:00:00"/>
    <n v="21"/>
    <x v="2"/>
    <x v="0"/>
    <d v="2023-12-13T00:00:00"/>
    <d v="2025-04-19T00:00:00"/>
    <n v="32"/>
    <x v="1"/>
    <n v="2"/>
    <n v="4"/>
    <n v="21383.99"/>
    <n v="7037.68"/>
    <n v="9719.2099999999991"/>
  </r>
  <r>
    <s v="1910"/>
    <s v="Carmen Cruz"/>
    <d v="1960-12-31T00:00:00"/>
    <n v="65"/>
    <x v="1"/>
    <x v="0"/>
    <d v="2024-02-12T00:00:00"/>
    <d v="2024-08-02T00:00:00"/>
    <n v="2"/>
    <x v="1"/>
    <n v="10"/>
    <n v="4"/>
    <n v="1859.11"/>
    <n v="6910.73"/>
    <n v="2892.69"/>
  </r>
  <r>
    <s v="1911"/>
    <s v="Laura López"/>
    <d v="1988-12-31T00:00:00"/>
    <n v="37"/>
    <x v="0"/>
    <x v="3"/>
    <d v="2023-05-13T00:00:00"/>
    <d v="2024-10-02T00:00:00"/>
    <n v="39"/>
    <x v="0"/>
    <n v="14"/>
    <n v="6"/>
    <n v="8326.48"/>
    <n v="2181.71"/>
    <n v="9287.1299999999992"/>
  </r>
  <r>
    <s v="1912"/>
    <s v="María Cruz"/>
    <d v="1936-12-31T00:00:00"/>
    <n v="89"/>
    <x v="1"/>
    <x v="6"/>
    <d v="2024-11-12T00:00:00"/>
    <d v="2023-04-22T00:00:00"/>
    <n v="2"/>
    <x v="0"/>
    <n v="1"/>
    <n v="3"/>
    <n v="28831.68"/>
    <n v="8392.5400000000009"/>
    <n v="1205.53"/>
  </r>
  <r>
    <s v="1913"/>
    <s v="Elena Gómez"/>
    <d v="1980-12-31T00:00:00"/>
    <n v="45"/>
    <x v="0"/>
    <x v="6"/>
    <d v="2024-09-05T00:00:00"/>
    <d v="2024-05-06T00:00:00"/>
    <n v="21"/>
    <x v="0"/>
    <n v="12"/>
    <n v="8"/>
    <n v="4234"/>
    <n v="4731.96"/>
    <n v="11481.77"/>
  </r>
  <r>
    <s v="1914"/>
    <s v="Carlos Morales"/>
    <d v="2012-01-01T00:00:00"/>
    <n v="14"/>
    <x v="1"/>
    <x v="0"/>
    <d v="2023-04-16T00:00:00"/>
    <d v="2023-09-30T00:00:00"/>
    <n v="4"/>
    <x v="0"/>
    <n v="8"/>
    <n v="3"/>
    <n v="0"/>
    <n v="9273.42"/>
    <n v="5663.38"/>
  </r>
  <r>
    <s v="1915"/>
    <s v="María Rodríguez"/>
    <d v="1983-01-01T00:00:00"/>
    <n v="43"/>
    <x v="0"/>
    <x v="1"/>
    <d v="2023-06-20T00:00:00"/>
    <d v="2025-03-24T00:00:00"/>
    <n v="4"/>
    <x v="0"/>
    <n v="4"/>
    <n v="7"/>
    <n v="27936.35"/>
    <n v="8015.03"/>
    <n v="16817.04"/>
  </r>
  <r>
    <s v="1916"/>
    <s v="José Rodríguez"/>
    <d v="1977-12-31T00:00:00"/>
    <n v="48"/>
    <x v="1"/>
    <x v="2"/>
    <d v="2024-10-01T00:00:00"/>
    <d v="2023-02-04T00:00:00"/>
    <n v="11"/>
    <x v="0"/>
    <n v="1"/>
    <n v="2"/>
    <n v="9799.36"/>
    <n v="14098.86"/>
    <n v="7462.9"/>
  </r>
  <r>
    <s v="1917"/>
    <s v="Laura Morales"/>
    <d v="1952-01-01T00:00:00"/>
    <n v="74"/>
    <x v="1"/>
    <x v="0"/>
    <d v="2023-09-07T00:00:00"/>
    <d v="2023-08-01T00:00:00"/>
    <n v="12"/>
    <x v="0"/>
    <n v="13"/>
    <n v="5"/>
    <n v="0"/>
    <n v="6523.95"/>
    <n v="18347.240000000002"/>
  </r>
  <r>
    <s v="1918"/>
    <s v="Pedro Hernández"/>
    <d v="1965-12-31T00:00:00"/>
    <n v="60"/>
    <x v="0"/>
    <x v="3"/>
    <d v="2024-06-27T00:00:00"/>
    <d v="2023-10-28T00:00:00"/>
    <n v="2"/>
    <x v="2"/>
    <n v="10"/>
    <n v="0"/>
    <n v="19262.61"/>
    <n v="9965.9599999999991"/>
    <n v="9405.0400000000009"/>
  </r>
  <r>
    <s v="1919"/>
    <s v="Luisa Pérez"/>
    <d v="1960-01-01T00:00:00"/>
    <n v="66"/>
    <x v="0"/>
    <x v="0"/>
    <d v="2024-12-28T00:00:00"/>
    <d v="2024-01-09T00:00:00"/>
    <n v="34"/>
    <x v="0"/>
    <n v="12"/>
    <n v="6"/>
    <n v="3506.4"/>
    <n v="8892.0400000000009"/>
    <n v="16962.349999999999"/>
  </r>
  <r>
    <s v="1920"/>
    <s v="Carlos Rodríguez"/>
    <d v="2020-12-31T00:00:00"/>
    <n v="5"/>
    <x v="0"/>
    <x v="1"/>
    <d v="2023-09-19T00:00:00"/>
    <d v="2023-05-06T00:00:00"/>
    <n v="1"/>
    <x v="2"/>
    <n v="10"/>
    <n v="6"/>
    <n v="29168.93"/>
    <n v="10265.92"/>
    <n v="5875.16"/>
  </r>
  <r>
    <s v="1921"/>
    <s v="María Ramírez"/>
    <d v="2017-12-31T00:00:00"/>
    <n v="8"/>
    <x v="1"/>
    <x v="1"/>
    <d v="2024-05-08T00:00:00"/>
    <d v="2023-04-14T00:00:00"/>
    <n v="27"/>
    <x v="0"/>
    <n v="0"/>
    <n v="1"/>
    <n v="7888.19"/>
    <n v="4004.62"/>
    <n v="8977.2000000000007"/>
  </r>
  <r>
    <s v="1922"/>
    <s v="Sofía López"/>
    <d v="2020-12-31T00:00:00"/>
    <n v="5"/>
    <x v="0"/>
    <x v="0"/>
    <d v="2023-09-01T00:00:00"/>
    <d v="2024-12-19T00:00:00"/>
    <n v="17"/>
    <x v="2"/>
    <n v="7"/>
    <n v="4"/>
    <n v="23463.51"/>
    <n v="3858.73"/>
    <n v="12636.68"/>
  </r>
  <r>
    <s v="1923"/>
    <s v="Jorge Martínez"/>
    <d v="1953-12-31T00:00:00"/>
    <n v="72"/>
    <x v="1"/>
    <x v="6"/>
    <d v="2024-03-26T00:00:00"/>
    <d v="2023-05-01T00:00:00"/>
    <n v="23"/>
    <x v="1"/>
    <n v="1"/>
    <n v="3"/>
    <n v="8272.24"/>
    <n v="8395.17"/>
    <n v="5098.88"/>
  </r>
  <r>
    <s v="1924"/>
    <s v="Carlos Cruz"/>
    <d v="1932-01-01T00:00:00"/>
    <n v="94"/>
    <x v="2"/>
    <x v="0"/>
    <d v="2023-10-17T00:00:00"/>
    <d v="2024-11-13T00:00:00"/>
    <n v="6"/>
    <x v="0"/>
    <n v="1"/>
    <n v="9"/>
    <n v="7898.86"/>
    <n v="12735.92"/>
    <n v="13112.3"/>
  </r>
  <r>
    <s v="1925"/>
    <s v="Ricardo López"/>
    <d v="1995-01-01T00:00:00"/>
    <n v="31"/>
    <x v="0"/>
    <x v="5"/>
    <d v="2023-09-20T00:00:00"/>
    <d v="2024-07-01T00:00:00"/>
    <n v="27"/>
    <x v="0"/>
    <n v="12"/>
    <n v="8"/>
    <n v="1254.1400000000001"/>
    <n v="10800.13"/>
    <n v="5700.91"/>
  </r>
  <r>
    <s v="1926"/>
    <s v="Luis Pérez"/>
    <d v="1985-12-31T00:00:00"/>
    <n v="10"/>
    <x v="1"/>
    <x v="5"/>
    <d v="2023-11-10T00:00:00"/>
    <d v="2025-06-13T00:00:00"/>
    <n v="19"/>
    <x v="2"/>
    <n v="10"/>
    <n v="1"/>
    <n v="0"/>
    <n v="7334.02"/>
    <n v="9634.2800000000007"/>
  </r>
  <r>
    <s v="1927"/>
    <s v="Carmen Gómez"/>
    <d v="1951-01-01T00:00:00"/>
    <n v="75"/>
    <x v="0"/>
    <x v="2"/>
    <d v="2023-03-26T00:00:00"/>
    <d v="2023-11-28T00:00:00"/>
    <n v="37"/>
    <x v="0"/>
    <n v="13"/>
    <n v="2"/>
    <n v="15420"/>
    <n v="3826.42"/>
    <n v="369.73"/>
  </r>
  <r>
    <s v="1928"/>
    <s v="Jorge Cruz"/>
    <d v="2019-01-01T00:00:00"/>
    <n v="7"/>
    <x v="0"/>
    <x v="3"/>
    <d v="2024-02-19T00:00:00"/>
    <d v="2025-01-28T00:00:00"/>
    <n v="38"/>
    <x v="2"/>
    <n v="13"/>
    <n v="0"/>
    <n v="17093.72"/>
    <n v="11390.21"/>
    <n v="1471.46"/>
  </r>
  <r>
    <s v="1929"/>
    <s v="María Martínez"/>
    <d v="1951-01-01T00:00:00"/>
    <n v="71"/>
    <x v="1"/>
    <x v="3"/>
    <d v="2023-11-25T00:00:00"/>
    <d v="2025-05-02T00:00:00"/>
    <n v="27"/>
    <x v="2"/>
    <n v="10"/>
    <n v="9"/>
    <n v="24383.23"/>
    <n v="13893.69"/>
    <n v="4464.7299999999996"/>
  </r>
  <r>
    <s v="1930"/>
    <s v="Elena Sánchez"/>
    <d v="1976-12-31T00:00:00"/>
    <n v="49"/>
    <x v="0"/>
    <x v="4"/>
    <d v="2023-02-14T00:00:00"/>
    <d v="2023-11-06T00:00:00"/>
    <n v="17"/>
    <x v="0"/>
    <n v="11"/>
    <n v="4"/>
    <n v="1336.56"/>
    <n v="3195.3"/>
    <n v="16110.51"/>
  </r>
  <r>
    <s v="1931"/>
    <s v="Carlos Hernández"/>
    <d v="1935-01-01T00:00:00"/>
    <n v="91"/>
    <x v="1"/>
    <x v="6"/>
    <d v="2023-11-29T00:00:00"/>
    <d v="2024-07-24T00:00:00"/>
    <n v="25"/>
    <x v="0"/>
    <n v="11"/>
    <n v="2"/>
    <n v="10362.58"/>
    <n v="11986.41"/>
    <n v="13173.72"/>
  </r>
  <r>
    <s v="1932"/>
    <s v="Ana Ramírez"/>
    <d v="1964-12-31T00:00:00"/>
    <n v="61"/>
    <x v="0"/>
    <x v="3"/>
    <d v="2024-04-09T00:00:00"/>
    <d v="2024-02-17T00:00:00"/>
    <n v="4"/>
    <x v="2"/>
    <n v="7"/>
    <n v="3"/>
    <n v="0"/>
    <n v="2586.6799999999998"/>
    <n v="17858.310000000001"/>
  </r>
  <r>
    <s v="1933"/>
    <s v="Miguel Rodríguez"/>
    <d v="1943-01-01T00:00:00"/>
    <n v="83"/>
    <x v="1"/>
    <x v="2"/>
    <d v="2023-07-19T00:00:00"/>
    <d v="2024-02-04T00:00:00"/>
    <n v="1"/>
    <x v="1"/>
    <n v="3"/>
    <n v="3"/>
    <n v="10415.26"/>
    <n v="13511.74"/>
    <n v="18084.689999999999"/>
  </r>
  <r>
    <s v="1934"/>
    <s v="José Morales"/>
    <d v="1964-12-31T00:00:00"/>
    <n v="61"/>
    <x v="1"/>
    <x v="5"/>
    <d v="2023-07-20T00:00:00"/>
    <d v="2023-11-03T00:00:00"/>
    <n v="25"/>
    <x v="0"/>
    <n v="5"/>
    <n v="5"/>
    <n v="10306.35"/>
    <n v="9630.75"/>
    <n v="7430.9"/>
  </r>
  <r>
    <s v="1935"/>
    <s v="Sofía Morales"/>
    <d v="2020-01-01T00:00:00"/>
    <n v="6"/>
    <x v="1"/>
    <x v="6"/>
    <d v="2023-11-25T00:00:00"/>
    <d v="2024-10-15T00:00:00"/>
    <n v="32"/>
    <x v="1"/>
    <n v="12"/>
    <n v="9"/>
    <n v="10305.530000000001"/>
    <n v="2715.15"/>
    <n v="7287.37"/>
  </r>
  <r>
    <s v="1936"/>
    <s v="Juan Rodríguez"/>
    <d v="1952-01-01T00:00:00"/>
    <n v="74"/>
    <x v="0"/>
    <x v="1"/>
    <d v="2024-11-10T00:00:00"/>
    <d v="2024-09-15T00:00:00"/>
    <n v="30"/>
    <x v="2"/>
    <n v="14"/>
    <n v="6"/>
    <n v="8943.82"/>
    <n v="543.89"/>
    <n v="16698.439999999999"/>
  </r>
  <r>
    <s v="1937"/>
    <s v="María Sánchez"/>
    <d v="1943-01-01T00:00:00"/>
    <n v="83"/>
    <x v="0"/>
    <x v="5"/>
    <d v="2023-08-28T00:00:00"/>
    <d v="2023-06-13T00:00:00"/>
    <n v="4"/>
    <x v="2"/>
    <n v="0"/>
    <n v="6"/>
    <n v="22801.33"/>
    <n v="10419.24"/>
    <n v="8471.51"/>
  </r>
  <r>
    <s v="1938"/>
    <s v="Luisa Gómez"/>
    <d v="1947-01-01T00:00:00"/>
    <n v="79"/>
    <x v="2"/>
    <x v="2"/>
    <d v="2024-12-02T00:00:00"/>
    <d v="2024-09-15T00:00:00"/>
    <n v="6"/>
    <x v="0"/>
    <n v="12"/>
    <n v="7"/>
    <n v="20536.04"/>
    <n v="9091.5300000000007"/>
    <n v="17129.75"/>
  </r>
  <r>
    <s v="1939"/>
    <s v="José Rodríguez"/>
    <d v="2023-01-01T00:00:00"/>
    <n v="3"/>
    <x v="1"/>
    <x v="6"/>
    <d v="2024-08-05T00:00:00"/>
    <d v="2024-10-26T00:00:00"/>
    <n v="31"/>
    <x v="0"/>
    <n v="1"/>
    <n v="2"/>
    <n v="9914.81"/>
    <n v="9169.77"/>
    <n v="10069.19"/>
  </r>
  <r>
    <s v="1940"/>
    <s v="Pedro Morales"/>
    <d v="2020-12-31T00:00:00"/>
    <n v="5"/>
    <x v="1"/>
    <x v="0"/>
    <d v="2024-10-18T00:00:00"/>
    <d v="2025-06-07T00:00:00"/>
    <n v="36"/>
    <x v="1"/>
    <n v="4"/>
    <n v="4"/>
    <n v="3967.89"/>
    <n v="7233.93"/>
    <n v="8436.73"/>
  </r>
  <r>
    <s v="1941"/>
    <s v="Elena Rodríguez"/>
    <d v="1968-12-31T00:00:00"/>
    <n v="57"/>
    <x v="0"/>
    <x v="3"/>
    <d v="2023-12-25T00:00:00"/>
    <d v="2023-03-07T00:00:00"/>
    <n v="39"/>
    <x v="0"/>
    <n v="11"/>
    <n v="9"/>
    <n v="15307.55"/>
    <n v="9216.65"/>
    <n v="5509.3"/>
  </r>
  <r>
    <s v="1942"/>
    <s v="Miguel Cruz"/>
    <d v="2004-12-31T00:00:00"/>
    <n v="21"/>
    <x v="0"/>
    <x v="2"/>
    <d v="2024-12-21T00:00:00"/>
    <d v="2024-09-10T00:00:00"/>
    <n v="31"/>
    <x v="1"/>
    <n v="3"/>
    <n v="5"/>
    <n v="27524.85"/>
    <n v="13098.35"/>
    <n v="2442.39"/>
  </r>
  <r>
    <s v="1943"/>
    <s v="Juan Martínez"/>
    <d v="2000-12-31T00:00:00"/>
    <n v="25"/>
    <x v="1"/>
    <x v="6"/>
    <d v="2023-12-26T00:00:00"/>
    <d v="2023-08-05T00:00:00"/>
    <n v="10"/>
    <x v="0"/>
    <n v="8"/>
    <n v="5"/>
    <n v="3268.56"/>
    <n v="14280.02"/>
    <n v="10470.64"/>
  </r>
  <r>
    <s v="1944"/>
    <s v="Carlos Hernández"/>
    <d v="2024-01-01T00:00:00"/>
    <n v="2"/>
    <x v="1"/>
    <x v="5"/>
    <d v="2024-01-13T00:00:00"/>
    <d v="2024-08-26T00:00:00"/>
    <n v="26"/>
    <x v="0"/>
    <n v="14"/>
    <n v="7"/>
    <n v="22467.41"/>
    <n v="5167.62"/>
    <n v="6437.02"/>
  </r>
  <r>
    <s v="1945"/>
    <s v="Miguel Gómez"/>
    <d v="1985-12-31T00:00:00"/>
    <n v="40"/>
    <x v="0"/>
    <x v="6"/>
    <d v="2024-01-20T00:00:00"/>
    <d v="2023-01-27T00:00:00"/>
    <n v="32"/>
    <x v="1"/>
    <n v="4"/>
    <n v="4"/>
    <n v="17781.060000000001"/>
    <n v="7318.08"/>
    <n v="4913.75"/>
  </r>
  <r>
    <s v="1946"/>
    <s v="Sofía Hernández"/>
    <d v="1967-01-01T00:00:00"/>
    <n v="59"/>
    <x v="1"/>
    <x v="0"/>
    <d v="2024-12-20T00:00:00"/>
    <d v="2024-10-31T00:00:00"/>
    <n v="7"/>
    <x v="0"/>
    <n v="0"/>
    <n v="4"/>
    <n v="17452"/>
    <n v="4095.42"/>
    <n v="3310.17"/>
  </r>
  <r>
    <s v="1947"/>
    <s v="Luisa Martínez"/>
    <d v="2012-12-31T00:00:00"/>
    <n v="13"/>
    <x v="0"/>
    <x v="2"/>
    <d v="2024-04-09T00:00:00"/>
    <d v="2024-08-07T00:00:00"/>
    <n v="27"/>
    <x v="0"/>
    <n v="5"/>
    <n v="0"/>
    <n v="28007.040000000001"/>
    <n v="6173.78"/>
    <n v="7711.3"/>
  </r>
  <r>
    <s v="1948"/>
    <s v="Sofía Pérez"/>
    <d v="1952-01-01T00:00:00"/>
    <n v="74"/>
    <x v="0"/>
    <x v="6"/>
    <d v="2023-08-10T00:00:00"/>
    <d v="2023-02-14T00:00:00"/>
    <n v="23"/>
    <x v="0"/>
    <n v="1"/>
    <n v="0"/>
    <n v="28656.19"/>
    <n v="11938.33"/>
    <n v="11073.04"/>
  </r>
  <r>
    <s v="1949"/>
    <s v="Luis Morales"/>
    <d v="1944-12-31T00:00:00"/>
    <n v="81"/>
    <x v="0"/>
    <x v="1"/>
    <d v="2024-11-05T00:00:00"/>
    <d v="2023-04-01T00:00:00"/>
    <n v="32"/>
    <x v="0"/>
    <n v="9"/>
    <n v="5"/>
    <n v="6937.11"/>
    <n v="6374.84"/>
    <n v="16724.22"/>
  </r>
  <r>
    <s v="1950"/>
    <s v="Carmen Hernández"/>
    <d v="2015-01-01T00:00:00"/>
    <n v="11"/>
    <x v="0"/>
    <x v="2"/>
    <d v="2023-12-31T00:00:00"/>
    <d v="2023-05-14T00:00:00"/>
    <n v="25"/>
    <x v="0"/>
    <n v="6"/>
    <n v="9"/>
    <n v="24158.55"/>
    <n v="5874.61"/>
    <n v="16385.82"/>
  </r>
  <r>
    <s v="1951"/>
    <s v="Luisa López"/>
    <d v="1940-01-01T00:00:00"/>
    <n v="86"/>
    <x v="1"/>
    <x v="2"/>
    <d v="2023-03-13T00:00:00"/>
    <d v="2023-06-11T00:00:00"/>
    <n v="26"/>
    <x v="2"/>
    <n v="12"/>
    <n v="9"/>
    <n v="18434.38"/>
    <n v="12751.67"/>
    <n v="17086.77"/>
  </r>
  <r>
    <s v="1952"/>
    <s v="Jorge Pérez"/>
    <d v="2015-01-01T00:00:00"/>
    <n v="11"/>
    <x v="0"/>
    <x v="5"/>
    <d v="2023-08-28T00:00:00"/>
    <d v="2025-01-14T00:00:00"/>
    <n v="3"/>
    <x v="2"/>
    <n v="5"/>
    <n v="4"/>
    <n v="11969.79"/>
    <n v="19.09"/>
    <n v="11482.3"/>
  </r>
  <r>
    <s v="1953"/>
    <s v="Laura Sánchez"/>
    <d v="1981-01-01T00:00:00"/>
    <n v="12"/>
    <x v="0"/>
    <x v="4"/>
    <d v="2024-05-18T00:00:00"/>
    <d v="2024-01-16T00:00:00"/>
    <n v="0"/>
    <x v="1"/>
    <n v="5"/>
    <n v="9"/>
    <n v="19801.45"/>
    <n v="12782.82"/>
    <n v="11146.95"/>
  </r>
  <r>
    <s v="1954"/>
    <s v="Miguel López"/>
    <d v="2012-01-01T00:00:00"/>
    <n v="24"/>
    <x v="1"/>
    <x v="3"/>
    <d v="2024-02-18T00:00:00"/>
    <d v="2023-09-19T00:00:00"/>
    <n v="26"/>
    <x v="0"/>
    <n v="4"/>
    <n v="5"/>
    <n v="28656.99"/>
    <n v="2721.12"/>
    <n v="18093.349999999999"/>
  </r>
  <r>
    <s v="1955"/>
    <s v="Carlos Ramírez"/>
    <d v="1981-12-31T00:00:00"/>
    <n v="44"/>
    <x v="0"/>
    <x v="4"/>
    <d v="2023-05-07T00:00:00"/>
    <d v="2024-01-19T00:00:00"/>
    <n v="1"/>
    <x v="0"/>
    <n v="8"/>
    <n v="8"/>
    <n v="15264.7"/>
    <n v="4117.68"/>
    <n v="5699.79"/>
  </r>
  <r>
    <s v="1956"/>
    <s v="Jorge Gómez"/>
    <d v="2008-01-01T00:00:00"/>
    <n v="18"/>
    <x v="1"/>
    <x v="1"/>
    <d v="2024-05-01T00:00:00"/>
    <d v="2024-01-05T00:00:00"/>
    <n v="19"/>
    <x v="0"/>
    <n v="3"/>
    <n v="7"/>
    <n v="28172.44"/>
    <n v="5424.14"/>
    <n v="2823.56"/>
  </r>
  <r>
    <s v="1957"/>
    <s v="Pedro Hernández"/>
    <d v="1972-01-01T00:00:00"/>
    <n v="54"/>
    <x v="0"/>
    <x v="0"/>
    <d v="2024-08-19T00:00:00"/>
    <d v="2023-04-22T00:00:00"/>
    <n v="24"/>
    <x v="0"/>
    <n v="7"/>
    <n v="6"/>
    <n v="19108.060000000001"/>
    <n v="13209.78"/>
    <n v="1563.77"/>
  </r>
  <r>
    <s v="1958"/>
    <s v="Luisa Martínez"/>
    <d v="1981-12-31T00:00:00"/>
    <n v="44"/>
    <x v="1"/>
    <x v="6"/>
    <d v="2024-06-10T00:00:00"/>
    <d v="2024-11-07T00:00:00"/>
    <n v="19"/>
    <x v="0"/>
    <n v="1"/>
    <n v="6"/>
    <n v="14228.73"/>
    <n v="13630.22"/>
    <n v="17609"/>
  </r>
  <r>
    <s v="1959"/>
    <s v="Sofía Martínez"/>
    <d v="2019-01-01T00:00:00"/>
    <n v="7"/>
    <x v="0"/>
    <x v="4"/>
    <d v="2023-09-05T00:00:00"/>
    <d v="2023-03-19T00:00:00"/>
    <n v="7"/>
    <x v="2"/>
    <n v="12"/>
    <n v="5"/>
    <n v="19147.2"/>
    <n v="9917.68"/>
    <n v="7372.64"/>
  </r>
  <r>
    <s v="1960"/>
    <s v="Carmen Martínez"/>
    <d v="1933-12-31T00:00:00"/>
    <n v="92"/>
    <x v="1"/>
    <x v="3"/>
    <d v="2024-04-26T00:00:00"/>
    <d v="2023-07-29T00:00:00"/>
    <n v="16"/>
    <x v="1"/>
    <n v="7"/>
    <n v="5"/>
    <n v="17877.5"/>
    <n v="6591.64"/>
    <n v="9924.4"/>
  </r>
  <r>
    <s v="1961"/>
    <s v="Carlos Pérez"/>
    <d v="1973-12-31T00:00:00"/>
    <n v="52"/>
    <x v="1"/>
    <x v="5"/>
    <d v="2023-11-08T00:00:00"/>
    <d v="2023-01-14T00:00:00"/>
    <n v="21"/>
    <x v="2"/>
    <n v="3"/>
    <n v="0"/>
    <n v="12361.77"/>
    <n v="7741.92"/>
    <n v="16041.51"/>
  </r>
  <r>
    <s v="1962"/>
    <s v="María Sánchez"/>
    <d v="1972-01-01T00:00:00"/>
    <n v="54"/>
    <x v="2"/>
    <x v="3"/>
    <d v="2024-03-19T00:00:00"/>
    <d v="2024-07-24T00:00:00"/>
    <n v="24"/>
    <x v="0"/>
    <n v="6"/>
    <n v="6"/>
    <n v="16655.04"/>
    <n v="8706.02"/>
    <n v="7400.68"/>
  </r>
  <r>
    <s v="1963"/>
    <s v="Laura Pérez"/>
    <d v="1995-01-01T00:00:00"/>
    <n v="31"/>
    <x v="0"/>
    <x v="2"/>
    <d v="2023-10-10T00:00:00"/>
    <d v="2025-06-17T00:00:00"/>
    <n v="33"/>
    <x v="1"/>
    <n v="9"/>
    <n v="4"/>
    <n v="20949.080000000002"/>
    <n v="14309.86"/>
    <n v="17345.89"/>
  </r>
  <r>
    <s v="1964"/>
    <s v="Luisa Martínez"/>
    <d v="1976-01-01T00:00:00"/>
    <n v="50"/>
    <x v="1"/>
    <x v="2"/>
    <d v="2023-01-02T00:00:00"/>
    <d v="2025-05-06T00:00:00"/>
    <n v="14"/>
    <x v="1"/>
    <n v="1"/>
    <n v="6"/>
    <n v="25085.42"/>
    <n v="14537.51"/>
    <n v="6366.13"/>
  </r>
  <r>
    <s v="1965"/>
    <s v="Carlos Ramírez"/>
    <d v="1983-01-01T00:00:00"/>
    <n v="43"/>
    <x v="1"/>
    <x v="0"/>
    <d v="2023-03-15T00:00:00"/>
    <d v="2024-07-02T00:00:00"/>
    <n v="7"/>
    <x v="0"/>
    <n v="5"/>
    <n v="5"/>
    <n v="8782.09"/>
    <n v="12709.99"/>
    <n v="14620.88"/>
  </r>
  <r>
    <s v="1966"/>
    <s v="Sofía Gómez"/>
    <d v="1944-12-31T00:00:00"/>
    <n v="74"/>
    <x v="1"/>
    <x v="1"/>
    <d v="2023-03-05T00:00:00"/>
    <d v="2023-01-26T00:00:00"/>
    <n v="14"/>
    <x v="0"/>
    <n v="8"/>
    <n v="7"/>
    <n v="53.24"/>
    <n v="8755.93"/>
    <n v="13314.14"/>
  </r>
  <r>
    <s v="1967"/>
    <s v="Pedro Cruz"/>
    <d v="1956-12-31T00:00:00"/>
    <n v="69"/>
    <x v="0"/>
    <x v="6"/>
    <d v="2023-12-13T00:00:00"/>
    <d v="2024-06-30T00:00:00"/>
    <n v="7"/>
    <x v="2"/>
    <n v="2"/>
    <n v="2"/>
    <n v="16312.15"/>
    <n v="5861.02"/>
    <n v="3947.06"/>
  </r>
  <r>
    <s v="1968"/>
    <s v="Carmen Rodríguez"/>
    <d v="2008-12-31T00:00:00"/>
    <n v="66"/>
    <x v="0"/>
    <x v="6"/>
    <d v="2023-11-20T00:00:00"/>
    <d v="2023-05-21T00:00:00"/>
    <n v="7"/>
    <x v="2"/>
    <n v="3"/>
    <n v="7"/>
    <n v="14423.17"/>
    <n v="3454.2"/>
    <n v="2402.41"/>
  </r>
  <r>
    <s v="1969"/>
    <s v="María Ramírez"/>
    <d v="1944-01-01T00:00:00"/>
    <n v="82"/>
    <x v="0"/>
    <x v="5"/>
    <d v="2023-08-27T00:00:00"/>
    <d v="2023-10-03T00:00:00"/>
    <n v="35"/>
    <x v="0"/>
    <n v="2"/>
    <n v="6"/>
    <n v="1153.06"/>
    <n v="8016.84"/>
    <n v="2142.25"/>
  </r>
  <r>
    <s v="1970"/>
    <s v="Luis Martínez"/>
    <d v="2004-12-31T00:00:00"/>
    <n v="21"/>
    <x v="0"/>
    <x v="0"/>
    <d v="2024-02-01T00:00:00"/>
    <d v="2024-01-06T00:00:00"/>
    <n v="14"/>
    <x v="0"/>
    <n v="11"/>
    <n v="0"/>
    <n v="18791.45"/>
    <n v="5184.46"/>
    <n v="12983.37"/>
  </r>
  <r>
    <s v="1971"/>
    <s v="Miguel Martínez"/>
    <d v="1989-12-31T00:00:00"/>
    <n v="36"/>
    <x v="0"/>
    <x v="6"/>
    <d v="2023-12-03T00:00:00"/>
    <d v="2025-05-24T00:00:00"/>
    <n v="23"/>
    <x v="0"/>
    <n v="7"/>
    <n v="2"/>
    <n v="28212.71"/>
    <n v="1091.17"/>
    <n v="160.16999999999999"/>
  </r>
  <r>
    <s v="1972"/>
    <s v="Ana Martínez"/>
    <d v="1971-01-01T00:00:00"/>
    <n v="55"/>
    <x v="1"/>
    <x v="1"/>
    <d v="2023-12-07T00:00:00"/>
    <d v="2023-08-11T00:00:00"/>
    <n v="23"/>
    <x v="0"/>
    <n v="10"/>
    <n v="9"/>
    <n v="11768.07"/>
    <n v="7143.31"/>
    <n v="13179.55"/>
  </r>
  <r>
    <s v="1973"/>
    <s v="Elena López"/>
    <d v="1968-01-01T00:00:00"/>
    <n v="58"/>
    <x v="1"/>
    <x v="2"/>
    <d v="2023-10-06T00:00:00"/>
    <d v="2023-02-07T00:00:00"/>
    <n v="31"/>
    <x v="0"/>
    <n v="5"/>
    <n v="3"/>
    <n v="26777.99"/>
    <n v="8566.2900000000009"/>
    <n v="15617.51"/>
  </r>
  <r>
    <s v="1974"/>
    <s v="Laura Hernández"/>
    <d v="2024-01-01T00:00:00"/>
    <n v="2"/>
    <x v="0"/>
    <x v="0"/>
    <d v="2023-12-19T00:00:00"/>
    <d v="2025-05-25T00:00:00"/>
    <n v="1"/>
    <x v="0"/>
    <n v="12"/>
    <n v="8"/>
    <n v="24299.59"/>
    <n v="9169.73"/>
    <n v="5980.46"/>
  </r>
  <r>
    <s v="1975"/>
    <s v="Ana Gómez"/>
    <d v="1999-01-01T00:00:00"/>
    <n v="27"/>
    <x v="0"/>
    <x v="3"/>
    <d v="2024-04-07T00:00:00"/>
    <d v="2023-05-10T00:00:00"/>
    <n v="24"/>
    <x v="0"/>
    <n v="14"/>
    <n v="5"/>
    <n v="4432.3500000000004"/>
    <n v="1107.21"/>
    <n v="14888.58"/>
  </r>
  <r>
    <s v="1976"/>
    <s v="Sofía Gómez"/>
    <d v="1952-12-31T00:00:00"/>
    <n v="73"/>
    <x v="0"/>
    <x v="4"/>
    <d v="2024-04-06T00:00:00"/>
    <d v="2023-11-13T00:00:00"/>
    <n v="18"/>
    <x v="2"/>
    <n v="13"/>
    <n v="6"/>
    <n v="23512.03"/>
    <n v="7246.65"/>
    <n v="3224.26"/>
  </r>
  <r>
    <s v="1977"/>
    <s v="Sofía Morales"/>
    <d v="1992-01-01T00:00:00"/>
    <n v="34"/>
    <x v="0"/>
    <x v="4"/>
    <d v="2024-12-13T00:00:00"/>
    <d v="2023-11-20T00:00:00"/>
    <n v="33"/>
    <x v="0"/>
    <n v="13"/>
    <n v="4"/>
    <n v="15259.54"/>
    <n v="9838.7000000000007"/>
    <n v="19205.87"/>
  </r>
  <r>
    <s v="1978"/>
    <s v="José Cruz"/>
    <d v="1965-12-31T00:00:00"/>
    <n v="60"/>
    <x v="0"/>
    <x v="0"/>
    <d v="2023-10-20T00:00:00"/>
    <d v="2024-03-09T00:00:00"/>
    <n v="35"/>
    <x v="0"/>
    <n v="4"/>
    <n v="2"/>
    <n v="27518.17"/>
    <n v="14415.96"/>
    <n v="4564.53"/>
  </r>
  <r>
    <s v="1979"/>
    <s v="Sofía Rodríguez"/>
    <d v="1933-12-31T00:00:00"/>
    <n v="92"/>
    <x v="0"/>
    <x v="0"/>
    <d v="2024-02-11T00:00:00"/>
    <d v="2023-08-07T00:00:00"/>
    <n v="28"/>
    <x v="1"/>
    <n v="4"/>
    <n v="4"/>
    <n v="0"/>
    <n v="375.69"/>
    <n v="9716.14"/>
  </r>
  <r>
    <s v="1980"/>
    <s v="Juan Pérez"/>
    <d v="1972-12-31T00:00:00"/>
    <n v="53"/>
    <x v="1"/>
    <x v="1"/>
    <d v="2023-06-11T00:00:00"/>
    <d v="2025-04-27T00:00:00"/>
    <n v="4"/>
    <x v="0"/>
    <n v="9"/>
    <n v="6"/>
    <n v="3313.92"/>
    <n v="10144.23"/>
    <n v="19607.98"/>
  </r>
  <r>
    <s v="1981"/>
    <s v="Carlos Martínez"/>
    <d v="1964-01-01T00:00:00"/>
    <n v="62"/>
    <x v="1"/>
    <x v="1"/>
    <d v="2024-05-17T00:00:00"/>
    <d v="2023-09-06T00:00:00"/>
    <n v="31"/>
    <x v="1"/>
    <n v="8"/>
    <n v="8"/>
    <n v="6859.05"/>
    <n v="935.06"/>
    <n v="18133.47"/>
  </r>
  <r>
    <s v="1982"/>
    <s v="Elena Rodríguez"/>
    <d v="1948-01-01T00:00:00"/>
    <n v="78"/>
    <x v="2"/>
    <x v="6"/>
    <d v="2024-03-23T00:00:00"/>
    <d v="2023-04-22T00:00:00"/>
    <n v="15"/>
    <x v="0"/>
    <n v="5"/>
    <n v="8"/>
    <n v="1318.61"/>
    <n v="2382.65"/>
    <n v="13155.25"/>
  </r>
  <r>
    <s v="1983"/>
    <s v="Jorge Cruz"/>
    <d v="2020-01-01T00:00:00"/>
    <n v="6"/>
    <x v="0"/>
    <x v="4"/>
    <d v="2024-11-25T00:00:00"/>
    <d v="2025-03-27T00:00:00"/>
    <n v="21"/>
    <x v="1"/>
    <n v="3"/>
    <n v="7"/>
    <n v="9262.44"/>
    <n v="2599.62"/>
    <n v="7320.77"/>
  </r>
  <r>
    <s v="1984"/>
    <s v="Sofía Rodríguez"/>
    <d v="1951-01-01T00:00:00"/>
    <n v="75"/>
    <x v="1"/>
    <x v="5"/>
    <d v="2024-03-30T00:00:00"/>
    <d v="2025-01-02T00:00:00"/>
    <n v="10"/>
    <x v="0"/>
    <n v="8"/>
    <n v="4"/>
    <n v="8131.77"/>
    <n v="4933.09"/>
    <n v="13971.78"/>
  </r>
  <r>
    <s v="1985"/>
    <s v="Carlos Martínez"/>
    <d v="1977-12-31T00:00:00"/>
    <n v="48"/>
    <x v="1"/>
    <x v="5"/>
    <d v="2023-09-22T00:00:00"/>
    <d v="2024-12-09T00:00:00"/>
    <n v="10"/>
    <x v="2"/>
    <n v="11"/>
    <n v="6"/>
    <n v="12194.56"/>
    <n v="12469.49"/>
    <n v="9151.5"/>
  </r>
  <r>
    <s v="1986"/>
    <s v="María Hernández"/>
    <d v="1932-12-31T00:00:00"/>
    <n v="83"/>
    <x v="1"/>
    <x v="1"/>
    <d v="2023-05-12T00:00:00"/>
    <d v="2023-05-28T00:00:00"/>
    <n v="22"/>
    <x v="0"/>
    <n v="12"/>
    <n v="3"/>
    <n v="13620.8"/>
    <n v="12843.56"/>
    <n v="2087.6799999999998"/>
  </r>
  <r>
    <s v="1987"/>
    <s v="Luisa Cruz"/>
    <d v="1941-12-31T00:00:00"/>
    <n v="84"/>
    <x v="1"/>
    <x v="6"/>
    <d v="2023-04-30T00:00:00"/>
    <d v="2023-12-11T00:00:00"/>
    <n v="2"/>
    <x v="1"/>
    <n v="1"/>
    <n v="9"/>
    <n v="3913.98"/>
    <n v="5624.28"/>
    <n v="15899.15"/>
  </r>
  <r>
    <s v="1988"/>
    <s v="Laura Hernández"/>
    <d v="1996-01-01T00:00:00"/>
    <n v="30"/>
    <x v="0"/>
    <x v="6"/>
    <d v="2023-08-07T00:00:00"/>
    <d v="2024-05-24T00:00:00"/>
    <n v="36"/>
    <x v="0"/>
    <n v="9"/>
    <n v="4"/>
    <n v="18390.900000000001"/>
    <n v="6469.54"/>
    <n v="17419.39"/>
  </r>
  <r>
    <s v="1989"/>
    <s v="Carlos Martínez"/>
    <d v="1968-12-31T00:00:00"/>
    <n v="57"/>
    <x v="1"/>
    <x v="6"/>
    <d v="2024-02-21T00:00:00"/>
    <d v="2024-05-20T00:00:00"/>
    <n v="26"/>
    <x v="2"/>
    <n v="9"/>
    <n v="3"/>
    <n v="6318.81"/>
    <n v="3255.46"/>
    <n v="8092.9"/>
  </r>
  <r>
    <s v="1990"/>
    <s v="Ana Martínez"/>
    <d v="1965-12-31T00:00:00"/>
    <n v="60"/>
    <x v="0"/>
    <x v="1"/>
    <d v="2024-11-02T00:00:00"/>
    <d v="2024-07-06T00:00:00"/>
    <n v="30"/>
    <x v="0"/>
    <n v="1"/>
    <n v="2"/>
    <n v="3218.82"/>
    <n v="6487.71"/>
    <n v="13281.1"/>
  </r>
  <r>
    <s v="1991"/>
    <s v="Pedro Sánchez"/>
    <d v="2003-01-01T00:00:00"/>
    <n v="23"/>
    <x v="1"/>
    <x v="5"/>
    <d v="2024-05-19T00:00:00"/>
    <d v="2023-05-15T00:00:00"/>
    <n v="21"/>
    <x v="0"/>
    <n v="5"/>
    <n v="0"/>
    <n v="21118.74"/>
    <n v="4122.5200000000004"/>
    <n v="510.29"/>
  </r>
  <r>
    <s v="1992"/>
    <s v="José Pérez"/>
    <d v="2007-01-01T00:00:00"/>
    <n v="19"/>
    <x v="0"/>
    <x v="6"/>
    <d v="2023-10-27T00:00:00"/>
    <d v="2024-04-09T00:00:00"/>
    <n v="7"/>
    <x v="2"/>
    <n v="9"/>
    <n v="4"/>
    <n v="193.43"/>
    <n v="2623.24"/>
    <n v="3864.73"/>
  </r>
  <r>
    <s v="1993"/>
    <s v="Pedro Sánchez"/>
    <d v="1989-12-31T00:00:00"/>
    <n v="36"/>
    <x v="1"/>
    <x v="1"/>
    <d v="2023-04-19T00:00:00"/>
    <d v="2025-05-14T00:00:00"/>
    <n v="22"/>
    <x v="0"/>
    <n v="12"/>
    <n v="1"/>
    <n v="10735.16"/>
    <n v="2377.02"/>
    <n v="11362.3"/>
  </r>
  <r>
    <s v="1994"/>
    <s v="María López"/>
    <d v="2023-01-01T00:00:00"/>
    <n v="3"/>
    <x v="0"/>
    <x v="3"/>
    <d v="2023-08-26T00:00:00"/>
    <d v="2023-07-11T00:00:00"/>
    <n v="38"/>
    <x v="0"/>
    <n v="8"/>
    <n v="5"/>
    <n v="3904.3"/>
    <n v="11634.71"/>
    <n v="5409.06"/>
  </r>
  <r>
    <s v="1995"/>
    <s v="Jorge Gómez"/>
    <d v="1935-01-01T00:00:00"/>
    <n v="91"/>
    <x v="0"/>
    <x v="3"/>
    <d v="2023-10-20T00:00:00"/>
    <d v="2023-06-13T00:00:00"/>
    <n v="7"/>
    <x v="0"/>
    <n v="1"/>
    <n v="4"/>
    <n v="26425.18"/>
    <n v="1754.2"/>
    <n v="18881.71"/>
  </r>
  <r>
    <s v="1996"/>
    <s v="Ana Morales"/>
    <d v="2007-01-01T00:00:00"/>
    <n v="19"/>
    <x v="0"/>
    <x v="2"/>
    <d v="2024-08-01T00:00:00"/>
    <d v="2024-04-01T00:00:00"/>
    <n v="36"/>
    <x v="0"/>
    <n v="2"/>
    <n v="1"/>
    <n v="24645.98"/>
    <n v="9240.52"/>
    <n v="16724.59"/>
  </r>
  <r>
    <s v="1997"/>
    <s v="Luisa Cruz"/>
    <d v="1967-01-01T00:00:00"/>
    <n v="59"/>
    <x v="1"/>
    <x v="3"/>
    <d v="2023-07-06T00:00:00"/>
    <d v="2023-03-03T00:00:00"/>
    <n v="13"/>
    <x v="1"/>
    <n v="8"/>
    <n v="7"/>
    <n v="1346.06"/>
    <n v="2512.23"/>
    <n v="13065.62"/>
  </r>
  <r>
    <s v="1998"/>
    <s v="Ricardo Sánchez"/>
    <d v="2003-01-01T00:00:00"/>
    <n v="23"/>
    <x v="1"/>
    <x v="0"/>
    <d v="2023-02-05T00:00:00"/>
    <d v="2023-01-06T00:00:00"/>
    <n v="25"/>
    <x v="0"/>
    <n v="12"/>
    <n v="4"/>
    <n v="16288.76"/>
    <n v="12567.59"/>
    <n v="19976.68"/>
  </r>
  <r>
    <s v="1999"/>
    <s v="Laura Cruz"/>
    <d v="1976-12-31T00:00:00"/>
    <n v="49"/>
    <x v="1"/>
    <x v="2"/>
    <d v="2024-07-14T00:00:00"/>
    <d v="2023-02-07T00:00:00"/>
    <n v="9"/>
    <x v="1"/>
    <n v="6"/>
    <n v="1"/>
    <n v="8508.34"/>
    <n v="4117.01"/>
    <n v="4789.28"/>
  </r>
  <r>
    <s v="2000"/>
    <s v="Pedro Gómez"/>
    <d v="1977-12-31T00:00:00"/>
    <n v="48"/>
    <x v="1"/>
    <x v="3"/>
    <d v="2023-09-13T00:00:00"/>
    <d v="2024-04-05T00:00:00"/>
    <n v="29"/>
    <x v="2"/>
    <n v="2"/>
    <n v="0"/>
    <n v="5372.64"/>
    <n v="673.4"/>
    <n v="18374.45"/>
  </r>
  <r>
    <s v="2001"/>
    <s v="Luisa Gómez"/>
    <d v="1976-01-01T00:00:00"/>
    <n v="50"/>
    <x v="0"/>
    <x v="0"/>
    <d v="2024-03-10T00:00:00"/>
    <d v="2023-08-06T00:00:00"/>
    <n v="26"/>
    <x v="0"/>
    <n v="1"/>
    <n v="1"/>
    <n v="9001.93"/>
    <n v="6781.1"/>
    <n v="6021.93"/>
  </r>
  <r>
    <s v="2002"/>
    <s v="Elena Gómez"/>
    <d v="1991-01-01T00:00:00"/>
    <n v="35"/>
    <x v="0"/>
    <x v="3"/>
    <d v="2024-09-10T00:00:00"/>
    <d v="2025-01-07T00:00:00"/>
    <n v="24"/>
    <x v="1"/>
    <n v="3"/>
    <n v="0"/>
    <n v="24384.560000000001"/>
    <n v="14996.96"/>
    <n v="11891.55"/>
  </r>
  <r>
    <s v="2003"/>
    <s v="Laura López"/>
    <d v="1960-12-31T00:00:00"/>
    <n v="65"/>
    <x v="0"/>
    <x v="1"/>
    <d v="2023-01-08T00:00:00"/>
    <d v="2024-12-29T00:00:00"/>
    <n v="23"/>
    <x v="0"/>
    <n v="13"/>
    <n v="9"/>
    <n v="1264.5899999999999"/>
    <n v="12197.06"/>
    <n v="8630.7800000000007"/>
  </r>
  <r>
    <s v="2004"/>
    <s v="Juan Martínez"/>
    <d v="1948-01-01T00:00:00"/>
    <n v="78"/>
    <x v="0"/>
    <x v="4"/>
    <d v="2023-06-27T00:00:00"/>
    <d v="2023-05-20T00:00:00"/>
    <n v="0"/>
    <x v="0"/>
    <n v="1"/>
    <n v="9"/>
    <n v="19271.12"/>
    <n v="8553.94"/>
    <n v="8808.61"/>
  </r>
  <r>
    <s v="2005"/>
    <s v="José Cruz"/>
    <d v="1992-12-31T00:00:00"/>
    <n v="33"/>
    <x v="1"/>
    <x v="0"/>
    <d v="2023-08-30T00:00:00"/>
    <d v="2024-09-10T00:00:00"/>
    <n v="23"/>
    <x v="1"/>
    <n v="7"/>
    <n v="2"/>
    <n v="27357.79"/>
    <n v="2841.58"/>
    <n v="15226.45"/>
  </r>
  <r>
    <s v="2006"/>
    <s v="Miguel Sánchez"/>
    <d v="1991-01-01T00:00:00"/>
    <n v="35"/>
    <x v="1"/>
    <x v="6"/>
    <d v="2023-02-10T00:00:00"/>
    <d v="2023-04-10T00:00:00"/>
    <n v="36"/>
    <x v="0"/>
    <n v="6"/>
    <n v="2"/>
    <n v="13165.72"/>
    <n v="1762.58"/>
    <n v="6885.62"/>
  </r>
  <r>
    <s v="2007"/>
    <s v="María Pérez"/>
    <d v="2020-12-31T00:00:00"/>
    <n v="5"/>
    <x v="1"/>
    <x v="1"/>
    <d v="2023-12-23T00:00:00"/>
    <d v="2024-11-11T00:00:00"/>
    <n v="2"/>
    <x v="2"/>
    <n v="12"/>
    <n v="9"/>
    <n v="26996.17"/>
    <n v="12578.26"/>
    <n v="10101.32"/>
  </r>
  <r>
    <s v="2008"/>
    <s v="María Ramírez"/>
    <d v="1988-01-01T00:00:00"/>
    <n v="7"/>
    <x v="0"/>
    <x v="4"/>
    <d v="2023-04-23T00:00:00"/>
    <d v="2023-09-22T00:00:00"/>
    <n v="32"/>
    <x v="0"/>
    <n v="5"/>
    <n v="0"/>
    <n v="27157.41"/>
    <n v="11815.61"/>
    <n v="4155.4399999999996"/>
  </r>
  <r>
    <s v="2009"/>
    <s v="Ana Morales"/>
    <d v="1984-12-31T00:00:00"/>
    <n v="41"/>
    <x v="0"/>
    <x v="0"/>
    <d v="2023-06-15T00:00:00"/>
    <d v="2024-08-22T00:00:00"/>
    <n v="24"/>
    <x v="2"/>
    <n v="3"/>
    <n v="6"/>
    <n v="18092.669999999998"/>
    <n v="6932.83"/>
    <n v="15245.78"/>
  </r>
  <r>
    <s v="2010"/>
    <s v="Luis Ramírez"/>
    <d v="1968-12-31T00:00:00"/>
    <n v="57"/>
    <x v="1"/>
    <x v="1"/>
    <d v="2024-05-18T00:00:00"/>
    <d v="2024-08-19T00:00:00"/>
    <n v="1"/>
    <x v="0"/>
    <n v="2"/>
    <n v="9"/>
    <n v="13403.14"/>
    <n v="6321.15"/>
    <n v="10993.82"/>
  </r>
  <r>
    <s v="2011"/>
    <s v="Carlos Morales"/>
    <d v="2015-01-01T00:00:00"/>
    <n v="11"/>
    <x v="1"/>
    <x v="6"/>
    <d v="2023-03-19T00:00:00"/>
    <d v="2023-08-13T00:00:00"/>
    <n v="16"/>
    <x v="2"/>
    <n v="5"/>
    <n v="6"/>
    <n v="21998.74"/>
    <n v="11230.09"/>
    <n v="5026.78"/>
  </r>
  <r>
    <s v="2012"/>
    <s v="María Ramírez"/>
    <d v="2024-01-01T00:00:00"/>
    <n v="2"/>
    <x v="0"/>
    <x v="0"/>
    <d v="2024-12-19T00:00:00"/>
    <d v="2023-01-12T00:00:00"/>
    <n v="19"/>
    <x v="0"/>
    <n v="1"/>
    <n v="8"/>
    <n v="0"/>
    <n v="8040.56"/>
    <n v="5245.3"/>
  </r>
  <r>
    <s v="2013"/>
    <s v="Luis Pérez"/>
    <d v="2008-12-31T00:00:00"/>
    <n v="17"/>
    <x v="0"/>
    <x v="0"/>
    <d v="2023-07-15T00:00:00"/>
    <d v="2023-11-24T00:00:00"/>
    <n v="3"/>
    <x v="1"/>
    <n v="6"/>
    <n v="4"/>
    <n v="20241.080000000002"/>
    <n v="6062.54"/>
    <n v="5800.09"/>
  </r>
  <r>
    <s v="2014"/>
    <s v="Juan Cruz"/>
    <d v="1987-01-01T00:00:00"/>
    <n v="39"/>
    <x v="0"/>
    <x v="4"/>
    <d v="2024-02-06T00:00:00"/>
    <d v="2024-11-29T00:00:00"/>
    <n v="6"/>
    <x v="2"/>
    <n v="3"/>
    <n v="3"/>
    <n v="5893.02"/>
    <n v="3775.81"/>
    <n v="13955.77"/>
  </r>
  <r>
    <s v="2015"/>
    <s v="Luis Pérez"/>
    <d v="2005-12-31T00:00:00"/>
    <n v="20"/>
    <x v="1"/>
    <x v="1"/>
    <d v="2023-03-05T00:00:00"/>
    <d v="2023-12-17T00:00:00"/>
    <n v="8"/>
    <x v="0"/>
    <n v="3"/>
    <n v="4"/>
    <n v="24511.7"/>
    <n v="1838.45"/>
    <n v="11861.35"/>
  </r>
  <r>
    <s v="2016"/>
    <s v="Luisa Cruz"/>
    <d v="2012-01-01T00:00:00"/>
    <n v="14"/>
    <x v="1"/>
    <x v="3"/>
    <d v="2024-10-13T00:00:00"/>
    <d v="2024-01-15T00:00:00"/>
    <n v="19"/>
    <x v="0"/>
    <n v="1"/>
    <n v="7"/>
    <n v="28521.77"/>
    <n v="8921.9"/>
    <n v="16427.14"/>
  </r>
  <r>
    <s v="2017"/>
    <s v="Carmen Pérez"/>
    <d v="2000-12-31T00:00:00"/>
    <n v="25"/>
    <x v="2"/>
    <x v="0"/>
    <d v="2024-02-29T00:00:00"/>
    <d v="2023-08-20T00:00:00"/>
    <n v="6"/>
    <x v="2"/>
    <n v="11"/>
    <n v="7"/>
    <n v="12013.38"/>
    <n v="12390.73"/>
    <n v="11387.75"/>
  </r>
  <r>
    <s v="2018"/>
    <s v="Miguel López"/>
    <d v="2019-01-01T00:00:00"/>
    <n v="7"/>
    <x v="0"/>
    <x v="3"/>
    <d v="2023-02-11T00:00:00"/>
    <d v="2023-05-22T00:00:00"/>
    <n v="26"/>
    <x v="1"/>
    <n v="13"/>
    <n v="3"/>
    <n v="20776.490000000002"/>
    <n v="11192.75"/>
    <n v="6063.73"/>
  </r>
  <r>
    <s v="2019"/>
    <s v="Ricardo Rodríguez"/>
    <d v="1932-12-31T00:00:00"/>
    <n v="93"/>
    <x v="1"/>
    <x v="0"/>
    <d v="2024-01-08T00:00:00"/>
    <d v="2024-09-10T00:00:00"/>
    <n v="7"/>
    <x v="2"/>
    <n v="8"/>
    <n v="7"/>
    <n v="15304.07"/>
    <n v="10444.780000000001"/>
    <n v="19253.689999999999"/>
  </r>
  <r>
    <s v="2020"/>
    <s v="Luis Ramírez"/>
    <d v="1940-01-01T00:00:00"/>
    <n v="86"/>
    <x v="0"/>
    <x v="5"/>
    <d v="2023-11-02T00:00:00"/>
    <d v="2025-02-04T00:00:00"/>
    <n v="31"/>
    <x v="0"/>
    <n v="13"/>
    <n v="3"/>
    <n v="2916.28"/>
    <n v="13932.78"/>
    <n v="17710.689999999999"/>
  </r>
  <r>
    <s v="2021"/>
    <s v="Pedro Gómez"/>
    <d v="1984-12-31T00:00:00"/>
    <n v="41"/>
    <x v="0"/>
    <x v="2"/>
    <d v="2023-07-28T00:00:00"/>
    <d v="2023-02-19T00:00:00"/>
    <n v="28"/>
    <x v="0"/>
    <n v="9"/>
    <n v="3"/>
    <n v="10170.18"/>
    <n v="5917.75"/>
    <n v="5504.31"/>
  </r>
  <r>
    <s v="2022"/>
    <s v="Luisa Pérez"/>
    <d v="1983-01-01T00:00:00"/>
    <n v="43"/>
    <x v="1"/>
    <x v="3"/>
    <d v="2024-04-11T00:00:00"/>
    <d v="2024-03-27T00:00:00"/>
    <n v="19"/>
    <x v="0"/>
    <n v="6"/>
    <n v="7"/>
    <n v="4496.8"/>
    <n v="2058.2600000000002"/>
    <n v="18245.13"/>
  </r>
  <r>
    <s v="2023"/>
    <s v="Luisa Sánchez"/>
    <d v="2012-12-31T00:00:00"/>
    <n v="13"/>
    <x v="1"/>
    <x v="3"/>
    <d v="2023-10-31T00:00:00"/>
    <d v="2025-02-14T00:00:00"/>
    <n v="1"/>
    <x v="2"/>
    <n v="5"/>
    <n v="1"/>
    <n v="20043.990000000002"/>
    <n v="1529.24"/>
    <n v="14374.5"/>
  </r>
  <r>
    <s v="2024"/>
    <s v="María Cruz"/>
    <d v="1948-12-31T00:00:00"/>
    <n v="77"/>
    <x v="1"/>
    <x v="4"/>
    <d v="2024-08-07T00:00:00"/>
    <d v="2024-05-06T00:00:00"/>
    <n v="1"/>
    <x v="2"/>
    <n v="1"/>
    <n v="3"/>
    <n v="17253.89"/>
    <n v="14325.18"/>
    <n v="8235.35"/>
  </r>
  <r>
    <s v="2025"/>
    <s v="Juan Hernández"/>
    <d v="2024-12-31T00:00:00"/>
    <n v="1"/>
    <x v="1"/>
    <x v="6"/>
    <d v="2024-01-27T00:00:00"/>
    <d v="2023-07-25T00:00:00"/>
    <n v="2"/>
    <x v="2"/>
    <n v="10"/>
    <n v="0"/>
    <n v="522.79999999999995"/>
    <n v="8834.4599999999991"/>
    <n v="9284.2199999999993"/>
  </r>
  <r>
    <s v="2026"/>
    <s v="Juan Rodríguez"/>
    <d v="1989-12-31T00:00:00"/>
    <n v="36"/>
    <x v="0"/>
    <x v="5"/>
    <d v="2023-06-02T00:00:00"/>
    <d v="2025-05-19T00:00:00"/>
    <n v="12"/>
    <x v="1"/>
    <n v="10"/>
    <n v="0"/>
    <n v="1379.01"/>
    <n v="12161.9"/>
    <n v="8872.27"/>
  </r>
  <r>
    <s v="2027"/>
    <s v="Carmen Hernández"/>
    <d v="1957-12-31T00:00:00"/>
    <n v="68"/>
    <x v="1"/>
    <x v="6"/>
    <d v="2024-10-08T00:00:00"/>
    <d v="2024-02-14T00:00:00"/>
    <n v="16"/>
    <x v="0"/>
    <n v="2"/>
    <n v="7"/>
    <n v="7454.17"/>
    <n v="8033.4"/>
    <n v="15916.96"/>
  </r>
  <r>
    <s v="2028"/>
    <s v="Carlos Sánchez"/>
    <d v="1988-12-31T00:00:00"/>
    <n v="37"/>
    <x v="0"/>
    <x v="5"/>
    <d v="2023-12-28T00:00:00"/>
    <d v="2024-02-12T00:00:00"/>
    <n v="35"/>
    <x v="2"/>
    <n v="2"/>
    <n v="3"/>
    <n v="22218.22"/>
    <n v="5977.42"/>
    <n v="3427.63"/>
  </r>
  <r>
    <s v="2029"/>
    <s v="Luis Gómez"/>
    <d v="1985-12-31T00:00:00"/>
    <n v="40"/>
    <x v="2"/>
    <x v="5"/>
    <d v="2023-09-21T00:00:00"/>
    <d v="2023-02-21T00:00:00"/>
    <n v="12"/>
    <x v="1"/>
    <n v="10"/>
    <n v="5"/>
    <n v="3368.5"/>
    <n v="3004.04"/>
    <n v="1079.22"/>
  </r>
  <r>
    <s v="2030"/>
    <s v="Ana Cruz"/>
    <d v="1964-12-31T00:00:00"/>
    <n v="61"/>
    <x v="1"/>
    <x v="1"/>
    <d v="2023-08-04T00:00:00"/>
    <d v="2023-06-25T00:00:00"/>
    <n v="5"/>
    <x v="0"/>
    <n v="7"/>
    <n v="4"/>
    <n v="5745.61"/>
    <n v="12846.13"/>
    <n v="9919"/>
  </r>
  <r>
    <s v="2031"/>
    <s v="Ana Morales"/>
    <d v="1967-01-01T00:00:00"/>
    <n v="59"/>
    <x v="1"/>
    <x v="1"/>
    <d v="2024-12-21T00:00:00"/>
    <d v="2025-01-07T00:00:00"/>
    <n v="17"/>
    <x v="2"/>
    <n v="8"/>
    <n v="9"/>
    <n v="27182.61"/>
    <n v="952.73"/>
    <n v="5737.23"/>
  </r>
  <r>
    <s v="2032"/>
    <s v="Miguel Sánchez"/>
    <d v="2012-12-31T00:00:00"/>
    <n v="13"/>
    <x v="0"/>
    <x v="1"/>
    <d v="2024-12-16T00:00:00"/>
    <d v="2023-09-19T00:00:00"/>
    <n v="9"/>
    <x v="2"/>
    <n v="0"/>
    <n v="5"/>
    <n v="16157.19"/>
    <n v="13503.49"/>
    <n v="11234.88"/>
  </r>
  <r>
    <s v="2033"/>
    <s v="Luis Morales"/>
    <d v="1937-12-31T00:00:00"/>
    <n v="88"/>
    <x v="0"/>
    <x v="0"/>
    <d v="2024-09-13T00:00:00"/>
    <d v="2024-04-25T00:00:00"/>
    <n v="1"/>
    <x v="2"/>
    <n v="2"/>
    <n v="3"/>
    <n v="18435.91"/>
    <n v="3075.19"/>
    <n v="19561.72"/>
  </r>
  <r>
    <s v="2034"/>
    <s v="Elena Pérez"/>
    <d v="1943-01-01T00:00:00"/>
    <n v="83"/>
    <x v="0"/>
    <x v="4"/>
    <d v="2024-06-26T00:00:00"/>
    <d v="2025-01-04T00:00:00"/>
    <n v="35"/>
    <x v="1"/>
    <n v="8"/>
    <n v="3"/>
    <n v="13400.87"/>
    <n v="142.97"/>
    <n v="13396.2"/>
  </r>
  <r>
    <s v="2035"/>
    <s v="Luisa Rodríguez"/>
    <d v="2024-12-31T00:00:00"/>
    <n v="1"/>
    <x v="1"/>
    <x v="6"/>
    <d v="2024-06-07T00:00:00"/>
    <d v="2023-08-12T00:00:00"/>
    <n v="36"/>
    <x v="2"/>
    <n v="1"/>
    <n v="6"/>
    <n v="8643.02"/>
    <n v="1558.46"/>
    <n v="19180.29"/>
  </r>
  <r>
    <s v="2036"/>
    <s v="Miguel Sánchez"/>
    <d v="1956-12-31T00:00:00"/>
    <n v="69"/>
    <x v="1"/>
    <x v="2"/>
    <d v="2024-09-30T00:00:00"/>
    <d v="2023-09-27T00:00:00"/>
    <n v="33"/>
    <x v="2"/>
    <n v="8"/>
    <n v="0"/>
    <n v="7098.47"/>
    <n v="13252.63"/>
    <n v="14614.3"/>
  </r>
  <r>
    <s v="2037"/>
    <s v="Ricardo Rodríguez"/>
    <d v="2009-12-31T00:00:00"/>
    <n v="16"/>
    <x v="0"/>
    <x v="5"/>
    <d v="2023-07-13T00:00:00"/>
    <d v="2025-03-21T00:00:00"/>
    <n v="12"/>
    <x v="0"/>
    <n v="13"/>
    <n v="8"/>
    <n v="0"/>
    <n v="1105.6099999999999"/>
    <n v="1425.89"/>
  </r>
  <r>
    <s v="2038"/>
    <s v="Juan Martínez"/>
    <d v="1937-12-31T00:00:00"/>
    <n v="88"/>
    <x v="2"/>
    <x v="5"/>
    <d v="2024-10-13T00:00:00"/>
    <d v="2025-06-12T00:00:00"/>
    <n v="2"/>
    <x v="1"/>
    <n v="3"/>
    <n v="9"/>
    <n v="0"/>
    <n v="5328.61"/>
    <n v="17774.95"/>
  </r>
  <r>
    <s v="2039"/>
    <s v="María López"/>
    <d v="1999-01-01T00:00:00"/>
    <n v="27"/>
    <x v="1"/>
    <x v="4"/>
    <d v="2023-01-27T00:00:00"/>
    <d v="2023-11-15T00:00:00"/>
    <n v="28"/>
    <x v="0"/>
    <n v="10"/>
    <n v="2"/>
    <n v="11792.51"/>
    <n v="3754.75"/>
    <n v="3898.28"/>
  </r>
  <r>
    <s v="2040"/>
    <s v="Juan Cruz"/>
    <d v="1960-12-31T00:00:00"/>
    <n v="65"/>
    <x v="0"/>
    <x v="3"/>
    <d v="2023-02-15T00:00:00"/>
    <d v="2024-01-21T00:00:00"/>
    <n v="6"/>
    <x v="0"/>
    <n v="5"/>
    <n v="3"/>
    <n v="20678.75"/>
    <n v="552.82000000000005"/>
    <n v="17282.27"/>
  </r>
  <r>
    <s v="2041"/>
    <s v="José Sánchez"/>
    <d v="1992-01-01T00:00:00"/>
    <n v="34"/>
    <x v="1"/>
    <x v="0"/>
    <d v="2024-10-08T00:00:00"/>
    <d v="2024-08-09T00:00:00"/>
    <n v="20"/>
    <x v="0"/>
    <n v="3"/>
    <n v="8"/>
    <n v="11826.7"/>
    <n v="7972"/>
    <n v="14956.58"/>
  </r>
  <r>
    <s v="2042"/>
    <s v="Carmen López"/>
    <d v="2021-12-31T00:00:00"/>
    <n v="4"/>
    <x v="2"/>
    <x v="2"/>
    <d v="2023-02-27T00:00:00"/>
    <d v="2024-09-18T00:00:00"/>
    <n v="23"/>
    <x v="0"/>
    <n v="3"/>
    <n v="4"/>
    <n v="620.28"/>
    <n v="14974.99"/>
    <n v="16756.21"/>
  </r>
  <r>
    <s v="2043"/>
    <s v="Sofía Gómez"/>
    <d v="1961-12-31T00:00:00"/>
    <n v="64"/>
    <x v="0"/>
    <x v="1"/>
    <d v="2023-01-13T00:00:00"/>
    <d v="2023-08-08T00:00:00"/>
    <n v="37"/>
    <x v="0"/>
    <n v="2"/>
    <n v="3"/>
    <n v="25109.93"/>
    <n v="12795.11"/>
    <n v="4996.97"/>
  </r>
  <r>
    <s v="2044"/>
    <s v="Sofía Martínez"/>
    <d v="1987-01-01T00:00:00"/>
    <n v="39"/>
    <x v="1"/>
    <x v="5"/>
    <d v="2024-09-03T00:00:00"/>
    <d v="2023-02-24T00:00:00"/>
    <n v="36"/>
    <x v="2"/>
    <n v="12"/>
    <n v="5"/>
    <n v="9211.2999999999993"/>
    <n v="2533.39"/>
    <n v="16128.68"/>
  </r>
  <r>
    <s v="2045"/>
    <s v="Elena Hernández"/>
    <d v="1951-01-01T00:00:00"/>
    <n v="75"/>
    <x v="0"/>
    <x v="3"/>
    <d v="2023-02-18T00:00:00"/>
    <d v="2023-07-20T00:00:00"/>
    <n v="15"/>
    <x v="0"/>
    <n v="7"/>
    <n v="0"/>
    <n v="28365.25"/>
    <n v="13264.74"/>
    <n v="12168.08"/>
  </r>
  <r>
    <s v="2046"/>
    <s v="Carlos López"/>
    <d v="1971-01-01T00:00:00"/>
    <n v="55"/>
    <x v="1"/>
    <x v="6"/>
    <d v="2023-04-04T00:00:00"/>
    <d v="2025-06-03T00:00:00"/>
    <n v="30"/>
    <x v="1"/>
    <n v="4"/>
    <n v="9"/>
    <n v="26326.52"/>
    <n v="6776.9"/>
    <n v="1545.65"/>
  </r>
  <r>
    <s v="2047"/>
    <s v="José Ramírez"/>
    <d v="1991-01-01T00:00:00"/>
    <n v="35"/>
    <x v="1"/>
    <x v="5"/>
    <d v="2024-08-29T00:00:00"/>
    <d v="2024-10-05T00:00:00"/>
    <n v="38"/>
    <x v="2"/>
    <n v="8"/>
    <n v="0"/>
    <n v="0"/>
    <n v="4098.76"/>
    <n v="17771.55"/>
  </r>
  <r>
    <s v="2048"/>
    <s v="Juan Ramírez"/>
    <d v="1981-12-31T00:00:00"/>
    <n v="44"/>
    <x v="1"/>
    <x v="3"/>
    <d v="2024-10-18T00:00:00"/>
    <d v="2023-12-06T00:00:00"/>
    <n v="36"/>
    <x v="0"/>
    <n v="4"/>
    <n v="4"/>
    <n v="0"/>
    <n v="9604.59"/>
    <n v="17523.91"/>
  </r>
  <r>
    <s v="2049"/>
    <s v="Juan Martínez"/>
    <d v="2004-01-01T00:00:00"/>
    <n v="22"/>
    <x v="1"/>
    <x v="6"/>
    <d v="2024-08-06T00:00:00"/>
    <d v="2024-12-05T00:00:00"/>
    <n v="11"/>
    <x v="0"/>
    <n v="9"/>
    <n v="4"/>
    <n v="25533.599999999999"/>
    <n v="3250.42"/>
    <n v="11397.02"/>
  </r>
  <r>
    <s v="2050"/>
    <s v="José Gómez"/>
    <d v="1980-01-01T00:00:00"/>
    <n v="46"/>
    <x v="1"/>
    <x v="0"/>
    <d v="2024-03-26T00:00:00"/>
    <d v="2024-11-22T00:00:00"/>
    <n v="2"/>
    <x v="1"/>
    <n v="4"/>
    <n v="8"/>
    <n v="29543"/>
    <n v="13194.78"/>
    <n v="8997.75"/>
  </r>
  <r>
    <s v="2051"/>
    <s v="Laura Morales"/>
    <d v="1996-01-01T00:00:00"/>
    <n v="35"/>
    <x v="0"/>
    <x v="1"/>
    <d v="2024-01-14T00:00:00"/>
    <d v="2025-06-17T00:00:00"/>
    <n v="10"/>
    <x v="0"/>
    <n v="4"/>
    <n v="0"/>
    <n v="20177.43"/>
    <n v="9362.76"/>
    <n v="7951"/>
  </r>
  <r>
    <s v="2052"/>
    <s v="Sofía Morales"/>
    <d v="2016-01-01T00:00:00"/>
    <n v="10"/>
    <x v="0"/>
    <x v="4"/>
    <d v="2023-01-10T00:00:00"/>
    <d v="2023-11-02T00:00:00"/>
    <n v="12"/>
    <x v="1"/>
    <n v="1"/>
    <n v="2"/>
    <n v="27887.17"/>
    <n v="2040.33"/>
    <n v="12015.02"/>
  </r>
  <r>
    <s v="2053"/>
    <s v="José Ramírez"/>
    <d v="2016-12-31T00:00:00"/>
    <n v="9"/>
    <x v="1"/>
    <x v="6"/>
    <d v="2024-11-04T00:00:00"/>
    <d v="2025-03-10T00:00:00"/>
    <n v="34"/>
    <x v="0"/>
    <n v="14"/>
    <n v="2"/>
    <n v="20547.84"/>
    <n v="8559.73"/>
    <n v="16817.98"/>
  </r>
  <r>
    <s v="2054"/>
    <s v="Ricardo Morales"/>
    <d v="1960-01-01T00:00:00"/>
    <n v="66"/>
    <x v="0"/>
    <x v="5"/>
    <d v="2024-12-26T00:00:00"/>
    <d v="2025-01-22T00:00:00"/>
    <n v="2"/>
    <x v="0"/>
    <n v="9"/>
    <n v="3"/>
    <n v="25580.35"/>
    <n v="7655.57"/>
    <n v="11275.15"/>
  </r>
  <r>
    <s v="2055"/>
    <s v="Laura Sánchez"/>
    <d v="2012-12-31T00:00:00"/>
    <n v="13"/>
    <x v="0"/>
    <x v="2"/>
    <d v="2024-05-30T00:00:00"/>
    <d v="2023-09-03T00:00:00"/>
    <n v="11"/>
    <x v="0"/>
    <n v="4"/>
    <n v="6"/>
    <n v="18118.09"/>
    <n v="7071.83"/>
    <n v="2506"/>
  </r>
  <r>
    <s v="2056"/>
    <s v="Carmen Morales"/>
    <d v="1947-01-01T00:00:00"/>
    <n v="79"/>
    <x v="2"/>
    <x v="6"/>
    <d v="2023-08-12T00:00:00"/>
    <d v="2025-04-22T00:00:00"/>
    <n v="11"/>
    <x v="0"/>
    <n v="2"/>
    <n v="6"/>
    <n v="27839.82"/>
    <n v="5474.64"/>
    <n v="6054"/>
  </r>
  <r>
    <s v="2057"/>
    <s v="Juan Sánchez"/>
    <d v="1952-12-31T00:00:00"/>
    <n v="73"/>
    <x v="0"/>
    <x v="2"/>
    <d v="2024-01-16T00:00:00"/>
    <d v="2024-09-21T00:00:00"/>
    <n v="2"/>
    <x v="0"/>
    <n v="0"/>
    <n v="9"/>
    <n v="15301.65"/>
    <n v="7113.08"/>
    <n v="13331.76"/>
  </r>
  <r>
    <s v="2058"/>
    <s v="Ana Morales"/>
    <d v="1933-12-31T00:00:00"/>
    <n v="92"/>
    <x v="1"/>
    <x v="2"/>
    <d v="2024-06-24T00:00:00"/>
    <d v="2023-07-28T00:00:00"/>
    <n v="8"/>
    <x v="0"/>
    <n v="4"/>
    <n v="4"/>
    <n v="21965.35"/>
    <n v="8790.17"/>
    <n v="12901.18"/>
  </r>
  <r>
    <s v="2059"/>
    <s v="Pedro Hernández"/>
    <d v="2016-12-31T00:00:00"/>
    <n v="9"/>
    <x v="1"/>
    <x v="6"/>
    <d v="2023-10-29T00:00:00"/>
    <d v="2024-12-25T00:00:00"/>
    <n v="29"/>
    <x v="0"/>
    <n v="1"/>
    <n v="8"/>
    <n v="27467.29"/>
    <n v="11003.54"/>
    <n v="10329.85"/>
  </r>
  <r>
    <s v="2060"/>
    <s v="Carmen Cruz"/>
    <d v="1951-01-01T00:00:00"/>
    <n v="75"/>
    <x v="0"/>
    <x v="4"/>
    <d v="2023-07-22T00:00:00"/>
    <d v="2024-05-26T00:00:00"/>
    <n v="2"/>
    <x v="0"/>
    <n v="10"/>
    <n v="6"/>
    <n v="12382.9"/>
    <n v="13768.13"/>
    <n v="4733.6099999999997"/>
  </r>
  <r>
    <s v="2061"/>
    <s v="Carmen López"/>
    <d v="1932-12-31T00:00:00"/>
    <n v="93"/>
    <x v="1"/>
    <x v="4"/>
    <d v="2024-08-11T00:00:00"/>
    <d v="2023-09-17T00:00:00"/>
    <n v="33"/>
    <x v="0"/>
    <n v="1"/>
    <n v="1"/>
    <n v="305.26"/>
    <n v="665.76"/>
    <n v="5338.65"/>
  </r>
  <r>
    <s v="2062"/>
    <s v="María Gómez"/>
    <d v="2025-12-31T00:00:00"/>
    <n v="0"/>
    <x v="1"/>
    <x v="0"/>
    <d v="2024-07-24T00:00:00"/>
    <d v="2024-01-16T00:00:00"/>
    <n v="12"/>
    <x v="0"/>
    <n v="3"/>
    <n v="2"/>
    <n v="2947.94"/>
    <n v="8540.16"/>
    <n v="9633.42"/>
  </r>
  <r>
    <s v="2063"/>
    <s v="Luis Morales"/>
    <d v="2021-12-31T00:00:00"/>
    <n v="4"/>
    <x v="1"/>
    <x v="4"/>
    <d v="2023-07-15T00:00:00"/>
    <d v="2023-06-13T00:00:00"/>
    <n v="4"/>
    <x v="0"/>
    <n v="4"/>
    <n v="6"/>
    <n v="29143.3"/>
    <n v="11279.61"/>
    <n v="7829.37"/>
  </r>
  <r>
    <s v="2064"/>
    <s v="Sofía Rodríguez"/>
    <d v="2007-01-01T00:00:00"/>
    <n v="19"/>
    <x v="1"/>
    <x v="6"/>
    <d v="2023-11-18T00:00:00"/>
    <d v="2025-01-08T00:00:00"/>
    <n v="2"/>
    <x v="0"/>
    <n v="0"/>
    <n v="4"/>
    <n v="26132.68"/>
    <n v="1733.31"/>
    <n v="6250.33"/>
  </r>
  <r>
    <s v="2065"/>
    <s v="Pedro López"/>
    <d v="2019-01-01T00:00:00"/>
    <n v="7"/>
    <x v="1"/>
    <x v="4"/>
    <d v="2024-02-22T00:00:00"/>
    <d v="2023-12-08T00:00:00"/>
    <n v="27"/>
    <x v="1"/>
    <n v="8"/>
    <n v="6"/>
    <n v="14244.23"/>
    <n v="13672.47"/>
    <n v="16572.11"/>
  </r>
  <r>
    <s v="2066"/>
    <s v="José Morales"/>
    <d v="1984-01-01T00:00:00"/>
    <n v="42"/>
    <x v="0"/>
    <x v="3"/>
    <d v="2024-09-10T00:00:00"/>
    <d v="2024-07-30T00:00:00"/>
    <n v="12"/>
    <x v="0"/>
    <n v="6"/>
    <n v="8"/>
    <n v="28807.43"/>
    <n v="3674.85"/>
    <n v="10030.780000000001"/>
  </r>
  <r>
    <s v="2067"/>
    <s v="José Rodríguez"/>
    <d v="1951-01-01T00:00:00"/>
    <n v="75"/>
    <x v="1"/>
    <x v="1"/>
    <d v="2023-12-08T00:00:00"/>
    <d v="2025-01-28T00:00:00"/>
    <n v="27"/>
    <x v="0"/>
    <n v="2"/>
    <n v="8"/>
    <n v="5160.97"/>
    <n v="12499.98"/>
    <n v="10011.68"/>
  </r>
  <r>
    <s v="2068"/>
    <s v="Ricardo Martínez"/>
    <d v="2025-12-31T00:00:00"/>
    <n v="0"/>
    <x v="0"/>
    <x v="2"/>
    <d v="2024-01-24T00:00:00"/>
    <d v="2024-06-14T00:00:00"/>
    <n v="11"/>
    <x v="1"/>
    <n v="10"/>
    <n v="2"/>
    <n v="2884.47"/>
    <n v="9930.1"/>
    <n v="8503.92"/>
  </r>
  <r>
    <s v="2069"/>
    <s v="Jorge Rodríguez"/>
    <d v="1969-12-31T00:00:00"/>
    <n v="56"/>
    <x v="0"/>
    <x v="1"/>
    <d v="2023-01-09T00:00:00"/>
    <d v="2023-02-04T00:00:00"/>
    <n v="21"/>
    <x v="2"/>
    <n v="2"/>
    <n v="7"/>
    <n v="0"/>
    <n v="8393.2000000000007"/>
    <n v="13586.15"/>
  </r>
  <r>
    <s v="2070"/>
    <s v="Carmen Pérez"/>
    <d v="1963-01-01T00:00:00"/>
    <n v="63"/>
    <x v="1"/>
    <x v="5"/>
    <d v="2024-06-15T00:00:00"/>
    <d v="2025-04-04T00:00:00"/>
    <n v="21"/>
    <x v="0"/>
    <n v="8"/>
    <n v="5"/>
    <n v="11154.67"/>
    <n v="13038.64"/>
    <n v="3430.56"/>
  </r>
  <r>
    <s v="2071"/>
    <s v="Luisa López"/>
    <d v="1943-01-01T00:00:00"/>
    <n v="83"/>
    <x v="1"/>
    <x v="2"/>
    <d v="2023-05-29T00:00:00"/>
    <d v="2023-11-20T00:00:00"/>
    <n v="32"/>
    <x v="2"/>
    <n v="12"/>
    <n v="3"/>
    <n v="9862.9699999999993"/>
    <n v="14538.52"/>
    <n v="18866.12"/>
  </r>
  <r>
    <s v="2072"/>
    <s v="Ricardo Ramírez"/>
    <d v="1999-01-01T00:00:00"/>
    <n v="27"/>
    <x v="1"/>
    <x v="5"/>
    <d v="2024-01-18T00:00:00"/>
    <d v="2023-07-01T00:00:00"/>
    <n v="2"/>
    <x v="1"/>
    <n v="3"/>
    <n v="3"/>
    <n v="21891.63"/>
    <n v="14956.96"/>
    <n v="2002.71"/>
  </r>
  <r>
    <s v="2073"/>
    <s v="Carlos Martínez"/>
    <d v="1989-12-31T00:00:00"/>
    <n v="36"/>
    <x v="1"/>
    <x v="3"/>
    <d v="2024-06-12T00:00:00"/>
    <d v="2023-12-14T00:00:00"/>
    <n v="9"/>
    <x v="0"/>
    <n v="8"/>
    <n v="3"/>
    <n v="4075.4"/>
    <n v="10249.219999999999"/>
    <n v="14177.03"/>
  </r>
  <r>
    <s v="2074"/>
    <s v="Luis Gómez"/>
    <d v="1980-01-01T00:00:00"/>
    <n v="46"/>
    <x v="1"/>
    <x v="3"/>
    <d v="2023-01-12T00:00:00"/>
    <d v="2024-12-07T00:00:00"/>
    <n v="17"/>
    <x v="2"/>
    <n v="2"/>
    <n v="6"/>
    <n v="23242.7"/>
    <n v="5086.97"/>
    <n v="14056.48"/>
  </r>
  <r>
    <s v="2075"/>
    <s v="Carmen Morales"/>
    <d v="1951-01-01T00:00:00"/>
    <n v="75"/>
    <x v="1"/>
    <x v="1"/>
    <d v="2024-04-20T00:00:00"/>
    <d v="2023-07-12T00:00:00"/>
    <n v="2"/>
    <x v="0"/>
    <n v="9"/>
    <n v="5"/>
    <n v="10463.209999999999"/>
    <n v="13120.49"/>
    <n v="2190.15"/>
  </r>
  <r>
    <s v="2076"/>
    <s v="Jorge Gómez"/>
    <d v="1989-12-31T00:00:00"/>
    <n v="36"/>
    <x v="0"/>
    <x v="3"/>
    <d v="2024-08-16T00:00:00"/>
    <d v="2024-08-02T00:00:00"/>
    <n v="33"/>
    <x v="0"/>
    <n v="12"/>
    <n v="1"/>
    <n v="29595.5"/>
    <n v="9815.2199999999993"/>
    <n v="19860.16"/>
  </r>
  <r>
    <s v="2077"/>
    <s v="Ana López"/>
    <d v="1977-12-31T00:00:00"/>
    <n v="48"/>
    <x v="0"/>
    <x v="6"/>
    <d v="2024-08-01T00:00:00"/>
    <d v="2024-12-22T00:00:00"/>
    <n v="18"/>
    <x v="0"/>
    <n v="14"/>
    <n v="4"/>
    <n v="24166.76"/>
    <n v="4849.9399999999996"/>
    <n v="589.71"/>
  </r>
  <r>
    <s v="2078"/>
    <s v="Ana Hernández"/>
    <d v="1938-01-01T00:00:00"/>
    <n v="43"/>
    <x v="1"/>
    <x v="2"/>
    <d v="2024-10-06T00:00:00"/>
    <d v="2025-05-28T00:00:00"/>
    <n v="36"/>
    <x v="2"/>
    <n v="3"/>
    <n v="4"/>
    <n v="19209.82"/>
    <n v="13985.47"/>
    <n v="7230.27"/>
  </r>
  <r>
    <s v="2079"/>
    <s v="María Hernández"/>
    <d v="1971-01-01T00:00:00"/>
    <n v="55"/>
    <x v="1"/>
    <x v="5"/>
    <d v="2023-02-22T00:00:00"/>
    <d v="2024-11-10T00:00:00"/>
    <n v="0"/>
    <x v="0"/>
    <n v="8"/>
    <n v="5"/>
    <n v="6498.11"/>
    <n v="11214.76"/>
    <n v="8437.8799999999992"/>
  </r>
  <r>
    <s v="2080"/>
    <s v="Luisa Morales"/>
    <d v="1999-01-01T00:00:00"/>
    <n v="27"/>
    <x v="0"/>
    <x v="4"/>
    <d v="2024-03-11T00:00:00"/>
    <d v="2023-09-04T00:00:00"/>
    <n v="26"/>
    <x v="0"/>
    <n v="1"/>
    <n v="6"/>
    <n v="28671.01"/>
    <n v="6792.42"/>
    <n v="16036.4"/>
  </r>
  <r>
    <s v="2081"/>
    <s v="Carlos Sánchez"/>
    <d v="1948-01-01T00:00:00"/>
    <n v="78"/>
    <x v="0"/>
    <x v="1"/>
    <d v="2023-07-25T00:00:00"/>
    <d v="2023-09-03T00:00:00"/>
    <n v="22"/>
    <x v="2"/>
    <n v="6"/>
    <n v="7"/>
    <n v="503.76"/>
    <n v="6817.36"/>
    <n v="499.33"/>
  </r>
  <r>
    <s v="2082"/>
    <s v="María Sánchez"/>
    <d v="2020-12-31T00:00:00"/>
    <n v="5"/>
    <x v="0"/>
    <x v="1"/>
    <d v="2023-02-23T00:00:00"/>
    <d v="2024-11-09T00:00:00"/>
    <n v="24"/>
    <x v="2"/>
    <n v="4"/>
    <n v="9"/>
    <n v="6312.17"/>
    <n v="14938.93"/>
    <n v="11096.11"/>
  </r>
  <r>
    <s v="2083"/>
    <s v="Elena Martínez"/>
    <d v="1965-12-31T00:00:00"/>
    <n v="60"/>
    <x v="0"/>
    <x v="3"/>
    <d v="2024-08-02T00:00:00"/>
    <d v="2025-03-19T00:00:00"/>
    <n v="33"/>
    <x v="0"/>
    <n v="6"/>
    <n v="7"/>
    <n v="621.66"/>
    <n v="5605.64"/>
    <n v="4000.42"/>
  </r>
  <r>
    <s v="2084"/>
    <s v="María Ramírez"/>
    <d v="2007-01-01T00:00:00"/>
    <n v="19"/>
    <x v="1"/>
    <x v="3"/>
    <d v="2024-05-04T00:00:00"/>
    <d v="2024-12-24T00:00:00"/>
    <n v="19"/>
    <x v="0"/>
    <n v="13"/>
    <n v="4"/>
    <n v="28978.74"/>
    <n v="1411.21"/>
    <n v="11409.03"/>
  </r>
  <r>
    <s v="2085"/>
    <s v="Ricardo Gómez"/>
    <d v="1948-12-31T00:00:00"/>
    <n v="77"/>
    <x v="1"/>
    <x v="5"/>
    <d v="2023-12-10T00:00:00"/>
    <d v="2023-05-14T00:00:00"/>
    <n v="35"/>
    <x v="0"/>
    <n v="13"/>
    <n v="1"/>
    <n v="26079.21"/>
    <n v="8078.42"/>
    <n v="12891.57"/>
  </r>
  <r>
    <s v="2086"/>
    <s v="Ricardo Hernández"/>
    <d v="2024-12-31T00:00:00"/>
    <n v="1"/>
    <x v="0"/>
    <x v="2"/>
    <d v="2023-06-18T00:00:00"/>
    <d v="2023-07-17T00:00:00"/>
    <n v="32"/>
    <x v="1"/>
    <n v="3"/>
    <n v="9"/>
    <n v="28539.279999999999"/>
    <n v="13272.81"/>
    <n v="586.24"/>
  </r>
  <r>
    <s v="2087"/>
    <s v="Miguel Rodríguez"/>
    <d v="1953-12-31T00:00:00"/>
    <n v="72"/>
    <x v="1"/>
    <x v="2"/>
    <d v="2023-06-10T00:00:00"/>
    <d v="2023-12-14T00:00:00"/>
    <n v="2"/>
    <x v="0"/>
    <n v="5"/>
    <n v="7"/>
    <n v="21308.57"/>
    <n v="8767.7999999999993"/>
    <n v="1256.04"/>
  </r>
  <r>
    <s v="2088"/>
    <s v="Sofía Rodríguez"/>
    <d v="1989-12-31T00:00:00"/>
    <n v="36"/>
    <x v="2"/>
    <x v="1"/>
    <d v="2024-06-10T00:00:00"/>
    <d v="2023-02-19T00:00:00"/>
    <n v="0"/>
    <x v="2"/>
    <n v="8"/>
    <n v="5"/>
    <n v="336.43"/>
    <n v="11896.31"/>
    <n v="1613.01"/>
  </r>
  <r>
    <s v="2089"/>
    <s v="Carmen Rodríguez"/>
    <d v="2007-01-01T00:00:00"/>
    <n v="19"/>
    <x v="0"/>
    <x v="5"/>
    <d v="2024-12-03T00:00:00"/>
    <d v="2023-03-06T00:00:00"/>
    <n v="21"/>
    <x v="2"/>
    <n v="5"/>
    <n v="2"/>
    <n v="27910.81"/>
    <n v="822.97"/>
    <n v="17030.78"/>
  </r>
  <r>
    <s v="2090"/>
    <s v="Luis Ramírez"/>
    <d v="2000-12-31T00:00:00"/>
    <n v="25"/>
    <x v="0"/>
    <x v="1"/>
    <d v="2024-06-10T00:00:00"/>
    <d v="2024-09-16T00:00:00"/>
    <n v="5"/>
    <x v="1"/>
    <n v="4"/>
    <n v="3"/>
    <n v="12339.06"/>
    <n v="10100.92"/>
    <n v="18526.009999999998"/>
  </r>
  <r>
    <s v="2091"/>
    <s v="Ricardo Sánchez"/>
    <d v="1997-12-31T00:00:00"/>
    <n v="28"/>
    <x v="1"/>
    <x v="4"/>
    <d v="2023-10-14T00:00:00"/>
    <d v="2025-05-18T00:00:00"/>
    <n v="36"/>
    <x v="2"/>
    <n v="12"/>
    <n v="0"/>
    <n v="10730.13"/>
    <n v="1187.9100000000001"/>
    <n v="8698.23"/>
  </r>
  <r>
    <s v="2092"/>
    <s v="Jorge Ramírez"/>
    <d v="2025-12-31T00:00:00"/>
    <n v="0"/>
    <x v="0"/>
    <x v="0"/>
    <d v="2024-02-16T00:00:00"/>
    <d v="2024-11-28T00:00:00"/>
    <n v="15"/>
    <x v="0"/>
    <n v="10"/>
    <n v="2"/>
    <n v="8166.04"/>
    <n v="8345.35"/>
    <n v="17483.41"/>
  </r>
  <r>
    <s v="2093"/>
    <s v="Sofía Martínez"/>
    <d v="1992-01-01T00:00:00"/>
    <n v="34"/>
    <x v="0"/>
    <x v="2"/>
    <d v="2024-06-05T00:00:00"/>
    <d v="2023-04-15T00:00:00"/>
    <n v="38"/>
    <x v="1"/>
    <n v="8"/>
    <n v="3"/>
    <n v="8247.33"/>
    <n v="7466.51"/>
    <n v="9471.82"/>
  </r>
  <r>
    <s v="2094"/>
    <s v="Miguel Rodríguez"/>
    <d v="1956-12-31T00:00:00"/>
    <n v="69"/>
    <x v="1"/>
    <x v="5"/>
    <d v="2024-07-22T00:00:00"/>
    <d v="2023-08-02T00:00:00"/>
    <n v="0"/>
    <x v="1"/>
    <n v="12"/>
    <n v="1"/>
    <n v="23919.17"/>
    <n v="14184.07"/>
    <n v="7962.64"/>
  </r>
  <r>
    <s v="2095"/>
    <s v="José Martínez"/>
    <d v="1968-01-01T00:00:00"/>
    <n v="58"/>
    <x v="1"/>
    <x v="4"/>
    <d v="2023-07-18T00:00:00"/>
    <d v="2024-06-01T00:00:00"/>
    <n v="15"/>
    <x v="0"/>
    <n v="11"/>
    <n v="5"/>
    <n v="7319.57"/>
    <n v="1986.97"/>
    <n v="10578.02"/>
  </r>
  <r>
    <s v="2096"/>
    <s v="Jorge López"/>
    <d v="1957-12-31T00:00:00"/>
    <n v="68"/>
    <x v="0"/>
    <x v="5"/>
    <d v="2023-06-10T00:00:00"/>
    <d v="2023-04-30T00:00:00"/>
    <n v="13"/>
    <x v="0"/>
    <n v="2"/>
    <n v="7"/>
    <n v="0"/>
    <n v="142.37"/>
    <n v="15782.73"/>
  </r>
  <r>
    <s v="2097"/>
    <s v="Jorge Gómez"/>
    <d v="1993-12-31T00:00:00"/>
    <n v="32"/>
    <x v="0"/>
    <x v="1"/>
    <d v="2024-01-24T00:00:00"/>
    <d v="2025-05-06T00:00:00"/>
    <n v="29"/>
    <x v="0"/>
    <n v="4"/>
    <n v="5"/>
    <n v="20789.599999999999"/>
    <n v="2060.3200000000002"/>
    <n v="4397.6899999999996"/>
  </r>
  <r>
    <s v="2098"/>
    <s v="Luisa Martínez"/>
    <d v="1976-01-01T00:00:00"/>
    <n v="50"/>
    <x v="1"/>
    <x v="3"/>
    <d v="2024-04-18T00:00:00"/>
    <d v="2025-01-31T00:00:00"/>
    <n v="2"/>
    <x v="0"/>
    <n v="7"/>
    <n v="9"/>
    <n v="8267.6200000000008"/>
    <n v="2560.59"/>
    <n v="5964.81"/>
  </r>
  <r>
    <s v="2099"/>
    <s v="Ana Sánchez"/>
    <d v="1948-12-31T00:00:00"/>
    <n v="77"/>
    <x v="1"/>
    <x v="5"/>
    <d v="2024-01-16T00:00:00"/>
    <d v="2024-11-10T00:00:00"/>
    <n v="23"/>
    <x v="0"/>
    <n v="14"/>
    <n v="2"/>
    <n v="99.51"/>
    <n v="3763.67"/>
    <n v="16962.38"/>
  </r>
  <r>
    <s v="2100"/>
    <s v="Sofía Cruz"/>
    <d v="2015-01-01T00:00:00"/>
    <n v="11"/>
    <x v="0"/>
    <x v="1"/>
    <d v="2024-09-22T00:00:00"/>
    <d v="2025-06-14T00:00:00"/>
    <n v="9"/>
    <x v="0"/>
    <n v="9"/>
    <n v="8"/>
    <n v="27918.87"/>
    <n v="12226.33"/>
    <n v="18311.13"/>
  </r>
  <r>
    <s v="2101"/>
    <s v="Carlos Rodríguez"/>
    <d v="2007-01-01T00:00:00"/>
    <n v="19"/>
    <x v="0"/>
    <x v="6"/>
    <d v="2024-08-14T00:00:00"/>
    <d v="2023-08-31T00:00:00"/>
    <n v="35"/>
    <x v="0"/>
    <n v="12"/>
    <n v="3"/>
    <n v="9063.7000000000007"/>
    <n v="5653.21"/>
    <n v="2372.5"/>
  </r>
  <r>
    <s v="2102"/>
    <s v="Luis Martínez"/>
    <d v="1973-12-31T00:00:00"/>
    <n v="52"/>
    <x v="0"/>
    <x v="3"/>
    <d v="2023-05-04T00:00:00"/>
    <d v="2023-10-08T00:00:00"/>
    <n v="18"/>
    <x v="0"/>
    <n v="13"/>
    <n v="5"/>
    <n v="22813.51"/>
    <n v="12611.36"/>
    <n v="14069.19"/>
  </r>
  <r>
    <s v="2103"/>
    <s v="Miguel Gómez"/>
    <d v="1939-01-01T00:00:00"/>
    <n v="87"/>
    <x v="0"/>
    <x v="3"/>
    <d v="2023-03-13T00:00:00"/>
    <d v="2024-02-29T00:00:00"/>
    <n v="38"/>
    <x v="1"/>
    <n v="10"/>
    <n v="3"/>
    <n v="13804.11"/>
    <n v="4079.01"/>
    <n v="93.37"/>
  </r>
  <r>
    <s v="2104"/>
    <s v="Juan Sánchez"/>
    <d v="1984-01-01T00:00:00"/>
    <n v="42"/>
    <x v="1"/>
    <x v="2"/>
    <d v="2023-06-17T00:00:00"/>
    <d v="2023-12-30T00:00:00"/>
    <n v="10"/>
    <x v="0"/>
    <n v="2"/>
    <n v="3"/>
    <n v="3589.43"/>
    <n v="12908.12"/>
    <n v="4848.3599999999997"/>
  </r>
  <r>
    <s v="2105"/>
    <s v="Carlos Pérez"/>
    <d v="1937-12-31T00:00:00"/>
    <n v="88"/>
    <x v="0"/>
    <x v="0"/>
    <d v="2023-10-11T00:00:00"/>
    <d v="2025-01-20T00:00:00"/>
    <n v="9"/>
    <x v="0"/>
    <n v="11"/>
    <n v="1"/>
    <n v="19688.810000000001"/>
    <n v="121.36"/>
    <n v="1279.42"/>
  </r>
  <r>
    <s v="2106"/>
    <s v="Juan Gómez"/>
    <d v="1976-12-31T00:00:00"/>
    <n v="49"/>
    <x v="1"/>
    <x v="2"/>
    <d v="2024-05-08T00:00:00"/>
    <d v="2023-11-03T00:00:00"/>
    <n v="10"/>
    <x v="2"/>
    <n v="4"/>
    <n v="9"/>
    <n v="6562.57"/>
    <n v="14018.03"/>
    <n v="10259.370000000001"/>
  </r>
  <r>
    <s v="2107"/>
    <s v="José Hernández"/>
    <d v="1997-12-31T00:00:00"/>
    <n v="28"/>
    <x v="0"/>
    <x v="6"/>
    <d v="2023-02-05T00:00:00"/>
    <d v="2024-12-18T00:00:00"/>
    <n v="15"/>
    <x v="2"/>
    <n v="4"/>
    <n v="1"/>
    <n v="8281.5"/>
    <n v="11190.74"/>
    <n v="6802.01"/>
  </r>
  <r>
    <s v="2108"/>
    <s v="Ricardo Rodríguez"/>
    <d v="1969-12-31T00:00:00"/>
    <n v="56"/>
    <x v="0"/>
    <x v="1"/>
    <d v="2023-06-24T00:00:00"/>
    <d v="2024-05-01T00:00:00"/>
    <n v="16"/>
    <x v="0"/>
    <n v="11"/>
    <n v="1"/>
    <n v="488.39"/>
    <n v="6190.96"/>
    <n v="2665.51"/>
  </r>
  <r>
    <s v="2109"/>
    <s v="Jorge López"/>
    <d v="1988-01-01T00:00:00"/>
    <n v="38"/>
    <x v="1"/>
    <x v="3"/>
    <d v="2023-07-18T00:00:00"/>
    <d v="2023-11-11T00:00:00"/>
    <n v="16"/>
    <x v="2"/>
    <n v="1"/>
    <n v="1"/>
    <n v="0.3"/>
    <n v="8660.0300000000007"/>
    <n v="93.55"/>
  </r>
  <r>
    <s v="2110"/>
    <s v="Jorge Gómez"/>
    <d v="1932-01-01T00:00:00"/>
    <n v="94"/>
    <x v="1"/>
    <x v="3"/>
    <d v="2023-04-26T00:00:00"/>
    <d v="2024-05-28T00:00:00"/>
    <n v="3"/>
    <x v="2"/>
    <n v="14"/>
    <n v="7"/>
    <n v="15165.39"/>
    <n v="13995.25"/>
    <n v="7706.58"/>
  </r>
  <r>
    <s v="2111"/>
    <s v="María Ramírez"/>
    <d v="1971-01-01T00:00:00"/>
    <n v="55"/>
    <x v="0"/>
    <x v="4"/>
    <d v="2023-11-11T00:00:00"/>
    <d v="2024-11-14T00:00:00"/>
    <n v="4"/>
    <x v="1"/>
    <n v="11"/>
    <n v="9"/>
    <n v="1262.74"/>
    <n v="8738.4"/>
    <n v="5818.88"/>
  </r>
  <r>
    <s v="2112"/>
    <s v="Elena Pérez"/>
    <d v="1984-01-01T00:00:00"/>
    <n v="42"/>
    <x v="1"/>
    <x v="5"/>
    <d v="2023-08-08T00:00:00"/>
    <d v="2023-06-17T00:00:00"/>
    <n v="4"/>
    <x v="0"/>
    <n v="2"/>
    <n v="3"/>
    <n v="5887.24"/>
    <n v="3428.53"/>
    <n v="838.45"/>
  </r>
  <r>
    <s v="2113"/>
    <s v="Luisa Pérez"/>
    <d v="1976-12-31T00:00:00"/>
    <n v="49"/>
    <x v="1"/>
    <x v="0"/>
    <d v="2024-07-31T00:00:00"/>
    <d v="2024-01-30T00:00:00"/>
    <n v="25"/>
    <x v="2"/>
    <n v="1"/>
    <n v="3"/>
    <n v="27676.12"/>
    <n v="8593.11"/>
    <n v="17020.55"/>
  </r>
  <r>
    <s v="2114"/>
    <s v="Ricardo Hernández"/>
    <d v="2004-01-01T00:00:00"/>
    <n v="22"/>
    <x v="0"/>
    <x v="0"/>
    <d v="2023-05-14T00:00:00"/>
    <d v="2025-02-09T00:00:00"/>
    <n v="25"/>
    <x v="0"/>
    <n v="13"/>
    <n v="9"/>
    <n v="2027.09"/>
    <n v="13071.71"/>
    <n v="8156.64"/>
  </r>
  <r>
    <s v="2115"/>
    <s v="Carlos Sánchez"/>
    <d v="1983-01-01T00:00:00"/>
    <n v="43"/>
    <x v="1"/>
    <x v="5"/>
    <d v="2024-09-22T00:00:00"/>
    <d v="2023-03-05T00:00:00"/>
    <n v="16"/>
    <x v="0"/>
    <n v="1"/>
    <n v="9"/>
    <n v="8369.08"/>
    <n v="14811.75"/>
    <n v="15473.17"/>
  </r>
  <r>
    <s v="2116"/>
    <s v="José Gómez"/>
    <d v="1988-12-31T00:00:00"/>
    <n v="37"/>
    <x v="0"/>
    <x v="6"/>
    <d v="2023-05-02T00:00:00"/>
    <d v="2023-09-30T00:00:00"/>
    <n v="13"/>
    <x v="0"/>
    <n v="8"/>
    <n v="2"/>
    <n v="0"/>
    <n v="8761.25"/>
    <n v="8383.0499999999993"/>
  </r>
  <r>
    <s v="2117"/>
    <s v="Pedro Martínez"/>
    <d v="1943-01-01T00:00:00"/>
    <n v="0"/>
    <x v="1"/>
    <x v="0"/>
    <d v="2024-02-25T00:00:00"/>
    <d v="2023-02-07T00:00:00"/>
    <n v="14"/>
    <x v="2"/>
    <n v="10"/>
    <n v="4"/>
    <n v="26471.919999999998"/>
    <n v="2334.6799999999998"/>
    <n v="1257.06"/>
  </r>
  <r>
    <s v="2118"/>
    <s v="Pedro Sánchez"/>
    <d v="2004-01-01T00:00:00"/>
    <n v="22"/>
    <x v="0"/>
    <x v="3"/>
    <d v="2024-05-06T00:00:00"/>
    <d v="2023-01-17T00:00:00"/>
    <n v="19"/>
    <x v="2"/>
    <n v="2"/>
    <n v="3"/>
    <n v="909.44"/>
    <n v="11576.29"/>
    <n v="7824.69"/>
  </r>
  <r>
    <s v="2119"/>
    <s v="José Gómez"/>
    <d v="1981-12-31T00:00:00"/>
    <n v="63"/>
    <x v="1"/>
    <x v="6"/>
    <d v="2024-08-21T00:00:00"/>
    <d v="2025-02-05T00:00:00"/>
    <n v="16"/>
    <x v="1"/>
    <n v="11"/>
    <n v="6"/>
    <n v="5155.91"/>
    <n v="14953.67"/>
    <n v="17711.259999999998"/>
  </r>
  <r>
    <s v="2120"/>
    <s v="Pedro Hernández"/>
    <d v="1975-01-01T00:00:00"/>
    <n v="51"/>
    <x v="1"/>
    <x v="2"/>
    <d v="2023-10-16T00:00:00"/>
    <d v="2023-12-10T00:00:00"/>
    <n v="26"/>
    <x v="0"/>
    <n v="2"/>
    <n v="9"/>
    <n v="11330.44"/>
    <n v="7104.54"/>
    <n v="56.23"/>
  </r>
  <r>
    <s v="2121"/>
    <s v="José Sánchez"/>
    <d v="1947-01-01T00:00:00"/>
    <n v="79"/>
    <x v="0"/>
    <x v="2"/>
    <d v="2024-10-10T00:00:00"/>
    <d v="2023-12-13T00:00:00"/>
    <n v="16"/>
    <x v="1"/>
    <n v="4"/>
    <n v="6"/>
    <n v="10510.32"/>
    <n v="5755.99"/>
    <n v="17895.599999999999"/>
  </r>
  <r>
    <s v="2122"/>
    <s v="Juan Gómez"/>
    <d v="1976-12-31T00:00:00"/>
    <n v="49"/>
    <x v="0"/>
    <x v="6"/>
    <d v="2023-02-22T00:00:00"/>
    <d v="2025-04-28T00:00:00"/>
    <n v="32"/>
    <x v="1"/>
    <n v="11"/>
    <n v="5"/>
    <n v="8300.0300000000007"/>
    <n v="8287.51"/>
    <n v="13100.23"/>
  </r>
  <r>
    <s v="2123"/>
    <s v="Jorge Cruz"/>
    <d v="2019-01-01T00:00:00"/>
    <n v="7"/>
    <x v="1"/>
    <x v="3"/>
    <d v="2023-07-24T00:00:00"/>
    <d v="2024-06-23T00:00:00"/>
    <n v="22"/>
    <x v="0"/>
    <n v="13"/>
    <n v="6"/>
    <n v="6890.38"/>
    <n v="2471.4899999999998"/>
    <n v="19912.240000000002"/>
  </r>
  <r>
    <s v="2124"/>
    <s v="Carmen Sánchez"/>
    <d v="1941-12-31T00:00:00"/>
    <n v="84"/>
    <x v="1"/>
    <x v="4"/>
    <d v="2023-12-14T00:00:00"/>
    <d v="2024-09-15T00:00:00"/>
    <n v="17"/>
    <x v="2"/>
    <n v="2"/>
    <n v="6"/>
    <n v="7694.09"/>
    <n v="14569.25"/>
    <n v="18313.96"/>
  </r>
  <r>
    <s v="2125"/>
    <s v="Jorge Ramírez"/>
    <d v="2025-12-31T00:00:00"/>
    <n v="0"/>
    <x v="0"/>
    <x v="2"/>
    <d v="2023-02-20T00:00:00"/>
    <d v="2023-08-22T00:00:00"/>
    <n v="34"/>
    <x v="1"/>
    <n v="4"/>
    <n v="7"/>
    <n v="3569.48"/>
    <n v="12575.02"/>
    <n v="17365.939999999999"/>
  </r>
  <r>
    <s v="2126"/>
    <s v="Luisa Martínez"/>
    <d v="2019-01-01T00:00:00"/>
    <n v="7"/>
    <x v="0"/>
    <x v="1"/>
    <d v="2023-02-09T00:00:00"/>
    <d v="2024-07-30T00:00:00"/>
    <n v="16"/>
    <x v="0"/>
    <n v="0"/>
    <n v="0"/>
    <n v="4481.46"/>
    <n v="1694.86"/>
    <n v="653.95000000000005"/>
  </r>
  <r>
    <s v="2127"/>
    <s v="María Hernández"/>
    <d v="1997-12-31T00:00:00"/>
    <n v="28"/>
    <x v="2"/>
    <x v="3"/>
    <d v="2023-09-07T00:00:00"/>
    <d v="2024-09-01T00:00:00"/>
    <n v="39"/>
    <x v="1"/>
    <n v="2"/>
    <n v="2"/>
    <n v="18006.39"/>
    <n v="14176.22"/>
    <n v="5532.98"/>
  </r>
  <r>
    <s v="2128"/>
    <s v="Miguel Rodríguez"/>
    <d v="2021-12-31T00:00:00"/>
    <n v="4"/>
    <x v="2"/>
    <x v="5"/>
    <d v="2023-08-06T00:00:00"/>
    <d v="2024-02-21T00:00:00"/>
    <n v="10"/>
    <x v="0"/>
    <n v="0"/>
    <n v="2"/>
    <n v="8411.83"/>
    <n v="14142.29"/>
    <n v="7432.35"/>
  </r>
  <r>
    <s v="2129"/>
    <s v="Ana Morales"/>
    <d v="1940-12-31T00:00:00"/>
    <n v="85"/>
    <x v="0"/>
    <x v="0"/>
    <d v="2023-06-28T00:00:00"/>
    <d v="2023-09-25T00:00:00"/>
    <n v="9"/>
    <x v="1"/>
    <n v="13"/>
    <n v="4"/>
    <n v="0"/>
    <n v="4745.32"/>
    <n v="13966.43"/>
  </r>
  <r>
    <s v="2130"/>
    <s v="Jorge Gómez"/>
    <d v="1980-01-01T00:00:00"/>
    <n v="46"/>
    <x v="1"/>
    <x v="4"/>
    <d v="2024-07-04T00:00:00"/>
    <d v="2023-11-23T00:00:00"/>
    <n v="12"/>
    <x v="1"/>
    <n v="10"/>
    <n v="9"/>
    <n v="12064.97"/>
    <n v="9287.1299999999992"/>
    <n v="12937.68"/>
  </r>
  <r>
    <s v="2131"/>
    <s v="Ricardo Gómez"/>
    <d v="1992-12-31T00:00:00"/>
    <n v="33"/>
    <x v="0"/>
    <x v="4"/>
    <d v="2023-07-02T00:00:00"/>
    <d v="2025-01-14T00:00:00"/>
    <n v="1"/>
    <x v="0"/>
    <n v="6"/>
    <n v="6"/>
    <n v="2846.99"/>
    <n v="1661.31"/>
    <n v="3351.09"/>
  </r>
  <r>
    <s v="2132"/>
    <s v="Jorge Sánchez"/>
    <d v="1961-12-31T00:00:00"/>
    <n v="64"/>
    <x v="0"/>
    <x v="6"/>
    <d v="2023-06-13T00:00:00"/>
    <d v="2024-03-19T00:00:00"/>
    <n v="12"/>
    <x v="0"/>
    <n v="10"/>
    <n v="9"/>
    <n v="24494.560000000001"/>
    <n v="1262.8699999999999"/>
    <n v="14710.4"/>
  </r>
  <r>
    <s v="2133"/>
    <s v="Pedro Morales"/>
    <d v="1972-01-01T00:00:00"/>
    <n v="54"/>
    <x v="1"/>
    <x v="0"/>
    <d v="2024-01-12T00:00:00"/>
    <d v="2024-07-14T00:00:00"/>
    <n v="14"/>
    <x v="0"/>
    <n v="7"/>
    <n v="5"/>
    <n v="28668.97"/>
    <n v="7526.92"/>
    <n v="3028.12"/>
  </r>
  <r>
    <s v="2134"/>
    <s v="José Martínez"/>
    <d v="1936-12-31T00:00:00"/>
    <n v="89"/>
    <x v="1"/>
    <x v="5"/>
    <d v="2024-12-05T00:00:00"/>
    <d v="2025-05-12T00:00:00"/>
    <n v="24"/>
    <x v="2"/>
    <n v="5"/>
    <n v="3"/>
    <n v="7538.03"/>
    <n v="745.17"/>
    <n v="9074.31"/>
  </r>
  <r>
    <s v="2135"/>
    <s v="Pedro López"/>
    <d v="1984-01-01T00:00:00"/>
    <n v="42"/>
    <x v="1"/>
    <x v="2"/>
    <d v="2024-05-11T00:00:00"/>
    <d v="2024-12-23T00:00:00"/>
    <n v="8"/>
    <x v="0"/>
    <n v="4"/>
    <n v="5"/>
    <n v="8479.51"/>
    <n v="13123.37"/>
    <n v="11532.66"/>
  </r>
  <r>
    <s v="2136"/>
    <s v="Carmen López"/>
    <d v="1952-12-31T00:00:00"/>
    <n v="73"/>
    <x v="1"/>
    <x v="4"/>
    <d v="2024-08-19T00:00:00"/>
    <d v="2023-03-18T00:00:00"/>
    <n v="20"/>
    <x v="1"/>
    <n v="6"/>
    <n v="6"/>
    <n v="20641.189999999999"/>
    <n v="13921.43"/>
    <n v="17400.72"/>
  </r>
  <r>
    <s v="2137"/>
    <s v="Luis Pérez"/>
    <d v="1996-12-31T00:00:00"/>
    <n v="29"/>
    <x v="1"/>
    <x v="1"/>
    <d v="2024-04-05T00:00:00"/>
    <d v="2023-09-05T00:00:00"/>
    <n v="12"/>
    <x v="0"/>
    <n v="2"/>
    <n v="3"/>
    <n v="1957.95"/>
    <n v="1009.6"/>
    <n v="12589.57"/>
  </r>
  <r>
    <s v="2138"/>
    <s v="Juan Gómez"/>
    <d v="1944-12-31T00:00:00"/>
    <n v="81"/>
    <x v="0"/>
    <x v="3"/>
    <d v="2024-04-18T00:00:00"/>
    <d v="2025-04-08T00:00:00"/>
    <n v="28"/>
    <x v="0"/>
    <n v="8"/>
    <n v="7"/>
    <n v="27173.35"/>
    <n v="709.27"/>
    <n v="19092.36"/>
  </r>
  <r>
    <s v="2139"/>
    <s v="Ricardo Sánchez"/>
    <d v="2009-12-31T00:00:00"/>
    <n v="16"/>
    <x v="0"/>
    <x v="4"/>
    <d v="2024-11-15T00:00:00"/>
    <d v="2024-08-03T00:00:00"/>
    <n v="23"/>
    <x v="0"/>
    <n v="9"/>
    <n v="4"/>
    <n v="3177.97"/>
    <n v="3321.27"/>
    <n v="19889.32"/>
  </r>
  <r>
    <s v="2140"/>
    <s v="Luisa Morales"/>
    <d v="2000-12-31T00:00:00"/>
    <n v="25"/>
    <x v="0"/>
    <x v="4"/>
    <d v="2023-02-06T00:00:00"/>
    <d v="2023-11-10T00:00:00"/>
    <n v="4"/>
    <x v="0"/>
    <n v="0"/>
    <n v="2"/>
    <n v="21827.91"/>
    <n v="13949.38"/>
    <n v="10127.33"/>
  </r>
  <r>
    <s v="2141"/>
    <s v="Sofía Martínez"/>
    <d v="2019-01-01T00:00:00"/>
    <n v="7"/>
    <x v="1"/>
    <x v="3"/>
    <d v="2024-08-21T00:00:00"/>
    <d v="2024-07-30T00:00:00"/>
    <n v="10"/>
    <x v="0"/>
    <n v="12"/>
    <n v="1"/>
    <n v="8391.2099999999991"/>
    <n v="11535.22"/>
    <n v="934.74"/>
  </r>
  <r>
    <s v="2142"/>
    <s v="María Ramírez"/>
    <d v="1980-01-01T00:00:00"/>
    <n v="46"/>
    <x v="1"/>
    <x v="5"/>
    <d v="2024-10-02T00:00:00"/>
    <d v="2024-11-25T00:00:00"/>
    <n v="10"/>
    <x v="2"/>
    <n v="2"/>
    <n v="0"/>
    <n v="9359.57"/>
    <n v="10147.469999999999"/>
    <n v="469.21"/>
  </r>
  <r>
    <s v="2143"/>
    <s v="Laura Sánchez"/>
    <d v="1951-01-01T00:00:00"/>
    <n v="75"/>
    <x v="0"/>
    <x v="6"/>
    <d v="2024-12-06T00:00:00"/>
    <d v="2024-08-15T00:00:00"/>
    <n v="17"/>
    <x v="0"/>
    <n v="3"/>
    <n v="3"/>
    <n v="3795.76"/>
    <n v="11645.21"/>
    <n v="17098.53"/>
  </r>
  <r>
    <s v="2144"/>
    <s v="Jorge Ramírez"/>
    <d v="1936-01-01T00:00:00"/>
    <n v="90"/>
    <x v="1"/>
    <x v="4"/>
    <d v="2023-11-15T00:00:00"/>
    <d v="2023-12-10T00:00:00"/>
    <n v="31"/>
    <x v="0"/>
    <n v="7"/>
    <n v="1"/>
    <n v="19213.3"/>
    <n v="2992.15"/>
    <n v="9946.99"/>
  </r>
  <r>
    <s v="2145"/>
    <s v="Ricardo Ramírez"/>
    <d v="1955-01-01T00:00:00"/>
    <n v="71"/>
    <x v="0"/>
    <x v="4"/>
    <d v="2024-07-08T00:00:00"/>
    <d v="2024-12-16T00:00:00"/>
    <n v="7"/>
    <x v="2"/>
    <n v="3"/>
    <n v="2"/>
    <n v="23747.33"/>
    <n v="3848.83"/>
    <n v="7272.55"/>
  </r>
  <r>
    <s v="2146"/>
    <s v="Jorge Martínez"/>
    <d v="1937-12-31T00:00:00"/>
    <n v="32"/>
    <x v="2"/>
    <x v="0"/>
    <d v="2024-02-16T00:00:00"/>
    <d v="2023-07-02T00:00:00"/>
    <n v="34"/>
    <x v="2"/>
    <n v="7"/>
    <n v="0"/>
    <n v="28482.37"/>
    <n v="4764.43"/>
    <n v="5617.57"/>
  </r>
  <r>
    <s v="2147"/>
    <s v="María Hernández"/>
    <d v="1980-12-31T00:00:00"/>
    <n v="45"/>
    <x v="1"/>
    <x v="1"/>
    <d v="2023-12-22T00:00:00"/>
    <d v="2024-12-27T00:00:00"/>
    <n v="24"/>
    <x v="1"/>
    <n v="7"/>
    <n v="5"/>
    <n v="9612.26"/>
    <n v="9075.99"/>
    <n v="5563.97"/>
  </r>
  <r>
    <s v="2148"/>
    <s v="Ana Morales"/>
    <d v="1959-01-01T00:00:00"/>
    <n v="67"/>
    <x v="1"/>
    <x v="2"/>
    <d v="2024-11-01T00:00:00"/>
    <d v="2024-09-24T00:00:00"/>
    <n v="31"/>
    <x v="0"/>
    <n v="6"/>
    <n v="3"/>
    <n v="18446.02"/>
    <n v="9123.2999999999993"/>
    <n v="1363.68"/>
  </r>
  <r>
    <s v="2149"/>
    <s v="María Cruz"/>
    <d v="1993-12-31T00:00:00"/>
    <n v="32"/>
    <x v="1"/>
    <x v="6"/>
    <d v="2024-09-08T00:00:00"/>
    <d v="2024-02-04T00:00:00"/>
    <n v="33"/>
    <x v="2"/>
    <n v="3"/>
    <n v="4"/>
    <n v="12157.28"/>
    <n v="3129.12"/>
    <n v="5990.16"/>
  </r>
  <r>
    <s v="2150"/>
    <s v="Luisa Hernández"/>
    <d v="2025-12-31T00:00:00"/>
    <n v="0"/>
    <x v="2"/>
    <x v="1"/>
    <d v="2023-08-17T00:00:00"/>
    <d v="2023-08-30T00:00:00"/>
    <n v="13"/>
    <x v="2"/>
    <n v="12"/>
    <n v="7"/>
    <n v="16514.23"/>
    <n v="6550.91"/>
    <n v="12860.6"/>
  </r>
  <r>
    <s v="2151"/>
    <s v="Jorge Martínez"/>
    <d v="2008-01-01T00:00:00"/>
    <n v="18"/>
    <x v="0"/>
    <x v="1"/>
    <d v="2024-12-29T00:00:00"/>
    <d v="2025-04-27T00:00:00"/>
    <n v="18"/>
    <x v="0"/>
    <n v="10"/>
    <n v="3"/>
    <n v="4469.42"/>
    <n v="10350.299999999999"/>
    <n v="7642.72"/>
  </r>
  <r>
    <s v="2152"/>
    <s v="Carlos Morales"/>
    <d v="1996-01-01T00:00:00"/>
    <n v="30"/>
    <x v="0"/>
    <x v="5"/>
    <d v="2023-09-21T00:00:00"/>
    <d v="2024-12-15T00:00:00"/>
    <n v="13"/>
    <x v="0"/>
    <n v="0"/>
    <n v="5"/>
    <n v="17243.46"/>
    <n v="4644.29"/>
    <n v="18951.14"/>
  </r>
  <r>
    <s v="2153"/>
    <s v="Miguel López"/>
    <d v="1947-01-01T00:00:00"/>
    <n v="79"/>
    <x v="1"/>
    <x v="5"/>
    <d v="2024-05-01T00:00:00"/>
    <d v="2023-10-20T00:00:00"/>
    <n v="14"/>
    <x v="1"/>
    <n v="3"/>
    <n v="2"/>
    <n v="25397.01"/>
    <n v="1132.1600000000001"/>
    <n v="13330.23"/>
  </r>
  <r>
    <s v="2154"/>
    <s v="Carlos Sánchez"/>
    <d v="2012-12-31T00:00:00"/>
    <n v="13"/>
    <x v="2"/>
    <x v="3"/>
    <d v="2024-07-14T00:00:00"/>
    <d v="2023-02-24T00:00:00"/>
    <n v="12"/>
    <x v="1"/>
    <n v="9"/>
    <n v="7"/>
    <n v="25841.42"/>
    <n v="2960.85"/>
    <n v="17265.93"/>
  </r>
  <r>
    <s v="2155"/>
    <s v="Carlos Ramírez"/>
    <d v="1973-12-31T00:00:00"/>
    <n v="52"/>
    <x v="1"/>
    <x v="2"/>
    <d v="2023-12-18T00:00:00"/>
    <d v="2023-05-26T00:00:00"/>
    <n v="10"/>
    <x v="0"/>
    <n v="1"/>
    <n v="2"/>
    <n v="14243.37"/>
    <n v="2471.0300000000002"/>
    <n v="2194.62"/>
  </r>
  <r>
    <s v="2156"/>
    <s v="Luisa Ramírez"/>
    <d v="1979-01-01T00:00:00"/>
    <n v="47"/>
    <x v="1"/>
    <x v="6"/>
    <d v="2024-03-17T00:00:00"/>
    <d v="2023-12-23T00:00:00"/>
    <n v="30"/>
    <x v="1"/>
    <n v="6"/>
    <n v="6"/>
    <n v="6690.27"/>
    <n v="9479.14"/>
    <n v="8955.3700000000008"/>
  </r>
  <r>
    <s v="2157"/>
    <s v="Elena Ramírez"/>
    <d v="1957-12-31T00:00:00"/>
    <n v="68"/>
    <x v="0"/>
    <x v="3"/>
    <d v="2024-09-26T00:00:00"/>
    <d v="2024-08-21T00:00:00"/>
    <n v="2"/>
    <x v="2"/>
    <n v="0"/>
    <n v="6"/>
    <n v="25018.71"/>
    <n v="1028.23"/>
    <n v="732.92"/>
  </r>
  <r>
    <s v="2158"/>
    <s v="Ricardo Gómez"/>
    <d v="1936-12-31T00:00:00"/>
    <n v="89"/>
    <x v="0"/>
    <x v="4"/>
    <d v="2024-04-03T00:00:00"/>
    <d v="2024-04-22T00:00:00"/>
    <n v="24"/>
    <x v="2"/>
    <n v="5"/>
    <n v="2"/>
    <n v="29982.57"/>
    <n v="13271.24"/>
    <n v="17889.77"/>
  </r>
  <r>
    <s v="2159"/>
    <s v="Miguel Rodríguez"/>
    <d v="1964-12-31T00:00:00"/>
    <n v="61"/>
    <x v="1"/>
    <x v="2"/>
    <d v="2023-01-25T00:00:00"/>
    <d v="2023-01-23T00:00:00"/>
    <n v="2"/>
    <x v="0"/>
    <n v="13"/>
    <n v="2"/>
    <n v="0"/>
    <n v="1265.81"/>
    <n v="2852.06"/>
  </r>
  <r>
    <s v="2160"/>
    <s v="Miguel Cruz"/>
    <d v="1935-01-01T00:00:00"/>
    <n v="91"/>
    <x v="1"/>
    <x v="0"/>
    <d v="2023-05-11T00:00:00"/>
    <d v="2023-11-28T00:00:00"/>
    <n v="27"/>
    <x v="1"/>
    <n v="9"/>
    <n v="9"/>
    <n v="27693.25"/>
    <n v="8968.65"/>
    <n v="16088.97"/>
  </r>
  <r>
    <s v="2161"/>
    <s v="Carlos Gómez"/>
    <d v="1960-12-31T00:00:00"/>
    <n v="65"/>
    <x v="1"/>
    <x v="0"/>
    <d v="2024-01-05T00:00:00"/>
    <d v="2023-10-20T00:00:00"/>
    <n v="20"/>
    <x v="0"/>
    <n v="0"/>
    <n v="9"/>
    <n v="29495.53"/>
    <n v="13942.99"/>
    <n v="18468.599999999999"/>
  </r>
  <r>
    <s v="2162"/>
    <s v="Sofía Morales"/>
    <d v="1963-01-01T00:00:00"/>
    <n v="63"/>
    <x v="1"/>
    <x v="3"/>
    <d v="2024-03-11T00:00:00"/>
    <d v="2023-08-25T00:00:00"/>
    <n v="12"/>
    <x v="0"/>
    <n v="10"/>
    <n v="7"/>
    <n v="11566.21"/>
    <n v="936.34"/>
    <n v="8781.9500000000007"/>
  </r>
  <r>
    <s v="2163"/>
    <s v="Sofía López"/>
    <d v="1956-12-31T00:00:00"/>
    <n v="69"/>
    <x v="1"/>
    <x v="6"/>
    <d v="2023-08-12T00:00:00"/>
    <d v="2023-01-30T00:00:00"/>
    <n v="33"/>
    <x v="0"/>
    <n v="9"/>
    <n v="2"/>
    <n v="21346.67"/>
    <n v="5746.57"/>
    <n v="7726.15"/>
  </r>
  <r>
    <s v="2164"/>
    <s v="Ricardo Cruz"/>
    <d v="1942-01-01T00:00:00"/>
    <n v="62"/>
    <x v="2"/>
    <x v="2"/>
    <d v="2024-09-02T00:00:00"/>
    <d v="2024-11-26T00:00:00"/>
    <n v="16"/>
    <x v="0"/>
    <n v="12"/>
    <n v="1"/>
    <n v="17223.32"/>
    <n v="4919.1899999999996"/>
    <n v="11962.37"/>
  </r>
  <r>
    <s v="2165"/>
    <s v="Carlos Ramírez"/>
    <d v="1953-12-31T00:00:00"/>
    <n v="72"/>
    <x v="0"/>
    <x v="0"/>
    <d v="2023-12-18T00:00:00"/>
    <d v="2023-06-10T00:00:00"/>
    <n v="27"/>
    <x v="0"/>
    <n v="12"/>
    <n v="4"/>
    <n v="21526.91"/>
    <n v="5163.13"/>
    <n v="14780.63"/>
  </r>
  <r>
    <s v="2166"/>
    <s v="Luisa Sánchez"/>
    <d v="1993-12-31T00:00:00"/>
    <n v="32"/>
    <x v="0"/>
    <x v="0"/>
    <d v="2024-04-29T00:00:00"/>
    <d v="2024-06-14T00:00:00"/>
    <n v="13"/>
    <x v="1"/>
    <n v="3"/>
    <n v="6"/>
    <n v="4201.66"/>
    <n v="9004.67"/>
    <n v="12876.76"/>
  </r>
  <r>
    <s v="2167"/>
    <s v="Miguel López"/>
    <d v="1985-12-31T00:00:00"/>
    <n v="40"/>
    <x v="0"/>
    <x v="6"/>
    <d v="2023-07-16T00:00:00"/>
    <d v="2024-07-04T00:00:00"/>
    <n v="15"/>
    <x v="1"/>
    <n v="8"/>
    <n v="7"/>
    <n v="10684.96"/>
    <n v="3931.55"/>
    <n v="76.790000000000006"/>
  </r>
  <r>
    <s v="2168"/>
    <s v="Carlos Rodríguez"/>
    <d v="1937-12-31T00:00:00"/>
    <n v="88"/>
    <x v="0"/>
    <x v="3"/>
    <d v="2023-04-19T00:00:00"/>
    <d v="2023-04-12T00:00:00"/>
    <n v="23"/>
    <x v="1"/>
    <n v="14"/>
    <n v="0"/>
    <n v="1415.34"/>
    <n v="409.84"/>
    <n v="15697.3"/>
  </r>
  <r>
    <s v="2169"/>
    <s v="Laura Martínez"/>
    <d v="1979-01-01T00:00:00"/>
    <n v="47"/>
    <x v="0"/>
    <x v="5"/>
    <d v="2023-08-08T00:00:00"/>
    <d v="2023-10-18T00:00:00"/>
    <n v="14"/>
    <x v="1"/>
    <n v="14"/>
    <n v="1"/>
    <n v="18203.09"/>
    <n v="14434.13"/>
    <n v="2862.5"/>
  </r>
  <r>
    <s v="2170"/>
    <s v="Carmen Pérez"/>
    <d v="2013-12-31T00:00:00"/>
    <n v="12"/>
    <x v="0"/>
    <x v="4"/>
    <d v="2024-12-20T00:00:00"/>
    <d v="2024-01-13T00:00:00"/>
    <n v="8"/>
    <x v="0"/>
    <n v="5"/>
    <n v="6"/>
    <n v="27764.240000000002"/>
    <n v="11231.64"/>
    <n v="8938.49"/>
  </r>
  <r>
    <s v="2171"/>
    <s v="Miguel Rodríguez"/>
    <d v="1953-12-31T00:00:00"/>
    <n v="72"/>
    <x v="1"/>
    <x v="1"/>
    <d v="2023-11-15T00:00:00"/>
    <d v="2023-06-23T00:00:00"/>
    <n v="26"/>
    <x v="0"/>
    <n v="4"/>
    <n v="8"/>
    <n v="16588.64"/>
    <n v="2026.91"/>
    <n v="5575.37"/>
  </r>
  <r>
    <s v="2172"/>
    <s v="Ricardo Hernández"/>
    <d v="1949-12-31T00:00:00"/>
    <n v="7"/>
    <x v="0"/>
    <x v="4"/>
    <d v="2023-03-23T00:00:00"/>
    <d v="2023-12-10T00:00:00"/>
    <n v="6"/>
    <x v="0"/>
    <n v="12"/>
    <n v="2"/>
    <n v="1645.11"/>
    <n v="6827.35"/>
    <n v="18550.939999999999"/>
  </r>
  <r>
    <s v="2173"/>
    <s v="Carlos Martínez"/>
    <d v="1996-01-01T00:00:00"/>
    <n v="30"/>
    <x v="0"/>
    <x v="2"/>
    <d v="2024-06-20T00:00:00"/>
    <d v="2025-05-28T00:00:00"/>
    <n v="14"/>
    <x v="0"/>
    <n v="11"/>
    <n v="7"/>
    <n v="27876.51"/>
    <n v="940.83"/>
    <n v="9992.3700000000008"/>
  </r>
  <r>
    <s v="2174"/>
    <s v="Sofía Gómez"/>
    <d v="1952-01-01T00:00:00"/>
    <n v="74"/>
    <x v="0"/>
    <x v="0"/>
    <d v="2024-11-28T00:00:00"/>
    <d v="2024-08-02T00:00:00"/>
    <n v="24"/>
    <x v="0"/>
    <n v="3"/>
    <n v="9"/>
    <n v="3555.43"/>
    <n v="417.84"/>
    <n v="10395.43"/>
  </r>
  <r>
    <s v="2175"/>
    <s v="Carmen Gómez"/>
    <d v="1959-01-01T00:00:00"/>
    <n v="67"/>
    <x v="2"/>
    <x v="1"/>
    <d v="2024-03-07T00:00:00"/>
    <d v="2023-07-11T00:00:00"/>
    <n v="34"/>
    <x v="2"/>
    <n v="4"/>
    <n v="2"/>
    <n v="26429.71"/>
    <n v="712.68"/>
    <n v="1430.55"/>
  </r>
  <r>
    <s v="2176"/>
    <s v="Jorge Hernández"/>
    <d v="2023-01-01T00:00:00"/>
    <n v="3"/>
    <x v="1"/>
    <x v="1"/>
    <d v="2023-01-08T00:00:00"/>
    <d v="2024-03-15T00:00:00"/>
    <n v="19"/>
    <x v="1"/>
    <n v="0"/>
    <n v="3"/>
    <n v="21283.93"/>
    <n v="11336.67"/>
    <n v="17936.96"/>
  </r>
  <r>
    <s v="2177"/>
    <s v="José Sánchez"/>
    <d v="2008-01-01T00:00:00"/>
    <n v="18"/>
    <x v="0"/>
    <x v="5"/>
    <d v="2024-09-27T00:00:00"/>
    <d v="2024-07-09T00:00:00"/>
    <n v="5"/>
    <x v="0"/>
    <n v="8"/>
    <n v="1"/>
    <n v="18909.22"/>
    <n v="6673.86"/>
    <n v="4704.45"/>
  </r>
  <r>
    <s v="2178"/>
    <s v="Jorge Gómez"/>
    <d v="1956-12-31T00:00:00"/>
    <n v="85"/>
    <x v="1"/>
    <x v="1"/>
    <d v="2023-05-29T00:00:00"/>
    <d v="2024-09-27T00:00:00"/>
    <n v="0"/>
    <x v="0"/>
    <n v="1"/>
    <n v="8"/>
    <n v="17398.849999999999"/>
    <n v="12665.95"/>
    <n v="8220.5499999999993"/>
  </r>
  <r>
    <s v="2179"/>
    <s v="Sofía Gómez"/>
    <d v="1944-12-31T00:00:00"/>
    <n v="46"/>
    <x v="0"/>
    <x v="6"/>
    <d v="2023-04-08T00:00:00"/>
    <d v="2025-03-01T00:00:00"/>
    <n v="35"/>
    <x v="1"/>
    <n v="1"/>
    <n v="4"/>
    <n v="3500.05"/>
    <n v="4578.2299999999996"/>
    <n v="19704.419999999998"/>
  </r>
  <r>
    <s v="2180"/>
    <s v="Elena Pérez"/>
    <d v="2013-12-31T00:00:00"/>
    <n v="12"/>
    <x v="1"/>
    <x v="3"/>
    <d v="2024-12-28T00:00:00"/>
    <d v="2023-12-10T00:00:00"/>
    <n v="32"/>
    <x v="1"/>
    <n v="6"/>
    <n v="4"/>
    <n v="14775.73"/>
    <n v="11629.83"/>
    <n v="2189.29"/>
  </r>
  <r>
    <s v="2181"/>
    <s v="Miguel Gómez"/>
    <d v="2004-01-01T00:00:00"/>
    <n v="22"/>
    <x v="1"/>
    <x v="2"/>
    <d v="2023-04-11T00:00:00"/>
    <d v="2024-12-09T00:00:00"/>
    <n v="29"/>
    <x v="0"/>
    <n v="1"/>
    <n v="3"/>
    <n v="5499.14"/>
    <n v="1169.02"/>
    <n v="14342.41"/>
  </r>
  <r>
    <s v="2182"/>
    <s v="Jorge Ramírez"/>
    <d v="1944-01-01T00:00:00"/>
    <n v="82"/>
    <x v="1"/>
    <x v="6"/>
    <d v="2024-12-30T00:00:00"/>
    <d v="2025-04-25T00:00:00"/>
    <n v="5"/>
    <x v="2"/>
    <n v="13"/>
    <n v="4"/>
    <n v="16939.41"/>
    <n v="9526.6200000000008"/>
    <n v="5128.7"/>
  </r>
  <r>
    <s v="2183"/>
    <s v="Pedro Martínez"/>
    <d v="1952-01-01T00:00:00"/>
    <n v="74"/>
    <x v="0"/>
    <x v="3"/>
    <d v="2024-01-02T00:00:00"/>
    <d v="2023-05-06T00:00:00"/>
    <n v="24"/>
    <x v="2"/>
    <n v="9"/>
    <n v="0"/>
    <n v="13143.98"/>
    <n v="5409.03"/>
    <n v="8337.7800000000007"/>
  </r>
  <r>
    <s v="2184"/>
    <s v="José Pérez"/>
    <d v="2025-12-31T00:00:00"/>
    <n v="0"/>
    <x v="1"/>
    <x v="6"/>
    <d v="2024-04-06T00:00:00"/>
    <d v="2024-08-31T00:00:00"/>
    <n v="29"/>
    <x v="0"/>
    <n v="1"/>
    <n v="9"/>
    <n v="20230.099999999999"/>
    <n v="4150.87"/>
    <n v="8305.68"/>
  </r>
  <r>
    <s v="2185"/>
    <s v="Laura Hernández"/>
    <d v="1939-01-01T00:00:00"/>
    <n v="87"/>
    <x v="0"/>
    <x v="0"/>
    <d v="2024-02-18T00:00:00"/>
    <d v="2025-06-09T00:00:00"/>
    <n v="33"/>
    <x v="0"/>
    <n v="7"/>
    <n v="9"/>
    <n v="29466.16"/>
    <n v="12226.64"/>
    <n v="18637.88"/>
  </r>
  <r>
    <s v="2186"/>
    <s v="Jorge Sánchez"/>
    <d v="1972-12-31T00:00:00"/>
    <n v="53"/>
    <x v="1"/>
    <x v="0"/>
    <d v="2023-09-16T00:00:00"/>
    <d v="2024-10-31T00:00:00"/>
    <n v="31"/>
    <x v="0"/>
    <n v="11"/>
    <n v="5"/>
    <n v="10510.97"/>
    <n v="778.83"/>
    <n v="108.28"/>
  </r>
  <r>
    <s v="2187"/>
    <s v="Elena Rodríguez"/>
    <d v="1956-01-01T00:00:00"/>
    <n v="70"/>
    <x v="0"/>
    <x v="5"/>
    <d v="2023-12-22T00:00:00"/>
    <d v="2024-07-06T00:00:00"/>
    <n v="22"/>
    <x v="2"/>
    <n v="4"/>
    <n v="3"/>
    <n v="18309.759999999998"/>
    <n v="14242.97"/>
    <n v="7280.8"/>
  </r>
  <r>
    <s v="2188"/>
    <s v="Carmen Pérez"/>
    <d v="1937-12-31T00:00:00"/>
    <n v="88"/>
    <x v="0"/>
    <x v="6"/>
    <d v="2023-01-11T00:00:00"/>
    <d v="2023-12-27T00:00:00"/>
    <n v="28"/>
    <x v="0"/>
    <n v="2"/>
    <n v="3"/>
    <n v="25864.41"/>
    <n v="11783.18"/>
    <n v="17033.71"/>
  </r>
  <r>
    <s v="2189"/>
    <s v="Carmen López"/>
    <d v="1941-12-31T00:00:00"/>
    <n v="84"/>
    <x v="1"/>
    <x v="4"/>
    <d v="2024-02-20T00:00:00"/>
    <d v="2024-05-18T00:00:00"/>
    <n v="39"/>
    <x v="0"/>
    <n v="2"/>
    <n v="4"/>
    <n v="2334.2600000000002"/>
    <n v="5334.14"/>
    <n v="18201.29"/>
  </r>
  <r>
    <s v="2190"/>
    <s v="Juan Sánchez"/>
    <d v="2012-01-01T00:00:00"/>
    <n v="14"/>
    <x v="1"/>
    <x v="1"/>
    <d v="2024-07-24T00:00:00"/>
    <d v="2023-06-23T00:00:00"/>
    <n v="10"/>
    <x v="2"/>
    <n v="5"/>
    <n v="0"/>
    <n v="23907.5"/>
    <n v="14869.99"/>
    <n v="6157.62"/>
  </r>
  <r>
    <s v="2191"/>
    <s v="Luis Pérez"/>
    <d v="1961-12-31T00:00:00"/>
    <n v="64"/>
    <x v="0"/>
    <x v="0"/>
    <d v="2023-09-07T00:00:00"/>
    <d v="2025-06-06T00:00:00"/>
    <n v="12"/>
    <x v="1"/>
    <n v="4"/>
    <n v="3"/>
    <n v="6802.46"/>
    <n v="3037.34"/>
    <n v="4763.29"/>
  </r>
  <r>
    <s v="2192"/>
    <s v="Ricardo Sánchez"/>
    <d v="1951-01-01T00:00:00"/>
    <n v="75"/>
    <x v="0"/>
    <x v="3"/>
    <d v="2024-10-13T00:00:00"/>
    <d v="2024-01-30T00:00:00"/>
    <n v="10"/>
    <x v="1"/>
    <n v="0"/>
    <n v="9"/>
    <n v="15978.42"/>
    <n v="6036.21"/>
    <n v="9171.52"/>
  </r>
  <r>
    <s v="2193"/>
    <s v="Sofía Morales"/>
    <d v="1956-01-01T00:00:00"/>
    <n v="70"/>
    <x v="0"/>
    <x v="5"/>
    <d v="2024-07-03T00:00:00"/>
    <d v="2024-04-06T00:00:00"/>
    <n v="30"/>
    <x v="2"/>
    <n v="7"/>
    <n v="2"/>
    <n v="29740.79"/>
    <n v="13273.19"/>
    <n v="14891.38"/>
  </r>
  <r>
    <s v="2194"/>
    <s v="María Cruz"/>
    <d v="2012-01-01T00:00:00"/>
    <n v="14"/>
    <x v="1"/>
    <x v="1"/>
    <d v="2023-05-02T00:00:00"/>
    <d v="2024-11-16T00:00:00"/>
    <n v="28"/>
    <x v="1"/>
    <n v="0"/>
    <n v="4"/>
    <n v="29513.59"/>
    <n v="14952.11"/>
    <n v="2996.18"/>
  </r>
  <r>
    <s v="2195"/>
    <s v="Pedro Ramírez"/>
    <d v="2005-12-31T00:00:00"/>
    <n v="20"/>
    <x v="0"/>
    <x v="2"/>
    <d v="2023-03-06T00:00:00"/>
    <d v="2023-05-01T00:00:00"/>
    <n v="22"/>
    <x v="0"/>
    <n v="6"/>
    <n v="9"/>
    <n v="9131.83"/>
    <n v="3586.69"/>
    <n v="15667.78"/>
  </r>
  <r>
    <s v="2196"/>
    <s v="Carlos Gómez"/>
    <d v="2008-01-01T00:00:00"/>
    <n v="18"/>
    <x v="2"/>
    <x v="6"/>
    <d v="2024-10-19T00:00:00"/>
    <d v="2023-10-01T00:00:00"/>
    <n v="37"/>
    <x v="1"/>
    <n v="2"/>
    <n v="4"/>
    <n v="3518.77"/>
    <n v="11146.7"/>
    <n v="10204.719999999999"/>
  </r>
  <r>
    <s v="2197"/>
    <s v="Luisa Martínez"/>
    <d v="1967-01-01T00:00:00"/>
    <n v="59"/>
    <x v="1"/>
    <x v="4"/>
    <d v="2023-10-29T00:00:00"/>
    <d v="2023-12-25T00:00:00"/>
    <n v="20"/>
    <x v="2"/>
    <n v="8"/>
    <n v="7"/>
    <n v="28114.639999999999"/>
    <n v="4585.9399999999996"/>
    <n v="2730.19"/>
  </r>
  <r>
    <s v="2198"/>
    <s v="José López"/>
    <d v="1933-12-31T00:00:00"/>
    <n v="92"/>
    <x v="1"/>
    <x v="0"/>
    <d v="2023-05-05T00:00:00"/>
    <d v="2024-01-22T00:00:00"/>
    <n v="35"/>
    <x v="0"/>
    <n v="1"/>
    <n v="0"/>
    <n v="26752.65"/>
    <n v="11497.09"/>
    <n v="13402.36"/>
  </r>
  <r>
    <s v="2199"/>
    <s v="María Cruz"/>
    <d v="1937-12-31T00:00:00"/>
    <n v="88"/>
    <x v="1"/>
    <x v="4"/>
    <d v="2023-11-08T00:00:00"/>
    <d v="2025-05-26T00:00:00"/>
    <n v="0"/>
    <x v="0"/>
    <n v="14"/>
    <n v="2"/>
    <n v="18288.97"/>
    <n v="1879.26"/>
    <n v="12526.84"/>
  </r>
  <r>
    <s v="2200"/>
    <s v="Carlos Ramírez"/>
    <d v="1993-12-31T00:00:00"/>
    <n v="32"/>
    <x v="0"/>
    <x v="1"/>
    <d v="2023-07-10T00:00:00"/>
    <d v="2025-05-08T00:00:00"/>
    <n v="13"/>
    <x v="2"/>
    <n v="1"/>
    <n v="4"/>
    <n v="488.52"/>
    <n v="5042.55"/>
    <n v="12409.49"/>
  </r>
  <r>
    <s v="2201"/>
    <s v="Ricardo Sánchez"/>
    <d v="1977-12-31T00:00:00"/>
    <n v="48"/>
    <x v="0"/>
    <x v="3"/>
    <d v="2024-03-25T00:00:00"/>
    <d v="2025-06-06T00:00:00"/>
    <n v="1"/>
    <x v="2"/>
    <n v="7"/>
    <n v="2"/>
    <n v="22414.05"/>
    <n v="1124.99"/>
    <n v="15071.21"/>
  </r>
  <r>
    <s v="2202"/>
    <s v="María Hernández"/>
    <d v="1992-01-01T00:00:00"/>
    <n v="34"/>
    <x v="1"/>
    <x v="6"/>
    <d v="2024-11-24T00:00:00"/>
    <d v="2023-11-16T00:00:00"/>
    <n v="20"/>
    <x v="1"/>
    <n v="2"/>
    <n v="5"/>
    <n v="4406.08"/>
    <n v="7378.45"/>
    <n v="3542.58"/>
  </r>
  <r>
    <s v="2203"/>
    <s v="Carmen Sánchez"/>
    <d v="1983-01-01T00:00:00"/>
    <n v="43"/>
    <x v="1"/>
    <x v="4"/>
    <d v="2023-06-08T00:00:00"/>
    <d v="2023-09-19T00:00:00"/>
    <n v="31"/>
    <x v="0"/>
    <n v="1"/>
    <n v="9"/>
    <n v="28262.15"/>
    <n v="10522.51"/>
    <n v="13919.7"/>
  </r>
  <r>
    <s v="2204"/>
    <s v="Luisa Rodríguez"/>
    <d v="1936-12-31T00:00:00"/>
    <n v="89"/>
    <x v="1"/>
    <x v="3"/>
    <d v="2023-12-19T00:00:00"/>
    <d v="2023-10-09T00:00:00"/>
    <n v="27"/>
    <x v="2"/>
    <n v="1"/>
    <n v="2"/>
    <n v="12771.35"/>
    <n v="5679.24"/>
    <n v="17734.62"/>
  </r>
  <r>
    <s v="2205"/>
    <s v="Juan Hernández"/>
    <d v="2016-01-01T00:00:00"/>
    <n v="10"/>
    <x v="1"/>
    <x v="5"/>
    <d v="2024-11-04T00:00:00"/>
    <d v="2023-11-26T00:00:00"/>
    <n v="7"/>
    <x v="0"/>
    <n v="1"/>
    <n v="5"/>
    <n v="18261.03"/>
    <n v="9220.75"/>
    <n v="10559.26"/>
  </r>
  <r>
    <s v="2206"/>
    <s v="Pedro Hernández"/>
    <d v="1955-01-01T00:00:00"/>
    <n v="71"/>
    <x v="1"/>
    <x v="0"/>
    <d v="2023-09-20T00:00:00"/>
    <d v="2023-05-05T00:00:00"/>
    <n v="2"/>
    <x v="0"/>
    <n v="5"/>
    <n v="7"/>
    <n v="8072.94"/>
    <n v="8536.2999999999993"/>
    <n v="9669.2000000000007"/>
  </r>
  <r>
    <s v="2207"/>
    <s v="Luis Sánchez"/>
    <d v="1986-01-01T00:00:00"/>
    <n v="77"/>
    <x v="2"/>
    <x v="0"/>
    <d v="2024-12-29T00:00:00"/>
    <d v="2024-04-21T00:00:00"/>
    <n v="19"/>
    <x v="1"/>
    <n v="4"/>
    <n v="3"/>
    <n v="13989.81"/>
    <n v="4418.95"/>
    <n v="15935.54"/>
  </r>
  <r>
    <s v="2208"/>
    <s v="María Pérez"/>
    <d v="1952-12-31T00:00:00"/>
    <n v="73"/>
    <x v="1"/>
    <x v="5"/>
    <d v="2024-02-10T00:00:00"/>
    <d v="2023-10-06T00:00:00"/>
    <n v="30"/>
    <x v="2"/>
    <n v="6"/>
    <n v="7"/>
    <n v="22516.38"/>
    <n v="7301.67"/>
    <n v="2839.34"/>
  </r>
  <r>
    <s v="2209"/>
    <s v="Juan López"/>
    <d v="1960-12-31T00:00:00"/>
    <n v="65"/>
    <x v="1"/>
    <x v="3"/>
    <d v="2024-11-23T00:00:00"/>
    <d v="2023-04-04T00:00:00"/>
    <n v="22"/>
    <x v="0"/>
    <n v="5"/>
    <n v="6"/>
    <n v="14506.51"/>
    <n v="1035.29"/>
    <n v="6751.57"/>
  </r>
  <r>
    <s v="2210"/>
    <s v="José Cruz"/>
    <d v="1980-12-31T00:00:00"/>
    <n v="45"/>
    <x v="0"/>
    <x v="4"/>
    <d v="2024-08-25T00:00:00"/>
    <d v="2024-07-01T00:00:00"/>
    <n v="19"/>
    <x v="0"/>
    <n v="1"/>
    <n v="3"/>
    <n v="25339.52"/>
    <n v="6898.7"/>
    <n v="17061.060000000001"/>
  </r>
  <r>
    <s v="2211"/>
    <s v="Juan Pérez"/>
    <d v="2017-12-31T00:00:00"/>
    <n v="8"/>
    <x v="0"/>
    <x v="6"/>
    <d v="2023-01-17T00:00:00"/>
    <d v="2025-04-03T00:00:00"/>
    <n v="13"/>
    <x v="0"/>
    <n v="1"/>
    <n v="2"/>
    <n v="21247.34"/>
    <n v="6872.84"/>
    <n v="9945.4599999999991"/>
  </r>
  <r>
    <s v="2212"/>
    <s v="Elena Martínez"/>
    <d v="2024-01-01T00:00:00"/>
    <n v="2"/>
    <x v="0"/>
    <x v="3"/>
    <d v="2024-09-28T00:00:00"/>
    <d v="2023-05-09T00:00:00"/>
    <n v="27"/>
    <x v="1"/>
    <n v="7"/>
    <n v="4"/>
    <n v="1859.47"/>
    <n v="430.77"/>
    <n v="16792.77"/>
  </r>
  <r>
    <s v="2213"/>
    <s v="Miguel Martínez"/>
    <d v="1941-12-31T00:00:00"/>
    <n v="84"/>
    <x v="1"/>
    <x v="6"/>
    <d v="2023-09-17T00:00:00"/>
    <d v="2024-06-16T00:00:00"/>
    <n v="15"/>
    <x v="2"/>
    <n v="2"/>
    <n v="4"/>
    <n v="18008.48"/>
    <n v="7708.1"/>
    <n v="4962.55"/>
  </r>
  <r>
    <s v="2214"/>
    <s v="Luis Morales"/>
    <d v="2000-12-31T00:00:00"/>
    <n v="25"/>
    <x v="1"/>
    <x v="1"/>
    <d v="2023-12-21T00:00:00"/>
    <d v="2025-02-12T00:00:00"/>
    <n v="21"/>
    <x v="0"/>
    <n v="9"/>
    <n v="6"/>
    <n v="18184.28"/>
    <n v="11065.4"/>
    <n v="7730.45"/>
  </r>
  <r>
    <s v="2215"/>
    <s v="José Sánchez"/>
    <d v="1955-01-01T00:00:00"/>
    <n v="71"/>
    <x v="0"/>
    <x v="5"/>
    <d v="2024-05-03T00:00:00"/>
    <d v="2023-06-17T00:00:00"/>
    <n v="2"/>
    <x v="1"/>
    <n v="10"/>
    <n v="0"/>
    <n v="11117.4"/>
    <n v="6783.78"/>
    <n v="16454.73"/>
  </r>
  <r>
    <s v="2216"/>
    <s v="Carlos Cruz"/>
    <d v="1979-01-01T00:00:00"/>
    <n v="47"/>
    <x v="0"/>
    <x v="2"/>
    <d v="2023-08-02T00:00:00"/>
    <d v="2025-04-11T00:00:00"/>
    <n v="34"/>
    <x v="2"/>
    <n v="9"/>
    <n v="8"/>
    <n v="9343.08"/>
    <n v="9690.3799999999992"/>
    <n v="3186.26"/>
  </r>
  <r>
    <s v="2217"/>
    <s v="Elena Pérez"/>
    <d v="1960-12-31T00:00:00"/>
    <n v="65"/>
    <x v="1"/>
    <x v="6"/>
    <d v="2023-08-27T00:00:00"/>
    <d v="2023-08-25T00:00:00"/>
    <n v="20"/>
    <x v="0"/>
    <n v="11"/>
    <n v="1"/>
    <n v="1418.07"/>
    <n v="7986.31"/>
    <n v="17885.03"/>
  </r>
  <r>
    <s v="2218"/>
    <s v="Ana Cruz"/>
    <d v="1956-12-31T00:00:00"/>
    <n v="69"/>
    <x v="0"/>
    <x v="0"/>
    <d v="2023-06-29T00:00:00"/>
    <d v="2023-02-02T00:00:00"/>
    <n v="39"/>
    <x v="2"/>
    <n v="11"/>
    <n v="8"/>
    <n v="13107.77"/>
    <n v="11777.68"/>
    <n v="6128.25"/>
  </r>
  <r>
    <s v="2219"/>
    <s v="Laura Sánchez"/>
    <d v="1999-01-01T00:00:00"/>
    <n v="27"/>
    <x v="0"/>
    <x v="1"/>
    <d v="2024-02-23T00:00:00"/>
    <d v="2023-08-20T00:00:00"/>
    <n v="24"/>
    <x v="2"/>
    <n v="12"/>
    <n v="8"/>
    <n v="0"/>
    <n v="7716.83"/>
    <n v="19451.21"/>
  </r>
  <r>
    <s v="2220"/>
    <s v="Miguel Cruz"/>
    <d v="1933-12-31T00:00:00"/>
    <n v="92"/>
    <x v="1"/>
    <x v="0"/>
    <d v="2024-11-14T00:00:00"/>
    <d v="2023-07-11T00:00:00"/>
    <n v="9"/>
    <x v="1"/>
    <n v="12"/>
    <n v="2"/>
    <n v="28507.42"/>
    <n v="4974.1400000000003"/>
    <n v="16537.32"/>
  </r>
  <r>
    <s v="2221"/>
    <s v="Juan Cruz"/>
    <d v="2000-12-31T00:00:00"/>
    <n v="25"/>
    <x v="0"/>
    <x v="1"/>
    <d v="2023-05-23T00:00:00"/>
    <d v="2025-04-22T00:00:00"/>
    <n v="7"/>
    <x v="1"/>
    <n v="12"/>
    <n v="6"/>
    <n v="20062.32"/>
    <n v="12413.53"/>
    <n v="9057.26"/>
  </r>
  <r>
    <s v="2222"/>
    <s v="Carlos Morales"/>
    <d v="2001-12-31T00:00:00"/>
    <n v="24"/>
    <x v="0"/>
    <x v="0"/>
    <d v="2023-11-13T00:00:00"/>
    <d v="2024-10-19T00:00:00"/>
    <n v="31"/>
    <x v="0"/>
    <n v="13"/>
    <n v="2"/>
    <n v="13531.87"/>
    <n v="1014.32"/>
    <n v="14819.12"/>
  </r>
  <r>
    <s v="2223"/>
    <s v="Sofía Pérez"/>
    <d v="2015-01-01T00:00:00"/>
    <n v="11"/>
    <x v="1"/>
    <x v="3"/>
    <d v="2023-09-01T00:00:00"/>
    <d v="2024-09-05T00:00:00"/>
    <n v="30"/>
    <x v="0"/>
    <n v="10"/>
    <n v="7"/>
    <n v="22515.67"/>
    <n v="4341.84"/>
    <n v="11060.77"/>
  </r>
  <r>
    <s v="2224"/>
    <s v="Juan Cruz"/>
    <d v="2021-12-31T00:00:00"/>
    <n v="4"/>
    <x v="0"/>
    <x v="4"/>
    <d v="2023-08-20T00:00:00"/>
    <d v="2024-08-14T00:00:00"/>
    <n v="13"/>
    <x v="0"/>
    <n v="1"/>
    <n v="7"/>
    <n v="23252.47"/>
    <n v="8872.27"/>
    <n v="17050.27"/>
  </r>
  <r>
    <s v="2225"/>
    <s v="Carmen Hernández"/>
    <d v="1979-01-01T00:00:00"/>
    <n v="47"/>
    <x v="0"/>
    <x v="3"/>
    <d v="2024-11-14T00:00:00"/>
    <d v="2024-05-23T00:00:00"/>
    <n v="26"/>
    <x v="0"/>
    <n v="3"/>
    <n v="2"/>
    <n v="14153.9"/>
    <n v="12840.4"/>
    <n v="10313.99"/>
  </r>
  <r>
    <s v="2226"/>
    <s v="Ana Ramírez"/>
    <d v="1989-12-31T00:00:00"/>
    <n v="36"/>
    <x v="0"/>
    <x v="3"/>
    <d v="2024-08-11T00:00:00"/>
    <d v="2024-04-02T00:00:00"/>
    <n v="15"/>
    <x v="0"/>
    <n v="6"/>
    <n v="4"/>
    <n v="1810.61"/>
    <n v="1082.1300000000001"/>
    <n v="19758.7"/>
  </r>
  <r>
    <s v="2227"/>
    <s v="Luis Morales"/>
    <d v="1956-01-01T00:00:00"/>
    <n v="78"/>
    <x v="1"/>
    <x v="4"/>
    <d v="2023-10-30T00:00:00"/>
    <d v="2024-11-03T00:00:00"/>
    <n v="24"/>
    <x v="2"/>
    <n v="1"/>
    <n v="6"/>
    <n v="23306.81"/>
    <n v="1440.79"/>
    <n v="2583.4899999999998"/>
  </r>
  <r>
    <s v="2228"/>
    <s v="Ricardo Ramírez"/>
    <d v="1983-01-01T00:00:00"/>
    <n v="43"/>
    <x v="1"/>
    <x v="1"/>
    <d v="2023-11-27T00:00:00"/>
    <d v="2023-09-13T00:00:00"/>
    <n v="4"/>
    <x v="1"/>
    <n v="0"/>
    <n v="0"/>
    <n v="2253.66"/>
    <n v="4235.78"/>
    <n v="13497.03"/>
  </r>
  <r>
    <s v="2229"/>
    <s v="Pedro Sánchez"/>
    <d v="2012-01-01T00:00:00"/>
    <n v="14"/>
    <x v="0"/>
    <x v="1"/>
    <d v="2024-07-14T00:00:00"/>
    <d v="2023-10-07T00:00:00"/>
    <n v="33"/>
    <x v="2"/>
    <n v="11"/>
    <n v="2"/>
    <n v="25348.959999999999"/>
    <n v="5168.58"/>
    <n v="4837.6400000000003"/>
  </r>
  <r>
    <s v="2230"/>
    <s v="Juan Sánchez"/>
    <d v="1984-01-01T00:00:00"/>
    <n v="42"/>
    <x v="1"/>
    <x v="4"/>
    <d v="2023-09-05T00:00:00"/>
    <d v="2024-12-01T00:00:00"/>
    <n v="24"/>
    <x v="1"/>
    <n v="5"/>
    <n v="0"/>
    <n v="9691.7900000000009"/>
    <n v="12653.07"/>
    <n v="3743.68"/>
  </r>
  <r>
    <s v="2231"/>
    <s v="José López"/>
    <d v="1979-01-01T00:00:00"/>
    <n v="47"/>
    <x v="1"/>
    <x v="0"/>
    <d v="2023-10-10T00:00:00"/>
    <d v="2024-12-23T00:00:00"/>
    <n v="7"/>
    <x v="1"/>
    <n v="11"/>
    <n v="1"/>
    <n v="0"/>
    <n v="14383.55"/>
    <n v="8105.84"/>
  </r>
  <r>
    <s v="2232"/>
    <s v="Elena Sánchez"/>
    <d v="1940-01-01T00:00:00"/>
    <n v="74"/>
    <x v="1"/>
    <x v="6"/>
    <d v="2023-10-14T00:00:00"/>
    <d v="2025-01-23T00:00:00"/>
    <n v="7"/>
    <x v="2"/>
    <n v="1"/>
    <n v="6"/>
    <n v="22082.34"/>
    <n v="258.43"/>
    <n v="7285.98"/>
  </r>
  <r>
    <s v="2233"/>
    <s v="Carlos López"/>
    <d v="1956-12-31T00:00:00"/>
    <n v="69"/>
    <x v="1"/>
    <x v="1"/>
    <d v="2023-02-01T00:00:00"/>
    <d v="2023-02-26T00:00:00"/>
    <n v="8"/>
    <x v="2"/>
    <n v="11"/>
    <n v="6"/>
    <n v="573.37"/>
    <n v="230.34"/>
    <n v="831.34"/>
  </r>
  <r>
    <s v="2234"/>
    <s v="Laura Hernández"/>
    <d v="1980-12-31T00:00:00"/>
    <n v="45"/>
    <x v="2"/>
    <x v="0"/>
    <d v="2024-05-14T00:00:00"/>
    <d v="2024-10-11T00:00:00"/>
    <n v="27"/>
    <x v="0"/>
    <n v="14"/>
    <n v="2"/>
    <n v="11230.74"/>
    <n v="12972.15"/>
    <n v="8497.24"/>
  </r>
  <r>
    <s v="2235"/>
    <s v="Carmen Ramírez"/>
    <d v="1984-01-01T00:00:00"/>
    <n v="42"/>
    <x v="1"/>
    <x v="6"/>
    <d v="2024-10-31T00:00:00"/>
    <d v="2023-04-17T00:00:00"/>
    <n v="0"/>
    <x v="1"/>
    <n v="11"/>
    <n v="5"/>
    <n v="17926.36"/>
    <n v="2034.25"/>
    <n v="19033.560000000001"/>
  </r>
  <r>
    <s v="2236"/>
    <s v="Ana López"/>
    <d v="2005-12-31T00:00:00"/>
    <n v="20"/>
    <x v="2"/>
    <x v="4"/>
    <d v="2024-06-13T00:00:00"/>
    <d v="2024-08-04T00:00:00"/>
    <n v="26"/>
    <x v="0"/>
    <n v="11"/>
    <n v="5"/>
    <n v="25368.400000000001"/>
    <n v="5090.04"/>
    <n v="9284.2099999999991"/>
  </r>
  <r>
    <s v="2237"/>
    <s v="Luisa Hernández"/>
    <d v="2004-01-01T00:00:00"/>
    <n v="22"/>
    <x v="1"/>
    <x v="3"/>
    <d v="2024-01-16T00:00:00"/>
    <d v="2024-12-03T00:00:00"/>
    <n v="11"/>
    <x v="0"/>
    <n v="12"/>
    <n v="1"/>
    <n v="21391.98"/>
    <n v="4128.2"/>
    <n v="5966.49"/>
  </r>
  <r>
    <s v="2238"/>
    <s v="Elena Sánchez"/>
    <d v="1947-01-01T00:00:00"/>
    <n v="79"/>
    <x v="0"/>
    <x v="1"/>
    <d v="2023-03-04T00:00:00"/>
    <d v="2023-07-12T00:00:00"/>
    <n v="10"/>
    <x v="0"/>
    <n v="12"/>
    <n v="8"/>
    <n v="26832.31"/>
    <n v="4228.0200000000004"/>
    <n v="18976.43"/>
  </r>
  <r>
    <s v="2239"/>
    <s v="Juan Morales"/>
    <d v="1980-01-01T00:00:00"/>
    <n v="46"/>
    <x v="1"/>
    <x v="2"/>
    <d v="2023-05-08T00:00:00"/>
    <d v="2023-10-06T00:00:00"/>
    <n v="16"/>
    <x v="0"/>
    <n v="9"/>
    <n v="7"/>
    <n v="2023.04"/>
    <n v="4928.88"/>
    <n v="10065.02"/>
  </r>
  <r>
    <s v="2240"/>
    <s v="Elena Ramírez"/>
    <d v="1994-01-01T00:00:00"/>
    <n v="14"/>
    <x v="0"/>
    <x v="3"/>
    <d v="2024-06-11T00:00:00"/>
    <d v="2024-06-28T00:00:00"/>
    <n v="22"/>
    <x v="1"/>
    <n v="12"/>
    <n v="1"/>
    <n v="1690.57"/>
    <n v="5040.6899999999996"/>
    <n v="5670.76"/>
  </r>
  <r>
    <s v="2241"/>
    <s v="Jorge Ramírez"/>
    <d v="2001-12-31T00:00:00"/>
    <n v="24"/>
    <x v="0"/>
    <x v="5"/>
    <d v="2023-06-12T00:00:00"/>
    <d v="2023-06-25T00:00:00"/>
    <n v="7"/>
    <x v="2"/>
    <n v="3"/>
    <n v="3"/>
    <n v="21262.51"/>
    <n v="9302.34"/>
    <n v="15638.09"/>
  </r>
  <r>
    <s v="2242"/>
    <s v="Carmen Ramírez"/>
    <d v="1991-01-01T00:00:00"/>
    <n v="35"/>
    <x v="1"/>
    <x v="6"/>
    <d v="2023-09-08T00:00:00"/>
    <d v="2025-02-09T00:00:00"/>
    <n v="12"/>
    <x v="2"/>
    <n v="8"/>
    <n v="8"/>
    <n v="11655.11"/>
    <n v="9431.76"/>
    <n v="4394.63"/>
  </r>
  <r>
    <s v="2243"/>
    <s v="Luisa Morales"/>
    <d v="1952-01-01T00:00:00"/>
    <n v="74"/>
    <x v="0"/>
    <x v="2"/>
    <d v="2024-10-10T00:00:00"/>
    <d v="2024-09-27T00:00:00"/>
    <n v="25"/>
    <x v="1"/>
    <n v="6"/>
    <n v="3"/>
    <n v="14189.75"/>
    <n v="7843.38"/>
    <n v="4879.76"/>
  </r>
  <r>
    <s v="2244"/>
    <s v="Ricardo Morales"/>
    <d v="1976-01-01T00:00:00"/>
    <n v="20"/>
    <x v="1"/>
    <x v="3"/>
    <d v="2023-10-22T00:00:00"/>
    <d v="2023-03-27T00:00:00"/>
    <n v="37"/>
    <x v="2"/>
    <n v="13"/>
    <n v="6"/>
    <n v="17931.64"/>
    <n v="12878.12"/>
    <n v="6419.07"/>
  </r>
  <r>
    <s v="2245"/>
    <s v="Pedro Cruz"/>
    <d v="2012-01-01T00:00:00"/>
    <n v="14"/>
    <x v="0"/>
    <x v="1"/>
    <d v="2023-06-28T00:00:00"/>
    <d v="2024-12-29T00:00:00"/>
    <n v="35"/>
    <x v="1"/>
    <n v="4"/>
    <n v="4"/>
    <n v="29571.21"/>
    <n v="12685.08"/>
    <n v="7834.85"/>
  </r>
  <r>
    <s v="2246"/>
    <s v="Sofía Gómez"/>
    <d v="1959-01-01T00:00:00"/>
    <n v="67"/>
    <x v="2"/>
    <x v="2"/>
    <d v="2023-08-17T00:00:00"/>
    <d v="2023-08-05T00:00:00"/>
    <n v="4"/>
    <x v="1"/>
    <n v="1"/>
    <n v="9"/>
    <n v="1548.57"/>
    <n v="3258.26"/>
    <n v="11615.87"/>
  </r>
  <r>
    <s v="2247"/>
    <s v="Elena Ramírez"/>
    <d v="2005-12-31T00:00:00"/>
    <n v="20"/>
    <x v="0"/>
    <x v="0"/>
    <d v="2024-01-29T00:00:00"/>
    <d v="2023-01-15T00:00:00"/>
    <n v="11"/>
    <x v="1"/>
    <n v="5"/>
    <n v="5"/>
    <n v="2821.29"/>
    <n v="8154.59"/>
    <n v="10257.219999999999"/>
  </r>
  <r>
    <s v="2248"/>
    <s v="Luisa López"/>
    <d v="2013-12-31T00:00:00"/>
    <n v="12"/>
    <x v="0"/>
    <x v="6"/>
    <d v="2024-11-22T00:00:00"/>
    <d v="2023-02-07T00:00:00"/>
    <n v="27"/>
    <x v="0"/>
    <n v="1"/>
    <n v="0"/>
    <n v="24794.05"/>
    <n v="11757.56"/>
    <n v="14848.99"/>
  </r>
  <r>
    <s v="2249"/>
    <s v="Sofía Sánchez"/>
    <d v="1940-12-31T00:00:00"/>
    <n v="85"/>
    <x v="1"/>
    <x v="5"/>
    <d v="2024-01-31T00:00:00"/>
    <d v="2023-01-28T00:00:00"/>
    <n v="37"/>
    <x v="2"/>
    <n v="10"/>
    <n v="3"/>
    <n v="125.99"/>
    <n v="13003.12"/>
    <n v="14315.13"/>
  </r>
  <r>
    <s v="2250"/>
    <s v="Jorge Pérez"/>
    <d v="2008-01-01T00:00:00"/>
    <n v="18"/>
    <x v="1"/>
    <x v="0"/>
    <d v="2023-03-13T00:00:00"/>
    <d v="2024-10-26T00:00:00"/>
    <n v="9"/>
    <x v="0"/>
    <n v="3"/>
    <n v="4"/>
    <n v="13238.87"/>
    <n v="3827.79"/>
    <n v="815.76"/>
  </r>
  <r>
    <s v="2251"/>
    <s v="María Gómez"/>
    <d v="1992-12-31T00:00:00"/>
    <n v="33"/>
    <x v="1"/>
    <x v="2"/>
    <d v="2023-11-14T00:00:00"/>
    <d v="2024-07-30T00:00:00"/>
    <n v="25"/>
    <x v="0"/>
    <n v="14"/>
    <n v="5"/>
    <n v="23110.61"/>
    <n v="7411.5"/>
    <n v="2591.48"/>
  </r>
  <r>
    <s v="2252"/>
    <s v="Jorge Sánchez"/>
    <d v="1948-12-31T00:00:00"/>
    <n v="77"/>
    <x v="0"/>
    <x v="3"/>
    <d v="2024-08-17T00:00:00"/>
    <d v="2023-03-12T00:00:00"/>
    <n v="11"/>
    <x v="1"/>
    <n v="5"/>
    <n v="5"/>
    <n v="5455.7"/>
    <n v="7875.41"/>
    <n v="4225.3599999999997"/>
  </r>
  <r>
    <s v="2253"/>
    <s v="Laura Pérez"/>
    <d v="1959-01-01T00:00:00"/>
    <n v="67"/>
    <x v="0"/>
    <x v="6"/>
    <d v="2024-01-14T00:00:00"/>
    <d v="2023-06-04T00:00:00"/>
    <n v="2"/>
    <x v="2"/>
    <n v="0"/>
    <n v="4"/>
    <n v="5203.8100000000004"/>
    <n v="10494.57"/>
    <n v="11913.04"/>
  </r>
  <r>
    <s v="2254"/>
    <s v="Ana Morales"/>
    <d v="1975-01-01T00:00:00"/>
    <n v="51"/>
    <x v="1"/>
    <x v="1"/>
    <d v="2023-05-16T00:00:00"/>
    <d v="2024-03-14T00:00:00"/>
    <n v="1"/>
    <x v="0"/>
    <n v="8"/>
    <n v="2"/>
    <n v="8962.7000000000007"/>
    <n v="4953.8900000000003"/>
    <n v="17894.810000000001"/>
  </r>
  <r>
    <s v="2255"/>
    <s v="Jorge Martínez"/>
    <d v="2000-01-01T00:00:00"/>
    <n v="71"/>
    <x v="0"/>
    <x v="5"/>
    <d v="2024-12-30T00:00:00"/>
    <d v="2025-02-04T00:00:00"/>
    <n v="15"/>
    <x v="1"/>
    <n v="2"/>
    <n v="1"/>
    <n v="4075.32"/>
    <n v="4401.78"/>
    <n v="6430.62"/>
  </r>
  <r>
    <s v="2256"/>
    <s v="Sofía Ramírez"/>
    <d v="1997-12-31T00:00:00"/>
    <n v="40"/>
    <x v="1"/>
    <x v="3"/>
    <d v="2024-09-12T00:00:00"/>
    <d v="2023-09-29T00:00:00"/>
    <n v="33"/>
    <x v="0"/>
    <n v="0"/>
    <n v="6"/>
    <n v="20195.86"/>
    <n v="10583.96"/>
    <n v="19271.259999999998"/>
  </r>
  <r>
    <s v="2257"/>
    <s v="Pedro Cruz"/>
    <d v="1999-01-01T00:00:00"/>
    <n v="27"/>
    <x v="1"/>
    <x v="5"/>
    <d v="2024-01-13T00:00:00"/>
    <d v="2024-06-25T00:00:00"/>
    <n v="29"/>
    <x v="0"/>
    <n v="5"/>
    <n v="0"/>
    <n v="5604.2"/>
    <n v="5990.03"/>
    <n v="3374.5"/>
  </r>
  <r>
    <s v="2258"/>
    <s v="Elena Ramírez"/>
    <d v="1992-01-01T00:00:00"/>
    <n v="34"/>
    <x v="0"/>
    <x v="1"/>
    <d v="2023-04-29T00:00:00"/>
    <d v="2023-03-16T00:00:00"/>
    <n v="25"/>
    <x v="0"/>
    <n v="1"/>
    <n v="4"/>
    <n v="6419.15"/>
    <n v="60.36"/>
    <n v="18487.12"/>
  </r>
  <r>
    <s v="2259"/>
    <s v="Luis Martínez"/>
    <d v="2019-01-01T00:00:00"/>
    <n v="7"/>
    <x v="1"/>
    <x v="4"/>
    <d v="2024-06-13T00:00:00"/>
    <d v="2025-03-07T00:00:00"/>
    <n v="25"/>
    <x v="2"/>
    <n v="7"/>
    <n v="3"/>
    <n v="17035.52"/>
    <n v="14067.7"/>
    <n v="16000.14"/>
  </r>
  <r>
    <s v="2260"/>
    <s v="Miguel Hernández"/>
    <d v="2011-01-01T00:00:00"/>
    <n v="15"/>
    <x v="0"/>
    <x v="6"/>
    <d v="2024-10-27T00:00:00"/>
    <d v="2024-07-25T00:00:00"/>
    <n v="35"/>
    <x v="0"/>
    <n v="9"/>
    <n v="6"/>
    <n v="0"/>
    <n v="2244.6799999999998"/>
    <n v="7719.57"/>
  </r>
  <r>
    <s v="2261"/>
    <s v="Luis Cruz"/>
    <d v="2001-01-01T00:00:00"/>
    <n v="2"/>
    <x v="1"/>
    <x v="2"/>
    <d v="2024-06-06T00:00:00"/>
    <d v="2025-01-25T00:00:00"/>
    <n v="29"/>
    <x v="0"/>
    <n v="4"/>
    <n v="1"/>
    <n v="27373.42"/>
    <n v="2229.5100000000002"/>
    <n v="4046.87"/>
  </r>
  <r>
    <s v="2262"/>
    <s v="Carlos Rodríguez"/>
    <d v="1996-12-31T00:00:00"/>
    <n v="29"/>
    <x v="0"/>
    <x v="5"/>
    <d v="2024-10-11T00:00:00"/>
    <d v="2025-04-21T00:00:00"/>
    <n v="5"/>
    <x v="0"/>
    <n v="1"/>
    <n v="7"/>
    <n v="25867.15"/>
    <n v="12275.49"/>
    <n v="7764.99"/>
  </r>
  <r>
    <s v="2263"/>
    <s v="Laura Ramírez"/>
    <d v="2008-12-31T00:00:00"/>
    <n v="17"/>
    <x v="1"/>
    <x v="6"/>
    <d v="2024-01-22T00:00:00"/>
    <d v="2023-05-30T00:00:00"/>
    <n v="22"/>
    <x v="0"/>
    <n v="8"/>
    <n v="8"/>
    <n v="15693.18"/>
    <n v="5032.54"/>
    <n v="4196.1499999999996"/>
  </r>
  <r>
    <s v="2264"/>
    <s v="Luisa Hernández"/>
    <d v="2024-12-31T00:00:00"/>
    <n v="1"/>
    <x v="1"/>
    <x v="5"/>
    <d v="2024-07-27T00:00:00"/>
    <d v="2024-05-21T00:00:00"/>
    <n v="17"/>
    <x v="2"/>
    <n v="6"/>
    <n v="9"/>
    <n v="0"/>
    <n v="4922.63"/>
    <n v="11179.15"/>
  </r>
  <r>
    <s v="2265"/>
    <s v="Carlos Ramírez"/>
    <d v="1977-12-31T00:00:00"/>
    <n v="47"/>
    <x v="0"/>
    <x v="3"/>
    <d v="2024-08-05T00:00:00"/>
    <d v="2023-01-11T00:00:00"/>
    <n v="30"/>
    <x v="1"/>
    <n v="11"/>
    <n v="0"/>
    <n v="21025.9"/>
    <n v="9335.93"/>
    <n v="11453.86"/>
  </r>
  <r>
    <s v="2266"/>
    <s v="Luis Ramírez"/>
    <d v="1949-12-31T00:00:00"/>
    <n v="76"/>
    <x v="0"/>
    <x v="5"/>
    <d v="2024-07-26T00:00:00"/>
    <d v="2024-10-06T00:00:00"/>
    <n v="27"/>
    <x v="2"/>
    <n v="5"/>
    <n v="4"/>
    <n v="11382.11"/>
    <n v="885.58"/>
    <n v="15340.61"/>
  </r>
  <r>
    <s v="2267"/>
    <s v="María Hernández"/>
    <d v="2023-01-01T00:00:00"/>
    <n v="3"/>
    <x v="1"/>
    <x v="4"/>
    <d v="2024-10-05T00:00:00"/>
    <d v="2024-05-17T00:00:00"/>
    <n v="34"/>
    <x v="0"/>
    <n v="1"/>
    <n v="3"/>
    <n v="23226.22"/>
    <n v="3554.43"/>
    <n v="10510.09"/>
  </r>
  <r>
    <s v="2268"/>
    <s v="Ricardo Sánchez"/>
    <d v="1936-12-31T00:00:00"/>
    <n v="89"/>
    <x v="1"/>
    <x v="3"/>
    <d v="2024-07-26T00:00:00"/>
    <d v="2023-03-04T00:00:00"/>
    <n v="13"/>
    <x v="2"/>
    <n v="1"/>
    <n v="4"/>
    <n v="0"/>
    <n v="799.07"/>
    <n v="6837.44"/>
  </r>
  <r>
    <s v="2269"/>
    <s v="Juan López"/>
    <d v="1937-12-31T00:00:00"/>
    <n v="88"/>
    <x v="0"/>
    <x v="3"/>
    <d v="2023-09-26T00:00:00"/>
    <d v="2024-01-24T00:00:00"/>
    <n v="22"/>
    <x v="1"/>
    <n v="1"/>
    <n v="8"/>
    <n v="0"/>
    <n v="4372.6400000000003"/>
    <n v="18223.14"/>
  </r>
  <r>
    <s v="2270"/>
    <s v="Carmen Pérez"/>
    <d v="1932-12-31T00:00:00"/>
    <n v="93"/>
    <x v="1"/>
    <x v="6"/>
    <d v="2024-06-07T00:00:00"/>
    <d v="2025-06-14T00:00:00"/>
    <n v="35"/>
    <x v="0"/>
    <n v="12"/>
    <n v="2"/>
    <n v="9789.19"/>
    <n v="13048.95"/>
    <n v="1467.77"/>
  </r>
  <r>
    <s v="2271"/>
    <s v="Ricardo Pérez"/>
    <d v="1952-01-01T00:00:00"/>
    <n v="74"/>
    <x v="0"/>
    <x v="0"/>
    <d v="2024-06-30T00:00:00"/>
    <d v="2025-02-13T00:00:00"/>
    <n v="39"/>
    <x v="1"/>
    <n v="1"/>
    <n v="0"/>
    <n v="7096"/>
    <n v="13639.99"/>
    <n v="16156.51"/>
  </r>
  <r>
    <s v="2272"/>
    <s v="Miguel Sánchez"/>
    <d v="2020-01-01T00:00:00"/>
    <n v="11"/>
    <x v="0"/>
    <x v="1"/>
    <d v="2024-04-30T00:00:00"/>
    <d v="2024-12-31T00:00:00"/>
    <n v="7"/>
    <x v="2"/>
    <n v="13"/>
    <n v="2"/>
    <n v="19686.02"/>
    <n v="4641.55"/>
    <n v="8132.45"/>
  </r>
  <r>
    <s v="2273"/>
    <s v="Luisa Morales"/>
    <d v="1932-01-01T00:00:00"/>
    <n v="94"/>
    <x v="1"/>
    <x v="5"/>
    <d v="2024-03-13T00:00:00"/>
    <d v="2023-08-21T00:00:00"/>
    <n v="2"/>
    <x v="1"/>
    <n v="5"/>
    <n v="3"/>
    <n v="0"/>
    <n v="2813.8"/>
    <n v="3540.1"/>
  </r>
  <r>
    <s v="2274"/>
    <s v="Elena Pérez"/>
    <d v="1952-12-31T00:00:00"/>
    <n v="47"/>
    <x v="1"/>
    <x v="2"/>
    <d v="2024-07-16T00:00:00"/>
    <d v="2025-04-28T00:00:00"/>
    <n v="5"/>
    <x v="0"/>
    <n v="4"/>
    <n v="1"/>
    <n v="630.54999999999995"/>
    <n v="2029.14"/>
    <n v="2319.15"/>
  </r>
  <r>
    <s v="2275"/>
    <s v="Carmen Gómez"/>
    <d v="1988-01-01T00:00:00"/>
    <n v="38"/>
    <x v="0"/>
    <x v="3"/>
    <d v="2024-07-08T00:00:00"/>
    <d v="2024-08-07T00:00:00"/>
    <n v="30"/>
    <x v="0"/>
    <n v="9"/>
    <n v="0"/>
    <n v="28404.82"/>
    <n v="5916.29"/>
    <n v="4337.3599999999997"/>
  </r>
  <r>
    <s v="2276"/>
    <s v="Ana Pérez"/>
    <d v="2013-12-31T00:00:00"/>
    <n v="12"/>
    <x v="1"/>
    <x v="0"/>
    <d v="2023-04-21T00:00:00"/>
    <d v="2024-06-12T00:00:00"/>
    <n v="34"/>
    <x v="1"/>
    <n v="10"/>
    <n v="0"/>
    <n v="10536.52"/>
    <n v="12396.09"/>
    <n v="2351.31"/>
  </r>
  <r>
    <s v="2277"/>
    <s v="Carlos Sánchez"/>
    <d v="1996-01-01T00:00:00"/>
    <n v="30"/>
    <x v="0"/>
    <x v="3"/>
    <d v="2023-11-18T00:00:00"/>
    <d v="2024-07-04T00:00:00"/>
    <n v="2"/>
    <x v="2"/>
    <n v="0"/>
    <n v="7"/>
    <n v="0"/>
    <n v="12789.95"/>
    <n v="9124.5"/>
  </r>
  <r>
    <s v="2278"/>
    <s v="Pedro Sánchez"/>
    <d v="1956-01-01T00:00:00"/>
    <n v="70"/>
    <x v="1"/>
    <x v="0"/>
    <d v="2024-06-10T00:00:00"/>
    <d v="2024-11-20T00:00:00"/>
    <n v="28"/>
    <x v="2"/>
    <n v="14"/>
    <n v="3"/>
    <n v="17303.46"/>
    <n v="688.92"/>
    <n v="6928.76"/>
  </r>
  <r>
    <s v="2279"/>
    <s v="José Hernández"/>
    <d v="1964-01-01T00:00:00"/>
    <n v="62"/>
    <x v="0"/>
    <x v="0"/>
    <d v="2023-06-26T00:00:00"/>
    <d v="2024-03-21T00:00:00"/>
    <n v="4"/>
    <x v="2"/>
    <n v="3"/>
    <n v="1"/>
    <n v="0"/>
    <n v="3138.43"/>
    <n v="7067.44"/>
  </r>
  <r>
    <s v="2280"/>
    <s v="Luis Cruz"/>
    <d v="1971-01-01T00:00:00"/>
    <n v="55"/>
    <x v="1"/>
    <x v="2"/>
    <d v="2024-11-04T00:00:00"/>
    <d v="2023-11-18T00:00:00"/>
    <n v="20"/>
    <x v="2"/>
    <n v="4"/>
    <n v="9"/>
    <n v="28795.73"/>
    <n v="3047.55"/>
    <n v="3053.05"/>
  </r>
  <r>
    <s v="2281"/>
    <s v="Ana Morales"/>
    <d v="1984-12-31T00:00:00"/>
    <n v="41"/>
    <x v="0"/>
    <x v="0"/>
    <d v="2024-07-04T00:00:00"/>
    <d v="2025-06-13T00:00:00"/>
    <n v="21"/>
    <x v="0"/>
    <n v="10"/>
    <n v="2"/>
    <n v="24577.02"/>
    <n v="12426.45"/>
    <n v="13160.83"/>
  </r>
  <r>
    <s v="2282"/>
    <s v="Laura Ramírez"/>
    <d v="1965-12-31T00:00:00"/>
    <n v="60"/>
    <x v="1"/>
    <x v="2"/>
    <d v="2024-06-21T00:00:00"/>
    <d v="2023-03-25T00:00:00"/>
    <n v="11"/>
    <x v="0"/>
    <n v="0"/>
    <n v="7"/>
    <n v="3771.07"/>
    <n v="6844.38"/>
    <n v="12116.72"/>
  </r>
  <r>
    <s v="2283"/>
    <s v="Juan Cruz"/>
    <d v="1984-12-31T00:00:00"/>
    <n v="41"/>
    <x v="1"/>
    <x v="6"/>
    <d v="2024-09-15T00:00:00"/>
    <d v="2024-03-10T00:00:00"/>
    <n v="20"/>
    <x v="1"/>
    <n v="13"/>
    <n v="5"/>
    <n v="340.76"/>
    <n v="5525.93"/>
    <n v="19643.96"/>
  </r>
  <r>
    <s v="2284"/>
    <s v="Luisa Morales"/>
    <d v="1971-01-01T00:00:00"/>
    <n v="55"/>
    <x v="0"/>
    <x v="3"/>
    <d v="2024-04-17T00:00:00"/>
    <d v="2023-01-18T00:00:00"/>
    <n v="6"/>
    <x v="0"/>
    <n v="12"/>
    <n v="7"/>
    <n v="8911.92"/>
    <n v="14349.09"/>
    <n v="3269.65"/>
  </r>
  <r>
    <s v="2285"/>
    <s v="Jorge Cruz"/>
    <d v="1991-01-01T00:00:00"/>
    <n v="35"/>
    <x v="1"/>
    <x v="2"/>
    <d v="2024-07-16T00:00:00"/>
    <d v="2024-01-05T00:00:00"/>
    <n v="5"/>
    <x v="0"/>
    <n v="1"/>
    <n v="9"/>
    <n v="14400.4"/>
    <n v="13880.36"/>
    <n v="16663.71"/>
  </r>
  <r>
    <s v="2286"/>
    <s v="Luisa Gómez"/>
    <d v="1943-01-01T00:00:00"/>
    <n v="83"/>
    <x v="1"/>
    <x v="1"/>
    <d v="2024-01-23T00:00:00"/>
    <d v="2024-10-30T00:00:00"/>
    <n v="5"/>
    <x v="0"/>
    <n v="2"/>
    <n v="4"/>
    <n v="21830.57"/>
    <n v="6601.6"/>
    <n v="580.82000000000005"/>
  </r>
  <r>
    <s v="2287"/>
    <s v="Laura Hernández"/>
    <d v="1959-01-01T00:00:00"/>
    <n v="67"/>
    <x v="1"/>
    <x v="4"/>
    <d v="2023-04-08T00:00:00"/>
    <d v="2024-11-15T00:00:00"/>
    <n v="0"/>
    <x v="1"/>
    <n v="12"/>
    <n v="2"/>
    <n v="19661.98"/>
    <n v="1924.98"/>
    <n v="1373.71"/>
  </r>
  <r>
    <s v="2288"/>
    <s v="Miguel López"/>
    <d v="2020-01-01T00:00:00"/>
    <n v="6"/>
    <x v="1"/>
    <x v="3"/>
    <d v="2024-02-15T00:00:00"/>
    <d v="2024-08-05T00:00:00"/>
    <n v="29"/>
    <x v="0"/>
    <n v="13"/>
    <n v="5"/>
    <n v="9042.11"/>
    <n v="2565.0500000000002"/>
    <n v="12925.84"/>
  </r>
  <r>
    <s v="2289"/>
    <s v="Carlos Gómez"/>
    <d v="1972-12-31T00:00:00"/>
    <n v="53"/>
    <x v="0"/>
    <x v="4"/>
    <d v="2024-01-10T00:00:00"/>
    <d v="2024-08-06T00:00:00"/>
    <n v="1"/>
    <x v="2"/>
    <n v="10"/>
    <n v="9"/>
    <n v="16030.88"/>
    <n v="1681.26"/>
    <n v="8070.04"/>
  </r>
  <r>
    <s v="2290"/>
    <s v="José Sánchez"/>
    <d v="2025-12-31T00:00:00"/>
    <n v="24"/>
    <x v="0"/>
    <x v="1"/>
    <d v="2023-06-19T00:00:00"/>
    <d v="2023-09-13T00:00:00"/>
    <n v="35"/>
    <x v="2"/>
    <n v="2"/>
    <n v="7"/>
    <n v="19353.47"/>
    <n v="10207.56"/>
    <n v="4533.07"/>
  </r>
  <r>
    <s v="2291"/>
    <s v="José Cruz"/>
    <d v="1983-01-01T00:00:00"/>
    <n v="43"/>
    <x v="1"/>
    <x v="5"/>
    <d v="2023-02-25T00:00:00"/>
    <d v="2024-04-01T00:00:00"/>
    <n v="1"/>
    <x v="1"/>
    <n v="2"/>
    <n v="4"/>
    <n v="15169.38"/>
    <n v="8320.31"/>
    <n v="44.59"/>
  </r>
  <r>
    <s v="2292"/>
    <s v="Ricardo Martínez"/>
    <d v="1981-12-31T00:00:00"/>
    <n v="44"/>
    <x v="0"/>
    <x v="1"/>
    <d v="2023-11-21T00:00:00"/>
    <d v="2024-10-05T00:00:00"/>
    <n v="6"/>
    <x v="1"/>
    <n v="1"/>
    <n v="4"/>
    <n v="20513.72"/>
    <n v="8349.67"/>
    <n v="13229.23"/>
  </r>
  <r>
    <s v="2293"/>
    <s v="María Sánchez"/>
    <d v="1980-01-01T00:00:00"/>
    <n v="46"/>
    <x v="0"/>
    <x v="6"/>
    <d v="2024-10-19T00:00:00"/>
    <d v="2024-07-15T00:00:00"/>
    <n v="2"/>
    <x v="1"/>
    <n v="1"/>
    <n v="2"/>
    <n v="14299.16"/>
    <n v="1475.67"/>
    <n v="8761.06"/>
  </r>
  <r>
    <s v="2294"/>
    <s v="Sofía Morales"/>
    <d v="2013-12-31T00:00:00"/>
    <n v="14"/>
    <x v="0"/>
    <x v="5"/>
    <d v="2023-09-17T00:00:00"/>
    <d v="2024-06-17T00:00:00"/>
    <n v="8"/>
    <x v="0"/>
    <n v="5"/>
    <n v="2"/>
    <n v="15655.39"/>
    <n v="11899.12"/>
    <n v="3332.82"/>
  </r>
  <r>
    <s v="2295"/>
    <s v="Ana Hernández"/>
    <d v="2004-12-31T00:00:00"/>
    <n v="21"/>
    <x v="1"/>
    <x v="5"/>
    <d v="2024-10-02T00:00:00"/>
    <d v="2024-01-28T00:00:00"/>
    <n v="26"/>
    <x v="0"/>
    <n v="2"/>
    <n v="7"/>
    <n v="28193.65"/>
    <n v="8033.59"/>
    <n v="19441.7"/>
  </r>
  <r>
    <s v="2296"/>
    <s v="Laura Morales"/>
    <d v="2005-12-31T00:00:00"/>
    <n v="20"/>
    <x v="0"/>
    <x v="0"/>
    <d v="2024-07-15T00:00:00"/>
    <d v="2023-11-17T00:00:00"/>
    <n v="23"/>
    <x v="1"/>
    <n v="0"/>
    <n v="0"/>
    <n v="11369.32"/>
    <n v="1364.54"/>
    <n v="6951.92"/>
  </r>
  <r>
    <s v="2297"/>
    <s v="Pedro Cruz"/>
    <d v="1940-12-31T00:00:00"/>
    <n v="85"/>
    <x v="0"/>
    <x v="1"/>
    <d v="2023-12-06T00:00:00"/>
    <d v="2023-08-09T00:00:00"/>
    <n v="24"/>
    <x v="1"/>
    <n v="6"/>
    <n v="3"/>
    <n v="22549.07"/>
    <n v="11206.96"/>
    <n v="5991.5"/>
  </r>
  <r>
    <s v="2298"/>
    <s v="Jorge Martínez"/>
    <d v="1935-01-01T00:00:00"/>
    <n v="91"/>
    <x v="0"/>
    <x v="0"/>
    <d v="2024-02-08T00:00:00"/>
    <d v="2024-11-30T00:00:00"/>
    <n v="35"/>
    <x v="1"/>
    <n v="9"/>
    <n v="8"/>
    <n v="9707.6299999999992"/>
    <n v="14719.47"/>
    <n v="10157.32"/>
  </r>
  <r>
    <s v="2299"/>
    <s v="Jorge Hernández"/>
    <d v="2017-12-31T00:00:00"/>
    <n v="8"/>
    <x v="1"/>
    <x v="1"/>
    <d v="2024-06-15T00:00:00"/>
    <d v="2024-02-19T00:00:00"/>
    <n v="26"/>
    <x v="2"/>
    <n v="1"/>
    <n v="5"/>
    <n v="0"/>
    <n v="6617.71"/>
    <n v="5471.86"/>
  </r>
  <r>
    <s v="2300"/>
    <s v="Carmen López"/>
    <d v="2000-12-31T00:00:00"/>
    <n v="25"/>
    <x v="1"/>
    <x v="5"/>
    <d v="2023-06-23T00:00:00"/>
    <d v="2023-02-02T00:00:00"/>
    <n v="30"/>
    <x v="1"/>
    <n v="11"/>
    <n v="5"/>
    <n v="27763.48"/>
    <n v="1734.82"/>
    <n v="5382.52"/>
  </r>
  <r>
    <s v="2301"/>
    <s v="Luis Ramírez"/>
    <d v="2017-12-31T00:00:00"/>
    <n v="8"/>
    <x v="0"/>
    <x v="0"/>
    <d v="2024-06-21T00:00:00"/>
    <d v="2024-12-16T00:00:00"/>
    <n v="25"/>
    <x v="2"/>
    <n v="14"/>
    <n v="9"/>
    <n v="20809.48"/>
    <n v="1520.99"/>
    <n v="19322.36"/>
  </r>
  <r>
    <s v="2302"/>
    <s v="Sofía Morales"/>
    <d v="2012-01-01T00:00:00"/>
    <n v="14"/>
    <x v="1"/>
    <x v="4"/>
    <d v="2023-06-09T00:00:00"/>
    <d v="2025-02-27T00:00:00"/>
    <n v="28"/>
    <x v="2"/>
    <n v="7"/>
    <n v="6"/>
    <n v="27833.23"/>
    <n v="388.19"/>
    <n v="5149.07"/>
  </r>
  <r>
    <s v="2303"/>
    <s v="Carmen Hernández"/>
    <d v="2016-12-31T00:00:00"/>
    <n v="9"/>
    <x v="0"/>
    <x v="3"/>
    <d v="2023-01-10T00:00:00"/>
    <d v="2025-01-24T00:00:00"/>
    <n v="16"/>
    <x v="0"/>
    <n v="3"/>
    <n v="6"/>
    <n v="29834.73"/>
    <n v="11555.97"/>
    <n v="12069.88"/>
  </r>
  <r>
    <s v="2304"/>
    <s v="Ricardo Hernández"/>
    <d v="1939-01-01T00:00:00"/>
    <n v="87"/>
    <x v="1"/>
    <x v="1"/>
    <d v="2024-08-16T00:00:00"/>
    <d v="2023-01-17T00:00:00"/>
    <n v="23"/>
    <x v="1"/>
    <n v="0"/>
    <n v="5"/>
    <n v="493.8"/>
    <n v="10410.01"/>
    <n v="652.67999999999995"/>
  </r>
  <r>
    <s v="2305"/>
    <s v="Pedro López"/>
    <d v="1984-12-31T00:00:00"/>
    <n v="41"/>
    <x v="0"/>
    <x v="1"/>
    <d v="2023-09-13T00:00:00"/>
    <d v="2024-02-14T00:00:00"/>
    <n v="26"/>
    <x v="0"/>
    <n v="11"/>
    <n v="8"/>
    <n v="29486.080000000002"/>
    <n v="8763.59"/>
    <n v="3002.42"/>
  </r>
  <r>
    <s v="2306"/>
    <s v="Carlos Ramírez"/>
    <d v="1955-01-01T00:00:00"/>
    <n v="71"/>
    <x v="0"/>
    <x v="0"/>
    <d v="2024-09-08T00:00:00"/>
    <d v="2025-04-08T00:00:00"/>
    <n v="8"/>
    <x v="1"/>
    <n v="12"/>
    <n v="7"/>
    <n v="2576.56"/>
    <n v="11484.44"/>
    <n v="343.81"/>
  </r>
  <r>
    <s v="2307"/>
    <s v="Luis Gómez"/>
    <d v="2003-01-01T00:00:00"/>
    <n v="23"/>
    <x v="0"/>
    <x v="1"/>
    <d v="2024-10-13T00:00:00"/>
    <d v="2023-06-23T00:00:00"/>
    <n v="38"/>
    <x v="0"/>
    <n v="2"/>
    <n v="7"/>
    <n v="1647.55"/>
    <n v="14989.47"/>
    <n v="10642.98"/>
  </r>
  <r>
    <s v="2308"/>
    <s v="María Hernández"/>
    <d v="1947-01-01T00:00:00"/>
    <n v="79"/>
    <x v="0"/>
    <x v="5"/>
    <d v="2024-12-14T00:00:00"/>
    <d v="2024-10-11T00:00:00"/>
    <n v="29"/>
    <x v="1"/>
    <n v="1"/>
    <n v="1"/>
    <n v="22918.2"/>
    <n v="6027.72"/>
    <n v="9781.2900000000009"/>
  </r>
  <r>
    <s v="2309"/>
    <s v="Pedro Pérez"/>
    <d v="1977-12-31T00:00:00"/>
    <n v="48"/>
    <x v="0"/>
    <x v="0"/>
    <d v="2023-12-10T00:00:00"/>
    <d v="2023-06-29T00:00:00"/>
    <n v="18"/>
    <x v="1"/>
    <n v="5"/>
    <n v="6"/>
    <n v="10180.629999999999"/>
    <n v="10587.15"/>
    <n v="6551.54"/>
  </r>
  <r>
    <s v="2310"/>
    <s v="Laura Hernández"/>
    <d v="2000-12-31T00:00:00"/>
    <n v="25"/>
    <x v="1"/>
    <x v="0"/>
    <d v="2024-06-19T00:00:00"/>
    <d v="2025-05-21T00:00:00"/>
    <n v="35"/>
    <x v="1"/>
    <n v="4"/>
    <n v="0"/>
    <n v="27493.26"/>
    <n v="5657.42"/>
    <n v="13975.66"/>
  </r>
  <r>
    <s v="2311"/>
    <s v="Jorge Gómez"/>
    <d v="1936-01-01T00:00:00"/>
    <n v="90"/>
    <x v="0"/>
    <x v="2"/>
    <d v="2024-01-08T00:00:00"/>
    <d v="2024-07-27T00:00:00"/>
    <n v="31"/>
    <x v="1"/>
    <n v="9"/>
    <n v="9"/>
    <n v="16107.45"/>
    <n v="5280.87"/>
    <n v="12478.47"/>
  </r>
  <r>
    <s v="2312"/>
    <s v="María Ramírez"/>
    <d v="1989-12-31T00:00:00"/>
    <n v="36"/>
    <x v="1"/>
    <x v="4"/>
    <d v="2024-03-10T00:00:00"/>
    <d v="2024-05-12T00:00:00"/>
    <n v="37"/>
    <x v="1"/>
    <n v="10"/>
    <n v="7"/>
    <n v="11276.41"/>
    <n v="12763.8"/>
    <n v="11966.87"/>
  </r>
  <r>
    <s v="2313"/>
    <s v="Miguel Pérez"/>
    <d v="1959-01-01T00:00:00"/>
    <n v="67"/>
    <x v="0"/>
    <x v="4"/>
    <d v="2023-02-15T00:00:00"/>
    <d v="2023-04-15T00:00:00"/>
    <n v="19"/>
    <x v="1"/>
    <n v="9"/>
    <n v="2"/>
    <n v="1739.84"/>
    <n v="8621.4500000000007"/>
    <n v="6658.79"/>
  </r>
  <r>
    <s v="2314"/>
    <s v="José Ramírez"/>
    <d v="1976-12-31T00:00:00"/>
    <n v="49"/>
    <x v="1"/>
    <x v="2"/>
    <d v="2024-12-29T00:00:00"/>
    <d v="2023-11-14T00:00:00"/>
    <n v="24"/>
    <x v="0"/>
    <n v="7"/>
    <n v="8"/>
    <n v="13671.39"/>
    <n v="1809.2"/>
    <n v="6475.63"/>
  </r>
  <r>
    <s v="2315"/>
    <s v="Ricardo Sánchez"/>
    <d v="2003-01-01T00:00:00"/>
    <n v="23"/>
    <x v="0"/>
    <x v="5"/>
    <d v="2023-02-24T00:00:00"/>
    <d v="2024-12-08T00:00:00"/>
    <n v="5"/>
    <x v="0"/>
    <n v="2"/>
    <n v="4"/>
    <n v="7975.88"/>
    <n v="6052.74"/>
    <n v="17456.310000000001"/>
  </r>
  <r>
    <s v="2316"/>
    <s v="Luisa Hernández"/>
    <d v="2008-01-01T00:00:00"/>
    <n v="18"/>
    <x v="0"/>
    <x v="3"/>
    <d v="2023-03-19T00:00:00"/>
    <d v="2025-02-07T00:00:00"/>
    <n v="37"/>
    <x v="0"/>
    <n v="10"/>
    <n v="6"/>
    <n v="1836.7"/>
    <n v="11948.31"/>
    <n v="10833.69"/>
  </r>
  <r>
    <s v="2317"/>
    <s v="Sofía Rodríguez"/>
    <d v="1967-01-01T00:00:00"/>
    <n v="59"/>
    <x v="1"/>
    <x v="1"/>
    <d v="2024-05-05T00:00:00"/>
    <d v="2024-08-11T00:00:00"/>
    <n v="28"/>
    <x v="0"/>
    <n v="1"/>
    <n v="6"/>
    <n v="19946.849999999999"/>
    <n v="14099.97"/>
    <n v="5371.91"/>
  </r>
  <r>
    <s v="2318"/>
    <s v="Carmen Hernández"/>
    <d v="1988-01-01T00:00:00"/>
    <n v="38"/>
    <x v="1"/>
    <x v="6"/>
    <d v="2024-11-01T00:00:00"/>
    <d v="2025-02-22T00:00:00"/>
    <n v="2"/>
    <x v="0"/>
    <n v="5"/>
    <n v="8"/>
    <n v="29308.77"/>
    <n v="9216.42"/>
    <n v="10818.74"/>
  </r>
  <r>
    <s v="2319"/>
    <s v="Ana Gómez"/>
    <d v="1952-12-31T00:00:00"/>
    <n v="73"/>
    <x v="2"/>
    <x v="1"/>
    <d v="2023-09-29T00:00:00"/>
    <d v="2023-07-01T00:00:00"/>
    <n v="36"/>
    <x v="0"/>
    <n v="4"/>
    <n v="1"/>
    <n v="11056.89"/>
    <n v="5913.21"/>
    <n v="5262.09"/>
  </r>
  <r>
    <s v="2320"/>
    <s v="Juan Pérez"/>
    <d v="1937-12-31T00:00:00"/>
    <n v="88"/>
    <x v="1"/>
    <x v="6"/>
    <d v="2024-10-21T00:00:00"/>
    <d v="2023-05-13T00:00:00"/>
    <n v="31"/>
    <x v="1"/>
    <n v="3"/>
    <n v="3"/>
    <n v="8566.58"/>
    <n v="3779.74"/>
    <n v="3624.51"/>
  </r>
  <r>
    <s v="2321"/>
    <s v="Carmen Morales"/>
    <d v="2008-12-31T00:00:00"/>
    <n v="17"/>
    <x v="1"/>
    <x v="4"/>
    <d v="2024-07-03T00:00:00"/>
    <d v="2024-10-25T00:00:00"/>
    <n v="21"/>
    <x v="0"/>
    <n v="13"/>
    <n v="7"/>
    <n v="2243.79"/>
    <n v="6330.36"/>
    <n v="5571.75"/>
  </r>
  <r>
    <s v="2322"/>
    <s v="Carlos López"/>
    <d v="2008-01-01T00:00:00"/>
    <n v="18"/>
    <x v="1"/>
    <x v="5"/>
    <d v="2023-04-21T00:00:00"/>
    <d v="2023-06-05T00:00:00"/>
    <n v="25"/>
    <x v="0"/>
    <n v="13"/>
    <n v="4"/>
    <n v="6305.93"/>
    <n v="8484.82"/>
    <n v="12540.74"/>
  </r>
  <r>
    <s v="2323"/>
    <s v="María Pérez"/>
    <d v="1991-01-01T00:00:00"/>
    <n v="35"/>
    <x v="2"/>
    <x v="3"/>
    <d v="2023-01-15T00:00:00"/>
    <d v="2023-12-26T00:00:00"/>
    <n v="1"/>
    <x v="2"/>
    <n v="8"/>
    <n v="4"/>
    <n v="0"/>
    <n v="66.25"/>
    <n v="10268.34"/>
  </r>
  <r>
    <s v="2324"/>
    <s v="Ana Ramírez"/>
    <d v="1971-01-01T00:00:00"/>
    <n v="73"/>
    <x v="2"/>
    <x v="3"/>
    <d v="2023-03-19T00:00:00"/>
    <d v="2023-08-24T00:00:00"/>
    <n v="15"/>
    <x v="0"/>
    <n v="5"/>
    <n v="2"/>
    <n v="9997.36"/>
    <n v="4030.17"/>
    <n v="3206.46"/>
  </r>
  <r>
    <s v="2325"/>
    <s v="Miguel Hernández"/>
    <d v="1972-01-01T00:00:00"/>
    <n v="54"/>
    <x v="0"/>
    <x v="3"/>
    <d v="2024-05-15T00:00:00"/>
    <d v="2025-01-30T00:00:00"/>
    <n v="26"/>
    <x v="0"/>
    <n v="3"/>
    <n v="4"/>
    <n v="18835.990000000002"/>
    <n v="10072.74"/>
    <n v="18149.05"/>
  </r>
  <r>
    <s v="2326"/>
    <s v="José Cruz"/>
    <d v="1957-12-31T00:00:00"/>
    <n v="68"/>
    <x v="0"/>
    <x v="2"/>
    <d v="2024-08-10T00:00:00"/>
    <d v="2023-06-15T00:00:00"/>
    <n v="20"/>
    <x v="2"/>
    <n v="7"/>
    <n v="6"/>
    <n v="3003.62"/>
    <n v="10098.44"/>
    <n v="9915.75"/>
  </r>
  <r>
    <s v="2327"/>
    <s v="Ricardo Gómez"/>
    <d v="1980-01-01T00:00:00"/>
    <n v="46"/>
    <x v="1"/>
    <x v="5"/>
    <d v="2024-02-22T00:00:00"/>
    <d v="2024-12-18T00:00:00"/>
    <n v="34"/>
    <x v="1"/>
    <n v="10"/>
    <n v="3"/>
    <n v="1281.93"/>
    <n v="9795.1"/>
    <n v="15853.88"/>
  </r>
  <r>
    <s v="2328"/>
    <s v="Ana Martínez"/>
    <d v="1977-12-31T00:00:00"/>
    <n v="48"/>
    <x v="2"/>
    <x v="6"/>
    <d v="2023-10-02T00:00:00"/>
    <d v="2024-03-03T00:00:00"/>
    <n v="24"/>
    <x v="2"/>
    <n v="2"/>
    <n v="7"/>
    <n v="27882.75"/>
    <n v="14249.14"/>
    <n v="6546.84"/>
  </r>
  <r>
    <s v="2329"/>
    <s v="Juan Sánchez"/>
    <d v="1993-12-31T00:00:00"/>
    <n v="32"/>
    <x v="1"/>
    <x v="3"/>
    <d v="2024-05-08T00:00:00"/>
    <d v="2024-11-08T00:00:00"/>
    <n v="13"/>
    <x v="1"/>
    <n v="1"/>
    <n v="5"/>
    <n v="23875.26"/>
    <n v="8528.18"/>
    <n v="19146.939999999999"/>
  </r>
  <r>
    <s v="2330"/>
    <s v="Pedro Hernández"/>
    <d v="2005-12-31T00:00:00"/>
    <n v="20"/>
    <x v="1"/>
    <x v="5"/>
    <d v="2023-07-16T00:00:00"/>
    <d v="2024-05-03T00:00:00"/>
    <n v="24"/>
    <x v="0"/>
    <n v="8"/>
    <n v="5"/>
    <n v="7985.77"/>
    <n v="4045.92"/>
    <n v="15017.07"/>
  </r>
  <r>
    <s v="2331"/>
    <s v="Jorge Martínez"/>
    <d v="1945-12-31T00:00:00"/>
    <n v="80"/>
    <x v="1"/>
    <x v="1"/>
    <d v="2024-01-11T00:00:00"/>
    <d v="2023-08-02T00:00:00"/>
    <n v="6"/>
    <x v="2"/>
    <n v="10"/>
    <n v="5"/>
    <n v="18983.16"/>
    <n v="12174.19"/>
    <n v="9035.59"/>
  </r>
  <r>
    <s v="2332"/>
    <s v="Pedro Rodríguez"/>
    <d v="2004-12-31T00:00:00"/>
    <n v="21"/>
    <x v="0"/>
    <x v="6"/>
    <d v="2023-03-04T00:00:00"/>
    <d v="2025-02-05T00:00:00"/>
    <n v="2"/>
    <x v="2"/>
    <n v="3"/>
    <n v="3"/>
    <n v="17571.009999999998"/>
    <n v="5840.66"/>
    <n v="18036.09"/>
  </r>
  <r>
    <s v="2333"/>
    <s v="Carlos Gómez"/>
    <d v="1979-01-01T00:00:00"/>
    <n v="47"/>
    <x v="0"/>
    <x v="4"/>
    <d v="2023-12-27T00:00:00"/>
    <d v="2023-06-07T00:00:00"/>
    <n v="5"/>
    <x v="2"/>
    <n v="1"/>
    <n v="2"/>
    <n v="22161.82"/>
    <n v="3589.36"/>
    <n v="14321.08"/>
  </r>
  <r>
    <s v="2334"/>
    <s v="Luis Rodríguez"/>
    <d v="1989-12-31T00:00:00"/>
    <n v="36"/>
    <x v="1"/>
    <x v="2"/>
    <d v="2024-06-27T00:00:00"/>
    <d v="2024-11-20T00:00:00"/>
    <n v="15"/>
    <x v="1"/>
    <n v="10"/>
    <n v="9"/>
    <n v="25708.48"/>
    <n v="8351.24"/>
    <n v="8553.6200000000008"/>
  </r>
  <r>
    <s v="2335"/>
    <s v="Carlos Hernández"/>
    <d v="2012-01-01T00:00:00"/>
    <n v="14"/>
    <x v="2"/>
    <x v="0"/>
    <d v="2023-04-20T00:00:00"/>
    <d v="2023-03-17T00:00:00"/>
    <n v="32"/>
    <x v="1"/>
    <n v="11"/>
    <n v="5"/>
    <n v="10411.44"/>
    <n v="4335.5200000000004"/>
    <n v="19480.169999999998"/>
  </r>
  <r>
    <s v="2336"/>
    <s v="Pedro Gómez"/>
    <d v="2006-01-01T00:00:00"/>
    <n v="34"/>
    <x v="1"/>
    <x v="6"/>
    <d v="2024-11-07T00:00:00"/>
    <d v="2024-03-11T00:00:00"/>
    <n v="3"/>
    <x v="0"/>
    <n v="1"/>
    <n v="5"/>
    <n v="19655.38"/>
    <n v="5942.4"/>
    <n v="5900.72"/>
  </r>
  <r>
    <s v="2337"/>
    <s v="Ana Ramírez"/>
    <d v="1935-01-01T00:00:00"/>
    <n v="91"/>
    <x v="1"/>
    <x v="4"/>
    <d v="2023-07-13T00:00:00"/>
    <d v="2023-06-28T00:00:00"/>
    <n v="20"/>
    <x v="0"/>
    <n v="1"/>
    <n v="1"/>
    <n v="23962.25"/>
    <n v="10397.36"/>
    <n v="5057.07"/>
  </r>
  <r>
    <s v="2338"/>
    <s v="Juan Pérez"/>
    <d v="1956-01-01T00:00:00"/>
    <n v="70"/>
    <x v="1"/>
    <x v="4"/>
    <d v="2024-06-02T00:00:00"/>
    <d v="2025-03-07T00:00:00"/>
    <n v="23"/>
    <x v="0"/>
    <n v="1"/>
    <n v="9"/>
    <n v="20828.48"/>
    <n v="14939.22"/>
    <n v="17882.59"/>
  </r>
  <r>
    <s v="2339"/>
    <s v="Jorge Morales"/>
    <d v="1995-01-01T00:00:00"/>
    <n v="31"/>
    <x v="0"/>
    <x v="4"/>
    <d v="2024-10-12T00:00:00"/>
    <d v="2025-04-22T00:00:00"/>
    <n v="36"/>
    <x v="1"/>
    <n v="6"/>
    <n v="8"/>
    <n v="27625.14"/>
    <n v="9670.9699999999993"/>
    <n v="14118.17"/>
  </r>
  <r>
    <s v="2340"/>
    <s v="Luisa Ramírez"/>
    <d v="2016-01-01T00:00:00"/>
    <n v="10"/>
    <x v="0"/>
    <x v="1"/>
    <d v="2024-04-03T00:00:00"/>
    <d v="2024-10-07T00:00:00"/>
    <n v="21"/>
    <x v="0"/>
    <n v="0"/>
    <n v="3"/>
    <n v="14587.97"/>
    <n v="4147.2"/>
    <n v="6844.75"/>
  </r>
  <r>
    <s v="2341"/>
    <s v="Juan Pérez"/>
    <d v="2016-12-31T00:00:00"/>
    <n v="44"/>
    <x v="1"/>
    <x v="6"/>
    <d v="2023-10-28T00:00:00"/>
    <d v="2024-09-29T00:00:00"/>
    <n v="7"/>
    <x v="2"/>
    <n v="7"/>
    <n v="3"/>
    <n v="23980.54"/>
    <n v="1356.98"/>
    <n v="4559.2299999999996"/>
  </r>
  <r>
    <s v="2342"/>
    <s v="Ana Martínez"/>
    <d v="1953-12-31T00:00:00"/>
    <n v="72"/>
    <x v="0"/>
    <x v="6"/>
    <d v="2024-07-21T00:00:00"/>
    <d v="2023-11-09T00:00:00"/>
    <n v="12"/>
    <x v="2"/>
    <n v="5"/>
    <n v="9"/>
    <n v="27247.11"/>
    <n v="5429.51"/>
    <n v="3478.57"/>
  </r>
  <r>
    <s v="2343"/>
    <s v="Luis López"/>
    <d v="1948-12-31T00:00:00"/>
    <n v="77"/>
    <x v="1"/>
    <x v="0"/>
    <d v="2024-11-02T00:00:00"/>
    <d v="2025-04-12T00:00:00"/>
    <n v="35"/>
    <x v="2"/>
    <n v="12"/>
    <n v="7"/>
    <n v="0"/>
    <n v="289.66000000000003"/>
    <n v="6201.28"/>
  </r>
  <r>
    <s v="2344"/>
    <s v="Pedro Ramírez"/>
    <d v="1939-01-01T00:00:00"/>
    <n v="76"/>
    <x v="0"/>
    <x v="3"/>
    <d v="2024-05-10T00:00:00"/>
    <d v="2023-05-08T00:00:00"/>
    <n v="17"/>
    <x v="0"/>
    <n v="9"/>
    <n v="2"/>
    <n v="27.45"/>
    <n v="6971.32"/>
    <n v="2423.35"/>
  </r>
  <r>
    <s v="2345"/>
    <s v="Sofía Ramírez"/>
    <d v="1969-12-31T00:00:00"/>
    <n v="56"/>
    <x v="2"/>
    <x v="1"/>
    <d v="2023-05-29T00:00:00"/>
    <d v="2024-01-13T00:00:00"/>
    <n v="26"/>
    <x v="2"/>
    <n v="1"/>
    <n v="9"/>
    <n v="0"/>
    <n v="9899.76"/>
    <n v="2821.5"/>
  </r>
  <r>
    <s v="2346"/>
    <s v="Laura Morales"/>
    <d v="2001-12-31T00:00:00"/>
    <n v="24"/>
    <x v="1"/>
    <x v="4"/>
    <d v="2024-04-05T00:00:00"/>
    <d v="2023-12-12T00:00:00"/>
    <n v="3"/>
    <x v="2"/>
    <n v="7"/>
    <n v="6"/>
    <n v="25304.04"/>
    <n v="7676.94"/>
    <n v="15510.15"/>
  </r>
  <r>
    <s v="2347"/>
    <s v="Juan Ramírez"/>
    <d v="2024-12-31T00:00:00"/>
    <n v="1"/>
    <x v="0"/>
    <x v="0"/>
    <d v="2023-05-19T00:00:00"/>
    <d v="2023-08-14T00:00:00"/>
    <n v="6"/>
    <x v="1"/>
    <n v="2"/>
    <n v="6"/>
    <n v="11695.45"/>
    <n v="12979.23"/>
    <n v="1181.58"/>
  </r>
  <r>
    <s v="2348"/>
    <s v="Juan Ramírez"/>
    <d v="1963-01-01T00:00:00"/>
    <n v="63"/>
    <x v="0"/>
    <x v="6"/>
    <d v="2023-10-19T00:00:00"/>
    <d v="2023-01-18T00:00:00"/>
    <n v="2"/>
    <x v="1"/>
    <n v="5"/>
    <n v="1"/>
    <n v="6486.88"/>
    <n v="7410.75"/>
    <n v="8729.69"/>
  </r>
  <r>
    <s v="2349"/>
    <s v="Miguel Sánchez"/>
    <d v="1992-01-01T00:00:00"/>
    <n v="34"/>
    <x v="1"/>
    <x v="1"/>
    <d v="2023-12-01T00:00:00"/>
    <d v="2024-05-12T00:00:00"/>
    <n v="36"/>
    <x v="0"/>
    <n v="13"/>
    <n v="2"/>
    <n v="29333.55"/>
    <n v="6935.7"/>
    <n v="8040.48"/>
  </r>
  <r>
    <s v="2350"/>
    <s v="Carmen Cruz"/>
    <d v="2020-01-01T00:00:00"/>
    <n v="6"/>
    <x v="0"/>
    <x v="2"/>
    <d v="2024-11-29T00:00:00"/>
    <d v="2024-04-18T00:00:00"/>
    <n v="16"/>
    <x v="1"/>
    <n v="1"/>
    <n v="3"/>
    <n v="16324.52"/>
    <n v="4645.16"/>
    <n v="19199.84"/>
  </r>
  <r>
    <s v="2351"/>
    <s v="Jorge Rodríguez"/>
    <d v="1941-12-31T00:00:00"/>
    <n v="84"/>
    <x v="0"/>
    <x v="6"/>
    <d v="2023-07-03T00:00:00"/>
    <d v="2025-05-15T00:00:00"/>
    <n v="2"/>
    <x v="0"/>
    <n v="3"/>
    <n v="1"/>
    <n v="15243.48"/>
    <n v="12564.21"/>
    <n v="9257.39"/>
  </r>
  <r>
    <s v="2352"/>
    <s v="Laura López"/>
    <d v="1990-01-01T00:00:00"/>
    <n v="17"/>
    <x v="1"/>
    <x v="2"/>
    <d v="2023-11-03T00:00:00"/>
    <d v="2023-11-08T00:00:00"/>
    <n v="17"/>
    <x v="0"/>
    <n v="11"/>
    <n v="8"/>
    <n v="28355.27"/>
    <n v="13553.98"/>
    <n v="3133.19"/>
  </r>
  <r>
    <s v="2353"/>
    <s v="Ana Cruz"/>
    <d v="1960-01-01T00:00:00"/>
    <n v="66"/>
    <x v="1"/>
    <x v="5"/>
    <d v="2023-09-19T00:00:00"/>
    <d v="2025-01-28T00:00:00"/>
    <n v="8"/>
    <x v="0"/>
    <n v="2"/>
    <n v="9"/>
    <n v="11946.96"/>
    <n v="14668.78"/>
    <n v="1676.93"/>
  </r>
  <r>
    <s v="2354"/>
    <s v="Elena Ramírez"/>
    <d v="1984-12-31T00:00:00"/>
    <n v="41"/>
    <x v="1"/>
    <x v="2"/>
    <d v="2023-11-06T00:00:00"/>
    <d v="2023-05-18T00:00:00"/>
    <n v="24"/>
    <x v="0"/>
    <n v="11"/>
    <n v="5"/>
    <n v="25368.15"/>
    <n v="14718.13"/>
    <n v="14622.02"/>
  </r>
  <r>
    <s v="2355"/>
    <s v="Carlos Morales"/>
    <d v="1988-01-01T00:00:00"/>
    <n v="38"/>
    <x v="0"/>
    <x v="6"/>
    <d v="2023-12-10T00:00:00"/>
    <d v="2024-04-20T00:00:00"/>
    <n v="26"/>
    <x v="0"/>
    <n v="4"/>
    <n v="0"/>
    <n v="20869.86"/>
    <n v="14706.35"/>
    <n v="2869.5"/>
  </r>
  <r>
    <s v="2356"/>
    <s v="Luis Ramírez"/>
    <d v="1985-12-31T00:00:00"/>
    <n v="40"/>
    <x v="0"/>
    <x v="0"/>
    <d v="2024-02-28T00:00:00"/>
    <d v="2023-08-06T00:00:00"/>
    <n v="4"/>
    <x v="1"/>
    <n v="10"/>
    <n v="0"/>
    <n v="29015.32"/>
    <n v="10679.38"/>
    <n v="18753.46"/>
  </r>
  <r>
    <s v="2357"/>
    <s v="Pedro Pérez"/>
    <d v="1952-01-01T00:00:00"/>
    <n v="74"/>
    <x v="0"/>
    <x v="6"/>
    <d v="2024-10-18T00:00:00"/>
    <d v="2023-07-16T00:00:00"/>
    <n v="0"/>
    <x v="1"/>
    <n v="11"/>
    <n v="7"/>
    <n v="12573.85"/>
    <n v="8439.7900000000009"/>
    <n v="11140.19"/>
  </r>
  <r>
    <s v="2358"/>
    <s v="Jorge Gómez"/>
    <d v="2003-01-01T00:00:00"/>
    <n v="23"/>
    <x v="1"/>
    <x v="6"/>
    <d v="2024-05-28T00:00:00"/>
    <d v="2023-07-21T00:00:00"/>
    <n v="2"/>
    <x v="0"/>
    <n v="7"/>
    <n v="5"/>
    <n v="27182.59"/>
    <n v="2585.17"/>
    <n v="7974.1"/>
  </r>
  <r>
    <s v="2359"/>
    <s v="Luisa Gómez"/>
    <d v="1967-01-01T00:00:00"/>
    <n v="59"/>
    <x v="1"/>
    <x v="5"/>
    <d v="2024-06-07T00:00:00"/>
    <d v="2024-01-02T00:00:00"/>
    <n v="10"/>
    <x v="0"/>
    <n v="13"/>
    <n v="9"/>
    <n v="16850.86"/>
    <n v="11505.95"/>
    <n v="13655.09"/>
  </r>
  <r>
    <s v="2360"/>
    <s v="Luisa Cruz"/>
    <d v="1980-12-31T00:00:00"/>
    <n v="45"/>
    <x v="1"/>
    <x v="4"/>
    <d v="2023-09-18T00:00:00"/>
    <d v="2024-12-20T00:00:00"/>
    <n v="13"/>
    <x v="0"/>
    <n v="3"/>
    <n v="6"/>
    <n v="14014.23"/>
    <n v="11023.2"/>
    <n v="3898.45"/>
  </r>
  <r>
    <s v="2361"/>
    <s v="Carmen Gómez"/>
    <d v="2008-01-01T00:00:00"/>
    <n v="18"/>
    <x v="0"/>
    <x v="3"/>
    <d v="2023-12-28T00:00:00"/>
    <d v="2024-06-12T00:00:00"/>
    <n v="9"/>
    <x v="0"/>
    <n v="13"/>
    <n v="5"/>
    <n v="8822.74"/>
    <n v="12636.03"/>
    <n v="7583.38"/>
  </r>
  <r>
    <s v="2362"/>
    <s v="Luisa López"/>
    <d v="1959-01-01T00:00:00"/>
    <n v="67"/>
    <x v="2"/>
    <x v="6"/>
    <d v="2023-06-18T00:00:00"/>
    <d v="2024-02-05T00:00:00"/>
    <n v="36"/>
    <x v="2"/>
    <n v="1"/>
    <n v="1"/>
    <n v="16357.29"/>
    <n v="6936.77"/>
    <n v="571.62"/>
  </r>
  <r>
    <s v="2363"/>
    <s v="Carmen Gómez"/>
    <d v="1936-12-31T00:00:00"/>
    <n v="89"/>
    <x v="0"/>
    <x v="5"/>
    <d v="2024-10-21T00:00:00"/>
    <d v="2024-06-09T00:00:00"/>
    <n v="24"/>
    <x v="2"/>
    <n v="11"/>
    <n v="2"/>
    <n v="16962.830000000002"/>
    <n v="13386.32"/>
    <n v="17541.330000000002"/>
  </r>
  <r>
    <s v="2364"/>
    <s v="Elena Ramírez"/>
    <d v="1984-12-31T00:00:00"/>
    <n v="41"/>
    <x v="1"/>
    <x v="0"/>
    <d v="2023-07-19T00:00:00"/>
    <d v="2024-08-13T00:00:00"/>
    <n v="30"/>
    <x v="0"/>
    <n v="3"/>
    <n v="7"/>
    <n v="26900.93"/>
    <n v="10780.12"/>
    <n v="8447.67"/>
  </r>
  <r>
    <s v="2365"/>
    <s v="Elena Martínez"/>
    <d v="1995-01-01T00:00:00"/>
    <n v="31"/>
    <x v="0"/>
    <x v="5"/>
    <d v="2024-01-20T00:00:00"/>
    <d v="2023-08-03T00:00:00"/>
    <n v="12"/>
    <x v="1"/>
    <n v="3"/>
    <n v="3"/>
    <n v="20973.89"/>
    <n v="2566.88"/>
    <n v="15152.39"/>
  </r>
  <r>
    <s v="2366"/>
    <s v="Juan Martínez"/>
    <d v="1988-01-01T00:00:00"/>
    <n v="38"/>
    <x v="0"/>
    <x v="5"/>
    <d v="2023-11-08T00:00:00"/>
    <d v="2023-12-08T00:00:00"/>
    <n v="18"/>
    <x v="2"/>
    <n v="7"/>
    <n v="7"/>
    <n v="24707.45"/>
    <n v="3103.55"/>
    <n v="18328.78"/>
  </r>
  <r>
    <s v="2367"/>
    <s v="Jorge Rodríguez"/>
    <d v="1991-01-01T00:00:00"/>
    <n v="38"/>
    <x v="1"/>
    <x v="2"/>
    <d v="2024-08-04T00:00:00"/>
    <d v="2023-11-26T00:00:00"/>
    <n v="14"/>
    <x v="2"/>
    <n v="6"/>
    <n v="2"/>
    <n v="22958.47"/>
    <n v="12213.98"/>
    <n v="13021.14"/>
  </r>
  <r>
    <s v="2368"/>
    <s v="Luisa Hernández"/>
    <d v="1991-01-01T00:00:00"/>
    <n v="35"/>
    <x v="0"/>
    <x v="3"/>
    <d v="2023-11-08T00:00:00"/>
    <d v="2023-04-30T00:00:00"/>
    <n v="34"/>
    <x v="0"/>
    <n v="3"/>
    <n v="1"/>
    <n v="7937.72"/>
    <n v="6385.4"/>
    <n v="7452.51"/>
  </r>
  <r>
    <s v="2369"/>
    <s v="Pedro Martínez"/>
    <d v="2024-01-01T00:00:00"/>
    <n v="2"/>
    <x v="1"/>
    <x v="3"/>
    <d v="2024-07-19T00:00:00"/>
    <d v="2024-03-01T00:00:00"/>
    <n v="12"/>
    <x v="0"/>
    <n v="3"/>
    <n v="6"/>
    <n v="5776.83"/>
    <n v="3735.19"/>
    <n v="12352.52"/>
  </r>
  <r>
    <s v="2370"/>
    <s v="María Cruz"/>
    <d v="1953-12-31T00:00:00"/>
    <n v="72"/>
    <x v="1"/>
    <x v="1"/>
    <d v="2024-01-30T00:00:00"/>
    <d v="2024-11-24T00:00:00"/>
    <n v="17"/>
    <x v="2"/>
    <n v="13"/>
    <n v="0"/>
    <n v="7383.68"/>
    <n v="6338.65"/>
    <n v="7142.65"/>
  </r>
  <r>
    <s v="2371"/>
    <s v="Ricardo Sánchez"/>
    <d v="2019-01-01T00:00:00"/>
    <n v="7"/>
    <x v="1"/>
    <x v="4"/>
    <d v="2023-12-17T00:00:00"/>
    <d v="2025-04-16T00:00:00"/>
    <n v="16"/>
    <x v="1"/>
    <n v="12"/>
    <n v="2"/>
    <n v="3970.67"/>
    <n v="2420.67"/>
    <n v="11303.01"/>
  </r>
  <r>
    <s v="2372"/>
    <s v="José Morales"/>
    <d v="2005-01-01T00:00:00"/>
    <n v="69"/>
    <x v="1"/>
    <x v="0"/>
    <d v="2023-01-28T00:00:00"/>
    <d v="2025-04-22T00:00:00"/>
    <n v="2"/>
    <x v="0"/>
    <n v="0"/>
    <n v="1"/>
    <n v="11271.84"/>
    <n v="13376.05"/>
    <n v="8586.52"/>
  </r>
  <r>
    <s v="2373"/>
    <s v="Luisa Cruz"/>
    <d v="1985-12-31T00:00:00"/>
    <n v="40"/>
    <x v="1"/>
    <x v="1"/>
    <d v="2024-09-23T00:00:00"/>
    <d v="2025-05-17T00:00:00"/>
    <n v="1"/>
    <x v="2"/>
    <n v="14"/>
    <n v="4"/>
    <n v="19443.97"/>
    <n v="1073.0899999999999"/>
    <n v="2912.36"/>
  </r>
  <r>
    <s v="2374"/>
    <s v="Luisa Rodríguez"/>
    <d v="1959-01-01T00:00:00"/>
    <n v="67"/>
    <x v="1"/>
    <x v="4"/>
    <d v="2023-05-13T00:00:00"/>
    <d v="2024-01-09T00:00:00"/>
    <n v="0"/>
    <x v="0"/>
    <n v="7"/>
    <n v="1"/>
    <n v="15877.81"/>
    <n v="5298.62"/>
    <n v="15580.03"/>
  </r>
  <r>
    <s v="2375"/>
    <s v="José Ramírez"/>
    <d v="2013-12-31T00:00:00"/>
    <n v="12"/>
    <x v="1"/>
    <x v="4"/>
    <d v="2024-01-15T00:00:00"/>
    <d v="2024-10-11T00:00:00"/>
    <n v="5"/>
    <x v="2"/>
    <n v="12"/>
    <n v="9"/>
    <n v="0"/>
    <n v="8353.93"/>
    <n v="9878.02"/>
  </r>
  <r>
    <s v="2376"/>
    <s v="María Rodríguez"/>
    <d v="1977-12-31T00:00:00"/>
    <n v="48"/>
    <x v="0"/>
    <x v="5"/>
    <d v="2024-08-24T00:00:00"/>
    <d v="2023-06-29T00:00:00"/>
    <n v="38"/>
    <x v="2"/>
    <n v="9"/>
    <n v="4"/>
    <n v="10361"/>
    <n v="13104.68"/>
    <n v="3721.87"/>
  </r>
  <r>
    <s v="2377"/>
    <s v="Ana Morales"/>
    <d v="1967-01-01T00:00:00"/>
    <n v="59"/>
    <x v="2"/>
    <x v="0"/>
    <d v="2024-06-11T00:00:00"/>
    <d v="2024-03-08T00:00:00"/>
    <n v="2"/>
    <x v="0"/>
    <n v="13"/>
    <n v="2"/>
    <n v="5760.97"/>
    <n v="11723.23"/>
    <n v="17825.78"/>
  </r>
  <r>
    <s v="2378"/>
    <s v="José Pérez"/>
    <d v="2024-12-31T00:00:00"/>
    <n v="1"/>
    <x v="0"/>
    <x v="4"/>
    <d v="2023-10-14T00:00:00"/>
    <d v="2024-12-21T00:00:00"/>
    <n v="6"/>
    <x v="1"/>
    <n v="2"/>
    <n v="8"/>
    <n v="5684.12"/>
    <n v="336.35"/>
    <n v="17049.7"/>
  </r>
  <r>
    <s v="2379"/>
    <s v="Sofía Martínez"/>
    <d v="1967-01-01T00:00:00"/>
    <n v="59"/>
    <x v="1"/>
    <x v="0"/>
    <d v="2023-10-11T00:00:00"/>
    <d v="2024-02-07T00:00:00"/>
    <n v="2"/>
    <x v="1"/>
    <n v="5"/>
    <n v="9"/>
    <n v="17826.310000000001"/>
    <n v="12378.72"/>
    <n v="11132.41"/>
  </r>
  <r>
    <s v="2380"/>
    <s v="Elena Ramírez"/>
    <d v="2021-12-31T00:00:00"/>
    <n v="4"/>
    <x v="1"/>
    <x v="3"/>
    <d v="2024-10-10T00:00:00"/>
    <d v="2024-01-30T00:00:00"/>
    <n v="27"/>
    <x v="0"/>
    <n v="8"/>
    <n v="8"/>
    <n v="4510.99"/>
    <n v="9571.7999999999993"/>
    <n v="19403.41"/>
  </r>
  <r>
    <s v="2381"/>
    <s v="Sofía Cruz"/>
    <d v="1983-01-01T00:00:00"/>
    <n v="43"/>
    <x v="1"/>
    <x v="3"/>
    <d v="2023-08-15T00:00:00"/>
    <d v="2025-06-02T00:00:00"/>
    <n v="4"/>
    <x v="2"/>
    <n v="4"/>
    <n v="7"/>
    <n v="11613.6"/>
    <n v="2000.23"/>
    <n v="18536.12"/>
  </r>
  <r>
    <s v="2382"/>
    <s v="Juan Pérez"/>
    <d v="2000-01-01T00:00:00"/>
    <n v="26"/>
    <x v="1"/>
    <x v="3"/>
    <d v="2024-03-02T00:00:00"/>
    <d v="2024-07-20T00:00:00"/>
    <n v="19"/>
    <x v="0"/>
    <n v="12"/>
    <n v="4"/>
    <n v="5991.4"/>
    <n v="9262.16"/>
    <n v="17929.82"/>
  </r>
  <r>
    <s v="2383"/>
    <s v="Carlos Hernández"/>
    <d v="1995-01-01T00:00:00"/>
    <n v="31"/>
    <x v="0"/>
    <x v="6"/>
    <d v="2023-01-27T00:00:00"/>
    <d v="2023-03-21T00:00:00"/>
    <n v="17"/>
    <x v="0"/>
    <n v="3"/>
    <n v="9"/>
    <n v="19714.189999999999"/>
    <n v="12268.41"/>
    <n v="2579.16"/>
  </r>
  <r>
    <s v="2384"/>
    <s v="María Morales"/>
    <d v="2005-12-31T00:00:00"/>
    <n v="20"/>
    <x v="0"/>
    <x v="5"/>
    <d v="2023-11-28T00:00:00"/>
    <d v="2025-02-22T00:00:00"/>
    <n v="26"/>
    <x v="0"/>
    <n v="9"/>
    <n v="6"/>
    <n v="18270.34"/>
    <n v="9031.68"/>
    <n v="5822.05"/>
  </r>
  <r>
    <s v="2385"/>
    <s v="Jorge Pérez"/>
    <d v="2019-01-01T00:00:00"/>
    <n v="7"/>
    <x v="0"/>
    <x v="0"/>
    <d v="2023-04-27T00:00:00"/>
    <d v="2024-02-29T00:00:00"/>
    <n v="24"/>
    <x v="0"/>
    <n v="9"/>
    <n v="1"/>
    <n v="11124.31"/>
    <n v="14987.2"/>
    <n v="8144.82"/>
  </r>
  <r>
    <s v="2386"/>
    <s v="Juan Martínez"/>
    <d v="1955-01-01T00:00:00"/>
    <n v="71"/>
    <x v="0"/>
    <x v="5"/>
    <d v="2023-03-30T00:00:00"/>
    <d v="2023-04-29T00:00:00"/>
    <n v="22"/>
    <x v="1"/>
    <n v="3"/>
    <n v="2"/>
    <n v="3425.88"/>
    <n v="7605.05"/>
    <n v="16621.38"/>
  </r>
  <r>
    <s v="2387"/>
    <s v="Ana Pérez"/>
    <d v="1976-12-31T00:00:00"/>
    <n v="49"/>
    <x v="1"/>
    <x v="4"/>
    <d v="2024-09-10T00:00:00"/>
    <d v="2024-01-04T00:00:00"/>
    <n v="32"/>
    <x v="0"/>
    <n v="12"/>
    <n v="1"/>
    <n v="5960.41"/>
    <n v="10096.969999999999"/>
    <n v="17411.84"/>
  </r>
  <r>
    <s v="2388"/>
    <s v="Ana Rodríguez"/>
    <d v="1960-01-01T00:00:00"/>
    <n v="66"/>
    <x v="1"/>
    <x v="0"/>
    <d v="2023-05-02T00:00:00"/>
    <d v="2023-04-17T00:00:00"/>
    <n v="24"/>
    <x v="0"/>
    <n v="5"/>
    <n v="9"/>
    <n v="13902.38"/>
    <n v="1055.5999999999999"/>
    <n v="15004.85"/>
  </r>
  <r>
    <s v="2389"/>
    <s v="María Cruz"/>
    <d v="1983-01-01T00:00:00"/>
    <n v="43"/>
    <x v="0"/>
    <x v="0"/>
    <d v="2023-02-02T00:00:00"/>
    <d v="2023-04-16T00:00:00"/>
    <n v="8"/>
    <x v="0"/>
    <n v="12"/>
    <n v="0"/>
    <n v="29148.51"/>
    <n v="12197.97"/>
    <n v="9395.23"/>
  </r>
  <r>
    <s v="2390"/>
    <s v="Ricardo Pérez"/>
    <d v="1968-12-31T00:00:00"/>
    <n v="57"/>
    <x v="1"/>
    <x v="1"/>
    <d v="2024-08-25T00:00:00"/>
    <d v="2023-10-31T00:00:00"/>
    <n v="14"/>
    <x v="2"/>
    <n v="11"/>
    <n v="2"/>
    <n v="7758.63"/>
    <n v="9361.5499999999993"/>
    <n v="3154.21"/>
  </r>
  <r>
    <s v="2391"/>
    <s v="Luisa López"/>
    <d v="1942-01-01T00:00:00"/>
    <n v="2"/>
    <x v="1"/>
    <x v="0"/>
    <d v="2024-11-26T00:00:00"/>
    <d v="2024-09-22T00:00:00"/>
    <n v="28"/>
    <x v="0"/>
    <n v="0"/>
    <n v="3"/>
    <n v="5331.31"/>
    <n v="8418.64"/>
    <n v="607.44000000000005"/>
  </r>
  <r>
    <s v="2392"/>
    <s v="Luis Morales"/>
    <d v="1940-12-31T00:00:00"/>
    <n v="85"/>
    <x v="1"/>
    <x v="0"/>
    <d v="2024-02-02T00:00:00"/>
    <d v="2025-06-13T00:00:00"/>
    <n v="15"/>
    <x v="1"/>
    <n v="14"/>
    <n v="8"/>
    <n v="6230.84"/>
    <n v="10632.13"/>
    <n v="13955.98"/>
  </r>
  <r>
    <s v="2393"/>
    <s v="Luis Pérez"/>
    <d v="1956-12-31T00:00:00"/>
    <n v="69"/>
    <x v="1"/>
    <x v="2"/>
    <d v="2024-06-08T00:00:00"/>
    <d v="2025-01-11T00:00:00"/>
    <n v="16"/>
    <x v="1"/>
    <n v="7"/>
    <n v="1"/>
    <n v="21098.240000000002"/>
    <n v="8407.65"/>
    <n v="19882.5"/>
  </r>
  <r>
    <s v="2394"/>
    <s v="José Cruz"/>
    <d v="1985-01-01T00:00:00"/>
    <n v="1"/>
    <x v="1"/>
    <x v="2"/>
    <d v="2023-01-24T00:00:00"/>
    <d v="2023-05-29T00:00:00"/>
    <n v="35"/>
    <x v="1"/>
    <n v="0"/>
    <n v="8"/>
    <n v="27397.87"/>
    <n v="11496.77"/>
    <n v="6843.99"/>
  </r>
  <r>
    <s v="2395"/>
    <s v="María Ramírez"/>
    <d v="1988-01-01T00:00:00"/>
    <n v="86"/>
    <x v="0"/>
    <x v="1"/>
    <d v="2023-11-21T00:00:00"/>
    <d v="2025-05-16T00:00:00"/>
    <n v="26"/>
    <x v="2"/>
    <n v="7"/>
    <n v="0"/>
    <n v="1792.73"/>
    <n v="8752.73"/>
    <n v="11331.51"/>
  </r>
  <r>
    <s v="2396"/>
    <s v="José Martínez"/>
    <d v="1986-01-01T00:00:00"/>
    <n v="43"/>
    <x v="0"/>
    <x v="6"/>
    <d v="2023-02-03T00:00:00"/>
    <d v="2023-05-31T00:00:00"/>
    <n v="12"/>
    <x v="0"/>
    <n v="9"/>
    <n v="8"/>
    <n v="22353.3"/>
    <n v="7800.81"/>
    <n v="16192.7"/>
  </r>
  <r>
    <s v="2397"/>
    <s v="Ana López"/>
    <d v="2024-12-31T00:00:00"/>
    <n v="1"/>
    <x v="1"/>
    <x v="3"/>
    <d v="2023-09-04T00:00:00"/>
    <d v="2025-03-27T00:00:00"/>
    <n v="4"/>
    <x v="0"/>
    <n v="2"/>
    <n v="5"/>
    <n v="14585.5"/>
    <n v="2025.29"/>
    <n v="3648.28"/>
  </r>
  <r>
    <s v="2398"/>
    <s v="José López"/>
    <d v="1945-12-31T00:00:00"/>
    <n v="80"/>
    <x v="1"/>
    <x v="4"/>
    <d v="2023-01-19T00:00:00"/>
    <d v="2023-09-14T00:00:00"/>
    <n v="34"/>
    <x v="0"/>
    <n v="11"/>
    <n v="7"/>
    <n v="24668.31"/>
    <n v="7077.46"/>
    <n v="16574.099999999999"/>
  </r>
  <r>
    <s v="2399"/>
    <s v="Luis Hernández"/>
    <d v="1992-01-01T00:00:00"/>
    <n v="34"/>
    <x v="0"/>
    <x v="4"/>
    <d v="2023-01-30T00:00:00"/>
    <d v="2023-03-24T00:00:00"/>
    <n v="34"/>
    <x v="2"/>
    <n v="8"/>
    <n v="2"/>
    <n v="12355.91"/>
    <n v="8073.52"/>
    <n v="12469.4"/>
  </r>
  <r>
    <s v="2400"/>
    <s v="Luis Ramírez"/>
    <d v="1940-01-01T00:00:00"/>
    <n v="86"/>
    <x v="1"/>
    <x v="0"/>
    <d v="2023-02-18T00:00:00"/>
    <d v="2023-01-17T00:00:00"/>
    <n v="4"/>
    <x v="1"/>
    <n v="9"/>
    <n v="7"/>
    <n v="340.9"/>
    <n v="9368.61"/>
    <n v="11353.95"/>
  </r>
  <r>
    <s v="2401"/>
    <s v="Sofía Morales"/>
    <d v="1996-12-31T00:00:00"/>
    <n v="29"/>
    <x v="1"/>
    <x v="5"/>
    <d v="2023-06-29T00:00:00"/>
    <d v="2023-07-13T00:00:00"/>
    <n v="19"/>
    <x v="2"/>
    <n v="8"/>
    <n v="8"/>
    <n v="20325.29"/>
    <n v="6838.38"/>
    <n v="15221.86"/>
  </r>
  <r>
    <s v="2402"/>
    <s v="Luisa Ramírez"/>
    <d v="2019-01-01T00:00:00"/>
    <n v="7"/>
    <x v="1"/>
    <x v="4"/>
    <d v="2024-01-05T00:00:00"/>
    <d v="2024-12-24T00:00:00"/>
    <n v="9"/>
    <x v="0"/>
    <n v="4"/>
    <n v="6"/>
    <n v="24143.13"/>
    <n v="2199.65"/>
    <n v="4743.07"/>
  </r>
  <r>
    <s v="2403"/>
    <s v="Ana Pérez"/>
    <d v="2004-12-31T00:00:00"/>
    <n v="21"/>
    <x v="1"/>
    <x v="2"/>
    <d v="2024-01-30T00:00:00"/>
    <d v="2023-03-16T00:00:00"/>
    <n v="5"/>
    <x v="1"/>
    <n v="1"/>
    <n v="3"/>
    <n v="27011.64"/>
    <n v="2255.44"/>
    <n v="12257.09"/>
  </r>
  <r>
    <s v="2404"/>
    <s v="Ricardo Sánchez"/>
    <d v="1983-01-01T00:00:00"/>
    <n v="43"/>
    <x v="0"/>
    <x v="3"/>
    <d v="2024-08-12T00:00:00"/>
    <d v="2023-10-05T00:00:00"/>
    <n v="15"/>
    <x v="2"/>
    <n v="3"/>
    <n v="5"/>
    <n v="16856.060000000001"/>
    <n v="10814.82"/>
    <n v="4731.5600000000004"/>
  </r>
  <r>
    <s v="2405"/>
    <s v="Ana Pérez"/>
    <d v="1968-12-31T00:00:00"/>
    <n v="57"/>
    <x v="0"/>
    <x v="6"/>
    <d v="2024-05-10T00:00:00"/>
    <d v="2023-03-03T00:00:00"/>
    <n v="25"/>
    <x v="0"/>
    <n v="4"/>
    <n v="5"/>
    <n v="3222.48"/>
    <n v="9921.7099999999991"/>
    <n v="3508.66"/>
  </r>
  <r>
    <s v="2406"/>
    <s v="Luis Sánchez"/>
    <d v="1991-01-01T00:00:00"/>
    <n v="35"/>
    <x v="1"/>
    <x v="3"/>
    <d v="2024-03-06T00:00:00"/>
    <d v="2024-06-20T00:00:00"/>
    <n v="15"/>
    <x v="0"/>
    <n v="7"/>
    <n v="1"/>
    <n v="10779.96"/>
    <n v="3892.49"/>
    <n v="12429.43"/>
  </r>
  <r>
    <s v="2407"/>
    <s v="Ana Sánchez"/>
    <d v="1957-12-31T00:00:00"/>
    <n v="68"/>
    <x v="1"/>
    <x v="0"/>
    <d v="2023-07-26T00:00:00"/>
    <d v="2024-06-19T00:00:00"/>
    <n v="28"/>
    <x v="2"/>
    <n v="12"/>
    <n v="1"/>
    <n v="23419.63"/>
    <n v="6687.86"/>
    <n v="5312.55"/>
  </r>
  <r>
    <s v="2408"/>
    <s v="Pedro Rodríguez"/>
    <d v="1949-12-31T00:00:00"/>
    <n v="76"/>
    <x v="1"/>
    <x v="3"/>
    <d v="2023-02-04T00:00:00"/>
    <d v="2023-12-10T00:00:00"/>
    <n v="14"/>
    <x v="0"/>
    <n v="7"/>
    <n v="4"/>
    <n v="14579.6"/>
    <n v="4604.37"/>
    <n v="14259.02"/>
  </r>
  <r>
    <s v="2409"/>
    <s v="Sofía Rodríguez"/>
    <d v="1933-12-31T00:00:00"/>
    <n v="45"/>
    <x v="1"/>
    <x v="0"/>
    <d v="2024-08-05T00:00:00"/>
    <d v="2024-01-31T00:00:00"/>
    <n v="20"/>
    <x v="0"/>
    <n v="14"/>
    <n v="0"/>
    <n v="20826.96"/>
    <n v="2715.34"/>
    <n v="10241.16"/>
  </r>
  <r>
    <s v="2410"/>
    <s v="Juan Gómez"/>
    <d v="1996-01-01T00:00:00"/>
    <n v="30"/>
    <x v="2"/>
    <x v="1"/>
    <d v="2024-02-17T00:00:00"/>
    <d v="2023-09-16T00:00:00"/>
    <n v="8"/>
    <x v="0"/>
    <n v="7"/>
    <n v="4"/>
    <n v="356.96"/>
    <n v="4892.45"/>
    <n v="13868.57"/>
  </r>
  <r>
    <s v="2411"/>
    <s v="Laura Hernández"/>
    <d v="2019-01-01T00:00:00"/>
    <n v="46"/>
    <x v="0"/>
    <x v="2"/>
    <d v="2023-12-30T00:00:00"/>
    <d v="2023-07-18T00:00:00"/>
    <n v="12"/>
    <x v="1"/>
    <n v="12"/>
    <n v="9"/>
    <n v="1726.57"/>
    <n v="3940.34"/>
    <n v="17821.54"/>
  </r>
  <r>
    <s v="2412"/>
    <s v="Jorge Morales"/>
    <d v="1972-01-01T00:00:00"/>
    <n v="54"/>
    <x v="0"/>
    <x v="2"/>
    <d v="2023-11-06T00:00:00"/>
    <d v="2023-02-23T00:00:00"/>
    <n v="27"/>
    <x v="0"/>
    <n v="1"/>
    <n v="2"/>
    <n v="20275.490000000002"/>
    <n v="1236.4100000000001"/>
    <n v="2678.75"/>
  </r>
  <r>
    <s v="2413"/>
    <s v="María Hernández"/>
    <d v="1947-01-01T00:00:00"/>
    <n v="79"/>
    <x v="0"/>
    <x v="0"/>
    <d v="2023-10-06T00:00:00"/>
    <d v="2024-10-13T00:00:00"/>
    <n v="28"/>
    <x v="0"/>
    <n v="11"/>
    <n v="2"/>
    <n v="8351.16"/>
    <n v="7567.3"/>
    <n v="1241.45"/>
  </r>
  <r>
    <s v="2414"/>
    <s v="Ricardo Pérez"/>
    <d v="1964-12-31T00:00:00"/>
    <n v="61"/>
    <x v="0"/>
    <x v="5"/>
    <d v="2023-06-01T00:00:00"/>
    <d v="2023-09-29T00:00:00"/>
    <n v="3"/>
    <x v="2"/>
    <n v="2"/>
    <n v="7"/>
    <n v="11339.69"/>
    <n v="6763.26"/>
    <n v="7938.33"/>
  </r>
  <r>
    <s v="2415"/>
    <s v="Carmen Pérez"/>
    <d v="1996-12-31T00:00:00"/>
    <n v="29"/>
    <x v="0"/>
    <x v="2"/>
    <d v="2023-08-15T00:00:00"/>
    <d v="2023-07-21T00:00:00"/>
    <n v="9"/>
    <x v="1"/>
    <n v="6"/>
    <n v="2"/>
    <n v="19085.05"/>
    <n v="10719.12"/>
    <n v="14305.82"/>
  </r>
  <r>
    <s v="2416"/>
    <s v="Luis Morales"/>
    <d v="1972-01-01T00:00:00"/>
    <n v="35"/>
    <x v="1"/>
    <x v="5"/>
    <d v="2023-08-31T00:00:00"/>
    <d v="2024-02-01T00:00:00"/>
    <n v="20"/>
    <x v="2"/>
    <n v="6"/>
    <n v="2"/>
    <n v="2916.44"/>
    <n v="9304.59"/>
    <n v="17711.64"/>
  </r>
  <r>
    <s v="2417"/>
    <s v="Elena Cruz"/>
    <d v="2011-01-01T00:00:00"/>
    <n v="15"/>
    <x v="1"/>
    <x v="0"/>
    <d v="2023-01-10T00:00:00"/>
    <d v="2024-01-14T00:00:00"/>
    <n v="36"/>
    <x v="2"/>
    <n v="14"/>
    <n v="0"/>
    <n v="24897.599999999999"/>
    <n v="5150.67"/>
    <n v="599.37"/>
  </r>
  <r>
    <s v="2418"/>
    <s v="Ricardo Sánchez"/>
    <d v="2025-01-01T00:00:00"/>
    <n v="11"/>
    <x v="0"/>
    <x v="1"/>
    <d v="2024-01-27T00:00:00"/>
    <d v="2025-06-10T00:00:00"/>
    <n v="37"/>
    <x v="0"/>
    <n v="0"/>
    <n v="7"/>
    <n v="3905.24"/>
    <n v="7444.56"/>
    <n v="15838.46"/>
  </r>
  <r>
    <s v="2419"/>
    <s v="Carlos Rodríguez"/>
    <d v="2009-12-31T00:00:00"/>
    <n v="16"/>
    <x v="1"/>
    <x v="0"/>
    <d v="2023-02-17T00:00:00"/>
    <d v="2024-11-07T00:00:00"/>
    <n v="33"/>
    <x v="0"/>
    <n v="6"/>
    <n v="9"/>
    <n v="21865.119999999999"/>
    <n v="8041.25"/>
    <n v="1415.88"/>
  </r>
  <r>
    <s v="2420"/>
    <s v="Laura Pérez"/>
    <d v="2011-01-01T00:00:00"/>
    <n v="15"/>
    <x v="2"/>
    <x v="1"/>
    <d v="2024-09-15T00:00:00"/>
    <d v="2024-08-27T00:00:00"/>
    <n v="32"/>
    <x v="0"/>
    <n v="5"/>
    <n v="9"/>
    <n v="8428.92"/>
    <n v="13763.23"/>
    <n v="11569.57"/>
  </r>
  <r>
    <s v="2421"/>
    <s v="Ricardo Rodríguez"/>
    <d v="2015-01-01T00:00:00"/>
    <n v="11"/>
    <x v="0"/>
    <x v="4"/>
    <d v="2023-07-23T00:00:00"/>
    <d v="2024-06-19T00:00:00"/>
    <n v="0"/>
    <x v="0"/>
    <n v="7"/>
    <n v="5"/>
    <n v="7429.11"/>
    <n v="14725.42"/>
    <n v="6816.47"/>
  </r>
  <r>
    <s v="2422"/>
    <s v="Laura Pérez"/>
    <d v="2019-01-01T00:00:00"/>
    <n v="7"/>
    <x v="0"/>
    <x v="2"/>
    <d v="2023-06-06T00:00:00"/>
    <d v="2023-03-30T00:00:00"/>
    <n v="39"/>
    <x v="1"/>
    <n v="14"/>
    <n v="7"/>
    <n v="24548.57"/>
    <n v="12233.14"/>
    <n v="254.85"/>
  </r>
  <r>
    <s v="2423"/>
    <s v="Pedro Pérez"/>
    <d v="1943-01-01T00:00:00"/>
    <n v="83"/>
    <x v="1"/>
    <x v="5"/>
    <d v="2023-01-26T00:00:00"/>
    <d v="2024-02-03T00:00:00"/>
    <n v="25"/>
    <x v="0"/>
    <n v="3"/>
    <n v="2"/>
    <n v="16342.15"/>
    <n v="8431.57"/>
    <n v="1851.58"/>
  </r>
  <r>
    <s v="2424"/>
    <s v="Luis Cruz"/>
    <d v="2024-01-01T00:00:00"/>
    <n v="2"/>
    <x v="0"/>
    <x v="0"/>
    <d v="2024-02-25T00:00:00"/>
    <d v="2023-07-02T00:00:00"/>
    <n v="12"/>
    <x v="0"/>
    <n v="0"/>
    <n v="5"/>
    <n v="5767.68"/>
    <n v="13921.6"/>
    <n v="7009.9"/>
  </r>
  <r>
    <s v="2425"/>
    <s v="Luisa López"/>
    <d v="2011-01-01T00:00:00"/>
    <n v="15"/>
    <x v="1"/>
    <x v="4"/>
    <d v="2024-11-08T00:00:00"/>
    <d v="2025-05-17T00:00:00"/>
    <n v="10"/>
    <x v="2"/>
    <n v="3"/>
    <n v="1"/>
    <n v="422.34"/>
    <n v="2671.69"/>
    <n v="19070.439999999999"/>
  </r>
  <r>
    <s v="2426"/>
    <s v="Carmen Cruz"/>
    <d v="1996-12-31T00:00:00"/>
    <n v="29"/>
    <x v="2"/>
    <x v="2"/>
    <d v="2023-09-21T00:00:00"/>
    <d v="2023-10-11T00:00:00"/>
    <n v="16"/>
    <x v="0"/>
    <n v="12"/>
    <n v="2"/>
    <n v="29177.56"/>
    <n v="10447.44"/>
    <n v="3012.12"/>
  </r>
  <r>
    <s v="2427"/>
    <s v="Sofía Gómez"/>
    <d v="2004-01-01T00:00:00"/>
    <n v="22"/>
    <x v="1"/>
    <x v="4"/>
    <d v="2024-06-12T00:00:00"/>
    <d v="2024-06-17T00:00:00"/>
    <n v="37"/>
    <x v="1"/>
    <n v="0"/>
    <n v="3"/>
    <n v="12657.28"/>
    <n v="6907.02"/>
    <n v="5366.74"/>
  </r>
  <r>
    <s v="2428"/>
    <s v="Miguel Morales"/>
    <d v="1935-01-01T00:00:00"/>
    <n v="91"/>
    <x v="0"/>
    <x v="1"/>
    <d v="2024-08-10T00:00:00"/>
    <d v="2024-07-15T00:00:00"/>
    <n v="15"/>
    <x v="1"/>
    <n v="11"/>
    <n v="8"/>
    <n v="11621.4"/>
    <n v="2171.23"/>
    <n v="19882.07"/>
  </r>
  <r>
    <s v="2429"/>
    <s v="Carmen Hernández"/>
    <d v="2021-12-31T00:00:00"/>
    <n v="4"/>
    <x v="0"/>
    <x v="0"/>
    <d v="2024-04-14T00:00:00"/>
    <d v="2023-07-10T00:00:00"/>
    <n v="28"/>
    <x v="2"/>
    <n v="10"/>
    <n v="3"/>
    <n v="1034.5899999999999"/>
    <n v="1128.1500000000001"/>
    <n v="9560.4699999999993"/>
  </r>
  <r>
    <s v="2430"/>
    <s v="Ana Sánchez"/>
    <d v="1943-01-01T00:00:00"/>
    <n v="83"/>
    <x v="1"/>
    <x v="4"/>
    <d v="2023-09-11T00:00:00"/>
    <d v="2023-07-25T00:00:00"/>
    <n v="34"/>
    <x v="0"/>
    <n v="13"/>
    <n v="6"/>
    <n v="26779.31"/>
    <n v="7211.13"/>
    <n v="5171.13"/>
  </r>
  <r>
    <s v="2431"/>
    <s v="Jorge Ramírez"/>
    <d v="1961-12-31T00:00:00"/>
    <n v="64"/>
    <x v="1"/>
    <x v="4"/>
    <d v="2024-12-18T00:00:00"/>
    <d v="2023-02-14T00:00:00"/>
    <n v="18"/>
    <x v="2"/>
    <n v="3"/>
    <n v="7"/>
    <n v="3787.92"/>
    <n v="3584.54"/>
    <n v="12280.38"/>
  </r>
  <r>
    <s v="2432"/>
    <s v="Luisa Morales"/>
    <d v="1996-12-31T00:00:00"/>
    <n v="29"/>
    <x v="2"/>
    <x v="1"/>
    <d v="2024-06-29T00:00:00"/>
    <d v="2023-10-28T00:00:00"/>
    <n v="36"/>
    <x v="0"/>
    <n v="13"/>
    <n v="4"/>
    <n v="9731.4"/>
    <n v="3757.59"/>
    <n v="8664.25"/>
  </r>
  <r>
    <s v="2433"/>
    <s v="Sofía Martínez"/>
    <d v="2005-12-31T00:00:00"/>
    <n v="20"/>
    <x v="1"/>
    <x v="3"/>
    <d v="2023-05-27T00:00:00"/>
    <d v="2024-10-02T00:00:00"/>
    <n v="2"/>
    <x v="0"/>
    <n v="11"/>
    <n v="1"/>
    <n v="0"/>
    <n v="4803.25"/>
    <n v="17151.990000000002"/>
  </r>
  <r>
    <s v="2434"/>
    <s v="José Pérez"/>
    <d v="1943-01-01T00:00:00"/>
    <n v="83"/>
    <x v="0"/>
    <x v="1"/>
    <d v="2023-11-22T00:00:00"/>
    <d v="2024-12-02T00:00:00"/>
    <n v="14"/>
    <x v="1"/>
    <n v="13"/>
    <n v="7"/>
    <n v="24208.23"/>
    <n v="10775.46"/>
    <n v="60.38"/>
  </r>
  <r>
    <s v="2435"/>
    <s v="José Gómez"/>
    <d v="1956-12-31T00:00:00"/>
    <n v="69"/>
    <x v="1"/>
    <x v="3"/>
    <d v="2023-12-04T00:00:00"/>
    <d v="2024-11-13T00:00:00"/>
    <n v="16"/>
    <x v="0"/>
    <n v="7"/>
    <n v="4"/>
    <n v="10463.73"/>
    <n v="2461.34"/>
    <n v="19935.21"/>
  </r>
  <r>
    <s v="2436"/>
    <s v="José Cruz"/>
    <d v="2004-12-31T00:00:00"/>
    <n v="21"/>
    <x v="0"/>
    <x v="2"/>
    <d v="2023-04-28T00:00:00"/>
    <d v="2023-10-07T00:00:00"/>
    <n v="1"/>
    <x v="2"/>
    <n v="5"/>
    <n v="4"/>
    <n v="15709.61"/>
    <n v="10763.34"/>
    <n v="1232.8800000000001"/>
  </r>
  <r>
    <s v="2437"/>
    <s v="Pedro Cruz"/>
    <d v="1944-12-31T00:00:00"/>
    <n v="81"/>
    <x v="0"/>
    <x v="0"/>
    <d v="2023-06-14T00:00:00"/>
    <d v="2024-12-14T00:00:00"/>
    <n v="23"/>
    <x v="0"/>
    <n v="5"/>
    <n v="6"/>
    <n v="12576.31"/>
    <n v="11740.65"/>
    <n v="10696.19"/>
  </r>
  <r>
    <s v="2438"/>
    <s v="Elena Morales"/>
    <d v="1955-01-01T00:00:00"/>
    <n v="71"/>
    <x v="1"/>
    <x v="4"/>
    <d v="2024-07-03T00:00:00"/>
    <d v="2024-01-21T00:00:00"/>
    <n v="21"/>
    <x v="0"/>
    <n v="1"/>
    <n v="5"/>
    <n v="9011.26"/>
    <n v="8917.2000000000007"/>
    <n v="13917.74"/>
  </r>
  <r>
    <s v="2439"/>
    <s v="Pedro Rodríguez"/>
    <d v="1995-01-01T00:00:00"/>
    <n v="31"/>
    <x v="1"/>
    <x v="2"/>
    <d v="2024-10-10T00:00:00"/>
    <d v="2024-09-29T00:00:00"/>
    <n v="36"/>
    <x v="0"/>
    <n v="7"/>
    <n v="2"/>
    <n v="0"/>
    <n v="3713.36"/>
    <n v="10951.59"/>
  </r>
  <r>
    <s v="2440"/>
    <s v="Pedro Hernández"/>
    <d v="1993-12-31T00:00:00"/>
    <n v="32"/>
    <x v="0"/>
    <x v="6"/>
    <d v="2023-07-17T00:00:00"/>
    <d v="2025-03-15T00:00:00"/>
    <n v="35"/>
    <x v="0"/>
    <n v="4"/>
    <n v="6"/>
    <n v="23804.74"/>
    <n v="772.99"/>
    <n v="5945.55"/>
  </r>
  <r>
    <s v="2441"/>
    <s v="Elena Hernández"/>
    <d v="2011-01-01T00:00:00"/>
    <n v="15"/>
    <x v="1"/>
    <x v="1"/>
    <d v="2024-01-09T00:00:00"/>
    <d v="2023-11-08T00:00:00"/>
    <n v="16"/>
    <x v="2"/>
    <n v="5"/>
    <n v="0"/>
    <n v="4817.7700000000004"/>
    <n v="6119.18"/>
    <n v="17094.2"/>
  </r>
  <r>
    <s v="2442"/>
    <s v="José Rodríguez"/>
    <d v="1951-01-01T00:00:00"/>
    <n v="75"/>
    <x v="1"/>
    <x v="2"/>
    <d v="2024-07-31T00:00:00"/>
    <d v="2025-05-28T00:00:00"/>
    <n v="27"/>
    <x v="2"/>
    <n v="11"/>
    <n v="3"/>
    <n v="16418.54"/>
    <n v="12711.68"/>
    <n v="8551.5"/>
  </r>
  <r>
    <s v="2443"/>
    <s v="Miguel Pérez"/>
    <d v="1988-12-31T00:00:00"/>
    <n v="37"/>
    <x v="0"/>
    <x v="2"/>
    <d v="2024-08-14T00:00:00"/>
    <d v="2024-06-12T00:00:00"/>
    <n v="23"/>
    <x v="0"/>
    <n v="14"/>
    <n v="3"/>
    <n v="23795.08"/>
    <n v="1528.05"/>
    <n v="5944.1"/>
  </r>
  <r>
    <s v="2444"/>
    <s v="Jorge López"/>
    <d v="2012-12-31T00:00:00"/>
    <n v="13"/>
    <x v="1"/>
    <x v="4"/>
    <d v="2024-07-17T00:00:00"/>
    <d v="2025-05-07T00:00:00"/>
    <n v="8"/>
    <x v="0"/>
    <n v="10"/>
    <n v="5"/>
    <n v="17183.59"/>
    <n v="11172.46"/>
    <n v="15343.51"/>
  </r>
  <r>
    <s v="2445"/>
    <s v="Miguel Hernández"/>
    <d v="1991-01-01T00:00:00"/>
    <n v="35"/>
    <x v="1"/>
    <x v="3"/>
    <d v="2023-05-09T00:00:00"/>
    <d v="2023-10-02T00:00:00"/>
    <n v="36"/>
    <x v="0"/>
    <n v="0"/>
    <n v="5"/>
    <n v="14560.27"/>
    <n v="7018.35"/>
    <n v="2831.7"/>
  </r>
  <r>
    <s v="2446"/>
    <s v="Carmen Morales"/>
    <d v="2004-01-01T00:00:00"/>
    <n v="22"/>
    <x v="0"/>
    <x v="1"/>
    <d v="2024-02-18T00:00:00"/>
    <d v="2024-04-27T00:00:00"/>
    <n v="0"/>
    <x v="2"/>
    <n v="14"/>
    <n v="9"/>
    <n v="1697.81"/>
    <n v="13482.5"/>
    <n v="4020.68"/>
  </r>
  <r>
    <s v="2447"/>
    <s v="María Ramírez"/>
    <d v="1960-12-31T00:00:00"/>
    <n v="80"/>
    <x v="1"/>
    <x v="3"/>
    <d v="2024-01-15T00:00:00"/>
    <d v="2025-03-17T00:00:00"/>
    <n v="19"/>
    <x v="0"/>
    <n v="1"/>
    <n v="7"/>
    <n v="2735.03"/>
    <n v="5342.97"/>
    <n v="4980.67"/>
  </r>
  <r>
    <s v="2448"/>
    <s v="Luisa López"/>
    <d v="1941-12-31T00:00:00"/>
    <n v="84"/>
    <x v="1"/>
    <x v="0"/>
    <d v="2023-01-01T00:00:00"/>
    <d v="2024-03-27T00:00:00"/>
    <n v="14"/>
    <x v="1"/>
    <n v="9"/>
    <n v="0"/>
    <n v="6979.81"/>
    <n v="10571.23"/>
    <n v="8641.11"/>
  </r>
  <r>
    <s v="2449"/>
    <s v="Ana Pérez"/>
    <d v="2024-12-31T00:00:00"/>
    <n v="1"/>
    <x v="1"/>
    <x v="2"/>
    <d v="2023-06-16T00:00:00"/>
    <d v="2024-06-16T00:00:00"/>
    <n v="8"/>
    <x v="0"/>
    <n v="11"/>
    <n v="6"/>
    <n v="15158.6"/>
    <n v="11101.79"/>
    <n v="308.76"/>
  </r>
  <r>
    <s v="2450"/>
    <s v="Elena Gómez"/>
    <d v="1936-01-01T00:00:00"/>
    <n v="90"/>
    <x v="0"/>
    <x v="1"/>
    <d v="2023-01-16T00:00:00"/>
    <d v="2024-06-15T00:00:00"/>
    <n v="36"/>
    <x v="0"/>
    <n v="2"/>
    <n v="3"/>
    <n v="29612.55"/>
    <n v="2981.13"/>
    <n v="19834.689999999999"/>
  </r>
  <r>
    <s v="2451"/>
    <s v="Sofía Morales"/>
    <d v="1953-12-31T00:00:00"/>
    <n v="72"/>
    <x v="0"/>
    <x v="2"/>
    <d v="2024-10-18T00:00:00"/>
    <d v="2024-06-09T00:00:00"/>
    <n v="24"/>
    <x v="1"/>
    <n v="10"/>
    <n v="5"/>
    <n v="23969.119999999999"/>
    <n v="2372.1999999999998"/>
    <n v="11963.03"/>
  </r>
  <r>
    <s v="2452"/>
    <s v="Pedro Sánchez"/>
    <d v="1961-12-31T00:00:00"/>
    <n v="64"/>
    <x v="0"/>
    <x v="0"/>
    <d v="2023-04-22T00:00:00"/>
    <d v="2023-01-18T00:00:00"/>
    <n v="26"/>
    <x v="0"/>
    <n v="7"/>
    <n v="9"/>
    <n v="2856.56"/>
    <n v="1390.97"/>
    <n v="19411.46"/>
  </r>
  <r>
    <s v="2453"/>
    <s v="Sofía Ramírez"/>
    <d v="1952-01-01T00:00:00"/>
    <n v="74"/>
    <x v="1"/>
    <x v="5"/>
    <d v="2024-01-03T00:00:00"/>
    <d v="2024-12-19T00:00:00"/>
    <n v="9"/>
    <x v="1"/>
    <n v="12"/>
    <n v="8"/>
    <n v="21376.41"/>
    <n v="10523.74"/>
    <n v="16129.81"/>
  </r>
  <r>
    <s v="2454"/>
    <s v="Elena Cruz"/>
    <d v="1960-01-01T00:00:00"/>
    <n v="66"/>
    <x v="1"/>
    <x v="0"/>
    <d v="2023-04-12T00:00:00"/>
    <d v="2023-01-31T00:00:00"/>
    <n v="10"/>
    <x v="2"/>
    <n v="7"/>
    <n v="2"/>
    <n v="24219.38"/>
    <n v="8222.26"/>
    <n v="2599.63"/>
  </r>
  <r>
    <s v="2455"/>
    <s v="Miguel Gómez"/>
    <d v="1975-01-01T00:00:00"/>
    <n v="51"/>
    <x v="1"/>
    <x v="3"/>
    <d v="2024-08-16T00:00:00"/>
    <d v="2024-04-15T00:00:00"/>
    <n v="8"/>
    <x v="0"/>
    <n v="12"/>
    <n v="7"/>
    <n v="12135.03"/>
    <n v="1300.78"/>
    <n v="4102.2700000000004"/>
  </r>
  <r>
    <s v="2456"/>
    <s v="José Rodríguez"/>
    <d v="1964-12-31T00:00:00"/>
    <n v="61"/>
    <x v="1"/>
    <x v="3"/>
    <d v="2024-02-10T00:00:00"/>
    <d v="2025-03-22T00:00:00"/>
    <n v="28"/>
    <x v="0"/>
    <n v="14"/>
    <n v="2"/>
    <n v="9569.5"/>
    <n v="4625.01"/>
    <n v="592.42999999999995"/>
  </r>
  <r>
    <s v="2457"/>
    <s v="Carmen Hernández"/>
    <d v="2004-01-01T00:00:00"/>
    <n v="22"/>
    <x v="0"/>
    <x v="2"/>
    <d v="2024-05-21T00:00:00"/>
    <d v="2023-11-01T00:00:00"/>
    <n v="8"/>
    <x v="2"/>
    <n v="9"/>
    <n v="5"/>
    <n v="17330.759999999998"/>
    <n v="2135.1999999999998"/>
    <n v="16659.189999999999"/>
  </r>
  <r>
    <s v="2458"/>
    <s v="Carlos Sánchez"/>
    <d v="2000-12-31T00:00:00"/>
    <n v="25"/>
    <x v="1"/>
    <x v="3"/>
    <d v="2024-09-02T00:00:00"/>
    <d v="2024-07-09T00:00:00"/>
    <n v="38"/>
    <x v="0"/>
    <n v="1"/>
    <n v="1"/>
    <n v="15334.18"/>
    <n v="1390.22"/>
    <n v="11828.5"/>
  </r>
  <r>
    <s v="2459"/>
    <s v="Laura López"/>
    <d v="1959-01-01T00:00:00"/>
    <n v="67"/>
    <x v="1"/>
    <x v="1"/>
    <d v="2024-11-01T00:00:00"/>
    <d v="2023-04-04T00:00:00"/>
    <n v="33"/>
    <x v="1"/>
    <n v="1"/>
    <n v="8"/>
    <n v="7589.01"/>
    <n v="4481.57"/>
    <n v="4222.8100000000004"/>
  </r>
  <r>
    <s v="2460"/>
    <s v="Jorge Morales"/>
    <d v="1944-12-31T00:00:00"/>
    <n v="81"/>
    <x v="1"/>
    <x v="0"/>
    <d v="2023-02-09T00:00:00"/>
    <d v="2025-06-01T00:00:00"/>
    <n v="1"/>
    <x v="2"/>
    <n v="0"/>
    <n v="1"/>
    <n v="11620.02"/>
    <n v="1444.44"/>
    <n v="19398.7"/>
  </r>
  <r>
    <s v="2461"/>
    <s v="José Cruz"/>
    <d v="1972-01-01T00:00:00"/>
    <n v="54"/>
    <x v="0"/>
    <x v="2"/>
    <d v="2024-10-28T00:00:00"/>
    <d v="2024-08-01T00:00:00"/>
    <n v="20"/>
    <x v="1"/>
    <n v="14"/>
    <n v="4"/>
    <n v="16105.34"/>
    <n v="3902.79"/>
    <n v="14708.45"/>
  </r>
  <r>
    <s v="2462"/>
    <s v="María Gómez"/>
    <d v="2020-12-31T00:00:00"/>
    <n v="5"/>
    <x v="0"/>
    <x v="0"/>
    <d v="2024-07-01T00:00:00"/>
    <d v="2024-09-23T00:00:00"/>
    <n v="33"/>
    <x v="0"/>
    <n v="13"/>
    <n v="5"/>
    <n v="17187.689999999999"/>
    <n v="8290.7900000000009"/>
    <n v="14080.93"/>
  </r>
  <r>
    <s v="2463"/>
    <s v="Luisa Gómez"/>
    <d v="1992-01-01T00:00:00"/>
    <n v="34"/>
    <x v="0"/>
    <x v="0"/>
    <d v="2024-01-16T00:00:00"/>
    <d v="2025-04-01T00:00:00"/>
    <n v="11"/>
    <x v="0"/>
    <n v="7"/>
    <n v="3"/>
    <n v="15718.36"/>
    <n v="8413.56"/>
    <n v="5266.58"/>
  </r>
  <r>
    <s v="2464"/>
    <s v="María López"/>
    <d v="2004-12-31T00:00:00"/>
    <n v="21"/>
    <x v="0"/>
    <x v="2"/>
    <d v="2024-05-30T00:00:00"/>
    <d v="2024-08-07T00:00:00"/>
    <n v="34"/>
    <x v="0"/>
    <n v="7"/>
    <n v="6"/>
    <n v="25306.28"/>
    <n v="2520.0300000000002"/>
    <n v="6198.81"/>
  </r>
  <r>
    <s v="2465"/>
    <s v="Sofía Sánchez"/>
    <d v="1984-01-01T00:00:00"/>
    <n v="42"/>
    <x v="0"/>
    <x v="4"/>
    <d v="2024-05-11T00:00:00"/>
    <d v="2025-04-26T00:00:00"/>
    <n v="24"/>
    <x v="0"/>
    <n v="14"/>
    <n v="6"/>
    <n v="468.22"/>
    <n v="2865.2"/>
    <n v="13326.37"/>
  </r>
  <r>
    <s v="2466"/>
    <s v="María Sánchez"/>
    <d v="2012-01-01T00:00:00"/>
    <n v="14"/>
    <x v="1"/>
    <x v="5"/>
    <d v="2023-10-08T00:00:00"/>
    <d v="2023-06-12T00:00:00"/>
    <n v="9"/>
    <x v="1"/>
    <n v="10"/>
    <n v="6"/>
    <n v="0"/>
    <n v="12824.57"/>
    <n v="11830.39"/>
  </r>
  <r>
    <s v="2467"/>
    <s v="Ana Gómez"/>
    <d v="1940-12-31T00:00:00"/>
    <n v="1"/>
    <x v="1"/>
    <x v="4"/>
    <d v="2023-12-17T00:00:00"/>
    <d v="2025-04-22T00:00:00"/>
    <n v="26"/>
    <x v="0"/>
    <n v="1"/>
    <n v="6"/>
    <n v="22369.93"/>
    <n v="2504.02"/>
    <n v="12910.4"/>
  </r>
  <r>
    <s v="2468"/>
    <s v="Carmen Morales"/>
    <d v="1967-01-01T00:00:00"/>
    <n v="59"/>
    <x v="0"/>
    <x v="3"/>
    <d v="2023-11-30T00:00:00"/>
    <d v="2023-11-25T00:00:00"/>
    <n v="3"/>
    <x v="2"/>
    <n v="7"/>
    <n v="9"/>
    <n v="19379.37"/>
    <n v="686.12"/>
    <n v="17564.34"/>
  </r>
  <r>
    <s v="2469"/>
    <s v="Luisa Hernández"/>
    <d v="2015-01-01T00:00:00"/>
    <n v="11"/>
    <x v="0"/>
    <x v="6"/>
    <d v="2024-06-07T00:00:00"/>
    <d v="2025-02-20T00:00:00"/>
    <n v="20"/>
    <x v="2"/>
    <n v="1"/>
    <n v="9"/>
    <n v="27507.13"/>
    <n v="3672.31"/>
    <n v="3124.06"/>
  </r>
  <r>
    <s v="2470"/>
    <s v="Ricardo Morales"/>
    <d v="1977-12-31T00:00:00"/>
    <n v="48"/>
    <x v="0"/>
    <x v="4"/>
    <d v="2023-10-10T00:00:00"/>
    <d v="2024-12-31T00:00:00"/>
    <n v="7"/>
    <x v="0"/>
    <n v="8"/>
    <n v="8"/>
    <n v="17434.64"/>
    <n v="8646.4"/>
    <n v="2238.3000000000002"/>
  </r>
  <r>
    <s v="2471"/>
    <s v="Luis Pérez"/>
    <d v="1984-12-31T00:00:00"/>
    <n v="41"/>
    <x v="0"/>
    <x v="6"/>
    <d v="2024-12-28T00:00:00"/>
    <d v="2023-09-12T00:00:00"/>
    <n v="31"/>
    <x v="2"/>
    <n v="2"/>
    <n v="1"/>
    <n v="18963.599999999999"/>
    <n v="108.37"/>
    <n v="11249.13"/>
  </r>
  <r>
    <s v="2472"/>
    <s v="María Sánchez"/>
    <d v="1988-12-31T00:00:00"/>
    <n v="83"/>
    <x v="0"/>
    <x v="6"/>
    <d v="2023-11-15T00:00:00"/>
    <d v="2024-03-16T00:00:00"/>
    <n v="9"/>
    <x v="0"/>
    <n v="3"/>
    <n v="4"/>
    <n v="21000.89"/>
    <n v="14774.81"/>
    <n v="9953.1299999999992"/>
  </r>
  <r>
    <s v="2473"/>
    <s v="Juan Rodríguez"/>
    <d v="1944-12-31T00:00:00"/>
    <n v="81"/>
    <x v="0"/>
    <x v="3"/>
    <d v="2024-02-18T00:00:00"/>
    <d v="2024-07-25T00:00:00"/>
    <n v="29"/>
    <x v="2"/>
    <n v="6"/>
    <n v="9"/>
    <n v="5179.12"/>
    <n v="3455.84"/>
    <n v="7997.68"/>
  </r>
  <r>
    <s v="2474"/>
    <s v="María Martínez"/>
    <d v="1981-12-31T00:00:00"/>
    <n v="44"/>
    <x v="0"/>
    <x v="5"/>
    <d v="2024-08-16T00:00:00"/>
    <d v="2024-06-28T00:00:00"/>
    <n v="23"/>
    <x v="2"/>
    <n v="11"/>
    <n v="8"/>
    <n v="0"/>
    <n v="3571.76"/>
    <n v="18084.73"/>
  </r>
  <r>
    <s v="2475"/>
    <s v="Ana Ramírez"/>
    <d v="1992-01-01T00:00:00"/>
    <n v="34"/>
    <x v="0"/>
    <x v="0"/>
    <d v="2023-01-14T00:00:00"/>
    <d v="2025-05-01T00:00:00"/>
    <n v="4"/>
    <x v="0"/>
    <n v="3"/>
    <n v="1"/>
    <n v="8646.6299999999992"/>
    <n v="11079.26"/>
    <n v="11123.44"/>
  </r>
  <r>
    <s v="2476"/>
    <s v="Luis Sánchez"/>
    <d v="1996-12-31T00:00:00"/>
    <n v="29"/>
    <x v="1"/>
    <x v="2"/>
    <d v="2023-02-25T00:00:00"/>
    <d v="2023-05-01T00:00:00"/>
    <n v="29"/>
    <x v="2"/>
    <n v="3"/>
    <n v="2"/>
    <n v="12447.29"/>
    <n v="3722.69"/>
    <n v="11301.75"/>
  </r>
  <r>
    <s v="2477"/>
    <s v="Ana Hernández"/>
    <d v="1939-01-01T00:00:00"/>
    <n v="87"/>
    <x v="0"/>
    <x v="5"/>
    <d v="2024-02-07T00:00:00"/>
    <d v="2025-04-02T00:00:00"/>
    <n v="30"/>
    <x v="0"/>
    <n v="2"/>
    <n v="6"/>
    <n v="72.8"/>
    <n v="5942.27"/>
    <n v="7265.23"/>
  </r>
  <r>
    <s v="2478"/>
    <s v="Ana Gómez"/>
    <d v="1996-12-31T00:00:00"/>
    <n v="29"/>
    <x v="0"/>
    <x v="6"/>
    <d v="2023-12-08T00:00:00"/>
    <d v="2024-05-29T00:00:00"/>
    <n v="15"/>
    <x v="0"/>
    <n v="7"/>
    <n v="8"/>
    <n v="25228.76"/>
    <n v="8158.78"/>
    <n v="6815.84"/>
  </r>
  <r>
    <s v="2479"/>
    <s v="Juan Pérez"/>
    <d v="1948-12-31T00:00:00"/>
    <n v="77"/>
    <x v="1"/>
    <x v="1"/>
    <d v="2023-07-18T00:00:00"/>
    <d v="2024-09-22T00:00:00"/>
    <n v="32"/>
    <x v="2"/>
    <n v="11"/>
    <n v="2"/>
    <n v="28581.53"/>
    <n v="328.09"/>
    <n v="19750.849999999999"/>
  </r>
  <r>
    <s v="2480"/>
    <s v="Pedro López"/>
    <d v="2020-12-31T00:00:00"/>
    <n v="5"/>
    <x v="0"/>
    <x v="3"/>
    <d v="2024-11-08T00:00:00"/>
    <d v="2024-07-03T00:00:00"/>
    <n v="17"/>
    <x v="1"/>
    <n v="6"/>
    <n v="9"/>
    <n v="1335.82"/>
    <n v="12559.39"/>
    <n v="12423.76"/>
  </r>
  <r>
    <s v="2481"/>
    <s v="Luis Sánchez"/>
    <d v="1960-01-01T00:00:00"/>
    <n v="66"/>
    <x v="0"/>
    <x v="4"/>
    <d v="2023-10-19T00:00:00"/>
    <d v="2023-04-08T00:00:00"/>
    <n v="28"/>
    <x v="0"/>
    <n v="7"/>
    <n v="7"/>
    <n v="18873.61"/>
    <n v="7680.76"/>
    <n v="16484.830000000002"/>
  </r>
  <r>
    <s v="2482"/>
    <s v="Jorge Ramírez"/>
    <d v="1947-01-01T00:00:00"/>
    <n v="79"/>
    <x v="1"/>
    <x v="3"/>
    <d v="2024-10-19T00:00:00"/>
    <d v="2025-05-21T00:00:00"/>
    <n v="2"/>
    <x v="2"/>
    <n v="5"/>
    <n v="7"/>
    <n v="28803.75"/>
    <n v="4693.78"/>
    <n v="8893.91"/>
  </r>
  <r>
    <s v="2483"/>
    <s v="Elena Sánchez"/>
    <d v="2020-01-01T00:00:00"/>
    <n v="6"/>
    <x v="0"/>
    <x v="4"/>
    <d v="2024-03-16T00:00:00"/>
    <d v="2024-01-06T00:00:00"/>
    <n v="29"/>
    <x v="1"/>
    <n v="5"/>
    <n v="3"/>
    <n v="18010.47"/>
    <n v="5996.8"/>
    <n v="3756.27"/>
  </r>
  <r>
    <s v="2484"/>
    <s v="Elena Sánchez"/>
    <d v="1975-01-01T00:00:00"/>
    <n v="51"/>
    <x v="1"/>
    <x v="2"/>
    <d v="2023-03-19T00:00:00"/>
    <d v="2024-02-22T00:00:00"/>
    <n v="39"/>
    <x v="2"/>
    <n v="3"/>
    <n v="5"/>
    <n v="23837.51"/>
    <n v="837.37"/>
    <n v="6429.3"/>
  </r>
  <r>
    <s v="2485"/>
    <s v="José Morales"/>
    <d v="2012-12-31T00:00:00"/>
    <n v="13"/>
    <x v="2"/>
    <x v="1"/>
    <d v="2023-04-22T00:00:00"/>
    <d v="2023-09-15T00:00:00"/>
    <n v="16"/>
    <x v="2"/>
    <n v="8"/>
    <n v="7"/>
    <n v="3102.93"/>
    <n v="10769.72"/>
    <n v="6857.16"/>
  </r>
  <r>
    <s v="2486"/>
    <s v="María Hernández"/>
    <d v="1953-12-31T00:00:00"/>
    <n v="72"/>
    <x v="0"/>
    <x v="0"/>
    <d v="2024-06-18T00:00:00"/>
    <d v="2023-05-09T00:00:00"/>
    <n v="2"/>
    <x v="1"/>
    <n v="14"/>
    <n v="8"/>
    <n v="6967.92"/>
    <n v="8092.57"/>
    <n v="11254.74"/>
  </r>
  <r>
    <s v="2487"/>
    <s v="Ricardo Pérez"/>
    <d v="2012-01-01T00:00:00"/>
    <n v="14"/>
    <x v="1"/>
    <x v="5"/>
    <d v="2024-01-10T00:00:00"/>
    <d v="2023-12-26T00:00:00"/>
    <n v="4"/>
    <x v="2"/>
    <n v="1"/>
    <n v="1"/>
    <n v="10044.91"/>
    <n v="13709.87"/>
    <n v="3007.78"/>
  </r>
  <r>
    <s v="2488"/>
    <s v="Juan Rodríguez"/>
    <d v="2005-12-31T00:00:00"/>
    <n v="20"/>
    <x v="1"/>
    <x v="1"/>
    <d v="2023-04-26T00:00:00"/>
    <d v="2023-06-06T00:00:00"/>
    <n v="19"/>
    <x v="0"/>
    <n v="10"/>
    <n v="0"/>
    <n v="29425.58"/>
    <n v="6962.8"/>
    <n v="7679.06"/>
  </r>
  <r>
    <s v="2489"/>
    <s v="Carlos Martínez"/>
    <d v="1992-01-01T00:00:00"/>
    <n v="32"/>
    <x v="0"/>
    <x v="5"/>
    <d v="2023-05-22T00:00:00"/>
    <d v="2024-10-19T00:00:00"/>
    <n v="31"/>
    <x v="0"/>
    <n v="4"/>
    <n v="4"/>
    <n v="23344.23"/>
    <n v="12426.02"/>
    <n v="1921.6"/>
  </r>
  <r>
    <s v="2490"/>
    <s v="Juan Morales"/>
    <d v="1960-12-31T00:00:00"/>
    <n v="65"/>
    <x v="1"/>
    <x v="5"/>
    <d v="2023-07-16T00:00:00"/>
    <d v="2023-02-27T00:00:00"/>
    <n v="7"/>
    <x v="0"/>
    <n v="8"/>
    <n v="9"/>
    <n v="26512.720000000001"/>
    <n v="2824.93"/>
    <n v="9880.26"/>
  </r>
  <r>
    <s v="2491"/>
    <s v="José Ramírez"/>
    <d v="1936-01-01T00:00:00"/>
    <n v="90"/>
    <x v="1"/>
    <x v="0"/>
    <d v="2024-06-23T00:00:00"/>
    <d v="2024-08-05T00:00:00"/>
    <n v="39"/>
    <x v="2"/>
    <n v="14"/>
    <n v="2"/>
    <n v="14355.83"/>
    <n v="847.64"/>
    <n v="18943.23"/>
  </r>
  <r>
    <s v="2492"/>
    <s v="Miguel Rodríguez"/>
    <d v="2024-12-31T00:00:00"/>
    <n v="1"/>
    <x v="0"/>
    <x v="0"/>
    <d v="2023-10-26T00:00:00"/>
    <d v="2024-07-10T00:00:00"/>
    <n v="23"/>
    <x v="0"/>
    <n v="4"/>
    <n v="5"/>
    <n v="21362.560000000001"/>
    <n v="14226.6"/>
    <n v="6712.57"/>
  </r>
  <r>
    <s v="2493"/>
    <s v="Ana Morales"/>
    <d v="1992-01-01T00:00:00"/>
    <n v="34"/>
    <x v="1"/>
    <x v="4"/>
    <d v="2023-03-17T00:00:00"/>
    <d v="2024-12-25T00:00:00"/>
    <n v="29"/>
    <x v="0"/>
    <n v="8"/>
    <n v="0"/>
    <n v="21812.73"/>
    <n v="3854.37"/>
    <n v="899.22"/>
  </r>
  <r>
    <s v="2494"/>
    <s v="Carmen Morales"/>
    <d v="1944-12-31T00:00:00"/>
    <n v="81"/>
    <x v="1"/>
    <x v="0"/>
    <d v="2024-06-13T00:00:00"/>
    <d v="2024-11-18T00:00:00"/>
    <n v="39"/>
    <x v="0"/>
    <n v="2"/>
    <n v="3"/>
    <n v="16852.150000000001"/>
    <n v="12503.76"/>
    <n v="12136.09"/>
  </r>
  <r>
    <s v="2495"/>
    <s v="Ricardo Morales"/>
    <d v="1948-12-31T00:00:00"/>
    <n v="77"/>
    <x v="0"/>
    <x v="2"/>
    <d v="2023-04-10T00:00:00"/>
    <d v="2024-10-15T00:00:00"/>
    <n v="24"/>
    <x v="0"/>
    <n v="0"/>
    <n v="5"/>
    <n v="26278.06"/>
    <n v="3860.01"/>
    <n v="12658.07"/>
  </r>
  <r>
    <s v="2496"/>
    <s v="Ricardo Morales"/>
    <d v="2007-01-01T00:00:00"/>
    <n v="19"/>
    <x v="0"/>
    <x v="3"/>
    <d v="2024-04-23T00:00:00"/>
    <d v="2023-03-18T00:00:00"/>
    <n v="9"/>
    <x v="0"/>
    <n v="13"/>
    <n v="1"/>
    <n v="0"/>
    <n v="2337.63"/>
    <n v="9539.35"/>
  </r>
  <r>
    <s v="2497"/>
    <s v="Miguel Rodríguez"/>
    <d v="2004-01-01T00:00:00"/>
    <n v="81"/>
    <x v="0"/>
    <x v="6"/>
    <d v="2024-04-12T00:00:00"/>
    <d v="2023-06-08T00:00:00"/>
    <n v="37"/>
    <x v="0"/>
    <n v="1"/>
    <n v="7"/>
    <n v="1254.3499999999999"/>
    <n v="10987.96"/>
    <n v="7876.88"/>
  </r>
  <r>
    <s v="2498"/>
    <s v="Juan Sánchez"/>
    <d v="2016-12-31T00:00:00"/>
    <n v="9"/>
    <x v="0"/>
    <x v="0"/>
    <d v="2024-09-27T00:00:00"/>
    <d v="2023-03-27T00:00:00"/>
    <n v="20"/>
    <x v="1"/>
    <n v="1"/>
    <n v="3"/>
    <n v="8773.7199999999993"/>
    <n v="11676.09"/>
    <n v="17842.560000000001"/>
  </r>
  <r>
    <s v="2499"/>
    <s v="Elena Morales"/>
    <d v="2001-12-31T00:00:00"/>
    <n v="24"/>
    <x v="1"/>
    <x v="3"/>
    <d v="2023-10-19T00:00:00"/>
    <d v="2023-11-19T00:00:00"/>
    <n v="11"/>
    <x v="1"/>
    <n v="9"/>
    <n v="1"/>
    <n v="2192.29"/>
    <n v="12654.19"/>
    <n v="18762.59"/>
  </r>
  <r>
    <s v="2500"/>
    <s v="Miguel Gómez"/>
    <d v="1960-12-31T00:00:00"/>
    <n v="65"/>
    <x v="1"/>
    <x v="4"/>
    <d v="2023-05-05T00:00:00"/>
    <d v="2023-11-06T00:00:00"/>
    <n v="31"/>
    <x v="1"/>
    <n v="11"/>
    <n v="0"/>
    <n v="1339.64"/>
    <n v="12973.03"/>
    <n v="13430.55"/>
  </r>
  <r>
    <s v="2501"/>
    <s v="Juan Sánchez"/>
    <d v="2001-12-31T00:00:00"/>
    <n v="24"/>
    <x v="1"/>
    <x v="0"/>
    <d v="2024-06-02T00:00:00"/>
    <d v="2024-06-14T00:00:00"/>
    <n v="14"/>
    <x v="0"/>
    <n v="13"/>
    <n v="7"/>
    <n v="12282.24"/>
    <n v="7246.97"/>
    <n v="9974.6200000000008"/>
  </r>
  <r>
    <s v="2502"/>
    <s v="Luisa Ramírez"/>
    <d v="1972-12-31T00:00:00"/>
    <n v="53"/>
    <x v="0"/>
    <x v="6"/>
    <d v="2023-01-23T00:00:00"/>
    <d v="2023-10-12T00:00:00"/>
    <n v="3"/>
    <x v="0"/>
    <n v="11"/>
    <n v="9"/>
    <n v="5615.42"/>
    <n v="6003.25"/>
    <n v="1257.71"/>
  </r>
  <r>
    <s v="2503"/>
    <s v="Ana Cruz"/>
    <d v="1993-12-31T00:00:00"/>
    <n v="32"/>
    <x v="0"/>
    <x v="1"/>
    <d v="2023-06-11T00:00:00"/>
    <d v="2023-02-12T00:00:00"/>
    <n v="24"/>
    <x v="0"/>
    <n v="7"/>
    <n v="0"/>
    <n v="23599.5"/>
    <n v="11264.53"/>
    <n v="5950.87"/>
  </r>
  <r>
    <s v="2504"/>
    <s v="José Gómez"/>
    <d v="1991-01-01T00:00:00"/>
    <n v="35"/>
    <x v="0"/>
    <x v="0"/>
    <d v="2024-09-20T00:00:00"/>
    <d v="2025-06-13T00:00:00"/>
    <n v="5"/>
    <x v="0"/>
    <n v="10"/>
    <n v="6"/>
    <n v="17183.419999999998"/>
    <n v="8540.7900000000009"/>
    <n v="5630.34"/>
  </r>
  <r>
    <s v="2505"/>
    <s v="Ricardo Pérez"/>
    <d v="1932-01-01T00:00:00"/>
    <n v="61"/>
    <x v="0"/>
    <x v="3"/>
    <d v="2024-05-20T00:00:00"/>
    <d v="2025-06-04T00:00:00"/>
    <n v="30"/>
    <x v="0"/>
    <n v="1"/>
    <n v="6"/>
    <n v="10498.08"/>
    <n v="14479.26"/>
    <n v="1070.67"/>
  </r>
  <r>
    <s v="2506"/>
    <s v="Juan Cruz"/>
    <d v="2012-12-31T00:00:00"/>
    <n v="13"/>
    <x v="0"/>
    <x v="4"/>
    <d v="2023-01-21T00:00:00"/>
    <d v="2023-05-15T00:00:00"/>
    <n v="32"/>
    <x v="0"/>
    <n v="3"/>
    <n v="5"/>
    <n v="0"/>
    <n v="5637.54"/>
    <n v="16851.599999999999"/>
  </r>
  <r>
    <s v="2507"/>
    <s v="Ana Martínez"/>
    <d v="2025-01-01T00:00:00"/>
    <n v="64"/>
    <x v="1"/>
    <x v="4"/>
    <d v="2024-04-08T00:00:00"/>
    <d v="2024-09-06T00:00:00"/>
    <n v="14"/>
    <x v="0"/>
    <n v="8"/>
    <n v="7"/>
    <n v="16675.71"/>
    <n v="643.13"/>
    <n v="17327.66"/>
  </r>
  <r>
    <s v="2508"/>
    <s v="Carlos López"/>
    <d v="1947-01-01T00:00:00"/>
    <n v="79"/>
    <x v="1"/>
    <x v="2"/>
    <d v="2024-04-27T00:00:00"/>
    <d v="2024-10-11T00:00:00"/>
    <n v="23"/>
    <x v="1"/>
    <n v="4"/>
    <n v="9"/>
    <n v="12737.06"/>
    <n v="8839.57"/>
    <n v="18238.650000000001"/>
  </r>
  <r>
    <s v="2509"/>
    <s v="Jorge Sánchez"/>
    <d v="1972-12-31T00:00:00"/>
    <n v="53"/>
    <x v="1"/>
    <x v="4"/>
    <d v="2024-05-16T00:00:00"/>
    <d v="2024-02-09T00:00:00"/>
    <n v="4"/>
    <x v="0"/>
    <n v="13"/>
    <n v="0"/>
    <n v="1199.92"/>
    <n v="5302.04"/>
    <n v="14810.37"/>
  </r>
  <r>
    <s v="2510"/>
    <s v="Elena López"/>
    <d v="1975-01-01T00:00:00"/>
    <n v="51"/>
    <x v="1"/>
    <x v="1"/>
    <d v="2023-11-05T00:00:00"/>
    <d v="2024-05-08T00:00:00"/>
    <n v="21"/>
    <x v="1"/>
    <n v="7"/>
    <n v="0"/>
    <n v="19788.310000000001"/>
    <n v="5140.1099999999997"/>
    <n v="14181.33"/>
  </r>
  <r>
    <s v="2511"/>
    <s v="Sofía Cruz"/>
    <d v="2024-01-01T00:00:00"/>
    <n v="2"/>
    <x v="0"/>
    <x v="4"/>
    <d v="2024-08-18T00:00:00"/>
    <d v="2023-08-11T00:00:00"/>
    <n v="22"/>
    <x v="0"/>
    <n v="1"/>
    <n v="0"/>
    <n v="14742.61"/>
    <n v="8467.7900000000009"/>
    <n v="9504.31"/>
  </r>
  <r>
    <s v="2512"/>
    <s v="José Gómez"/>
    <d v="1985-12-31T00:00:00"/>
    <n v="40"/>
    <x v="1"/>
    <x v="4"/>
    <d v="2024-07-06T00:00:00"/>
    <d v="2023-08-18T00:00:00"/>
    <n v="32"/>
    <x v="1"/>
    <n v="10"/>
    <n v="5"/>
    <n v="7945.44"/>
    <n v="13826.72"/>
    <n v="17133.7"/>
  </r>
  <r>
    <s v="2513"/>
    <s v="Jorge Morales"/>
    <d v="2020-12-31T00:00:00"/>
    <n v="5"/>
    <x v="0"/>
    <x v="1"/>
    <d v="2023-07-22T00:00:00"/>
    <d v="2025-03-17T00:00:00"/>
    <n v="23"/>
    <x v="1"/>
    <n v="3"/>
    <n v="6"/>
    <n v="8357.66"/>
    <n v="4004.37"/>
    <n v="10153.700000000001"/>
  </r>
  <r>
    <s v="2514"/>
    <s v="Carmen Ramírez"/>
    <d v="1982-01-01T00:00:00"/>
    <n v="24"/>
    <x v="0"/>
    <x v="1"/>
    <d v="2024-02-20T00:00:00"/>
    <d v="2024-03-28T00:00:00"/>
    <n v="2"/>
    <x v="0"/>
    <n v="14"/>
    <n v="9"/>
    <n v="13309.93"/>
    <n v="5693.9"/>
    <n v="495.79"/>
  </r>
  <r>
    <s v="2515"/>
    <s v="Sofía Hernández"/>
    <d v="2013-12-31T00:00:00"/>
    <n v="12"/>
    <x v="1"/>
    <x v="6"/>
    <d v="2024-10-01T00:00:00"/>
    <d v="2023-11-03T00:00:00"/>
    <n v="35"/>
    <x v="1"/>
    <n v="1"/>
    <n v="8"/>
    <n v="24741.57"/>
    <n v="13368.74"/>
    <n v="11656.7"/>
  </r>
  <r>
    <s v="2516"/>
    <s v="Carlos Ramírez"/>
    <d v="2019-01-01T00:00:00"/>
    <n v="7"/>
    <x v="1"/>
    <x v="3"/>
    <d v="2023-05-22T00:00:00"/>
    <d v="2025-04-08T00:00:00"/>
    <n v="32"/>
    <x v="2"/>
    <n v="0"/>
    <n v="9"/>
    <n v="0"/>
    <n v="13428.29"/>
    <n v="7748.2"/>
  </r>
  <r>
    <s v="2517"/>
    <s v="Luis Pérez"/>
    <d v="2005-12-31T00:00:00"/>
    <n v="20"/>
    <x v="1"/>
    <x v="5"/>
    <d v="2024-09-06T00:00:00"/>
    <d v="2023-04-30T00:00:00"/>
    <n v="27"/>
    <x v="1"/>
    <n v="12"/>
    <n v="4"/>
    <n v="25107.22"/>
    <n v="3518.84"/>
    <n v="10378.09"/>
  </r>
  <r>
    <s v="2518"/>
    <s v="Carlos Martínez"/>
    <d v="1959-01-01T00:00:00"/>
    <n v="67"/>
    <x v="1"/>
    <x v="4"/>
    <d v="2023-04-17T00:00:00"/>
    <d v="2024-09-03T00:00:00"/>
    <n v="22"/>
    <x v="0"/>
    <n v="0"/>
    <n v="0"/>
    <n v="12458.33"/>
    <n v="10594.96"/>
    <n v="8758.19"/>
  </r>
  <r>
    <s v="2519"/>
    <s v="Luisa Rodríguez"/>
    <d v="2001-12-31T00:00:00"/>
    <n v="24"/>
    <x v="0"/>
    <x v="5"/>
    <d v="2024-06-12T00:00:00"/>
    <d v="2025-05-12T00:00:00"/>
    <n v="21"/>
    <x v="1"/>
    <n v="9"/>
    <n v="8"/>
    <n v="24812.35"/>
    <n v="6233.41"/>
    <n v="9885.64"/>
  </r>
  <r>
    <s v="2520"/>
    <s v="José Martínez"/>
    <d v="1948-01-01T00:00:00"/>
    <n v="78"/>
    <x v="1"/>
    <x v="5"/>
    <d v="2024-06-20T00:00:00"/>
    <d v="2023-11-21T00:00:00"/>
    <n v="27"/>
    <x v="2"/>
    <n v="3"/>
    <n v="4"/>
    <n v="27911.66"/>
    <n v="14040.01"/>
    <n v="2082.31"/>
  </r>
  <r>
    <s v="2521"/>
    <s v="Elena Pérez"/>
    <d v="1959-01-01T00:00:00"/>
    <n v="67"/>
    <x v="0"/>
    <x v="2"/>
    <d v="2024-07-29T00:00:00"/>
    <d v="2023-06-09T00:00:00"/>
    <n v="17"/>
    <x v="0"/>
    <n v="8"/>
    <n v="5"/>
    <n v="127.5"/>
    <n v="10983.68"/>
    <n v="192.12"/>
  </r>
  <r>
    <s v="2522"/>
    <s v="Miguel Hernández"/>
    <d v="1981-12-31T00:00:00"/>
    <n v="44"/>
    <x v="0"/>
    <x v="0"/>
    <d v="2024-11-18T00:00:00"/>
    <d v="2023-08-28T00:00:00"/>
    <n v="0"/>
    <x v="1"/>
    <n v="2"/>
    <n v="8"/>
    <n v="1398.64"/>
    <n v="7415.3"/>
    <n v="6737.77"/>
  </r>
  <r>
    <s v="2523"/>
    <s v="Ricardo Sánchez"/>
    <d v="1967-01-01T00:00:00"/>
    <n v="59"/>
    <x v="0"/>
    <x v="4"/>
    <d v="2023-10-18T00:00:00"/>
    <d v="2024-02-01T00:00:00"/>
    <n v="29"/>
    <x v="2"/>
    <n v="4"/>
    <n v="1"/>
    <n v="3587.59"/>
    <n v="12261.17"/>
    <n v="5016.2299999999996"/>
  </r>
  <r>
    <s v="2524"/>
    <s v="Elena Pérez"/>
    <d v="2015-01-01T00:00:00"/>
    <n v="11"/>
    <x v="0"/>
    <x v="0"/>
    <d v="2023-11-07T00:00:00"/>
    <d v="2023-11-17T00:00:00"/>
    <n v="5"/>
    <x v="0"/>
    <n v="3"/>
    <n v="2"/>
    <n v="3224.67"/>
    <n v="14968.18"/>
    <n v="4926.16"/>
  </r>
  <r>
    <s v="2525"/>
    <s v="María López"/>
    <d v="1995-01-01T00:00:00"/>
    <n v="31"/>
    <x v="1"/>
    <x v="0"/>
    <d v="2024-10-29T00:00:00"/>
    <d v="2025-04-27T00:00:00"/>
    <n v="20"/>
    <x v="0"/>
    <n v="0"/>
    <n v="6"/>
    <n v="13361.58"/>
    <n v="6705.65"/>
    <n v="18735.61"/>
  </r>
  <r>
    <s v="2526"/>
    <s v="Jorge Gómez"/>
    <d v="1954-01-01T00:00:00"/>
    <n v="91"/>
    <x v="1"/>
    <x v="2"/>
    <d v="2024-01-20T00:00:00"/>
    <d v="2023-07-09T00:00:00"/>
    <n v="13"/>
    <x v="0"/>
    <n v="7"/>
    <n v="2"/>
    <n v="22803.040000000001"/>
    <n v="5602.69"/>
    <n v="16361.6"/>
  </r>
  <r>
    <s v="2527"/>
    <s v="Carmen Cruz"/>
    <d v="2013-12-31T00:00:00"/>
    <n v="12"/>
    <x v="1"/>
    <x v="5"/>
    <d v="2023-02-22T00:00:00"/>
    <d v="2023-11-06T00:00:00"/>
    <n v="32"/>
    <x v="0"/>
    <n v="11"/>
    <n v="1"/>
    <n v="28820.52"/>
    <n v="9105.5400000000009"/>
    <n v="168.75"/>
  </r>
  <r>
    <s v="2528"/>
    <s v="Miguel Sánchez"/>
    <d v="1996-01-01T00:00:00"/>
    <n v="30"/>
    <x v="1"/>
    <x v="1"/>
    <d v="2024-08-07T00:00:00"/>
    <d v="2023-09-07T00:00:00"/>
    <n v="22"/>
    <x v="2"/>
    <n v="8"/>
    <n v="6"/>
    <n v="12242.31"/>
    <n v="10246.24"/>
    <n v="75.260000000000005"/>
  </r>
  <r>
    <s v="2529"/>
    <s v="Pedro López"/>
    <d v="1948-12-31T00:00:00"/>
    <n v="77"/>
    <x v="0"/>
    <x v="0"/>
    <d v="2023-07-02T00:00:00"/>
    <d v="2024-06-22T00:00:00"/>
    <n v="12"/>
    <x v="1"/>
    <n v="6"/>
    <n v="7"/>
    <n v="20498.669999999998"/>
    <n v="10566.73"/>
    <n v="15515.69"/>
  </r>
  <r>
    <s v="2530"/>
    <s v="Luis López"/>
    <d v="2007-01-01T00:00:00"/>
    <n v="19"/>
    <x v="0"/>
    <x v="1"/>
    <d v="2024-01-04T00:00:00"/>
    <d v="2024-12-02T00:00:00"/>
    <n v="5"/>
    <x v="2"/>
    <n v="13"/>
    <n v="8"/>
    <n v="18882.96"/>
    <n v="7103.74"/>
    <n v="19695.7"/>
  </r>
  <r>
    <s v="2531"/>
    <s v="Elena Cruz"/>
    <d v="2008-12-31T00:00:00"/>
    <n v="17"/>
    <x v="1"/>
    <x v="1"/>
    <d v="2024-12-01T00:00:00"/>
    <d v="2024-05-21T00:00:00"/>
    <n v="31"/>
    <x v="0"/>
    <n v="7"/>
    <n v="1"/>
    <n v="11492.1"/>
    <n v="4984.3900000000003"/>
    <n v="9250.65"/>
  </r>
  <r>
    <s v="2532"/>
    <s v="Elena Gómez"/>
    <d v="1933-12-31T00:00:00"/>
    <n v="92"/>
    <x v="1"/>
    <x v="2"/>
    <d v="2023-01-13T00:00:00"/>
    <d v="2024-01-30T00:00:00"/>
    <n v="22"/>
    <x v="1"/>
    <n v="9"/>
    <n v="1"/>
    <n v="21494.27"/>
    <n v="12328.87"/>
    <n v="8605.91"/>
  </r>
  <r>
    <s v="2533"/>
    <s v="Elena Sánchez"/>
    <d v="1967-01-01T00:00:00"/>
    <n v="59"/>
    <x v="1"/>
    <x v="2"/>
    <d v="2024-07-12T00:00:00"/>
    <d v="2024-10-14T00:00:00"/>
    <n v="16"/>
    <x v="2"/>
    <n v="4"/>
    <n v="6"/>
    <n v="17554.509999999998"/>
    <n v="14373.9"/>
    <n v="5444.07"/>
  </r>
  <r>
    <s v="2534"/>
    <s v="María Pérez"/>
    <d v="1964-01-01T00:00:00"/>
    <n v="62"/>
    <x v="0"/>
    <x v="3"/>
    <d v="2023-06-09T00:00:00"/>
    <d v="2024-02-11T00:00:00"/>
    <n v="10"/>
    <x v="0"/>
    <n v="3"/>
    <n v="3"/>
    <n v="22678.16"/>
    <n v="12959.73"/>
    <n v="13299.34"/>
  </r>
  <r>
    <s v="2535"/>
    <s v="Miguel Rodríguez"/>
    <d v="2020-12-31T00:00:00"/>
    <n v="5"/>
    <x v="0"/>
    <x v="4"/>
    <d v="2023-10-11T00:00:00"/>
    <d v="2023-07-01T00:00:00"/>
    <n v="9"/>
    <x v="0"/>
    <n v="3"/>
    <n v="4"/>
    <n v="5406.29"/>
    <n v="10235.31"/>
    <n v="9380.15"/>
  </r>
  <r>
    <s v="2536"/>
    <s v="Sofía Rodríguez"/>
    <d v="1995-01-01T00:00:00"/>
    <n v="31"/>
    <x v="0"/>
    <x v="0"/>
    <d v="2024-07-18T00:00:00"/>
    <d v="2023-01-22T00:00:00"/>
    <n v="12"/>
    <x v="1"/>
    <n v="0"/>
    <n v="0"/>
    <n v="10488.28"/>
    <n v="5402.25"/>
    <n v="3267.13"/>
  </r>
  <r>
    <s v="2537"/>
    <s v="Sofía Ramírez"/>
    <d v="1933-12-31T00:00:00"/>
    <n v="92"/>
    <x v="0"/>
    <x v="5"/>
    <d v="2023-10-14T00:00:00"/>
    <d v="2024-11-06T00:00:00"/>
    <n v="20"/>
    <x v="1"/>
    <n v="9"/>
    <n v="5"/>
    <n v="19972.27"/>
    <n v="9337.25"/>
    <n v="9575.6299999999992"/>
  </r>
  <r>
    <s v="2538"/>
    <s v="Elena Morales"/>
    <d v="1984-01-01T00:00:00"/>
    <n v="42"/>
    <x v="1"/>
    <x v="6"/>
    <d v="2023-01-08T00:00:00"/>
    <d v="2024-08-06T00:00:00"/>
    <n v="37"/>
    <x v="0"/>
    <n v="2"/>
    <n v="9"/>
    <n v="3306.51"/>
    <n v="1517.4"/>
    <n v="7465.06"/>
  </r>
  <r>
    <s v="2539"/>
    <s v="Juan Morales"/>
    <d v="2024-12-31T00:00:00"/>
    <n v="1"/>
    <x v="1"/>
    <x v="2"/>
    <d v="2023-03-13T00:00:00"/>
    <d v="2024-08-17T00:00:00"/>
    <n v="1"/>
    <x v="0"/>
    <n v="0"/>
    <n v="7"/>
    <n v="22997.13"/>
    <n v="8008.69"/>
    <n v="17785.099999999999"/>
  </r>
  <r>
    <s v="2540"/>
    <s v="Luis Cruz"/>
    <d v="1967-01-01T00:00:00"/>
    <n v="59"/>
    <x v="1"/>
    <x v="1"/>
    <d v="2023-04-08T00:00:00"/>
    <d v="2023-06-05T00:00:00"/>
    <n v="37"/>
    <x v="1"/>
    <n v="0"/>
    <n v="0"/>
    <n v="3569.91"/>
    <n v="11718.26"/>
    <n v="15408.89"/>
  </r>
  <r>
    <s v="2541"/>
    <s v="Jorge Rodríguez"/>
    <d v="2004-01-01T00:00:00"/>
    <n v="1"/>
    <x v="1"/>
    <x v="3"/>
    <d v="2023-03-28T00:00:00"/>
    <d v="2025-04-08T00:00:00"/>
    <n v="20"/>
    <x v="0"/>
    <n v="10"/>
    <n v="1"/>
    <n v="9395.85"/>
    <n v="3765.89"/>
    <n v="13995.07"/>
  </r>
  <r>
    <s v="2542"/>
    <s v="Sofía Martínez"/>
    <d v="1944-01-01T00:00:00"/>
    <n v="82"/>
    <x v="0"/>
    <x v="6"/>
    <d v="2023-04-11T00:00:00"/>
    <d v="2025-05-17T00:00:00"/>
    <n v="2"/>
    <x v="1"/>
    <n v="6"/>
    <n v="6"/>
    <n v="6744.62"/>
    <n v="7523.01"/>
    <n v="6475.92"/>
  </r>
  <r>
    <s v="2543"/>
    <s v="Sofía Morales"/>
    <d v="1994-01-01T00:00:00"/>
    <n v="30"/>
    <x v="0"/>
    <x v="2"/>
    <d v="2023-10-08T00:00:00"/>
    <d v="2024-07-13T00:00:00"/>
    <n v="31"/>
    <x v="0"/>
    <n v="2"/>
    <n v="1"/>
    <n v="1360.06"/>
    <n v="1099.1099999999999"/>
    <n v="2706.27"/>
  </r>
  <r>
    <s v="2544"/>
    <s v="José Cruz"/>
    <d v="2021-12-31T00:00:00"/>
    <n v="4"/>
    <x v="0"/>
    <x v="3"/>
    <d v="2023-10-16T00:00:00"/>
    <d v="2023-07-14T00:00:00"/>
    <n v="7"/>
    <x v="2"/>
    <n v="10"/>
    <n v="8"/>
    <n v="0"/>
    <n v="12577.45"/>
    <n v="17280.05"/>
  </r>
  <r>
    <s v="2545"/>
    <s v="Luisa Ramírez"/>
    <d v="1944-01-01T00:00:00"/>
    <n v="82"/>
    <x v="0"/>
    <x v="1"/>
    <d v="2023-07-15T00:00:00"/>
    <d v="2023-08-13T00:00:00"/>
    <n v="24"/>
    <x v="0"/>
    <n v="12"/>
    <n v="5"/>
    <n v="27301.09"/>
    <n v="5253.48"/>
    <n v="6789.22"/>
  </r>
  <r>
    <s v="2546"/>
    <s v="Pedro Ramírez"/>
    <d v="1992-12-31T00:00:00"/>
    <n v="33"/>
    <x v="1"/>
    <x v="0"/>
    <d v="2024-01-26T00:00:00"/>
    <d v="2024-02-04T00:00:00"/>
    <n v="39"/>
    <x v="1"/>
    <n v="2"/>
    <n v="4"/>
    <n v="0"/>
    <n v="8733.1200000000008"/>
    <n v="11818.43"/>
  </r>
  <r>
    <s v="2547"/>
    <s v="Jorge Cruz"/>
    <d v="2016-12-31T00:00:00"/>
    <n v="9"/>
    <x v="1"/>
    <x v="4"/>
    <d v="2024-08-31T00:00:00"/>
    <d v="2025-01-19T00:00:00"/>
    <n v="1"/>
    <x v="1"/>
    <n v="5"/>
    <n v="6"/>
    <n v="13.28"/>
    <n v="5678.02"/>
    <n v="11775.59"/>
  </r>
  <r>
    <s v="2548"/>
    <s v="Carmen Cruz"/>
    <d v="1937-12-31T00:00:00"/>
    <n v="88"/>
    <x v="0"/>
    <x v="4"/>
    <d v="2024-03-25T00:00:00"/>
    <d v="2023-10-08T00:00:00"/>
    <n v="1"/>
    <x v="1"/>
    <n v="2"/>
    <n v="9"/>
    <n v="20980.14"/>
    <n v="8964.01"/>
    <n v="18553.87"/>
  </r>
  <r>
    <s v="2549"/>
    <s v="José Ramírez"/>
    <d v="2024-12-31T00:00:00"/>
    <n v="1"/>
    <x v="0"/>
    <x v="3"/>
    <d v="2024-01-03T00:00:00"/>
    <d v="2023-01-11T00:00:00"/>
    <n v="5"/>
    <x v="2"/>
    <n v="7"/>
    <n v="7"/>
    <n v="10689.53"/>
    <n v="11162.97"/>
    <n v="3351.65"/>
  </r>
  <r>
    <s v="2550"/>
    <s v="María Cruz"/>
    <d v="2016-01-01T00:00:00"/>
    <n v="10"/>
    <x v="1"/>
    <x v="2"/>
    <d v="2024-03-05T00:00:00"/>
    <d v="2024-01-12T00:00:00"/>
    <n v="3"/>
    <x v="0"/>
    <n v="7"/>
    <n v="8"/>
    <n v="6507.1"/>
    <n v="4902.22"/>
    <n v="15410.07"/>
  </r>
  <r>
    <s v="2551"/>
    <s v="Jorge Pérez"/>
    <d v="1976-12-31T00:00:00"/>
    <n v="49"/>
    <x v="0"/>
    <x v="4"/>
    <d v="2023-04-06T00:00:00"/>
    <d v="2024-04-17T00:00:00"/>
    <n v="22"/>
    <x v="0"/>
    <n v="10"/>
    <n v="5"/>
    <n v="15020.6"/>
    <n v="7788.92"/>
    <n v="9198.07"/>
  </r>
  <r>
    <s v="2552"/>
    <s v="Juan Rodríguez"/>
    <d v="1996-01-01T00:00:00"/>
    <n v="30"/>
    <x v="0"/>
    <x v="4"/>
    <d v="2023-09-18T00:00:00"/>
    <d v="2023-06-02T00:00:00"/>
    <n v="24"/>
    <x v="0"/>
    <n v="12"/>
    <n v="4"/>
    <n v="7633.6"/>
    <n v="11923.12"/>
    <n v="3412.52"/>
  </r>
  <r>
    <s v="2553"/>
    <s v="Jorge Hernández"/>
    <d v="1971-01-01T00:00:00"/>
    <n v="55"/>
    <x v="1"/>
    <x v="0"/>
    <d v="2024-05-26T00:00:00"/>
    <d v="2025-05-06T00:00:00"/>
    <n v="37"/>
    <x v="0"/>
    <n v="12"/>
    <n v="6"/>
    <n v="11456.55"/>
    <n v="10317.77"/>
    <n v="16696.34"/>
  </r>
  <r>
    <s v="2554"/>
    <s v="Luis Gómez"/>
    <d v="1948-01-01T00:00:00"/>
    <n v="78"/>
    <x v="0"/>
    <x v="1"/>
    <d v="2023-05-01T00:00:00"/>
    <d v="2024-09-08T00:00:00"/>
    <n v="17"/>
    <x v="0"/>
    <n v="1"/>
    <n v="1"/>
    <n v="21317.759999999998"/>
    <n v="856.09"/>
    <n v="16384.8"/>
  </r>
  <r>
    <s v="2555"/>
    <s v="Sofía Morales"/>
    <d v="1953-12-31T00:00:00"/>
    <n v="72"/>
    <x v="1"/>
    <x v="5"/>
    <d v="2024-01-01T00:00:00"/>
    <d v="2023-05-05T00:00:00"/>
    <n v="24"/>
    <x v="1"/>
    <n v="4"/>
    <n v="7"/>
    <n v="3065.67"/>
    <n v="8531.3799999999992"/>
    <n v="707.67"/>
  </r>
  <r>
    <s v="2556"/>
    <s v="Ricardo López"/>
    <d v="1940-01-01T00:00:00"/>
    <n v="1"/>
    <x v="0"/>
    <x v="4"/>
    <d v="2023-11-28T00:00:00"/>
    <d v="2024-11-28T00:00:00"/>
    <n v="4"/>
    <x v="0"/>
    <n v="13"/>
    <n v="3"/>
    <n v="28769.51"/>
    <n v="5645.01"/>
    <n v="14159.74"/>
  </r>
  <r>
    <s v="2557"/>
    <s v="Ana Martínez"/>
    <d v="1944-01-01T00:00:00"/>
    <n v="82"/>
    <x v="0"/>
    <x v="3"/>
    <d v="2023-02-21T00:00:00"/>
    <d v="2025-03-13T00:00:00"/>
    <n v="20"/>
    <x v="2"/>
    <n v="5"/>
    <n v="0"/>
    <n v="797.12"/>
    <n v="10631.7"/>
    <n v="2985.75"/>
  </r>
  <r>
    <s v="2558"/>
    <s v="Laura Sánchez"/>
    <d v="2017-12-31T00:00:00"/>
    <n v="8"/>
    <x v="2"/>
    <x v="6"/>
    <d v="2024-01-31T00:00:00"/>
    <d v="2024-07-07T00:00:00"/>
    <n v="17"/>
    <x v="0"/>
    <n v="1"/>
    <n v="2"/>
    <n v="24099.39"/>
    <n v="250.02"/>
    <n v="12168.24"/>
  </r>
  <r>
    <s v="2559"/>
    <s v="Miguel López"/>
    <d v="2005-12-31T00:00:00"/>
    <n v="20"/>
    <x v="1"/>
    <x v="1"/>
    <d v="2023-11-14T00:00:00"/>
    <d v="2024-02-29T00:00:00"/>
    <n v="31"/>
    <x v="1"/>
    <n v="2"/>
    <n v="8"/>
    <n v="21600.03"/>
    <n v="4958.95"/>
    <n v="12840.43"/>
  </r>
  <r>
    <s v="2560"/>
    <s v="Luis López"/>
    <d v="1953-12-31T00:00:00"/>
    <n v="72"/>
    <x v="1"/>
    <x v="0"/>
    <d v="2024-11-05T00:00:00"/>
    <d v="2024-06-07T00:00:00"/>
    <n v="26"/>
    <x v="0"/>
    <n v="12"/>
    <n v="3"/>
    <n v="8103.73"/>
    <n v="1297.4000000000001"/>
    <n v="13271.42"/>
  </r>
  <r>
    <s v="2561"/>
    <s v="Ricardo Hernández"/>
    <d v="1999-01-01T00:00:00"/>
    <n v="27"/>
    <x v="1"/>
    <x v="1"/>
    <d v="2024-12-02T00:00:00"/>
    <d v="2024-12-31T00:00:00"/>
    <n v="2"/>
    <x v="2"/>
    <n v="1"/>
    <n v="9"/>
    <n v="0"/>
    <n v="13807.38"/>
    <n v="2313.9499999999998"/>
  </r>
  <r>
    <s v="2562"/>
    <s v="Jorge Rodríguez"/>
    <d v="1964-12-31T00:00:00"/>
    <n v="61"/>
    <x v="1"/>
    <x v="0"/>
    <d v="2023-10-04T00:00:00"/>
    <d v="2024-05-28T00:00:00"/>
    <n v="24"/>
    <x v="2"/>
    <n v="9"/>
    <n v="9"/>
    <n v="25497.439999999999"/>
    <n v="13147.49"/>
    <n v="11926.15"/>
  </r>
  <r>
    <s v="2563"/>
    <s v="Pedro Hernández"/>
    <d v="2020-01-01T00:00:00"/>
    <n v="6"/>
    <x v="0"/>
    <x v="1"/>
    <d v="2024-08-19T00:00:00"/>
    <d v="2023-06-21T00:00:00"/>
    <n v="9"/>
    <x v="0"/>
    <n v="7"/>
    <n v="2"/>
    <n v="20228.150000000001"/>
    <n v="14521.33"/>
    <n v="1907.25"/>
  </r>
  <r>
    <s v="2564"/>
    <s v="Miguel Martínez"/>
    <d v="1947-01-01T00:00:00"/>
    <n v="79"/>
    <x v="0"/>
    <x v="5"/>
    <d v="2023-07-13T00:00:00"/>
    <d v="2025-04-30T00:00:00"/>
    <n v="14"/>
    <x v="0"/>
    <n v="5"/>
    <n v="3"/>
    <n v="8371.8799999999992"/>
    <n v="9652.02"/>
    <n v="14885.64"/>
  </r>
  <r>
    <s v="2565"/>
    <s v="Elena Gómez"/>
    <d v="2011-01-01T00:00:00"/>
    <n v="15"/>
    <x v="1"/>
    <x v="3"/>
    <d v="2024-11-23T00:00:00"/>
    <d v="2025-03-05T00:00:00"/>
    <n v="34"/>
    <x v="0"/>
    <n v="8"/>
    <n v="2"/>
    <n v="16.34"/>
    <n v="12105.73"/>
    <n v="1181.27"/>
  </r>
  <r>
    <s v="2566"/>
    <s v="Miguel Morales"/>
    <d v="2023-01-01T00:00:00"/>
    <n v="3"/>
    <x v="1"/>
    <x v="6"/>
    <d v="2023-01-21T00:00:00"/>
    <d v="2024-07-19T00:00:00"/>
    <n v="31"/>
    <x v="0"/>
    <n v="14"/>
    <n v="2"/>
    <n v="28123.96"/>
    <n v="9178.0300000000007"/>
    <n v="15132"/>
  </r>
  <r>
    <s v="2567"/>
    <s v="Luisa Gómez"/>
    <d v="2023-01-01T00:00:00"/>
    <n v="3"/>
    <x v="1"/>
    <x v="4"/>
    <d v="2024-02-03T00:00:00"/>
    <d v="2023-05-06T00:00:00"/>
    <n v="27"/>
    <x v="1"/>
    <n v="5"/>
    <n v="1"/>
    <n v="11829.72"/>
    <n v="7380.66"/>
    <n v="17658.2"/>
  </r>
  <r>
    <s v="2568"/>
    <s v="Juan Ramírez"/>
    <d v="1996-01-01T00:00:00"/>
    <n v="24"/>
    <x v="1"/>
    <x v="5"/>
    <d v="2024-12-15T00:00:00"/>
    <d v="2023-06-25T00:00:00"/>
    <n v="33"/>
    <x v="0"/>
    <n v="13"/>
    <n v="5"/>
    <n v="4876.1400000000003"/>
    <n v="12507.31"/>
    <n v="5900.69"/>
  </r>
  <r>
    <s v="2569"/>
    <s v="Luis Pérez"/>
    <d v="2009-12-31T00:00:00"/>
    <n v="16"/>
    <x v="1"/>
    <x v="3"/>
    <d v="2023-07-21T00:00:00"/>
    <d v="2024-05-19T00:00:00"/>
    <n v="3"/>
    <x v="1"/>
    <n v="7"/>
    <n v="9"/>
    <n v="27310.94"/>
    <n v="11642.49"/>
    <n v="15543.67"/>
  </r>
  <r>
    <s v="2570"/>
    <s v="Laura López"/>
    <d v="1975-01-01T00:00:00"/>
    <n v="51"/>
    <x v="1"/>
    <x v="6"/>
    <d v="2024-04-10T00:00:00"/>
    <d v="2025-02-16T00:00:00"/>
    <n v="29"/>
    <x v="1"/>
    <n v="10"/>
    <n v="5"/>
    <n v="10450.129999999999"/>
    <n v="10999.15"/>
    <n v="8292.18"/>
  </r>
  <r>
    <s v="2571"/>
    <s v="Jorge López"/>
    <d v="1933-12-31T00:00:00"/>
    <n v="92"/>
    <x v="0"/>
    <x v="1"/>
    <d v="2023-05-31T00:00:00"/>
    <d v="2025-02-16T00:00:00"/>
    <n v="29"/>
    <x v="0"/>
    <n v="12"/>
    <n v="9"/>
    <n v="13629.18"/>
    <n v="13408.66"/>
    <n v="15934.04"/>
  </r>
  <r>
    <s v="2572"/>
    <s v="Miguel Ramírez"/>
    <d v="1975-01-01T00:00:00"/>
    <n v="51"/>
    <x v="1"/>
    <x v="4"/>
    <d v="2023-06-08T00:00:00"/>
    <d v="2024-01-21T00:00:00"/>
    <n v="6"/>
    <x v="0"/>
    <n v="13"/>
    <n v="3"/>
    <n v="20807.87"/>
    <n v="13931.16"/>
    <n v="13693.67"/>
  </r>
  <r>
    <s v="2573"/>
    <s v="Sofía Gómez"/>
    <d v="1991-01-01T00:00:00"/>
    <n v="35"/>
    <x v="0"/>
    <x v="6"/>
    <d v="2023-11-06T00:00:00"/>
    <d v="2024-12-12T00:00:00"/>
    <n v="19"/>
    <x v="2"/>
    <n v="4"/>
    <n v="7"/>
    <n v="24492.27"/>
    <n v="6679.31"/>
    <n v="5711.72"/>
  </r>
  <r>
    <s v="2574"/>
    <s v="Jorge Pérez"/>
    <d v="1988-12-31T00:00:00"/>
    <n v="37"/>
    <x v="0"/>
    <x v="2"/>
    <d v="2024-05-18T00:00:00"/>
    <d v="2025-02-07T00:00:00"/>
    <n v="7"/>
    <x v="2"/>
    <n v="6"/>
    <n v="5"/>
    <n v="2555.42"/>
    <n v="4242.32"/>
    <n v="3794.05"/>
  </r>
  <r>
    <s v="2575"/>
    <s v="María Ramírez"/>
    <d v="2021-01-01T00:00:00"/>
    <n v="49"/>
    <x v="1"/>
    <x v="6"/>
    <d v="2023-01-26T00:00:00"/>
    <d v="2024-11-15T00:00:00"/>
    <n v="26"/>
    <x v="0"/>
    <n v="3"/>
    <n v="7"/>
    <n v="26909.55"/>
    <n v="7676.78"/>
    <n v="18286.32"/>
  </r>
  <r>
    <s v="2576"/>
    <s v="Elena Morales"/>
    <d v="1964-01-01T00:00:00"/>
    <n v="62"/>
    <x v="0"/>
    <x v="3"/>
    <d v="2023-03-07T00:00:00"/>
    <d v="2024-07-25T00:00:00"/>
    <n v="8"/>
    <x v="2"/>
    <n v="14"/>
    <n v="5"/>
    <n v="27942.46"/>
    <n v="1395.99"/>
    <n v="16763.48"/>
  </r>
  <r>
    <s v="2577"/>
    <s v="José López"/>
    <d v="1964-01-01T00:00:00"/>
    <n v="30"/>
    <x v="0"/>
    <x v="5"/>
    <d v="2023-09-20T00:00:00"/>
    <d v="2023-04-17T00:00:00"/>
    <n v="25"/>
    <x v="2"/>
    <n v="6"/>
    <n v="8"/>
    <n v="7407.73"/>
    <n v="14072.41"/>
    <n v="13164.03"/>
  </r>
  <r>
    <s v="2578"/>
    <s v="Juan Pérez"/>
    <d v="1964-12-31T00:00:00"/>
    <n v="61"/>
    <x v="0"/>
    <x v="4"/>
    <d v="2024-04-16T00:00:00"/>
    <d v="2024-09-29T00:00:00"/>
    <n v="1"/>
    <x v="0"/>
    <n v="10"/>
    <n v="2"/>
    <n v="14670.33"/>
    <n v="14757.8"/>
    <n v="6922.37"/>
  </r>
  <r>
    <s v="2579"/>
    <s v="Luis Pérez"/>
    <d v="2020-01-01T00:00:00"/>
    <n v="6"/>
    <x v="1"/>
    <x v="5"/>
    <d v="2023-06-16T00:00:00"/>
    <d v="2024-06-12T00:00:00"/>
    <n v="18"/>
    <x v="2"/>
    <n v="14"/>
    <n v="2"/>
    <n v="25665.200000000001"/>
    <n v="9790.57"/>
    <n v="10160.23"/>
  </r>
  <r>
    <s v="2580"/>
    <s v="Jorge Ramírez"/>
    <d v="2000-01-01T00:00:00"/>
    <n v="26"/>
    <x v="1"/>
    <x v="4"/>
    <d v="2023-06-03T00:00:00"/>
    <d v="2023-02-08T00:00:00"/>
    <n v="28"/>
    <x v="0"/>
    <n v="8"/>
    <n v="1"/>
    <n v="14364.12"/>
    <n v="11192.43"/>
    <n v="11113.07"/>
  </r>
  <r>
    <s v="2581"/>
    <s v="Elena Pérez"/>
    <d v="1935-01-01T00:00:00"/>
    <n v="91"/>
    <x v="0"/>
    <x v="2"/>
    <d v="2023-12-09T00:00:00"/>
    <d v="2024-01-31T00:00:00"/>
    <n v="38"/>
    <x v="1"/>
    <n v="12"/>
    <n v="9"/>
    <n v="14200.22"/>
    <n v="4855.08"/>
    <n v="1630.01"/>
  </r>
  <r>
    <s v="2582"/>
    <s v="Juan Gómez"/>
    <d v="1940-12-31T00:00:00"/>
    <n v="59"/>
    <x v="0"/>
    <x v="3"/>
    <d v="2024-12-18T00:00:00"/>
    <d v="2025-01-25T00:00:00"/>
    <n v="14"/>
    <x v="0"/>
    <n v="1"/>
    <n v="5"/>
    <n v="18364.96"/>
    <n v="12994.01"/>
    <n v="19441.900000000001"/>
  </r>
  <r>
    <s v="2583"/>
    <s v="Elena Morales"/>
    <d v="2012-12-31T00:00:00"/>
    <n v="13"/>
    <x v="1"/>
    <x v="6"/>
    <d v="2024-02-17T00:00:00"/>
    <d v="2024-04-22T00:00:00"/>
    <n v="24"/>
    <x v="2"/>
    <n v="1"/>
    <n v="6"/>
    <n v="22906.9"/>
    <n v="13504.54"/>
    <n v="1745.57"/>
  </r>
  <r>
    <s v="2584"/>
    <s v="Carlos Pérez"/>
    <d v="1956-01-01T00:00:00"/>
    <n v="70"/>
    <x v="1"/>
    <x v="2"/>
    <d v="2024-10-26T00:00:00"/>
    <d v="2024-04-12T00:00:00"/>
    <n v="27"/>
    <x v="0"/>
    <n v="13"/>
    <n v="6"/>
    <n v="19801.330000000002"/>
    <n v="1153.53"/>
    <n v="14405.84"/>
  </r>
  <r>
    <s v="2585"/>
    <s v="Laura Cruz"/>
    <d v="1940-12-31T00:00:00"/>
    <n v="85"/>
    <x v="1"/>
    <x v="1"/>
    <d v="2023-07-03T00:00:00"/>
    <d v="2024-12-23T00:00:00"/>
    <n v="38"/>
    <x v="2"/>
    <n v="2"/>
    <n v="4"/>
    <n v="18610.28"/>
    <n v="1971.66"/>
    <n v="9805.31"/>
  </r>
  <r>
    <s v="2586"/>
    <s v="Miguel Sánchez"/>
    <d v="2021-12-31T00:00:00"/>
    <n v="4"/>
    <x v="1"/>
    <x v="0"/>
    <d v="2024-11-01T00:00:00"/>
    <d v="2024-05-20T00:00:00"/>
    <n v="5"/>
    <x v="0"/>
    <n v="14"/>
    <n v="5"/>
    <n v="10835.98"/>
    <n v="3912.79"/>
    <n v="15173.56"/>
  </r>
  <r>
    <s v="2587"/>
    <s v="Luis Gómez"/>
    <d v="1972-01-01T00:00:00"/>
    <n v="54"/>
    <x v="0"/>
    <x v="1"/>
    <d v="2023-07-13T00:00:00"/>
    <d v="2023-11-12T00:00:00"/>
    <n v="34"/>
    <x v="2"/>
    <n v="12"/>
    <n v="6"/>
    <n v="18717.25"/>
    <n v="10555.12"/>
    <n v="5144.7"/>
  </r>
  <r>
    <s v="2588"/>
    <s v="Luis Hernández"/>
    <d v="2024-12-31T00:00:00"/>
    <n v="1"/>
    <x v="1"/>
    <x v="3"/>
    <d v="2023-01-02T00:00:00"/>
    <d v="2023-10-13T00:00:00"/>
    <n v="2"/>
    <x v="1"/>
    <n v="9"/>
    <n v="1"/>
    <n v="2649.82"/>
    <n v="2750.47"/>
    <n v="7841.72"/>
  </r>
  <r>
    <s v="2589"/>
    <s v="Ricardo Pérez"/>
    <d v="1964-12-31T00:00:00"/>
    <n v="61"/>
    <x v="1"/>
    <x v="2"/>
    <d v="2023-08-03T00:00:00"/>
    <d v="2024-04-09T00:00:00"/>
    <n v="23"/>
    <x v="0"/>
    <n v="7"/>
    <n v="9"/>
    <n v="11991.52"/>
    <n v="3301.2"/>
    <n v="10462.58"/>
  </r>
  <r>
    <s v="2590"/>
    <s v="Carmen López"/>
    <d v="1936-01-01T00:00:00"/>
    <n v="90"/>
    <x v="0"/>
    <x v="5"/>
    <d v="2024-11-17T00:00:00"/>
    <d v="2024-11-11T00:00:00"/>
    <n v="3"/>
    <x v="0"/>
    <n v="6"/>
    <n v="6"/>
    <n v="5244.71"/>
    <n v="5727.95"/>
    <n v="2326.7600000000002"/>
  </r>
  <r>
    <s v="2591"/>
    <s v="Sofía Gómez"/>
    <d v="2005-12-31T00:00:00"/>
    <n v="82"/>
    <x v="1"/>
    <x v="2"/>
    <d v="2024-08-09T00:00:00"/>
    <d v="2023-09-22T00:00:00"/>
    <n v="13"/>
    <x v="1"/>
    <n v="12"/>
    <n v="0"/>
    <n v="15895.82"/>
    <n v="9174.5499999999993"/>
    <n v="17021.93"/>
  </r>
  <r>
    <s v="2592"/>
    <s v="Luis Pérez"/>
    <d v="1948-01-01T00:00:00"/>
    <n v="78"/>
    <x v="0"/>
    <x v="0"/>
    <d v="2024-09-30T00:00:00"/>
    <d v="2024-09-02T00:00:00"/>
    <n v="2"/>
    <x v="2"/>
    <n v="14"/>
    <n v="5"/>
    <n v="7492.38"/>
    <n v="14644.64"/>
    <n v="19829.900000000001"/>
  </r>
  <r>
    <s v="2593"/>
    <s v="Ana López"/>
    <d v="2005-12-31T00:00:00"/>
    <n v="20"/>
    <x v="0"/>
    <x v="3"/>
    <d v="2024-04-27T00:00:00"/>
    <d v="2024-10-08T00:00:00"/>
    <n v="6"/>
    <x v="2"/>
    <n v="6"/>
    <n v="7"/>
    <n v="14931.01"/>
    <n v="11758.42"/>
    <n v="8293.51"/>
  </r>
  <r>
    <s v="2594"/>
    <s v="José Morales"/>
    <d v="2016-12-31T00:00:00"/>
    <n v="9"/>
    <x v="1"/>
    <x v="2"/>
    <d v="2024-07-14T00:00:00"/>
    <d v="2024-03-05T00:00:00"/>
    <n v="18"/>
    <x v="2"/>
    <n v="0"/>
    <n v="0"/>
    <n v="23208.41"/>
    <n v="8374.5499999999993"/>
    <n v="7474.01"/>
  </r>
  <r>
    <s v="2595"/>
    <s v="Sofía Rodríguez"/>
    <d v="1940-01-01T00:00:00"/>
    <n v="86"/>
    <x v="0"/>
    <x v="4"/>
    <d v="2023-02-01T00:00:00"/>
    <d v="2024-01-01T00:00:00"/>
    <n v="4"/>
    <x v="0"/>
    <n v="5"/>
    <n v="0"/>
    <n v="12736.78"/>
    <n v="740.79"/>
    <n v="11841.02"/>
  </r>
  <r>
    <s v="2596"/>
    <s v="Sofía Hernández"/>
    <d v="1968-12-31T00:00:00"/>
    <n v="57"/>
    <x v="0"/>
    <x v="1"/>
    <d v="2024-10-31T00:00:00"/>
    <d v="2023-07-01T00:00:00"/>
    <n v="12"/>
    <x v="0"/>
    <n v="13"/>
    <n v="5"/>
    <n v="6171.22"/>
    <n v="7752.6"/>
    <n v="13742.24"/>
  </r>
  <r>
    <s v="2597"/>
    <s v="Luisa Morales"/>
    <d v="1988-01-01T00:00:00"/>
    <n v="38"/>
    <x v="1"/>
    <x v="6"/>
    <d v="2023-01-15T00:00:00"/>
    <d v="2025-01-04T00:00:00"/>
    <n v="21"/>
    <x v="0"/>
    <n v="10"/>
    <n v="4"/>
    <n v="6300.94"/>
    <n v="3061.28"/>
    <n v="17358.39"/>
  </r>
  <r>
    <s v="2598"/>
    <s v="María Morales"/>
    <d v="2018-01-01T00:00:00"/>
    <n v="4"/>
    <x v="1"/>
    <x v="1"/>
    <d v="2023-11-14T00:00:00"/>
    <d v="2025-05-26T00:00:00"/>
    <n v="2"/>
    <x v="1"/>
    <n v="1"/>
    <n v="2"/>
    <n v="27140.76"/>
    <n v="4501.04"/>
    <n v="7395.11"/>
  </r>
  <r>
    <s v="2599"/>
    <s v="Ricardo Hernández"/>
    <d v="1961-12-31T00:00:00"/>
    <n v="64"/>
    <x v="0"/>
    <x v="3"/>
    <d v="2023-08-31T00:00:00"/>
    <d v="2024-10-23T00:00:00"/>
    <n v="35"/>
    <x v="0"/>
    <n v="4"/>
    <n v="9"/>
    <n v="23317.599999999999"/>
    <n v="3762.91"/>
    <n v="15273.03"/>
  </r>
  <r>
    <s v="2600"/>
    <s v="José Gómez"/>
    <d v="2013-12-31T00:00:00"/>
    <n v="12"/>
    <x v="0"/>
    <x v="2"/>
    <d v="2023-01-17T00:00:00"/>
    <d v="2023-09-02T00:00:00"/>
    <n v="26"/>
    <x v="0"/>
    <n v="13"/>
    <n v="9"/>
    <n v="615.47"/>
    <n v="5211.72"/>
    <n v="4725.62"/>
  </r>
  <r>
    <s v="2601"/>
    <s v="María Gómez"/>
    <d v="1941-12-31T00:00:00"/>
    <n v="84"/>
    <x v="0"/>
    <x v="1"/>
    <d v="2024-06-17T00:00:00"/>
    <d v="2023-11-10T00:00:00"/>
    <n v="8"/>
    <x v="2"/>
    <n v="2"/>
    <n v="6"/>
    <n v="28253.05"/>
    <n v="933.9"/>
    <n v="13577"/>
  </r>
  <r>
    <s v="2602"/>
    <s v="Miguel Pérez"/>
    <d v="1936-12-31T00:00:00"/>
    <n v="89"/>
    <x v="1"/>
    <x v="2"/>
    <d v="2023-03-22T00:00:00"/>
    <d v="2023-03-18T00:00:00"/>
    <n v="1"/>
    <x v="1"/>
    <n v="14"/>
    <n v="6"/>
    <n v="2933.24"/>
    <n v="8652.57"/>
    <n v="9281.58"/>
  </r>
  <r>
    <s v="2603"/>
    <s v="Luis Sánchez"/>
    <d v="1941-12-31T00:00:00"/>
    <n v="84"/>
    <x v="0"/>
    <x v="1"/>
    <d v="2024-10-17T00:00:00"/>
    <d v="2025-05-31T00:00:00"/>
    <n v="7"/>
    <x v="2"/>
    <n v="4"/>
    <n v="6"/>
    <n v="19414.740000000002"/>
    <n v="686.3"/>
    <n v="13199.78"/>
  </r>
  <r>
    <s v="2604"/>
    <s v="María Martínez"/>
    <d v="1973-12-31T00:00:00"/>
    <n v="52"/>
    <x v="1"/>
    <x v="3"/>
    <d v="2024-03-11T00:00:00"/>
    <d v="2023-09-20T00:00:00"/>
    <n v="31"/>
    <x v="0"/>
    <n v="2"/>
    <n v="5"/>
    <n v="16320.84"/>
    <n v="9908.75"/>
    <n v="7534.13"/>
  </r>
  <r>
    <s v="2605"/>
    <s v="Jorge Sánchez"/>
    <d v="1944-12-31T00:00:00"/>
    <n v="81"/>
    <x v="0"/>
    <x v="5"/>
    <d v="2023-01-08T00:00:00"/>
    <d v="2023-08-20T00:00:00"/>
    <n v="1"/>
    <x v="1"/>
    <n v="1"/>
    <n v="3"/>
    <n v="923.52"/>
    <n v="10962.03"/>
    <n v="5816.22"/>
  </r>
  <r>
    <s v="2606"/>
    <s v="Miguel Martínez"/>
    <d v="1981-12-31T00:00:00"/>
    <n v="44"/>
    <x v="0"/>
    <x v="1"/>
    <d v="2024-11-09T00:00:00"/>
    <d v="2024-12-04T00:00:00"/>
    <n v="7"/>
    <x v="0"/>
    <n v="0"/>
    <n v="8"/>
    <n v="8502.7800000000007"/>
    <n v="7290.96"/>
    <n v="9668.4"/>
  </r>
  <r>
    <s v="2607"/>
    <s v="María Rodríguez"/>
    <d v="1995-01-01T00:00:00"/>
    <n v="31"/>
    <x v="0"/>
    <x v="6"/>
    <d v="2023-10-14T00:00:00"/>
    <d v="2024-01-16T00:00:00"/>
    <n v="30"/>
    <x v="0"/>
    <n v="2"/>
    <n v="8"/>
    <n v="23163.53"/>
    <n v="11718.86"/>
    <n v="17891.560000000001"/>
  </r>
  <r>
    <s v="2608"/>
    <s v="Laura Hernández"/>
    <d v="1991-01-01T00:00:00"/>
    <n v="35"/>
    <x v="0"/>
    <x v="1"/>
    <d v="2023-07-05T00:00:00"/>
    <d v="2024-10-08T00:00:00"/>
    <n v="15"/>
    <x v="0"/>
    <n v="8"/>
    <n v="6"/>
    <n v="8859.84"/>
    <n v="14510.86"/>
    <n v="13464.53"/>
  </r>
  <r>
    <s v="2609"/>
    <s v="Carmen Martínez"/>
    <d v="2010-01-01T00:00:00"/>
    <n v="72"/>
    <x v="0"/>
    <x v="3"/>
    <d v="2024-06-07T00:00:00"/>
    <d v="2023-11-06T00:00:00"/>
    <n v="9"/>
    <x v="0"/>
    <n v="0"/>
    <n v="6"/>
    <n v="14150.14"/>
    <n v="5100.79"/>
    <n v="12194.31"/>
  </r>
  <r>
    <s v="2610"/>
    <s v="Carmen López"/>
    <d v="1967-01-01T00:00:00"/>
    <n v="59"/>
    <x v="0"/>
    <x v="1"/>
    <d v="2024-02-26T00:00:00"/>
    <d v="2025-02-03T00:00:00"/>
    <n v="20"/>
    <x v="0"/>
    <n v="5"/>
    <n v="7"/>
    <n v="20787.490000000002"/>
    <n v="9283.6"/>
    <n v="14369.29"/>
  </r>
  <r>
    <s v="2611"/>
    <s v="Ana Martínez"/>
    <d v="2016-01-01T00:00:00"/>
    <n v="10"/>
    <x v="1"/>
    <x v="6"/>
    <d v="2024-04-10T00:00:00"/>
    <d v="2024-01-24T00:00:00"/>
    <n v="22"/>
    <x v="0"/>
    <n v="13"/>
    <n v="4"/>
    <n v="0"/>
    <n v="4855.9799999999996"/>
    <n v="14555.14"/>
  </r>
  <r>
    <s v="2612"/>
    <s v="María Cruz"/>
    <d v="1964-01-01T00:00:00"/>
    <n v="62"/>
    <x v="0"/>
    <x v="4"/>
    <d v="2023-03-24T00:00:00"/>
    <d v="2025-01-27T00:00:00"/>
    <n v="34"/>
    <x v="0"/>
    <n v="1"/>
    <n v="8"/>
    <n v="0"/>
    <n v="6650.78"/>
    <n v="5824.36"/>
  </r>
  <r>
    <s v="2613"/>
    <s v="María Morales"/>
    <d v="2005-12-31T00:00:00"/>
    <n v="20"/>
    <x v="0"/>
    <x v="6"/>
    <d v="2024-07-20T00:00:00"/>
    <d v="2025-02-16T00:00:00"/>
    <n v="1"/>
    <x v="0"/>
    <n v="12"/>
    <n v="5"/>
    <n v="768.23"/>
    <n v="312.38"/>
    <n v="4578.03"/>
  </r>
  <r>
    <s v="2614"/>
    <s v="María Morales"/>
    <d v="1975-01-01T00:00:00"/>
    <n v="51"/>
    <x v="1"/>
    <x v="3"/>
    <d v="2024-10-04T00:00:00"/>
    <d v="2023-11-22T00:00:00"/>
    <n v="10"/>
    <x v="1"/>
    <n v="9"/>
    <n v="6"/>
    <n v="7502.82"/>
    <n v="1115.25"/>
    <n v="10133.549999999999"/>
  </r>
  <r>
    <s v="2615"/>
    <s v="Ricardo Cruz"/>
    <d v="1972-01-01T00:00:00"/>
    <n v="54"/>
    <x v="0"/>
    <x v="2"/>
    <d v="2024-09-28T00:00:00"/>
    <d v="2025-04-22T00:00:00"/>
    <n v="15"/>
    <x v="0"/>
    <n v="14"/>
    <n v="6"/>
    <n v="22773.55"/>
    <n v="11962.93"/>
    <n v="2871.52"/>
  </r>
  <r>
    <s v="2616"/>
    <s v="Ricardo Rodríguez"/>
    <d v="2000-12-31T00:00:00"/>
    <n v="25"/>
    <x v="1"/>
    <x v="1"/>
    <d v="2024-04-27T00:00:00"/>
    <d v="2025-05-29T00:00:00"/>
    <n v="26"/>
    <x v="1"/>
    <n v="1"/>
    <n v="8"/>
    <n v="27312.19"/>
    <n v="2098.62"/>
    <n v="9442.2900000000009"/>
  </r>
  <r>
    <s v="2617"/>
    <s v="Laura Morales"/>
    <d v="1959-01-01T00:00:00"/>
    <n v="67"/>
    <x v="0"/>
    <x v="5"/>
    <d v="2023-11-21T00:00:00"/>
    <d v="2024-04-01T00:00:00"/>
    <n v="27"/>
    <x v="2"/>
    <n v="3"/>
    <n v="6"/>
    <n v="22690.48"/>
    <n v="10487.27"/>
    <n v="13830.21"/>
  </r>
  <r>
    <s v="2618"/>
    <s v="Luisa López"/>
    <d v="1992-12-31T00:00:00"/>
    <n v="33"/>
    <x v="0"/>
    <x v="6"/>
    <d v="2024-02-23T00:00:00"/>
    <d v="2024-05-27T00:00:00"/>
    <n v="35"/>
    <x v="1"/>
    <n v="14"/>
    <n v="2"/>
    <n v="6423.48"/>
    <n v="10633.01"/>
    <n v="48.94"/>
  </r>
  <r>
    <s v="2619"/>
    <s v="Elena Hernández"/>
    <d v="1975-01-01T00:00:00"/>
    <n v="51"/>
    <x v="1"/>
    <x v="4"/>
    <d v="2023-02-20T00:00:00"/>
    <d v="2023-12-10T00:00:00"/>
    <n v="25"/>
    <x v="0"/>
    <n v="5"/>
    <n v="5"/>
    <n v="29564.58"/>
    <n v="14943.39"/>
    <n v="2134.06"/>
  </r>
  <r>
    <s v="2620"/>
    <s v="Ricardo López"/>
    <d v="1944-12-31T00:00:00"/>
    <n v="81"/>
    <x v="0"/>
    <x v="6"/>
    <d v="2023-01-27T00:00:00"/>
    <d v="2024-05-31T00:00:00"/>
    <n v="4"/>
    <x v="2"/>
    <n v="12"/>
    <n v="5"/>
    <n v="12106.69"/>
    <n v="10433.94"/>
    <n v="19239.29"/>
  </r>
  <r>
    <s v="2621"/>
    <s v="Miguel Ramírez"/>
    <d v="1933-12-31T00:00:00"/>
    <n v="92"/>
    <x v="1"/>
    <x v="1"/>
    <d v="2024-11-07T00:00:00"/>
    <d v="2024-03-18T00:00:00"/>
    <n v="21"/>
    <x v="0"/>
    <n v="1"/>
    <n v="6"/>
    <n v="10981.76"/>
    <n v="1931.19"/>
    <n v="18551.63"/>
  </r>
  <r>
    <s v="2622"/>
    <s v="Juan Rodríguez"/>
    <d v="1975-01-01T00:00:00"/>
    <n v="51"/>
    <x v="0"/>
    <x v="2"/>
    <d v="2024-06-28T00:00:00"/>
    <d v="2024-07-03T00:00:00"/>
    <n v="38"/>
    <x v="1"/>
    <n v="14"/>
    <n v="5"/>
    <n v="25889.68"/>
    <n v="9398.1200000000008"/>
    <n v="8300.1200000000008"/>
  </r>
  <r>
    <s v="2623"/>
    <s v="Elena Rodríguez"/>
    <d v="1997-12-31T00:00:00"/>
    <n v="28"/>
    <x v="1"/>
    <x v="1"/>
    <d v="2023-03-03T00:00:00"/>
    <d v="2024-08-06T00:00:00"/>
    <n v="7"/>
    <x v="1"/>
    <n v="10"/>
    <n v="3"/>
    <n v="1519.37"/>
    <n v="7862.14"/>
    <n v="11759.66"/>
  </r>
  <r>
    <s v="2624"/>
    <s v="Juan Hernández"/>
    <d v="1988-12-31T00:00:00"/>
    <n v="37"/>
    <x v="1"/>
    <x v="4"/>
    <d v="2024-10-18T00:00:00"/>
    <d v="2023-09-20T00:00:00"/>
    <n v="34"/>
    <x v="0"/>
    <n v="10"/>
    <n v="5"/>
    <n v="16460.48"/>
    <n v="13760.86"/>
    <n v="3021.38"/>
  </r>
  <r>
    <s v="2625"/>
    <s v="Laura Cruz"/>
    <d v="1984-12-31T00:00:00"/>
    <n v="41"/>
    <x v="1"/>
    <x v="4"/>
    <d v="2023-06-20T00:00:00"/>
    <d v="2025-01-19T00:00:00"/>
    <n v="24"/>
    <x v="0"/>
    <n v="2"/>
    <n v="2"/>
    <n v="28951.59"/>
    <n v="10352.25"/>
    <n v="6553.34"/>
  </r>
  <r>
    <s v="2626"/>
    <s v="Pedro Ramírez"/>
    <d v="2005-12-31T00:00:00"/>
    <n v="20"/>
    <x v="1"/>
    <x v="3"/>
    <d v="2023-10-13T00:00:00"/>
    <d v="2025-03-30T00:00:00"/>
    <n v="18"/>
    <x v="0"/>
    <n v="3"/>
    <n v="0"/>
    <n v="2553.98"/>
    <n v="7777.18"/>
    <n v="15837.94"/>
  </r>
  <r>
    <s v="2627"/>
    <s v="Miguel Sánchez"/>
    <d v="1984-12-31T00:00:00"/>
    <n v="41"/>
    <x v="0"/>
    <x v="5"/>
    <d v="2023-04-27T00:00:00"/>
    <d v="2024-04-08T00:00:00"/>
    <n v="33"/>
    <x v="0"/>
    <n v="0"/>
    <n v="0"/>
    <n v="0"/>
    <n v="9363.2099999999991"/>
    <n v="17104.93"/>
  </r>
  <r>
    <s v="2628"/>
    <s v="José Cruz"/>
    <d v="2013-12-31T00:00:00"/>
    <n v="12"/>
    <x v="0"/>
    <x v="1"/>
    <d v="2023-01-04T00:00:00"/>
    <d v="2025-05-17T00:00:00"/>
    <n v="26"/>
    <x v="0"/>
    <n v="5"/>
    <n v="4"/>
    <n v="3539.93"/>
    <n v="6651.9"/>
    <n v="8046.37"/>
  </r>
  <r>
    <s v="2629"/>
    <s v="Carlos Morales"/>
    <d v="1963-01-01T00:00:00"/>
    <n v="63"/>
    <x v="1"/>
    <x v="6"/>
    <d v="2023-03-07T00:00:00"/>
    <d v="2024-11-21T00:00:00"/>
    <n v="4"/>
    <x v="0"/>
    <n v="2"/>
    <n v="7"/>
    <n v="26644.33"/>
    <n v="7626.11"/>
    <n v="6152.16"/>
  </r>
  <r>
    <s v="2630"/>
    <s v="Miguel Cruz"/>
    <d v="2009-12-31T00:00:00"/>
    <n v="16"/>
    <x v="1"/>
    <x v="6"/>
    <d v="2023-03-01T00:00:00"/>
    <d v="2024-08-31T00:00:00"/>
    <n v="10"/>
    <x v="2"/>
    <n v="6"/>
    <n v="2"/>
    <n v="17426.330000000002"/>
    <n v="10835.17"/>
    <n v="13601.81"/>
  </r>
  <r>
    <s v="2631"/>
    <s v="Ana Ramírez"/>
    <d v="2017-12-31T00:00:00"/>
    <n v="8"/>
    <x v="1"/>
    <x v="3"/>
    <d v="2024-05-16T00:00:00"/>
    <d v="2023-08-16T00:00:00"/>
    <n v="20"/>
    <x v="0"/>
    <n v="12"/>
    <n v="1"/>
    <n v="6655.4"/>
    <n v="1175.19"/>
    <n v="14329.85"/>
  </r>
  <r>
    <s v="2632"/>
    <s v="Laura Cruz"/>
    <d v="1985-12-31T00:00:00"/>
    <n v="40"/>
    <x v="0"/>
    <x v="2"/>
    <d v="2023-08-17T00:00:00"/>
    <d v="2024-06-07T00:00:00"/>
    <n v="22"/>
    <x v="2"/>
    <n v="12"/>
    <n v="7"/>
    <n v="8864.81"/>
    <n v="9230.0300000000007"/>
    <n v="19674.52"/>
  </r>
  <r>
    <s v="2633"/>
    <s v="María Gómez"/>
    <d v="2025-12-31T00:00:00"/>
    <n v="0"/>
    <x v="0"/>
    <x v="1"/>
    <d v="2023-04-10T00:00:00"/>
    <d v="2025-02-17T00:00:00"/>
    <n v="38"/>
    <x v="0"/>
    <n v="13"/>
    <n v="8"/>
    <n v="15257.24"/>
    <n v="1323.26"/>
    <n v="13916.31"/>
  </r>
  <r>
    <s v="2634"/>
    <s v="Sofía Rodríguez"/>
    <d v="2024-12-31T00:00:00"/>
    <n v="1"/>
    <x v="1"/>
    <x v="0"/>
    <d v="2023-04-29T00:00:00"/>
    <d v="2023-07-09T00:00:00"/>
    <n v="10"/>
    <x v="0"/>
    <n v="1"/>
    <n v="8"/>
    <n v="21623.119999999999"/>
    <n v="12826.15"/>
    <n v="4727.32"/>
  </r>
  <r>
    <s v="2635"/>
    <s v="Sofía Martínez"/>
    <d v="1967-01-01T00:00:00"/>
    <n v="59"/>
    <x v="0"/>
    <x v="2"/>
    <d v="2023-03-10T00:00:00"/>
    <d v="2023-07-29T00:00:00"/>
    <n v="34"/>
    <x v="0"/>
    <n v="8"/>
    <n v="1"/>
    <n v="14368.57"/>
    <n v="14136.95"/>
    <n v="1105.69"/>
  </r>
  <r>
    <s v="2636"/>
    <s v="José Gómez"/>
    <d v="1979-01-01T00:00:00"/>
    <n v="47"/>
    <x v="1"/>
    <x v="6"/>
    <d v="2024-10-25T00:00:00"/>
    <d v="2023-01-14T00:00:00"/>
    <n v="27"/>
    <x v="1"/>
    <n v="1"/>
    <n v="7"/>
    <n v="5272.61"/>
    <n v="11703.04"/>
    <n v="5077.8599999999997"/>
  </r>
  <r>
    <s v="2637"/>
    <s v="Pedro Cruz"/>
    <d v="1997-12-31T00:00:00"/>
    <n v="28"/>
    <x v="0"/>
    <x v="4"/>
    <d v="2023-08-09T00:00:00"/>
    <d v="2025-06-08T00:00:00"/>
    <n v="23"/>
    <x v="0"/>
    <n v="1"/>
    <n v="1"/>
    <n v="21098"/>
    <n v="10770.48"/>
    <n v="4455.72"/>
  </r>
  <r>
    <s v="2638"/>
    <s v="María Hernández"/>
    <d v="2016-12-31T00:00:00"/>
    <n v="9"/>
    <x v="0"/>
    <x v="1"/>
    <d v="2023-08-11T00:00:00"/>
    <d v="2023-06-12T00:00:00"/>
    <n v="9"/>
    <x v="0"/>
    <n v="2"/>
    <n v="6"/>
    <n v="3110.09"/>
    <n v="14156.21"/>
    <n v="1765.97"/>
  </r>
  <r>
    <s v="2639"/>
    <s v="José Sánchez"/>
    <d v="1968-12-31T00:00:00"/>
    <n v="57"/>
    <x v="0"/>
    <x v="4"/>
    <d v="2024-11-07T00:00:00"/>
    <d v="2024-07-26T00:00:00"/>
    <n v="2"/>
    <x v="1"/>
    <n v="1"/>
    <n v="7"/>
    <n v="24186.92"/>
    <n v="3277.92"/>
    <n v="8832.19"/>
  </r>
  <r>
    <s v="2640"/>
    <s v="Miguel Martínez"/>
    <d v="1967-01-01T00:00:00"/>
    <n v="59"/>
    <x v="0"/>
    <x v="6"/>
    <d v="2024-05-18T00:00:00"/>
    <d v="2024-05-08T00:00:00"/>
    <n v="15"/>
    <x v="0"/>
    <n v="14"/>
    <n v="0"/>
    <n v="11565.8"/>
    <n v="3432.49"/>
    <n v="5691.6"/>
  </r>
  <r>
    <s v="2641"/>
    <s v="Sofía Pérez"/>
    <d v="2005-12-31T00:00:00"/>
    <n v="20"/>
    <x v="0"/>
    <x v="5"/>
    <d v="2023-07-30T00:00:00"/>
    <d v="2024-03-11T00:00:00"/>
    <n v="18"/>
    <x v="0"/>
    <n v="14"/>
    <n v="7"/>
    <n v="19407.669999999998"/>
    <n v="7215.23"/>
    <n v="18494.32"/>
  </r>
  <r>
    <s v="2642"/>
    <s v="Sofía Morales"/>
    <d v="1999-01-01T00:00:00"/>
    <n v="27"/>
    <x v="0"/>
    <x v="2"/>
    <d v="2024-07-28T00:00:00"/>
    <d v="2023-01-06T00:00:00"/>
    <n v="21"/>
    <x v="0"/>
    <n v="13"/>
    <n v="2"/>
    <n v="10013.35"/>
    <n v="111.95"/>
    <n v="8018.59"/>
  </r>
  <r>
    <s v="2643"/>
    <s v="Luisa López"/>
    <d v="1952-01-01T00:00:00"/>
    <n v="74"/>
    <x v="0"/>
    <x v="0"/>
    <d v="2023-09-19T00:00:00"/>
    <d v="2023-07-22T00:00:00"/>
    <n v="14"/>
    <x v="0"/>
    <n v="3"/>
    <n v="0"/>
    <n v="19906.740000000002"/>
    <n v="14476.05"/>
    <n v="17519.990000000002"/>
  </r>
  <r>
    <s v="2644"/>
    <s v="Carlos Morales"/>
    <d v="1992-12-31T00:00:00"/>
    <n v="33"/>
    <x v="1"/>
    <x v="5"/>
    <d v="2024-06-01T00:00:00"/>
    <d v="2024-02-21T00:00:00"/>
    <n v="39"/>
    <x v="0"/>
    <n v="12"/>
    <n v="6"/>
    <n v="26620.2"/>
    <n v="483.79"/>
    <n v="6065.31"/>
  </r>
  <r>
    <s v="2645"/>
    <s v="Laura Hernández"/>
    <d v="2019-01-01T00:00:00"/>
    <n v="7"/>
    <x v="1"/>
    <x v="0"/>
    <d v="2023-09-05T00:00:00"/>
    <d v="2023-01-13T00:00:00"/>
    <n v="6"/>
    <x v="2"/>
    <n v="12"/>
    <n v="9"/>
    <n v="20892.830000000002"/>
    <n v="8941.68"/>
    <n v="16612.96"/>
  </r>
  <r>
    <s v="2646"/>
    <s v="Jorge Pérez"/>
    <d v="1968-01-01T00:00:00"/>
    <n v="58"/>
    <x v="1"/>
    <x v="5"/>
    <d v="2023-09-14T00:00:00"/>
    <d v="2024-02-02T00:00:00"/>
    <n v="37"/>
    <x v="1"/>
    <n v="4"/>
    <n v="2"/>
    <n v="19977.97"/>
    <n v="5309.61"/>
    <n v="9035.74"/>
  </r>
  <r>
    <s v="2647"/>
    <s v="Carlos Gómez"/>
    <d v="1940-12-31T00:00:00"/>
    <n v="85"/>
    <x v="0"/>
    <x v="2"/>
    <d v="2023-03-04T00:00:00"/>
    <d v="2023-12-08T00:00:00"/>
    <n v="25"/>
    <x v="0"/>
    <n v="5"/>
    <n v="7"/>
    <n v="22601.03"/>
    <n v="1544.49"/>
    <n v="550.4"/>
  </r>
  <r>
    <s v="2648"/>
    <s v="Carmen Cruz"/>
    <d v="1955-01-01T00:00:00"/>
    <n v="71"/>
    <x v="1"/>
    <x v="6"/>
    <d v="2024-01-27T00:00:00"/>
    <d v="2025-01-22T00:00:00"/>
    <n v="12"/>
    <x v="2"/>
    <n v="6"/>
    <n v="8"/>
    <n v="14756.47"/>
    <n v="369.22"/>
    <n v="9687.76"/>
  </r>
  <r>
    <s v="2649"/>
    <s v="Carlos Gómez"/>
    <d v="1977-12-31T00:00:00"/>
    <n v="48"/>
    <x v="1"/>
    <x v="0"/>
    <d v="2024-06-23T00:00:00"/>
    <d v="2024-01-09T00:00:00"/>
    <n v="10"/>
    <x v="2"/>
    <n v="6"/>
    <n v="1"/>
    <n v="6218.93"/>
    <n v="3936.28"/>
    <n v="4458.04"/>
  </r>
  <r>
    <s v="2650"/>
    <s v="Ana Gómez"/>
    <d v="1948-01-01T00:00:00"/>
    <n v="84"/>
    <x v="1"/>
    <x v="2"/>
    <d v="2024-02-21T00:00:00"/>
    <d v="2024-01-14T00:00:00"/>
    <n v="25"/>
    <x v="0"/>
    <n v="0"/>
    <n v="0"/>
    <n v="24373.42"/>
    <n v="1600.26"/>
    <n v="6079.59"/>
  </r>
  <r>
    <s v="2651"/>
    <s v="Juan Hernández"/>
    <d v="2009-12-31T00:00:00"/>
    <n v="16"/>
    <x v="1"/>
    <x v="0"/>
    <d v="2023-02-22T00:00:00"/>
    <d v="2023-08-14T00:00:00"/>
    <n v="14"/>
    <x v="0"/>
    <n v="10"/>
    <n v="7"/>
    <n v="19278.7"/>
    <n v="14104.93"/>
    <n v="13655.58"/>
  </r>
  <r>
    <s v="2652"/>
    <s v="Laura Morales"/>
    <d v="1967-01-01T00:00:00"/>
    <n v="59"/>
    <x v="0"/>
    <x v="2"/>
    <d v="2023-02-07T00:00:00"/>
    <d v="2023-07-02T00:00:00"/>
    <n v="6"/>
    <x v="0"/>
    <n v="2"/>
    <n v="9"/>
    <n v="9071.5400000000009"/>
    <n v="3671.42"/>
    <n v="10543.04"/>
  </r>
  <r>
    <s v="2653"/>
    <s v="Pedro Morales"/>
    <d v="1940-01-01T00:00:00"/>
    <n v="86"/>
    <x v="0"/>
    <x v="5"/>
    <d v="2023-11-04T00:00:00"/>
    <d v="2023-10-25T00:00:00"/>
    <n v="18"/>
    <x v="2"/>
    <n v="5"/>
    <n v="5"/>
    <n v="7914.04"/>
    <n v="1411.98"/>
    <n v="17761.11"/>
  </r>
  <r>
    <s v="2654"/>
    <s v="Miguel Gómez"/>
    <d v="1939-01-01T00:00:00"/>
    <n v="81"/>
    <x v="0"/>
    <x v="2"/>
    <d v="2024-10-12T00:00:00"/>
    <d v="2025-03-27T00:00:00"/>
    <n v="27"/>
    <x v="0"/>
    <n v="7"/>
    <n v="9"/>
    <n v="14747.83"/>
    <n v="11545.23"/>
    <n v="18712.689999999999"/>
  </r>
  <r>
    <s v="2655"/>
    <s v="Ricardo Cruz"/>
    <d v="1981-12-31T00:00:00"/>
    <n v="44"/>
    <x v="0"/>
    <x v="5"/>
    <d v="2023-02-22T00:00:00"/>
    <d v="2023-11-04T00:00:00"/>
    <n v="8"/>
    <x v="2"/>
    <n v="7"/>
    <n v="0"/>
    <n v="5822.82"/>
    <n v="6213.78"/>
    <n v="13788.24"/>
  </r>
  <r>
    <s v="2656"/>
    <s v="Laura Rodríguez"/>
    <d v="1944-01-01T00:00:00"/>
    <n v="82"/>
    <x v="0"/>
    <x v="6"/>
    <d v="2024-08-28T00:00:00"/>
    <d v="2024-03-07T00:00:00"/>
    <n v="27"/>
    <x v="0"/>
    <n v="9"/>
    <n v="2"/>
    <n v="26286.28"/>
    <n v="12654.99"/>
    <n v="17257.060000000001"/>
  </r>
  <r>
    <s v="2657"/>
    <s v="Pedro Sánchez"/>
    <d v="1957-12-31T00:00:00"/>
    <n v="68"/>
    <x v="0"/>
    <x v="5"/>
    <d v="2024-08-28T00:00:00"/>
    <d v="2024-11-21T00:00:00"/>
    <n v="33"/>
    <x v="2"/>
    <n v="1"/>
    <n v="8"/>
    <n v="23551.48"/>
    <n v="12576.46"/>
    <n v="3821"/>
  </r>
  <r>
    <s v="2658"/>
    <s v="Laura Rodríguez"/>
    <d v="1995-01-01T00:00:00"/>
    <n v="31"/>
    <x v="1"/>
    <x v="3"/>
    <d v="2024-03-27T00:00:00"/>
    <d v="2023-04-29T00:00:00"/>
    <n v="22"/>
    <x v="0"/>
    <n v="10"/>
    <n v="8"/>
    <n v="8903.61"/>
    <n v="14885.71"/>
    <n v="1493.42"/>
  </r>
  <r>
    <s v="2659"/>
    <s v="Carlos Hernández"/>
    <d v="1983-01-01T00:00:00"/>
    <n v="43"/>
    <x v="0"/>
    <x v="6"/>
    <d v="2024-04-05T00:00:00"/>
    <d v="2023-12-19T00:00:00"/>
    <n v="4"/>
    <x v="0"/>
    <n v="5"/>
    <n v="5"/>
    <n v="1006.81"/>
    <n v="12057.42"/>
    <n v="6592.68"/>
  </r>
  <r>
    <s v="2660"/>
    <s v="Juan López"/>
    <d v="1961-12-31T00:00:00"/>
    <n v="64"/>
    <x v="1"/>
    <x v="4"/>
    <d v="2024-04-30T00:00:00"/>
    <d v="2024-08-11T00:00:00"/>
    <n v="17"/>
    <x v="0"/>
    <n v="2"/>
    <n v="2"/>
    <n v="1081.98"/>
    <n v="3212.28"/>
    <n v="6446.9"/>
  </r>
  <r>
    <s v="2661"/>
    <s v="Juan Rodríguez"/>
    <d v="1940-01-01T00:00:00"/>
    <n v="86"/>
    <x v="1"/>
    <x v="4"/>
    <d v="2023-05-17T00:00:00"/>
    <d v="2023-02-16T00:00:00"/>
    <n v="32"/>
    <x v="2"/>
    <n v="7"/>
    <n v="7"/>
    <n v="8562.15"/>
    <n v="8796.73"/>
    <n v="13268.36"/>
  </r>
  <r>
    <s v="2662"/>
    <s v="Sofía Martínez"/>
    <d v="2019-01-01T00:00:00"/>
    <n v="7"/>
    <x v="0"/>
    <x v="4"/>
    <d v="2024-01-07T00:00:00"/>
    <d v="2023-08-16T00:00:00"/>
    <n v="7"/>
    <x v="0"/>
    <n v="5"/>
    <n v="5"/>
    <n v="3998.98"/>
    <n v="7893.75"/>
    <n v="16791.23"/>
  </r>
  <r>
    <s v="2663"/>
    <s v="Jorge Martínez"/>
    <d v="1949-12-31T00:00:00"/>
    <n v="76"/>
    <x v="1"/>
    <x v="1"/>
    <d v="2023-09-13T00:00:00"/>
    <d v="2023-12-23T00:00:00"/>
    <n v="32"/>
    <x v="0"/>
    <n v="14"/>
    <n v="0"/>
    <n v="26136.63"/>
    <n v="7622.84"/>
    <n v="5867.34"/>
  </r>
  <r>
    <s v="2664"/>
    <s v="Carmen López"/>
    <d v="1955-01-01T00:00:00"/>
    <n v="54"/>
    <x v="1"/>
    <x v="1"/>
    <d v="2024-01-30T00:00:00"/>
    <d v="2023-10-22T00:00:00"/>
    <n v="2"/>
    <x v="1"/>
    <n v="11"/>
    <n v="5"/>
    <n v="12333.88"/>
    <n v="4452.1099999999997"/>
    <n v="8437.94"/>
  </r>
  <r>
    <s v="2665"/>
    <s v="Carlos Martínez"/>
    <d v="1940-01-01T00:00:00"/>
    <n v="86"/>
    <x v="1"/>
    <x v="2"/>
    <d v="2023-02-06T00:00:00"/>
    <d v="2023-08-29T00:00:00"/>
    <n v="11"/>
    <x v="0"/>
    <n v="11"/>
    <n v="4"/>
    <n v="10114.81"/>
    <n v="3152.11"/>
    <n v="2009.6"/>
  </r>
  <r>
    <s v="2666"/>
    <s v="Laura López"/>
    <d v="1984-01-01T00:00:00"/>
    <n v="42"/>
    <x v="1"/>
    <x v="2"/>
    <d v="2024-10-15T00:00:00"/>
    <d v="2023-12-15T00:00:00"/>
    <n v="2"/>
    <x v="0"/>
    <n v="4"/>
    <n v="7"/>
    <n v="6145.92"/>
    <n v="10753.42"/>
    <n v="8196.09"/>
  </r>
  <r>
    <s v="2667"/>
    <s v="Pedro López"/>
    <d v="2025-12-31T00:00:00"/>
    <n v="0"/>
    <x v="1"/>
    <x v="3"/>
    <d v="2023-05-27T00:00:00"/>
    <d v="2023-05-22T00:00:00"/>
    <n v="37"/>
    <x v="0"/>
    <n v="7"/>
    <n v="1"/>
    <n v="25156.63"/>
    <n v="1526.43"/>
    <n v="4209.6099999999997"/>
  </r>
  <r>
    <s v="2668"/>
    <s v="Carmen Sánchez"/>
    <d v="1976-01-01T00:00:00"/>
    <n v="50"/>
    <x v="1"/>
    <x v="2"/>
    <d v="2023-01-08T00:00:00"/>
    <d v="2023-07-24T00:00:00"/>
    <n v="35"/>
    <x v="0"/>
    <n v="5"/>
    <n v="6"/>
    <n v="23670.240000000002"/>
    <n v="744.24"/>
    <n v="7587.35"/>
  </r>
  <r>
    <s v="2669"/>
    <s v="José Martínez"/>
    <d v="2003-01-01T00:00:00"/>
    <n v="23"/>
    <x v="0"/>
    <x v="6"/>
    <d v="2023-09-08T00:00:00"/>
    <d v="2024-10-24T00:00:00"/>
    <n v="31"/>
    <x v="2"/>
    <n v="9"/>
    <n v="5"/>
    <n v="11221.96"/>
    <n v="5718.65"/>
    <n v="5253.58"/>
  </r>
  <r>
    <s v="2670"/>
    <s v="Ana López"/>
    <d v="2003-01-01T00:00:00"/>
    <n v="23"/>
    <x v="0"/>
    <x v="6"/>
    <d v="2024-10-08T00:00:00"/>
    <d v="2024-10-04T00:00:00"/>
    <n v="21"/>
    <x v="0"/>
    <n v="6"/>
    <n v="0"/>
    <n v="4665.41"/>
    <n v="11158.88"/>
    <n v="16155.46"/>
  </r>
  <r>
    <s v="2671"/>
    <s v="Jorge López"/>
    <d v="2009-12-31T00:00:00"/>
    <n v="16"/>
    <x v="1"/>
    <x v="4"/>
    <d v="2024-07-24T00:00:00"/>
    <d v="2025-05-11T00:00:00"/>
    <n v="1"/>
    <x v="1"/>
    <n v="9"/>
    <n v="7"/>
    <n v="28535.64"/>
    <n v="13028"/>
    <n v="18.34"/>
  </r>
  <r>
    <s v="2672"/>
    <s v="Carmen Cruz"/>
    <d v="2021-12-31T00:00:00"/>
    <n v="4"/>
    <x v="0"/>
    <x v="5"/>
    <d v="2024-09-26T00:00:00"/>
    <d v="2025-04-25T00:00:00"/>
    <n v="24"/>
    <x v="1"/>
    <n v="3"/>
    <n v="5"/>
    <n v="9133.73"/>
    <n v="8101.9"/>
    <n v="6708.04"/>
  </r>
  <r>
    <s v="2673"/>
    <s v="Ana Cruz"/>
    <d v="2026-01-01T00:00:00"/>
    <n v="19"/>
    <x v="1"/>
    <x v="0"/>
    <d v="2024-03-22T00:00:00"/>
    <d v="2023-09-27T00:00:00"/>
    <n v="2"/>
    <x v="0"/>
    <n v="2"/>
    <n v="2"/>
    <n v="23018.3"/>
    <n v="12598.99"/>
    <n v="19381.64"/>
  </r>
  <r>
    <s v="2674"/>
    <s v="Elena Morales"/>
    <d v="2005-12-31T00:00:00"/>
    <n v="20"/>
    <x v="1"/>
    <x v="2"/>
    <d v="2023-09-20T00:00:00"/>
    <d v="2023-11-10T00:00:00"/>
    <n v="10"/>
    <x v="2"/>
    <n v="1"/>
    <n v="4"/>
    <n v="13623.01"/>
    <n v="379.37"/>
    <n v="13547.75"/>
  </r>
  <r>
    <s v="2675"/>
    <s v="José Morales"/>
    <d v="1968-12-31T00:00:00"/>
    <n v="57"/>
    <x v="1"/>
    <x v="3"/>
    <d v="2024-09-23T00:00:00"/>
    <d v="2024-02-23T00:00:00"/>
    <n v="37"/>
    <x v="2"/>
    <n v="12"/>
    <n v="6"/>
    <n v="23340.2"/>
    <n v="6830.54"/>
    <n v="15420.56"/>
  </r>
  <r>
    <s v="2676"/>
    <s v="Elena Ramírez"/>
    <d v="1996-01-01T00:00:00"/>
    <n v="30"/>
    <x v="0"/>
    <x v="4"/>
    <d v="2024-03-14T00:00:00"/>
    <d v="2023-05-18T00:00:00"/>
    <n v="18"/>
    <x v="0"/>
    <n v="6"/>
    <n v="8"/>
    <n v="14189.08"/>
    <n v="2000.83"/>
    <n v="17183.46"/>
  </r>
  <r>
    <s v="2677"/>
    <s v="Jorge Morales"/>
    <d v="2016-01-01T00:00:00"/>
    <n v="10"/>
    <x v="1"/>
    <x v="1"/>
    <d v="2023-09-16T00:00:00"/>
    <d v="2024-09-20T00:00:00"/>
    <n v="34"/>
    <x v="0"/>
    <n v="4"/>
    <n v="3"/>
    <n v="0"/>
    <n v="8740.76"/>
    <n v="7173.07"/>
  </r>
  <r>
    <s v="2678"/>
    <s v="Carlos Sánchez"/>
    <d v="1975-01-01T00:00:00"/>
    <n v="51"/>
    <x v="0"/>
    <x v="6"/>
    <d v="2023-11-19T00:00:00"/>
    <d v="2023-12-18T00:00:00"/>
    <n v="29"/>
    <x v="0"/>
    <n v="2"/>
    <n v="1"/>
    <n v="23912.91"/>
    <n v="13814.82"/>
    <n v="1225.49"/>
  </r>
  <r>
    <s v="2679"/>
    <s v="Carlos Pérez"/>
    <d v="2012-01-01T00:00:00"/>
    <n v="14"/>
    <x v="0"/>
    <x v="6"/>
    <d v="2024-06-13T00:00:00"/>
    <d v="2023-06-11T00:00:00"/>
    <n v="35"/>
    <x v="2"/>
    <n v="1"/>
    <n v="2"/>
    <n v="7438.82"/>
    <n v="107.86"/>
    <n v="8154.87"/>
  </r>
  <r>
    <s v="2680"/>
    <s v="Elena Morales"/>
    <d v="1944-01-01T00:00:00"/>
    <n v="82"/>
    <x v="0"/>
    <x v="6"/>
    <d v="2023-10-28T00:00:00"/>
    <d v="2024-10-29T00:00:00"/>
    <n v="28"/>
    <x v="1"/>
    <n v="3"/>
    <n v="6"/>
    <n v="12626.52"/>
    <n v="10023.32"/>
    <n v="13019.4"/>
  </r>
  <r>
    <s v="2681"/>
    <s v="Jorge Martínez"/>
    <d v="2020-01-01T00:00:00"/>
    <n v="6"/>
    <x v="0"/>
    <x v="0"/>
    <d v="2024-04-29T00:00:00"/>
    <d v="2023-06-23T00:00:00"/>
    <n v="29"/>
    <x v="1"/>
    <n v="2"/>
    <n v="7"/>
    <n v="2567.9899999999998"/>
    <n v="11885.25"/>
    <n v="7352.91"/>
  </r>
  <r>
    <s v="2682"/>
    <s v="María Morales"/>
    <d v="1999-01-01T00:00:00"/>
    <n v="27"/>
    <x v="0"/>
    <x v="0"/>
    <d v="2023-04-02T00:00:00"/>
    <d v="2023-05-11T00:00:00"/>
    <n v="12"/>
    <x v="0"/>
    <n v="9"/>
    <n v="4"/>
    <n v="27055.88"/>
    <n v="11167.22"/>
    <n v="8911.08"/>
  </r>
  <r>
    <s v="2683"/>
    <s v="Ricardo Hernández"/>
    <d v="1976-01-01T00:00:00"/>
    <n v="50"/>
    <x v="1"/>
    <x v="2"/>
    <d v="2023-06-13T00:00:00"/>
    <d v="2023-03-21T00:00:00"/>
    <n v="27"/>
    <x v="0"/>
    <n v="9"/>
    <n v="2"/>
    <n v="0"/>
    <n v="296.54000000000002"/>
    <n v="16492.63"/>
  </r>
  <r>
    <s v="2684"/>
    <s v="Elena Morales"/>
    <d v="1968-12-31T00:00:00"/>
    <n v="57"/>
    <x v="1"/>
    <x v="1"/>
    <d v="2024-10-17T00:00:00"/>
    <d v="2024-07-23T00:00:00"/>
    <n v="4"/>
    <x v="0"/>
    <n v="5"/>
    <n v="0"/>
    <n v="56.37"/>
    <n v="2608.25"/>
    <n v="628.37"/>
  </r>
  <r>
    <s v="2685"/>
    <s v="Sofía Pérez"/>
    <d v="2021-12-31T00:00:00"/>
    <n v="4"/>
    <x v="0"/>
    <x v="3"/>
    <d v="2023-12-01T00:00:00"/>
    <d v="2025-05-13T00:00:00"/>
    <n v="35"/>
    <x v="1"/>
    <n v="4"/>
    <n v="9"/>
    <n v="14641.21"/>
    <n v="1415.99"/>
    <n v="6627.89"/>
  </r>
  <r>
    <s v="2686"/>
    <s v="Ricardo López"/>
    <d v="2021-12-31T00:00:00"/>
    <n v="4"/>
    <x v="0"/>
    <x v="0"/>
    <d v="2023-11-11T00:00:00"/>
    <d v="2023-02-27T00:00:00"/>
    <n v="28"/>
    <x v="0"/>
    <n v="1"/>
    <n v="0"/>
    <n v="17895.439999999999"/>
    <n v="1281.81"/>
    <n v="9717.1"/>
  </r>
  <r>
    <s v="2687"/>
    <s v="Laura Pérez"/>
    <d v="1932-12-31T00:00:00"/>
    <n v="93"/>
    <x v="1"/>
    <x v="5"/>
    <d v="2023-08-26T00:00:00"/>
    <d v="2024-02-05T00:00:00"/>
    <n v="23"/>
    <x v="0"/>
    <n v="10"/>
    <n v="1"/>
    <n v="6308.04"/>
    <n v="10952.76"/>
    <n v="5913.66"/>
  </r>
  <r>
    <s v="2688"/>
    <s v="Juan Sánchez"/>
    <d v="2019-01-01T00:00:00"/>
    <n v="7"/>
    <x v="1"/>
    <x v="0"/>
    <d v="2024-11-16T00:00:00"/>
    <d v="2023-12-30T00:00:00"/>
    <n v="33"/>
    <x v="2"/>
    <n v="8"/>
    <n v="4"/>
    <n v="16901.75"/>
    <n v="6371.84"/>
    <n v="8861.17"/>
  </r>
  <r>
    <s v="2689"/>
    <s v="Ricardo Gómez"/>
    <d v="1963-01-01T00:00:00"/>
    <n v="63"/>
    <x v="1"/>
    <x v="6"/>
    <d v="2023-03-24T00:00:00"/>
    <d v="2023-12-02T00:00:00"/>
    <n v="23"/>
    <x v="0"/>
    <n v="11"/>
    <n v="2"/>
    <n v="26814.639999999999"/>
    <n v="10872.32"/>
    <n v="7975.46"/>
  </r>
  <r>
    <s v="2690"/>
    <s v="Juan Sánchez"/>
    <d v="2016-12-31T00:00:00"/>
    <n v="9"/>
    <x v="1"/>
    <x v="3"/>
    <d v="2024-10-30T00:00:00"/>
    <d v="2023-05-15T00:00:00"/>
    <n v="1"/>
    <x v="0"/>
    <n v="9"/>
    <n v="6"/>
    <n v="18596.509999999998"/>
    <n v="5411.29"/>
    <n v="18470.57"/>
  </r>
  <r>
    <s v="2691"/>
    <s v="Ana Rodríguez"/>
    <d v="1988-12-31T00:00:00"/>
    <n v="37"/>
    <x v="1"/>
    <x v="2"/>
    <d v="2023-04-19T00:00:00"/>
    <d v="2023-01-15T00:00:00"/>
    <n v="6"/>
    <x v="0"/>
    <n v="10"/>
    <n v="1"/>
    <n v="13400.1"/>
    <n v="1755.74"/>
    <n v="9811.76"/>
  </r>
  <r>
    <s v="2692"/>
    <s v="Elena López"/>
    <d v="1967-01-01T00:00:00"/>
    <n v="91"/>
    <x v="0"/>
    <x v="0"/>
    <d v="2023-06-27T00:00:00"/>
    <d v="2023-10-11T00:00:00"/>
    <n v="2"/>
    <x v="2"/>
    <n v="14"/>
    <n v="1"/>
    <n v="3905.08"/>
    <n v="10776.78"/>
    <n v="9474.07"/>
  </r>
  <r>
    <s v="2693"/>
    <s v="Ricardo Martínez"/>
    <d v="1940-01-01T00:00:00"/>
    <n v="80"/>
    <x v="0"/>
    <x v="6"/>
    <d v="2023-09-07T00:00:00"/>
    <d v="2025-03-17T00:00:00"/>
    <n v="24"/>
    <x v="0"/>
    <n v="12"/>
    <n v="2"/>
    <n v="4652.72"/>
    <n v="9390.86"/>
    <n v="5015.21"/>
  </r>
  <r>
    <s v="2694"/>
    <s v="Juan Pérez"/>
    <d v="1932-01-01T00:00:00"/>
    <n v="94"/>
    <x v="0"/>
    <x v="4"/>
    <d v="2024-07-20T00:00:00"/>
    <d v="2024-10-21T00:00:00"/>
    <n v="9"/>
    <x v="0"/>
    <n v="1"/>
    <n v="0"/>
    <n v="14272.82"/>
    <n v="1694.64"/>
    <n v="831.09"/>
  </r>
  <r>
    <s v="2695"/>
    <s v="Carlos Hernández"/>
    <d v="2019-01-01T00:00:00"/>
    <n v="7"/>
    <x v="0"/>
    <x v="5"/>
    <d v="2024-10-28T00:00:00"/>
    <d v="2024-02-26T00:00:00"/>
    <n v="32"/>
    <x v="1"/>
    <n v="12"/>
    <n v="1"/>
    <n v="13625.2"/>
    <n v="13865.47"/>
    <n v="5919.51"/>
  </r>
  <r>
    <s v="2696"/>
    <s v="Juan Gómez"/>
    <d v="2001-12-31T00:00:00"/>
    <n v="24"/>
    <x v="0"/>
    <x v="5"/>
    <d v="2023-04-01T00:00:00"/>
    <d v="2023-05-08T00:00:00"/>
    <n v="26"/>
    <x v="1"/>
    <n v="5"/>
    <n v="4"/>
    <n v="15432.85"/>
    <n v="4633.8100000000004"/>
    <n v="446.88"/>
  </r>
  <r>
    <s v="2697"/>
    <s v="Laura Ramírez"/>
    <d v="1953-12-31T00:00:00"/>
    <n v="72"/>
    <x v="1"/>
    <x v="4"/>
    <d v="2023-12-05T00:00:00"/>
    <d v="2025-02-11T00:00:00"/>
    <n v="13"/>
    <x v="0"/>
    <n v="3"/>
    <n v="2"/>
    <n v="14990.66"/>
    <n v="9820.9500000000007"/>
    <n v="16518.16"/>
  </r>
  <r>
    <s v="2698"/>
    <s v="Ricardo Pérez"/>
    <d v="1960-12-31T00:00:00"/>
    <n v="65"/>
    <x v="1"/>
    <x v="2"/>
    <d v="2024-09-29T00:00:00"/>
    <d v="2025-04-06T00:00:00"/>
    <n v="16"/>
    <x v="2"/>
    <n v="1"/>
    <n v="9"/>
    <n v="9909.01"/>
    <n v="479.71"/>
    <n v="4006.18"/>
  </r>
  <r>
    <s v="2699"/>
    <s v="Elena Ramírez"/>
    <d v="1948-01-01T00:00:00"/>
    <n v="78"/>
    <x v="0"/>
    <x v="2"/>
    <d v="2023-06-18T00:00:00"/>
    <d v="2023-08-07T00:00:00"/>
    <n v="24"/>
    <x v="2"/>
    <n v="1"/>
    <n v="5"/>
    <n v="0"/>
    <n v="6645.64"/>
    <n v="18214.990000000002"/>
  </r>
  <r>
    <s v="2700"/>
    <s v="Laura López"/>
    <d v="1976-12-31T00:00:00"/>
    <n v="49"/>
    <x v="0"/>
    <x v="0"/>
    <d v="2023-05-19T00:00:00"/>
    <d v="2025-01-15T00:00:00"/>
    <n v="15"/>
    <x v="2"/>
    <n v="4"/>
    <n v="1"/>
    <n v="5972.44"/>
    <n v="14465.46"/>
    <n v="17705.3"/>
  </r>
  <r>
    <s v="2701"/>
    <s v="Miguel Hernández"/>
    <d v="1960-01-01T00:00:00"/>
    <n v="66"/>
    <x v="1"/>
    <x v="2"/>
    <d v="2024-05-31T00:00:00"/>
    <d v="2025-05-31T00:00:00"/>
    <n v="38"/>
    <x v="0"/>
    <n v="2"/>
    <n v="7"/>
    <n v="25496.03"/>
    <n v="13297.63"/>
    <n v="13260.39"/>
  </r>
  <r>
    <s v="2702"/>
    <s v="Ricardo Sánchez"/>
    <d v="1977-12-31T00:00:00"/>
    <n v="48"/>
    <x v="2"/>
    <x v="1"/>
    <d v="2024-07-31T00:00:00"/>
    <d v="2024-11-11T00:00:00"/>
    <n v="10"/>
    <x v="0"/>
    <n v="12"/>
    <n v="3"/>
    <n v="5429.08"/>
    <n v="3320.21"/>
    <n v="17237.13"/>
  </r>
  <r>
    <s v="2703"/>
    <s v="Sofía Hernández"/>
    <d v="1991-01-01T00:00:00"/>
    <n v="35"/>
    <x v="1"/>
    <x v="1"/>
    <d v="2024-09-14T00:00:00"/>
    <d v="2024-10-17T00:00:00"/>
    <n v="27"/>
    <x v="2"/>
    <n v="6"/>
    <n v="2"/>
    <n v="12184.57"/>
    <n v="13186.96"/>
    <n v="17546.09"/>
  </r>
  <r>
    <s v="2704"/>
    <s v="Jorge Cruz"/>
    <d v="1959-01-01T00:00:00"/>
    <n v="67"/>
    <x v="1"/>
    <x v="6"/>
    <d v="2023-07-03T00:00:00"/>
    <d v="2024-05-04T00:00:00"/>
    <n v="23"/>
    <x v="1"/>
    <n v="0"/>
    <n v="4"/>
    <n v="5927.68"/>
    <n v="4396.05"/>
    <n v="15504.56"/>
  </r>
  <r>
    <s v="2705"/>
    <s v="Ana Hernández"/>
    <d v="1948-12-31T00:00:00"/>
    <n v="77"/>
    <x v="1"/>
    <x v="6"/>
    <d v="2023-06-19T00:00:00"/>
    <d v="2023-09-18T00:00:00"/>
    <n v="3"/>
    <x v="0"/>
    <n v="2"/>
    <n v="7"/>
    <n v="18362.810000000001"/>
    <n v="12783.52"/>
    <n v="10109.35"/>
  </r>
  <r>
    <s v="2706"/>
    <s v="Pedro Cruz"/>
    <d v="1985-12-31T00:00:00"/>
    <n v="40"/>
    <x v="1"/>
    <x v="6"/>
    <d v="2023-12-28T00:00:00"/>
    <d v="2023-08-07T00:00:00"/>
    <n v="0"/>
    <x v="2"/>
    <n v="10"/>
    <n v="8"/>
    <n v="14067.95"/>
    <n v="10938.4"/>
    <n v="18995.93"/>
  </r>
  <r>
    <s v="2707"/>
    <s v="Carlos Gómez"/>
    <d v="1937-12-31T00:00:00"/>
    <n v="88"/>
    <x v="0"/>
    <x v="1"/>
    <d v="2023-09-01T00:00:00"/>
    <d v="2025-03-31T00:00:00"/>
    <n v="20"/>
    <x v="0"/>
    <n v="11"/>
    <n v="0"/>
    <n v="0"/>
    <n v="5280.79"/>
    <n v="16336.6"/>
  </r>
  <r>
    <s v="2708"/>
    <s v="José López"/>
    <d v="1964-12-31T00:00:00"/>
    <n v="61"/>
    <x v="0"/>
    <x v="0"/>
    <d v="2023-05-18T00:00:00"/>
    <d v="2024-10-20T00:00:00"/>
    <n v="9"/>
    <x v="0"/>
    <n v="6"/>
    <n v="3"/>
    <n v="13991.57"/>
    <n v="13661.86"/>
    <n v="2452.4"/>
  </r>
  <r>
    <s v="2709"/>
    <s v="Juan Sánchez"/>
    <d v="2016-12-31T00:00:00"/>
    <n v="9"/>
    <x v="1"/>
    <x v="0"/>
    <d v="2023-01-28T00:00:00"/>
    <d v="2024-05-04T00:00:00"/>
    <n v="38"/>
    <x v="0"/>
    <n v="13"/>
    <n v="5"/>
    <n v="12347.83"/>
    <n v="7279.19"/>
    <n v="8340.16"/>
  </r>
  <r>
    <s v="2710"/>
    <s v="Sofía Cruz"/>
    <d v="2003-01-01T00:00:00"/>
    <n v="86"/>
    <x v="0"/>
    <x v="2"/>
    <d v="2024-06-02T00:00:00"/>
    <d v="2024-03-19T00:00:00"/>
    <n v="38"/>
    <x v="0"/>
    <n v="13"/>
    <n v="5"/>
    <n v="25582.55"/>
    <n v="4765.41"/>
    <n v="10747.79"/>
  </r>
  <r>
    <s v="2711"/>
    <s v="María Cruz"/>
    <d v="1991-01-01T00:00:00"/>
    <n v="35"/>
    <x v="0"/>
    <x v="0"/>
    <d v="2024-02-02T00:00:00"/>
    <d v="2023-04-10T00:00:00"/>
    <n v="12"/>
    <x v="2"/>
    <n v="10"/>
    <n v="8"/>
    <n v="3290.13"/>
    <n v="4195.29"/>
    <n v="10541.23"/>
  </r>
  <r>
    <s v="2712"/>
    <s v="Luisa Martínez"/>
    <d v="2015-01-01T00:00:00"/>
    <n v="11"/>
    <x v="0"/>
    <x v="6"/>
    <d v="2023-11-29T00:00:00"/>
    <d v="2023-07-02T00:00:00"/>
    <n v="2"/>
    <x v="0"/>
    <n v="6"/>
    <n v="0"/>
    <n v="23692.03"/>
    <n v="14086.01"/>
    <n v="7528.65"/>
  </r>
  <r>
    <s v="2713"/>
    <s v="Luisa Cruz"/>
    <d v="1936-01-01T00:00:00"/>
    <n v="90"/>
    <x v="0"/>
    <x v="3"/>
    <d v="2023-11-13T00:00:00"/>
    <d v="2023-06-19T00:00:00"/>
    <n v="5"/>
    <x v="0"/>
    <n v="14"/>
    <n v="4"/>
    <n v="19487.55"/>
    <n v="11378.71"/>
    <n v="10585.97"/>
  </r>
  <r>
    <s v="2714"/>
    <s v="Pedro Hernández"/>
    <d v="2024-12-31T00:00:00"/>
    <n v="1"/>
    <x v="1"/>
    <x v="6"/>
    <d v="2024-07-16T00:00:00"/>
    <d v="2023-08-22T00:00:00"/>
    <n v="28"/>
    <x v="2"/>
    <n v="14"/>
    <n v="9"/>
    <n v="10123.77"/>
    <n v="5248.49"/>
    <n v="1769.14"/>
  </r>
  <r>
    <s v="2715"/>
    <s v="Elena López"/>
    <d v="1969-01-01T00:00:00"/>
    <n v="12"/>
    <x v="0"/>
    <x v="1"/>
    <d v="2024-03-01T00:00:00"/>
    <d v="2023-04-04T00:00:00"/>
    <n v="8"/>
    <x v="2"/>
    <n v="3"/>
    <n v="0"/>
    <n v="27532.61"/>
    <n v="3812.53"/>
    <n v="13070.17"/>
  </r>
  <r>
    <s v="2716"/>
    <s v="Elena Pérez"/>
    <d v="1973-12-31T00:00:00"/>
    <n v="52"/>
    <x v="1"/>
    <x v="4"/>
    <d v="2023-05-16T00:00:00"/>
    <d v="2024-09-21T00:00:00"/>
    <n v="14"/>
    <x v="2"/>
    <n v="1"/>
    <n v="5"/>
    <n v="4896.84"/>
    <n v="3174.26"/>
    <n v="9904.6200000000008"/>
  </r>
  <r>
    <s v="2717"/>
    <s v="José Rodríguez"/>
    <d v="1995-01-01T00:00:00"/>
    <n v="31"/>
    <x v="0"/>
    <x v="3"/>
    <d v="2024-11-20T00:00:00"/>
    <d v="2024-04-17T00:00:00"/>
    <n v="24"/>
    <x v="0"/>
    <n v="11"/>
    <n v="8"/>
    <n v="8963.7900000000009"/>
    <n v="3667.39"/>
    <n v="15731.82"/>
  </r>
  <r>
    <s v="2718"/>
    <s v="José Hernández"/>
    <d v="1932-01-01T00:00:00"/>
    <n v="94"/>
    <x v="1"/>
    <x v="2"/>
    <d v="2024-10-02T00:00:00"/>
    <d v="2024-05-31T00:00:00"/>
    <n v="28"/>
    <x v="2"/>
    <n v="13"/>
    <n v="3"/>
    <n v="10932.65"/>
    <n v="1664.69"/>
    <n v="13837.09"/>
  </r>
  <r>
    <s v="2719"/>
    <s v="Ricardo López"/>
    <d v="2011-01-01T00:00:00"/>
    <n v="15"/>
    <x v="0"/>
    <x v="5"/>
    <d v="2024-12-09T00:00:00"/>
    <d v="2023-03-27T00:00:00"/>
    <n v="24"/>
    <x v="1"/>
    <n v="2"/>
    <n v="9"/>
    <n v="19257.79"/>
    <n v="7271.02"/>
    <n v="2166.67"/>
  </r>
  <r>
    <s v="2720"/>
    <s v="María Cruz"/>
    <d v="1995-01-01T00:00:00"/>
    <n v="31"/>
    <x v="0"/>
    <x v="4"/>
    <d v="2023-09-24T00:00:00"/>
    <d v="2024-11-10T00:00:00"/>
    <n v="11"/>
    <x v="0"/>
    <n v="1"/>
    <n v="9"/>
    <n v="28365.55"/>
    <n v="616.08000000000004"/>
    <n v="6949.26"/>
  </r>
  <r>
    <s v="2721"/>
    <s v="María Rodríguez"/>
    <d v="1995-01-01T00:00:00"/>
    <n v="31"/>
    <x v="1"/>
    <x v="0"/>
    <d v="2023-04-17T00:00:00"/>
    <d v="2024-06-03T00:00:00"/>
    <n v="20"/>
    <x v="1"/>
    <n v="9"/>
    <n v="8"/>
    <n v="17600.16"/>
    <n v="172.72"/>
    <n v="14698.56"/>
  </r>
  <r>
    <s v="2722"/>
    <s v="Miguel Pérez"/>
    <d v="2016-01-01T00:00:00"/>
    <n v="10"/>
    <x v="1"/>
    <x v="0"/>
    <d v="2024-07-13T00:00:00"/>
    <d v="2024-01-17T00:00:00"/>
    <n v="2"/>
    <x v="0"/>
    <n v="0"/>
    <n v="2"/>
    <n v="25617.34"/>
    <n v="9271.09"/>
    <n v="6671.41"/>
  </r>
  <r>
    <s v="2723"/>
    <s v="Luisa Pérez"/>
    <d v="2016-12-31T00:00:00"/>
    <n v="9"/>
    <x v="0"/>
    <x v="1"/>
    <d v="2023-05-18T00:00:00"/>
    <d v="2024-02-12T00:00:00"/>
    <n v="27"/>
    <x v="0"/>
    <n v="12"/>
    <n v="6"/>
    <n v="27101.69"/>
    <n v="1327.19"/>
    <n v="11294.71"/>
  </r>
  <r>
    <s v="2724"/>
    <s v="Carmen Cruz"/>
    <d v="2012-01-01T00:00:00"/>
    <n v="14"/>
    <x v="0"/>
    <x v="6"/>
    <d v="2024-09-06T00:00:00"/>
    <d v="2023-08-21T00:00:00"/>
    <n v="31"/>
    <x v="0"/>
    <n v="2"/>
    <n v="4"/>
    <n v="13727.14"/>
    <n v="12678.14"/>
    <n v="19221.52"/>
  </r>
  <r>
    <s v="2725"/>
    <s v="Carmen Pérez"/>
    <d v="2009-12-31T00:00:00"/>
    <n v="16"/>
    <x v="1"/>
    <x v="6"/>
    <d v="2023-02-16T00:00:00"/>
    <d v="2023-09-09T00:00:00"/>
    <n v="16"/>
    <x v="0"/>
    <n v="7"/>
    <n v="9"/>
    <n v="0"/>
    <n v="1600.93"/>
    <n v="1506.4"/>
  </r>
  <r>
    <s v="2726"/>
    <s v="Luis Ramírez"/>
    <d v="1987-01-01T00:00:00"/>
    <n v="10"/>
    <x v="0"/>
    <x v="3"/>
    <d v="2024-10-26T00:00:00"/>
    <d v="2023-03-27T00:00:00"/>
    <n v="28"/>
    <x v="0"/>
    <n v="4"/>
    <n v="0"/>
    <n v="7124.93"/>
    <n v="8140.03"/>
    <n v="3724.81"/>
  </r>
  <r>
    <s v="2727"/>
    <s v="Carlos Cruz"/>
    <d v="2008-12-31T00:00:00"/>
    <n v="17"/>
    <x v="1"/>
    <x v="0"/>
    <d v="2024-01-03T00:00:00"/>
    <d v="2023-11-16T00:00:00"/>
    <n v="13"/>
    <x v="1"/>
    <n v="2"/>
    <n v="6"/>
    <n v="17848.39"/>
    <n v="10132.549999999999"/>
    <n v="9560.25"/>
  </r>
  <r>
    <s v="2728"/>
    <s v="Pedro Rodríguez"/>
    <d v="1972-01-01T00:00:00"/>
    <n v="54"/>
    <x v="1"/>
    <x v="4"/>
    <d v="2023-01-06T00:00:00"/>
    <d v="2023-07-13T00:00:00"/>
    <n v="24"/>
    <x v="0"/>
    <n v="1"/>
    <n v="7"/>
    <n v="3160.85"/>
    <n v="3437.33"/>
    <n v="14742.51"/>
  </r>
  <r>
    <s v="2729"/>
    <s v="Laura Martínez"/>
    <d v="1953-12-31T00:00:00"/>
    <n v="72"/>
    <x v="1"/>
    <x v="1"/>
    <d v="2024-06-06T00:00:00"/>
    <d v="2024-09-27T00:00:00"/>
    <n v="23"/>
    <x v="2"/>
    <n v="12"/>
    <n v="5"/>
    <n v="18847.03"/>
    <n v="13323.96"/>
    <n v="6535.24"/>
  </r>
  <r>
    <s v="2730"/>
    <s v="Luisa López"/>
    <d v="2001-12-31T00:00:00"/>
    <n v="24"/>
    <x v="1"/>
    <x v="4"/>
    <d v="2024-06-12T00:00:00"/>
    <d v="2024-08-24T00:00:00"/>
    <n v="36"/>
    <x v="2"/>
    <n v="5"/>
    <n v="0"/>
    <n v="26733.360000000001"/>
    <n v="7220.8"/>
    <n v="2260.98"/>
  </r>
  <r>
    <s v="2731"/>
    <s v="Luis Rodríguez"/>
    <d v="1968-01-01T00:00:00"/>
    <n v="58"/>
    <x v="0"/>
    <x v="2"/>
    <d v="2024-10-16T00:00:00"/>
    <d v="2024-08-30T00:00:00"/>
    <n v="26"/>
    <x v="0"/>
    <n v="0"/>
    <n v="8"/>
    <n v="22703.96"/>
    <n v="4729.79"/>
    <n v="6247.09"/>
  </r>
  <r>
    <s v="2732"/>
    <s v="Sofía Morales"/>
    <d v="1948-12-31T00:00:00"/>
    <n v="77"/>
    <x v="2"/>
    <x v="6"/>
    <d v="2023-09-29T00:00:00"/>
    <d v="2025-06-06T00:00:00"/>
    <n v="36"/>
    <x v="2"/>
    <n v="10"/>
    <n v="6"/>
    <n v="19300.25"/>
    <n v="13516.93"/>
    <n v="12853.09"/>
  </r>
  <r>
    <s v="2733"/>
    <s v="Sofía Ramírez"/>
    <d v="1937-12-31T00:00:00"/>
    <n v="88"/>
    <x v="1"/>
    <x v="4"/>
    <d v="2023-03-07T00:00:00"/>
    <d v="2023-10-28T00:00:00"/>
    <n v="26"/>
    <x v="0"/>
    <n v="4"/>
    <n v="5"/>
    <n v="25071.32"/>
    <n v="12875.1"/>
    <n v="15830.21"/>
  </r>
  <r>
    <s v="2734"/>
    <s v="Miguel Gómez"/>
    <d v="2004-12-31T00:00:00"/>
    <n v="21"/>
    <x v="0"/>
    <x v="0"/>
    <d v="2024-02-24T00:00:00"/>
    <d v="2023-12-25T00:00:00"/>
    <n v="28"/>
    <x v="2"/>
    <n v="8"/>
    <n v="3"/>
    <n v="21759.360000000001"/>
    <n v="10644.41"/>
    <n v="19537.96"/>
  </r>
  <r>
    <s v="2735"/>
    <s v="Luisa Ramírez"/>
    <d v="1996-12-31T00:00:00"/>
    <n v="29"/>
    <x v="1"/>
    <x v="5"/>
    <d v="2023-12-05T00:00:00"/>
    <d v="2024-07-11T00:00:00"/>
    <n v="1"/>
    <x v="0"/>
    <n v="1"/>
    <n v="2"/>
    <n v="15654.69"/>
    <n v="4357.24"/>
    <n v="15203.05"/>
  </r>
  <r>
    <s v="2736"/>
    <s v="Carmen Martínez"/>
    <d v="1943-01-01T00:00:00"/>
    <n v="83"/>
    <x v="0"/>
    <x v="1"/>
    <d v="2024-05-12T00:00:00"/>
    <d v="2025-02-04T00:00:00"/>
    <n v="3"/>
    <x v="0"/>
    <n v="11"/>
    <n v="3"/>
    <n v="15392.46"/>
    <n v="5853.1"/>
    <n v="9794.4"/>
  </r>
  <r>
    <s v="2737"/>
    <s v="Sofía Rodríguez"/>
    <d v="1954-01-01T00:00:00"/>
    <n v="84"/>
    <x v="1"/>
    <x v="3"/>
    <d v="2024-04-13T00:00:00"/>
    <d v="2024-03-29T00:00:00"/>
    <n v="6"/>
    <x v="0"/>
    <n v="5"/>
    <n v="0"/>
    <n v="2763.6"/>
    <n v="10346"/>
    <n v="5781.6"/>
  </r>
  <r>
    <s v="2738"/>
    <s v="Ana Pérez"/>
    <d v="1983-01-01T00:00:00"/>
    <n v="43"/>
    <x v="0"/>
    <x v="6"/>
    <d v="2023-11-27T00:00:00"/>
    <d v="2025-06-04T00:00:00"/>
    <n v="12"/>
    <x v="0"/>
    <n v="2"/>
    <n v="8"/>
    <n v="12749.65"/>
    <n v="2779.26"/>
    <n v="18543.080000000002"/>
  </r>
  <r>
    <s v="2739"/>
    <s v="José López"/>
    <d v="1995-01-01T00:00:00"/>
    <n v="31"/>
    <x v="0"/>
    <x v="6"/>
    <d v="2024-09-30T00:00:00"/>
    <d v="2024-07-17T00:00:00"/>
    <n v="17"/>
    <x v="0"/>
    <n v="9"/>
    <n v="1"/>
    <n v="15434.71"/>
    <n v="7426.69"/>
    <n v="10637.63"/>
  </r>
  <r>
    <s v="2740"/>
    <s v="Juan Gómez"/>
    <d v="1976-01-01T00:00:00"/>
    <n v="50"/>
    <x v="1"/>
    <x v="2"/>
    <d v="2023-05-11T00:00:00"/>
    <d v="2024-05-21T00:00:00"/>
    <n v="1"/>
    <x v="0"/>
    <n v="1"/>
    <n v="1"/>
    <n v="13832.47"/>
    <n v="11065.83"/>
    <n v="13744.75"/>
  </r>
  <r>
    <s v="2741"/>
    <s v="Laura Rodríguez"/>
    <d v="1980-12-31T00:00:00"/>
    <n v="45"/>
    <x v="0"/>
    <x v="6"/>
    <d v="2024-06-13T00:00:00"/>
    <d v="2023-03-07T00:00:00"/>
    <n v="0"/>
    <x v="0"/>
    <n v="8"/>
    <n v="2"/>
    <n v="23168.42"/>
    <n v="9865.69"/>
    <n v="9396.0499999999993"/>
  </r>
  <r>
    <s v="2742"/>
    <s v="Sofía Sánchez"/>
    <d v="2005-12-31T00:00:00"/>
    <n v="20"/>
    <x v="1"/>
    <x v="1"/>
    <d v="2024-12-19T00:00:00"/>
    <d v="2024-07-20T00:00:00"/>
    <n v="27"/>
    <x v="1"/>
    <n v="5"/>
    <n v="0"/>
    <n v="4409.34"/>
    <n v="10799"/>
    <n v="4766.3500000000004"/>
  </r>
  <r>
    <s v="2743"/>
    <s v="Luisa López"/>
    <d v="1995-01-01T00:00:00"/>
    <n v="31"/>
    <x v="1"/>
    <x v="0"/>
    <d v="2024-08-23T00:00:00"/>
    <d v="2023-08-11T00:00:00"/>
    <n v="5"/>
    <x v="0"/>
    <n v="11"/>
    <n v="9"/>
    <n v="23744.42"/>
    <n v="13378.79"/>
    <n v="10893.46"/>
  </r>
  <r>
    <s v="2744"/>
    <s v="Juan Sánchez"/>
    <d v="1932-12-31T00:00:00"/>
    <n v="93"/>
    <x v="1"/>
    <x v="0"/>
    <d v="2024-03-13T00:00:00"/>
    <d v="2024-04-11T00:00:00"/>
    <n v="37"/>
    <x v="0"/>
    <n v="1"/>
    <n v="2"/>
    <n v="22120.71"/>
    <n v="14524.3"/>
    <n v="16782.07"/>
  </r>
  <r>
    <s v="2745"/>
    <s v="Ana Rodríguez"/>
    <d v="1988-01-01T00:00:00"/>
    <n v="38"/>
    <x v="1"/>
    <x v="0"/>
    <d v="2023-08-31T00:00:00"/>
    <d v="2023-03-14T00:00:00"/>
    <n v="18"/>
    <x v="1"/>
    <n v="6"/>
    <n v="3"/>
    <n v="26975.08"/>
    <n v="6875.75"/>
    <n v="7604.75"/>
  </r>
  <r>
    <s v="2746"/>
    <s v="Sofía Morales"/>
    <d v="2015-01-01T00:00:00"/>
    <n v="11"/>
    <x v="1"/>
    <x v="5"/>
    <d v="2024-04-07T00:00:00"/>
    <d v="2025-06-07T00:00:00"/>
    <n v="36"/>
    <x v="2"/>
    <n v="9"/>
    <n v="8"/>
    <n v="10890.38"/>
    <n v="899.73"/>
    <n v="13341.4"/>
  </r>
  <r>
    <s v="2747"/>
    <s v="Ana López"/>
    <d v="1980-01-01T00:00:00"/>
    <n v="46"/>
    <x v="1"/>
    <x v="5"/>
    <d v="2023-12-16T00:00:00"/>
    <d v="2024-04-19T00:00:00"/>
    <n v="10"/>
    <x v="1"/>
    <n v="14"/>
    <n v="4"/>
    <n v="4884.57"/>
    <n v="12515.25"/>
    <n v="751.36"/>
  </r>
  <r>
    <s v="2748"/>
    <s v="Ricardo Cruz"/>
    <d v="1965-01-01T00:00:00"/>
    <n v="17"/>
    <x v="1"/>
    <x v="6"/>
    <d v="2023-01-17T00:00:00"/>
    <d v="2024-11-11T00:00:00"/>
    <n v="37"/>
    <x v="2"/>
    <n v="2"/>
    <n v="5"/>
    <n v="22638.17"/>
    <n v="1769.49"/>
    <n v="18724.41"/>
  </r>
  <r>
    <s v="2749"/>
    <s v="Elena Gómez"/>
    <d v="2017-01-01T00:00:00"/>
    <n v="20"/>
    <x v="1"/>
    <x v="4"/>
    <d v="2024-04-10T00:00:00"/>
    <d v="2024-11-29T00:00:00"/>
    <n v="38"/>
    <x v="1"/>
    <n v="1"/>
    <n v="0"/>
    <n v="17447.14"/>
    <n v="3291.67"/>
    <n v="19395.62"/>
  </r>
  <r>
    <s v="2750"/>
    <s v="Ricardo Martínez"/>
    <d v="2013-12-31T00:00:00"/>
    <n v="12"/>
    <x v="0"/>
    <x v="5"/>
    <d v="2023-12-29T00:00:00"/>
    <d v="2024-10-17T00:00:00"/>
    <n v="34"/>
    <x v="0"/>
    <n v="5"/>
    <n v="2"/>
    <n v="21231.02"/>
    <n v="9797.51"/>
    <n v="7664.52"/>
  </r>
  <r>
    <s v="2751"/>
    <s v="Laura López"/>
    <d v="2005-12-31T00:00:00"/>
    <n v="20"/>
    <x v="0"/>
    <x v="4"/>
    <d v="2023-07-29T00:00:00"/>
    <d v="2023-01-20T00:00:00"/>
    <n v="29"/>
    <x v="0"/>
    <n v="5"/>
    <n v="6"/>
    <n v="29900.58"/>
    <n v="11186.03"/>
    <n v="9917.52"/>
  </r>
  <r>
    <s v="2752"/>
    <s v="Sofía Martínez"/>
    <d v="2019-01-01T00:00:00"/>
    <n v="7"/>
    <x v="1"/>
    <x v="4"/>
    <d v="2024-09-02T00:00:00"/>
    <d v="2024-06-06T00:00:00"/>
    <n v="11"/>
    <x v="1"/>
    <n v="14"/>
    <n v="6"/>
    <n v="5433.46"/>
    <n v="10419.709999999999"/>
    <n v="3127.71"/>
  </r>
  <r>
    <s v="2753"/>
    <s v="Sofía Cruz"/>
    <d v="1980-12-31T00:00:00"/>
    <n v="45"/>
    <x v="1"/>
    <x v="5"/>
    <d v="2024-06-08T00:00:00"/>
    <d v="2025-02-23T00:00:00"/>
    <n v="2"/>
    <x v="0"/>
    <n v="7"/>
    <n v="9"/>
    <n v="12037.07"/>
    <n v="6577.38"/>
    <n v="3843.55"/>
  </r>
  <r>
    <s v="2754"/>
    <s v="Ricardo Gómez"/>
    <d v="2025-01-01T00:00:00"/>
    <n v="77"/>
    <x v="1"/>
    <x v="2"/>
    <d v="2024-11-29T00:00:00"/>
    <d v="2024-11-14T00:00:00"/>
    <n v="24"/>
    <x v="2"/>
    <n v="8"/>
    <n v="0"/>
    <n v="5377.25"/>
    <n v="13771.01"/>
    <n v="12001.58"/>
  </r>
  <r>
    <s v="2755"/>
    <s v="Ricardo Cruz"/>
    <d v="2004-01-01T00:00:00"/>
    <n v="22"/>
    <x v="0"/>
    <x v="5"/>
    <d v="2024-02-24T00:00:00"/>
    <d v="2024-02-20T00:00:00"/>
    <n v="21"/>
    <x v="0"/>
    <n v="5"/>
    <n v="8"/>
    <n v="25749.01"/>
    <n v="12482.94"/>
    <n v="12502.79"/>
  </r>
  <r>
    <s v="2756"/>
    <s v="Carlos López"/>
    <d v="1952-01-01T00:00:00"/>
    <n v="74"/>
    <x v="0"/>
    <x v="3"/>
    <d v="2023-05-13T00:00:00"/>
    <d v="2023-12-31T00:00:00"/>
    <n v="19"/>
    <x v="0"/>
    <n v="4"/>
    <n v="0"/>
    <n v="17.920000000000002"/>
    <n v="9955.24"/>
    <n v="6766.3"/>
  </r>
  <r>
    <s v="2757"/>
    <s v="Juan Pérez"/>
    <d v="1940-12-31T00:00:00"/>
    <n v="85"/>
    <x v="1"/>
    <x v="3"/>
    <d v="2023-01-14T00:00:00"/>
    <d v="2024-06-12T00:00:00"/>
    <n v="11"/>
    <x v="1"/>
    <n v="1"/>
    <n v="6"/>
    <n v="3624.31"/>
    <n v="6616.14"/>
    <n v="7417.97"/>
  </r>
  <r>
    <s v="2758"/>
    <s v="Juan Cruz"/>
    <d v="2004-12-31T00:00:00"/>
    <n v="21"/>
    <x v="1"/>
    <x v="4"/>
    <d v="2023-02-13T00:00:00"/>
    <d v="2023-03-22T00:00:00"/>
    <n v="5"/>
    <x v="1"/>
    <n v="2"/>
    <n v="1"/>
    <n v="7060.04"/>
    <n v="6957.39"/>
    <n v="10075.19"/>
  </r>
  <r>
    <s v="2759"/>
    <s v="Carmen Sánchez"/>
    <d v="2011-01-01T00:00:00"/>
    <n v="88"/>
    <x v="1"/>
    <x v="3"/>
    <d v="2024-01-12T00:00:00"/>
    <d v="2025-03-07T00:00:00"/>
    <n v="24"/>
    <x v="0"/>
    <n v="6"/>
    <n v="8"/>
    <n v="23025.360000000001"/>
    <n v="2639.5"/>
    <n v="18789.830000000002"/>
  </r>
  <r>
    <s v="2760"/>
    <s v="Luis Martínez"/>
    <d v="2004-12-31T00:00:00"/>
    <n v="21"/>
    <x v="1"/>
    <x v="6"/>
    <d v="2023-10-22T00:00:00"/>
    <d v="2023-07-10T00:00:00"/>
    <n v="0"/>
    <x v="2"/>
    <n v="4"/>
    <n v="8"/>
    <n v="18667.849999999999"/>
    <n v="11695.57"/>
    <n v="2908.1"/>
  </r>
  <r>
    <s v="2761"/>
    <s v="Sofía Rodríguez"/>
    <d v="1935-01-01T00:00:00"/>
    <n v="91"/>
    <x v="0"/>
    <x v="0"/>
    <d v="2024-01-31T00:00:00"/>
    <d v="2023-05-29T00:00:00"/>
    <n v="30"/>
    <x v="0"/>
    <n v="7"/>
    <n v="8"/>
    <n v="11352.68"/>
    <n v="12989.45"/>
    <n v="10985.71"/>
  </r>
  <r>
    <s v="2762"/>
    <s v="Carlos Ramírez"/>
    <d v="1997-12-31T00:00:00"/>
    <n v="28"/>
    <x v="0"/>
    <x v="2"/>
    <d v="2023-04-14T00:00:00"/>
    <d v="2024-11-06T00:00:00"/>
    <n v="18"/>
    <x v="0"/>
    <n v="6"/>
    <n v="3"/>
    <n v="4340.3599999999997"/>
    <n v="12409.22"/>
    <n v="1069.54"/>
  </r>
  <r>
    <s v="2763"/>
    <s v="Sofía Hernández"/>
    <d v="2013-12-31T00:00:00"/>
    <n v="12"/>
    <x v="1"/>
    <x v="6"/>
    <d v="2024-03-20T00:00:00"/>
    <d v="2024-03-19T00:00:00"/>
    <n v="29"/>
    <x v="0"/>
    <n v="12"/>
    <n v="5"/>
    <n v="9309.07"/>
    <n v="8206.4699999999993"/>
    <n v="9112.82"/>
  </r>
  <r>
    <s v="2764"/>
    <s v="Ricardo Gómez"/>
    <d v="2012-01-01T00:00:00"/>
    <n v="81"/>
    <x v="0"/>
    <x v="0"/>
    <d v="2023-03-03T00:00:00"/>
    <d v="2023-09-23T00:00:00"/>
    <n v="37"/>
    <x v="2"/>
    <n v="6"/>
    <n v="1"/>
    <n v="22174.32"/>
    <n v="12569.12"/>
    <n v="7883.97"/>
  </r>
  <r>
    <s v="2765"/>
    <s v="Juan Gómez"/>
    <d v="2024-12-31T00:00:00"/>
    <n v="1"/>
    <x v="1"/>
    <x v="2"/>
    <d v="2024-07-18T00:00:00"/>
    <d v="2025-05-22T00:00:00"/>
    <n v="38"/>
    <x v="0"/>
    <n v="9"/>
    <n v="2"/>
    <n v="11149.53"/>
    <n v="11856.13"/>
    <n v="3200.4"/>
  </r>
  <r>
    <s v="2766"/>
    <s v="Ricardo Pérez"/>
    <d v="1997-12-31T00:00:00"/>
    <n v="28"/>
    <x v="1"/>
    <x v="4"/>
    <d v="2024-02-16T00:00:00"/>
    <d v="2024-10-12T00:00:00"/>
    <n v="38"/>
    <x v="0"/>
    <n v="8"/>
    <n v="5"/>
    <n v="13609.16"/>
    <n v="12485.39"/>
    <n v="3196.31"/>
  </r>
  <r>
    <s v="2767"/>
    <s v="Miguel Morales"/>
    <d v="2009-01-01T00:00:00"/>
    <n v="84"/>
    <x v="0"/>
    <x v="2"/>
    <d v="2024-09-21T00:00:00"/>
    <d v="2024-05-24T00:00:00"/>
    <n v="29"/>
    <x v="0"/>
    <n v="8"/>
    <n v="0"/>
    <n v="18063.09"/>
    <n v="14729"/>
    <n v="8946.94"/>
  </r>
  <r>
    <s v="2768"/>
    <s v="Sofía Morales"/>
    <d v="1948-01-01T00:00:00"/>
    <n v="78"/>
    <x v="0"/>
    <x v="2"/>
    <d v="2023-11-17T00:00:00"/>
    <d v="2023-10-29T00:00:00"/>
    <n v="21"/>
    <x v="2"/>
    <n v="5"/>
    <n v="6"/>
    <n v="27343.07"/>
    <n v="12150"/>
    <n v="2444.56"/>
  </r>
  <r>
    <s v="2769"/>
    <s v="Laura Sánchez"/>
    <d v="1975-01-01T00:00:00"/>
    <n v="51"/>
    <x v="1"/>
    <x v="3"/>
    <d v="2023-05-11T00:00:00"/>
    <d v="2024-04-11T00:00:00"/>
    <n v="8"/>
    <x v="2"/>
    <n v="8"/>
    <n v="1"/>
    <n v="7128.21"/>
    <n v="4060.35"/>
    <n v="5825.05"/>
  </r>
  <r>
    <s v="2770"/>
    <s v="Laura Ramírez"/>
    <d v="2000-01-01T00:00:00"/>
    <n v="26"/>
    <x v="1"/>
    <x v="3"/>
    <d v="2023-07-18T00:00:00"/>
    <d v="2024-01-01T00:00:00"/>
    <n v="34"/>
    <x v="0"/>
    <n v="9"/>
    <n v="7"/>
    <n v="13163.9"/>
    <n v="12312.94"/>
    <n v="1331.49"/>
  </r>
  <r>
    <s v="2771"/>
    <s v="Laura Rodríguez"/>
    <d v="1976-12-31T00:00:00"/>
    <n v="49"/>
    <x v="0"/>
    <x v="3"/>
    <d v="2023-02-05T00:00:00"/>
    <d v="2024-02-04T00:00:00"/>
    <n v="18"/>
    <x v="2"/>
    <n v="1"/>
    <n v="4"/>
    <n v="8964.7999999999993"/>
    <n v="5634.53"/>
    <n v="5875.6"/>
  </r>
  <r>
    <s v="2772"/>
    <s v="Pedro Gómez"/>
    <d v="1932-01-01T00:00:00"/>
    <n v="94"/>
    <x v="0"/>
    <x v="2"/>
    <d v="2023-08-04T00:00:00"/>
    <d v="2024-05-08T00:00:00"/>
    <n v="15"/>
    <x v="0"/>
    <n v="13"/>
    <n v="6"/>
    <n v="13718.7"/>
    <n v="7742.88"/>
    <n v="10627.22"/>
  </r>
  <r>
    <s v="2773"/>
    <s v="María Morales"/>
    <d v="1948-01-01T00:00:00"/>
    <n v="78"/>
    <x v="1"/>
    <x v="1"/>
    <d v="2024-08-08T00:00:00"/>
    <d v="2024-06-26T00:00:00"/>
    <n v="8"/>
    <x v="2"/>
    <n v="3"/>
    <n v="7"/>
    <n v="20742.080000000002"/>
    <n v="11945.99"/>
    <n v="14851.81"/>
  </r>
  <r>
    <s v="2774"/>
    <s v="Carlos Ramírez"/>
    <d v="2004-01-01T00:00:00"/>
    <n v="22"/>
    <x v="1"/>
    <x v="2"/>
    <d v="2023-11-02T00:00:00"/>
    <d v="2025-03-27T00:00:00"/>
    <n v="24"/>
    <x v="2"/>
    <n v="12"/>
    <n v="2"/>
    <n v="14202.95"/>
    <n v="4750.78"/>
    <n v="16591.18"/>
  </r>
  <r>
    <s v="2775"/>
    <s v="Juan Sánchez"/>
    <d v="1939-01-01T00:00:00"/>
    <n v="87"/>
    <x v="1"/>
    <x v="3"/>
    <d v="2024-07-20T00:00:00"/>
    <d v="2024-04-25T00:00:00"/>
    <n v="35"/>
    <x v="2"/>
    <n v="5"/>
    <n v="5"/>
    <n v="24953.360000000001"/>
    <n v="391.25"/>
    <n v="6690.63"/>
  </r>
  <r>
    <s v="2776"/>
    <s v="Jorge Ramírez"/>
    <d v="1943-01-01T00:00:00"/>
    <n v="43"/>
    <x v="0"/>
    <x v="2"/>
    <d v="2023-01-12T00:00:00"/>
    <d v="2023-06-18T00:00:00"/>
    <n v="2"/>
    <x v="1"/>
    <n v="8"/>
    <n v="8"/>
    <n v="16374.37"/>
    <n v="10772.17"/>
    <n v="18769.82"/>
  </r>
  <r>
    <s v="2777"/>
    <s v="Ana Martínez"/>
    <d v="1949-12-31T00:00:00"/>
    <n v="76"/>
    <x v="0"/>
    <x v="3"/>
    <d v="2023-03-24T00:00:00"/>
    <d v="2024-08-26T00:00:00"/>
    <n v="26"/>
    <x v="2"/>
    <n v="7"/>
    <n v="3"/>
    <n v="11265.84"/>
    <n v="13532.61"/>
    <n v="4736.5600000000004"/>
  </r>
  <r>
    <s v="2778"/>
    <s v="Miguel Pérez"/>
    <d v="2004-12-31T00:00:00"/>
    <n v="21"/>
    <x v="1"/>
    <x v="3"/>
    <d v="2023-02-01T00:00:00"/>
    <d v="2023-04-02T00:00:00"/>
    <n v="18"/>
    <x v="1"/>
    <n v="14"/>
    <n v="9"/>
    <n v="23360.79"/>
    <n v="13918.33"/>
    <n v="1519.58"/>
  </r>
  <r>
    <s v="2779"/>
    <s v="Ana Pérez"/>
    <d v="1984-01-01T00:00:00"/>
    <n v="42"/>
    <x v="0"/>
    <x v="3"/>
    <d v="2024-02-12T00:00:00"/>
    <d v="2024-12-24T00:00:00"/>
    <n v="26"/>
    <x v="0"/>
    <n v="14"/>
    <n v="6"/>
    <n v="12655.38"/>
    <n v="11983.65"/>
    <n v="18492.689999999999"/>
  </r>
  <r>
    <s v="2780"/>
    <s v="Juan Morales"/>
    <d v="1989-12-31T00:00:00"/>
    <n v="36"/>
    <x v="0"/>
    <x v="4"/>
    <d v="2023-03-27T00:00:00"/>
    <d v="2025-04-22T00:00:00"/>
    <n v="6"/>
    <x v="0"/>
    <n v="10"/>
    <n v="0"/>
    <n v="15224.36"/>
    <n v="14027.14"/>
    <n v="10750.19"/>
  </r>
  <r>
    <s v="2781"/>
    <s v="Juan Ramírez"/>
    <d v="1965-12-31T00:00:00"/>
    <n v="60"/>
    <x v="1"/>
    <x v="4"/>
    <d v="2024-02-15T00:00:00"/>
    <d v="2023-10-28T00:00:00"/>
    <n v="4"/>
    <x v="0"/>
    <n v="2"/>
    <n v="6"/>
    <n v="29837.45"/>
    <n v="12309.84"/>
    <n v="6962.72"/>
  </r>
  <r>
    <s v="2782"/>
    <s v="Luisa López"/>
    <d v="1971-01-01T00:00:00"/>
    <n v="55"/>
    <x v="1"/>
    <x v="1"/>
    <d v="2024-12-13T00:00:00"/>
    <d v="2023-06-24T00:00:00"/>
    <n v="35"/>
    <x v="0"/>
    <n v="6"/>
    <n v="8"/>
    <n v="23486.17"/>
    <n v="451.49"/>
    <n v="17952.03"/>
  </r>
  <r>
    <s v="2783"/>
    <s v="Laura Gómez"/>
    <d v="2024-01-01T00:00:00"/>
    <n v="2"/>
    <x v="0"/>
    <x v="0"/>
    <d v="2024-07-16T00:00:00"/>
    <d v="2024-10-08T00:00:00"/>
    <n v="28"/>
    <x v="0"/>
    <n v="1"/>
    <n v="9"/>
    <n v="25581.84"/>
    <n v="5244.83"/>
    <n v="15492.49"/>
  </r>
  <r>
    <s v="2784"/>
    <s v="Jorge Rodríguez"/>
    <d v="1964-01-01T00:00:00"/>
    <n v="62"/>
    <x v="0"/>
    <x v="2"/>
    <d v="2023-09-13T00:00:00"/>
    <d v="2024-01-09T00:00:00"/>
    <n v="24"/>
    <x v="2"/>
    <n v="2"/>
    <n v="7"/>
    <n v="17581.96"/>
    <n v="5041.59"/>
    <n v="16632.12"/>
  </r>
  <r>
    <s v="2785"/>
    <s v="Pedro Sánchez"/>
    <d v="2008-01-01T00:00:00"/>
    <n v="18"/>
    <x v="0"/>
    <x v="6"/>
    <d v="2023-08-29T00:00:00"/>
    <d v="2023-01-25T00:00:00"/>
    <n v="39"/>
    <x v="1"/>
    <n v="2"/>
    <n v="3"/>
    <n v="10120.6"/>
    <n v="3287.47"/>
    <n v="5776.1"/>
  </r>
  <r>
    <s v="2786"/>
    <s v="Carmen Hernández"/>
    <d v="2004-01-01T00:00:00"/>
    <n v="22"/>
    <x v="0"/>
    <x v="3"/>
    <d v="2024-12-17T00:00:00"/>
    <d v="2023-07-21T00:00:00"/>
    <n v="29"/>
    <x v="0"/>
    <n v="0"/>
    <n v="2"/>
    <n v="29733.72"/>
    <n v="11969.06"/>
    <n v="17457.05"/>
  </r>
  <r>
    <s v="2787"/>
    <s v="Laura Morales"/>
    <d v="1997-12-31T00:00:00"/>
    <n v="43"/>
    <x v="1"/>
    <x v="1"/>
    <d v="2024-12-08T00:00:00"/>
    <d v="2025-01-01T00:00:00"/>
    <n v="2"/>
    <x v="0"/>
    <n v="9"/>
    <n v="6"/>
    <n v="0"/>
    <n v="7801.35"/>
    <n v="12960.43"/>
  </r>
  <r>
    <s v="2788"/>
    <s v="Sofía Cruz"/>
    <d v="1996-12-31T00:00:00"/>
    <n v="29"/>
    <x v="1"/>
    <x v="6"/>
    <d v="2024-03-27T00:00:00"/>
    <d v="2023-01-08T00:00:00"/>
    <n v="30"/>
    <x v="0"/>
    <n v="9"/>
    <n v="0"/>
    <n v="26120.92"/>
    <n v="12544.34"/>
    <n v="14734.12"/>
  </r>
  <r>
    <s v="2789"/>
    <s v="Ana Pérez"/>
    <d v="1988-01-01T00:00:00"/>
    <n v="38"/>
    <x v="0"/>
    <x v="4"/>
    <d v="2023-01-01T00:00:00"/>
    <d v="2023-01-07T00:00:00"/>
    <n v="12"/>
    <x v="0"/>
    <n v="1"/>
    <n v="7"/>
    <n v="27294.69"/>
    <n v="9020.24"/>
    <n v="6179.69"/>
  </r>
  <r>
    <s v="2790"/>
    <s v="Juan Morales"/>
    <d v="2001-12-31T00:00:00"/>
    <n v="24"/>
    <x v="1"/>
    <x v="0"/>
    <d v="2024-08-23T00:00:00"/>
    <d v="2024-09-22T00:00:00"/>
    <n v="2"/>
    <x v="0"/>
    <n v="1"/>
    <n v="0"/>
    <n v="24435.42"/>
    <n v="8859.14"/>
    <n v="4824.8100000000004"/>
  </r>
  <r>
    <s v="2791"/>
    <s v="Laura Martínez"/>
    <d v="2019-01-01T00:00:00"/>
    <n v="7"/>
    <x v="0"/>
    <x v="2"/>
    <d v="2023-10-09T00:00:00"/>
    <d v="2023-06-11T00:00:00"/>
    <n v="17"/>
    <x v="1"/>
    <n v="7"/>
    <n v="6"/>
    <n v="2979.56"/>
    <n v="5762.23"/>
    <n v="8104.45"/>
  </r>
  <r>
    <s v="2792"/>
    <s v="Ricardo Gómez"/>
    <d v="1968-12-31T00:00:00"/>
    <n v="57"/>
    <x v="0"/>
    <x v="4"/>
    <d v="2024-10-12T00:00:00"/>
    <d v="2024-08-20T00:00:00"/>
    <n v="35"/>
    <x v="0"/>
    <n v="5"/>
    <n v="5"/>
    <n v="25550.45"/>
    <n v="11844.04"/>
    <n v="11461.78"/>
  </r>
  <r>
    <s v="2793"/>
    <s v="Laura Hernández"/>
    <d v="2011-01-01T00:00:00"/>
    <n v="15"/>
    <x v="0"/>
    <x v="1"/>
    <d v="2024-08-21T00:00:00"/>
    <d v="2025-05-28T00:00:00"/>
    <n v="34"/>
    <x v="1"/>
    <n v="0"/>
    <n v="9"/>
    <n v="19745.23"/>
    <n v="10246.370000000001"/>
    <n v="13286.34"/>
  </r>
  <r>
    <s v="2794"/>
    <s v="Luisa Pérez"/>
    <d v="1955-01-01T00:00:00"/>
    <n v="71"/>
    <x v="1"/>
    <x v="3"/>
    <d v="2024-05-28T00:00:00"/>
    <d v="2023-09-06T00:00:00"/>
    <n v="14"/>
    <x v="0"/>
    <n v="7"/>
    <n v="7"/>
    <n v="20265.13"/>
    <n v="5081.28"/>
    <n v="9909.09"/>
  </r>
  <r>
    <s v="2795"/>
    <s v="José Sánchez"/>
    <d v="2025-12-31T00:00:00"/>
    <n v="0"/>
    <x v="0"/>
    <x v="3"/>
    <d v="2024-11-10T00:00:00"/>
    <d v="2023-06-16T00:00:00"/>
    <n v="1"/>
    <x v="0"/>
    <n v="6"/>
    <n v="5"/>
    <n v="23489.21"/>
    <n v="14903.6"/>
    <n v="13947.17"/>
  </r>
  <r>
    <s v="2796"/>
    <s v="Jorge Martínez"/>
    <d v="2021-12-31T00:00:00"/>
    <n v="4"/>
    <x v="0"/>
    <x v="3"/>
    <d v="2023-04-29T00:00:00"/>
    <d v="2024-03-04T00:00:00"/>
    <n v="18"/>
    <x v="1"/>
    <n v="4"/>
    <n v="4"/>
    <n v="14461.39"/>
    <n v="6941.84"/>
    <n v="14137.46"/>
  </r>
  <r>
    <s v="2797"/>
    <s v="Ricardo Ramírez"/>
    <d v="2024-01-01T00:00:00"/>
    <n v="2"/>
    <x v="0"/>
    <x v="1"/>
    <d v="2024-05-19T00:00:00"/>
    <d v="2023-05-26T00:00:00"/>
    <n v="31"/>
    <x v="1"/>
    <n v="4"/>
    <n v="8"/>
    <n v="7648.29"/>
    <n v="4748.8500000000004"/>
    <n v="13288.1"/>
  </r>
  <r>
    <s v="2798"/>
    <s v="Miguel Hernández"/>
    <d v="1961-12-31T00:00:00"/>
    <n v="64"/>
    <x v="0"/>
    <x v="4"/>
    <d v="2023-03-21T00:00:00"/>
    <d v="2024-05-26T00:00:00"/>
    <n v="37"/>
    <x v="0"/>
    <n v="10"/>
    <n v="3"/>
    <n v="17035.43"/>
    <n v="10316.9"/>
    <n v="4946.88"/>
  </r>
  <r>
    <s v="2799"/>
    <s v="Ana Ramírez"/>
    <d v="2023-01-01T00:00:00"/>
    <n v="3"/>
    <x v="1"/>
    <x v="6"/>
    <d v="2024-09-14T00:00:00"/>
    <d v="2024-06-27T00:00:00"/>
    <n v="2"/>
    <x v="0"/>
    <n v="14"/>
    <n v="6"/>
    <n v="2814.6"/>
    <n v="3342.11"/>
    <n v="8871.2000000000007"/>
  </r>
  <r>
    <s v="2800"/>
    <s v="Miguel Cruz"/>
    <d v="1963-01-01T00:00:00"/>
    <n v="63"/>
    <x v="1"/>
    <x v="0"/>
    <d v="2024-11-07T00:00:00"/>
    <d v="2024-05-24T00:00:00"/>
    <n v="1"/>
    <x v="0"/>
    <n v="0"/>
    <n v="5"/>
    <n v="20081.560000000001"/>
    <n v="12459.66"/>
    <n v="15291.54"/>
  </r>
  <r>
    <s v="2801"/>
    <s v="Miguel Morales"/>
    <d v="1937-12-31T00:00:00"/>
    <n v="88"/>
    <x v="1"/>
    <x v="2"/>
    <d v="2023-08-07T00:00:00"/>
    <d v="2023-08-09T00:00:00"/>
    <n v="19"/>
    <x v="2"/>
    <n v="11"/>
    <n v="9"/>
    <n v="14229.7"/>
    <n v="10205.450000000001"/>
    <n v="17727.93"/>
  </r>
  <r>
    <s v="2802"/>
    <s v="Elena Ramírez"/>
    <d v="2016-12-31T00:00:00"/>
    <n v="9"/>
    <x v="1"/>
    <x v="0"/>
    <d v="2024-05-31T00:00:00"/>
    <d v="2024-10-07T00:00:00"/>
    <n v="11"/>
    <x v="2"/>
    <n v="14"/>
    <n v="5"/>
    <n v="14821.09"/>
    <n v="13050.98"/>
    <n v="9973.5400000000009"/>
  </r>
  <r>
    <s v="2803"/>
    <s v="Jorge Martínez"/>
    <d v="2005-12-31T00:00:00"/>
    <n v="20"/>
    <x v="0"/>
    <x v="4"/>
    <d v="2024-12-27T00:00:00"/>
    <d v="2024-07-30T00:00:00"/>
    <n v="1"/>
    <x v="1"/>
    <n v="1"/>
    <n v="4"/>
    <n v="5167.57"/>
    <n v="4935.7700000000004"/>
    <n v="19734.490000000002"/>
  </r>
  <r>
    <s v="2804"/>
    <s v="Luisa Rodríguez"/>
    <d v="1980-12-31T00:00:00"/>
    <n v="45"/>
    <x v="0"/>
    <x v="3"/>
    <d v="2024-12-07T00:00:00"/>
    <d v="2023-03-18T00:00:00"/>
    <n v="5"/>
    <x v="2"/>
    <n v="4"/>
    <n v="1"/>
    <n v="759.13"/>
    <n v="12816.38"/>
    <n v="3411.72"/>
  </r>
  <r>
    <s v="2805"/>
    <s v="María Martínez"/>
    <d v="1936-01-01T00:00:00"/>
    <n v="90"/>
    <x v="0"/>
    <x v="0"/>
    <d v="2024-04-10T00:00:00"/>
    <d v="2024-10-05T00:00:00"/>
    <n v="0"/>
    <x v="0"/>
    <n v="12"/>
    <n v="3"/>
    <n v="18143.73"/>
    <n v="7513.97"/>
    <n v="4410.0200000000004"/>
  </r>
  <r>
    <s v="2806"/>
    <s v="Ana Martínez"/>
    <d v="2000-01-01T00:00:00"/>
    <n v="26"/>
    <x v="0"/>
    <x v="6"/>
    <d v="2024-06-01T00:00:00"/>
    <d v="2025-04-04T00:00:00"/>
    <n v="26"/>
    <x v="0"/>
    <n v="14"/>
    <n v="0"/>
    <n v="19594.34"/>
    <n v="887.34"/>
    <n v="9161.1"/>
  </r>
  <r>
    <s v="2807"/>
    <s v="Pedro López"/>
    <d v="1960-12-31T00:00:00"/>
    <n v="65"/>
    <x v="1"/>
    <x v="5"/>
    <d v="2024-05-16T00:00:00"/>
    <d v="2023-11-16T00:00:00"/>
    <n v="23"/>
    <x v="0"/>
    <n v="10"/>
    <n v="8"/>
    <n v="14697.9"/>
    <n v="2912.54"/>
    <n v="10125.69"/>
  </r>
  <r>
    <s v="2808"/>
    <s v="Laura Cruz"/>
    <d v="1985-12-31T00:00:00"/>
    <n v="40"/>
    <x v="2"/>
    <x v="4"/>
    <d v="2023-02-27T00:00:00"/>
    <d v="2025-05-23T00:00:00"/>
    <n v="27"/>
    <x v="1"/>
    <n v="1"/>
    <n v="8"/>
    <n v="0"/>
    <n v="3264.74"/>
    <n v="8431.99"/>
  </r>
  <r>
    <s v="2809"/>
    <s v="Luisa Morales"/>
    <d v="2013-12-31T00:00:00"/>
    <n v="12"/>
    <x v="1"/>
    <x v="5"/>
    <d v="2023-12-03T00:00:00"/>
    <d v="2023-02-08T00:00:00"/>
    <n v="9"/>
    <x v="0"/>
    <n v="9"/>
    <n v="7"/>
    <n v="16693.34"/>
    <n v="11519.86"/>
    <n v="8550.98"/>
  </r>
  <r>
    <s v="2810"/>
    <s v="Elena Ramírez"/>
    <d v="2017-12-31T00:00:00"/>
    <n v="8"/>
    <x v="1"/>
    <x v="2"/>
    <d v="2024-05-24T00:00:00"/>
    <d v="2024-07-20T00:00:00"/>
    <n v="12"/>
    <x v="1"/>
    <n v="9"/>
    <n v="3"/>
    <n v="25369.98"/>
    <n v="3046.88"/>
    <n v="9693.74"/>
  </r>
  <r>
    <s v="2811"/>
    <s v="Laura Sánchez"/>
    <d v="1991-01-01T00:00:00"/>
    <n v="35"/>
    <x v="0"/>
    <x v="2"/>
    <d v="2024-09-05T00:00:00"/>
    <d v="2024-10-04T00:00:00"/>
    <n v="38"/>
    <x v="1"/>
    <n v="5"/>
    <n v="4"/>
    <n v="8287.6200000000008"/>
    <n v="8428.76"/>
    <n v="6335.34"/>
  </r>
  <r>
    <s v="2812"/>
    <s v="Jorge Hernández"/>
    <d v="1940-12-31T00:00:00"/>
    <n v="85"/>
    <x v="0"/>
    <x v="0"/>
    <d v="2024-03-01T00:00:00"/>
    <d v="2024-12-31T00:00:00"/>
    <n v="1"/>
    <x v="0"/>
    <n v="12"/>
    <n v="0"/>
    <n v="6914.8"/>
    <n v="9788.1299999999992"/>
    <n v="2531.96"/>
  </r>
  <r>
    <s v="2813"/>
    <s v="Pedro Rodríguez"/>
    <d v="1936-12-31T00:00:00"/>
    <n v="89"/>
    <x v="0"/>
    <x v="2"/>
    <d v="2024-07-13T00:00:00"/>
    <d v="2024-05-29T00:00:00"/>
    <n v="2"/>
    <x v="0"/>
    <n v="14"/>
    <n v="3"/>
    <n v="7464.93"/>
    <n v="11607.86"/>
    <n v="19117.78"/>
  </r>
  <r>
    <s v="2814"/>
    <s v="Miguel Morales"/>
    <d v="1968-12-31T00:00:00"/>
    <n v="57"/>
    <x v="1"/>
    <x v="4"/>
    <d v="2024-01-05T00:00:00"/>
    <d v="2023-09-04T00:00:00"/>
    <n v="25"/>
    <x v="1"/>
    <n v="3"/>
    <n v="3"/>
    <n v="430.81"/>
    <n v="11758.2"/>
    <n v="15879.24"/>
  </r>
  <r>
    <s v="2815"/>
    <s v="Ricardo Pérez"/>
    <d v="1972-12-31T00:00:00"/>
    <n v="53"/>
    <x v="0"/>
    <x v="1"/>
    <d v="2024-02-15T00:00:00"/>
    <d v="2023-05-21T00:00:00"/>
    <n v="37"/>
    <x v="0"/>
    <n v="2"/>
    <n v="4"/>
    <n v="26969.03"/>
    <n v="10764.06"/>
    <n v="16279.55"/>
  </r>
  <r>
    <s v="2816"/>
    <s v="José Pérez"/>
    <d v="2015-01-01T00:00:00"/>
    <n v="11"/>
    <x v="1"/>
    <x v="6"/>
    <d v="2024-11-05T00:00:00"/>
    <d v="2025-03-19T00:00:00"/>
    <n v="32"/>
    <x v="2"/>
    <n v="6"/>
    <n v="1"/>
    <n v="29975.19"/>
    <n v="3197.76"/>
    <n v="7235.67"/>
  </r>
  <r>
    <s v="2817"/>
    <s v="Sofía Gómez"/>
    <d v="1945-12-31T00:00:00"/>
    <n v="78"/>
    <x v="1"/>
    <x v="3"/>
    <d v="2024-03-07T00:00:00"/>
    <d v="2023-09-16T00:00:00"/>
    <n v="31"/>
    <x v="1"/>
    <n v="9"/>
    <n v="1"/>
    <n v="24403.94"/>
    <n v="8152.04"/>
    <n v="8018.07"/>
  </r>
  <r>
    <s v="2818"/>
    <s v="Carmen Gómez"/>
    <d v="1948-12-31T00:00:00"/>
    <n v="77"/>
    <x v="0"/>
    <x v="3"/>
    <d v="2023-07-15T00:00:00"/>
    <d v="2024-09-09T00:00:00"/>
    <n v="1"/>
    <x v="0"/>
    <n v="9"/>
    <n v="1"/>
    <n v="0"/>
    <n v="4352.54"/>
    <n v="18710.45"/>
  </r>
  <r>
    <s v="2819"/>
    <s v="Luisa Gómez"/>
    <d v="2012-12-31T00:00:00"/>
    <n v="13"/>
    <x v="0"/>
    <x v="0"/>
    <d v="2024-01-12T00:00:00"/>
    <d v="2024-01-17T00:00:00"/>
    <n v="15"/>
    <x v="1"/>
    <n v="0"/>
    <n v="7"/>
    <n v="10294.969999999999"/>
    <n v="11626.46"/>
    <n v="19455.560000000001"/>
  </r>
  <r>
    <s v="2820"/>
    <s v="Miguel Sánchez"/>
    <d v="1992-12-31T00:00:00"/>
    <n v="33"/>
    <x v="0"/>
    <x v="3"/>
    <d v="2023-12-31T00:00:00"/>
    <d v="2025-04-28T00:00:00"/>
    <n v="9"/>
    <x v="0"/>
    <n v="1"/>
    <n v="1"/>
    <n v="23127.82"/>
    <n v="11221.39"/>
    <n v="18846.68"/>
  </r>
  <r>
    <s v="2821"/>
    <s v="José Ramírez"/>
    <d v="1973-12-31T00:00:00"/>
    <n v="52"/>
    <x v="0"/>
    <x v="0"/>
    <d v="2024-10-05T00:00:00"/>
    <d v="2024-04-23T00:00:00"/>
    <n v="18"/>
    <x v="0"/>
    <n v="8"/>
    <n v="5"/>
    <n v="15053.33"/>
    <n v="3444.71"/>
    <n v="12816.26"/>
  </r>
  <r>
    <s v="2822"/>
    <s v="Luisa Hernández"/>
    <d v="2007-01-01T00:00:00"/>
    <n v="78"/>
    <x v="0"/>
    <x v="2"/>
    <d v="2024-02-09T00:00:00"/>
    <d v="2023-07-05T00:00:00"/>
    <n v="7"/>
    <x v="1"/>
    <n v="10"/>
    <n v="1"/>
    <n v="28153.46"/>
    <n v="9620.14"/>
    <n v="4778.59"/>
  </r>
  <r>
    <s v="2823"/>
    <s v="Miguel Cruz"/>
    <d v="1952-01-01T00:00:00"/>
    <n v="74"/>
    <x v="0"/>
    <x v="2"/>
    <d v="2024-05-06T00:00:00"/>
    <d v="2023-10-31T00:00:00"/>
    <n v="18"/>
    <x v="1"/>
    <n v="2"/>
    <n v="7"/>
    <n v="8027.18"/>
    <n v="876.42"/>
    <n v="12059.96"/>
  </r>
  <r>
    <s v="2824"/>
    <s v="Elena Cruz"/>
    <d v="2011-01-01T00:00:00"/>
    <n v="15"/>
    <x v="0"/>
    <x v="1"/>
    <d v="2023-03-07T00:00:00"/>
    <d v="2024-05-09T00:00:00"/>
    <n v="37"/>
    <x v="0"/>
    <n v="10"/>
    <n v="0"/>
    <n v="9376.4500000000007"/>
    <n v="11528.23"/>
    <n v="11740.64"/>
  </r>
  <r>
    <s v="2825"/>
    <s v="Laura Ramírez"/>
    <d v="2008-01-01T00:00:00"/>
    <n v="83"/>
    <x v="0"/>
    <x v="1"/>
    <d v="2024-01-26T00:00:00"/>
    <d v="2025-01-26T00:00:00"/>
    <n v="22"/>
    <x v="0"/>
    <n v="8"/>
    <n v="1"/>
    <n v="29964.16"/>
    <n v="11703.03"/>
    <n v="18155.53"/>
  </r>
  <r>
    <s v="2826"/>
    <s v="Sofía Morales"/>
    <d v="1956-12-31T00:00:00"/>
    <n v="69"/>
    <x v="2"/>
    <x v="6"/>
    <d v="2023-03-24T00:00:00"/>
    <d v="2023-06-14T00:00:00"/>
    <n v="14"/>
    <x v="1"/>
    <n v="12"/>
    <n v="4"/>
    <n v="29334.33"/>
    <n v="5205.18"/>
    <n v="6164.54"/>
  </r>
  <r>
    <s v="2827"/>
    <s v="Carlos Rodríguez"/>
    <d v="1971-01-01T00:00:00"/>
    <n v="55"/>
    <x v="2"/>
    <x v="3"/>
    <d v="2024-04-25T00:00:00"/>
    <d v="2024-10-06T00:00:00"/>
    <n v="3"/>
    <x v="0"/>
    <n v="4"/>
    <n v="5"/>
    <n v="26498.35"/>
    <n v="12093.85"/>
    <n v="3933.67"/>
  </r>
  <r>
    <s v="2828"/>
    <s v="Juan Martínez"/>
    <d v="1944-01-01T00:00:00"/>
    <n v="82"/>
    <x v="1"/>
    <x v="4"/>
    <d v="2023-08-17T00:00:00"/>
    <d v="2023-07-23T00:00:00"/>
    <n v="11"/>
    <x v="1"/>
    <n v="13"/>
    <n v="8"/>
    <n v="11841.17"/>
    <n v="12874.46"/>
    <n v="5242.72"/>
  </r>
  <r>
    <s v="2829"/>
    <s v="Laura López"/>
    <d v="1968-12-31T00:00:00"/>
    <n v="57"/>
    <x v="0"/>
    <x v="1"/>
    <d v="2023-08-13T00:00:00"/>
    <d v="2024-02-13T00:00:00"/>
    <n v="34"/>
    <x v="2"/>
    <n v="3"/>
    <n v="5"/>
    <n v="25047.19"/>
    <n v="2850.87"/>
    <n v="4787.22"/>
  </r>
  <r>
    <s v="2830"/>
    <s v="María Cruz"/>
    <d v="2023-01-01T00:00:00"/>
    <n v="3"/>
    <x v="0"/>
    <x v="6"/>
    <d v="2023-04-23T00:00:00"/>
    <d v="2023-07-30T00:00:00"/>
    <n v="37"/>
    <x v="2"/>
    <n v="13"/>
    <n v="7"/>
    <n v="0"/>
    <n v="5263.43"/>
    <n v="12932.53"/>
  </r>
  <r>
    <s v="2831"/>
    <s v="Carlos Sánchez"/>
    <d v="2023-01-01T00:00:00"/>
    <n v="3"/>
    <x v="1"/>
    <x v="5"/>
    <d v="2024-10-13T00:00:00"/>
    <d v="2025-05-09T00:00:00"/>
    <n v="37"/>
    <x v="0"/>
    <n v="3"/>
    <n v="6"/>
    <n v="7270.02"/>
    <n v="3916.21"/>
    <n v="16229.9"/>
  </r>
  <r>
    <s v="2832"/>
    <s v="José Martínez"/>
    <d v="2007-01-01T00:00:00"/>
    <n v="19"/>
    <x v="0"/>
    <x v="1"/>
    <d v="2023-07-04T00:00:00"/>
    <d v="2023-04-12T00:00:00"/>
    <n v="15"/>
    <x v="1"/>
    <n v="5"/>
    <n v="0"/>
    <n v="16166.35"/>
    <n v="5615.37"/>
    <n v="7299.08"/>
  </r>
  <r>
    <s v="2833"/>
    <s v="Juan López"/>
    <d v="2016-12-31T00:00:00"/>
    <n v="9"/>
    <x v="1"/>
    <x v="6"/>
    <d v="2024-05-26T00:00:00"/>
    <d v="2024-03-22T00:00:00"/>
    <n v="27"/>
    <x v="1"/>
    <n v="6"/>
    <n v="1"/>
    <n v="25738.02"/>
    <n v="6703.56"/>
    <n v="3445.9"/>
  </r>
  <r>
    <s v="2834"/>
    <s v="Carlos Pérez"/>
    <d v="2003-01-01T00:00:00"/>
    <n v="23"/>
    <x v="0"/>
    <x v="0"/>
    <d v="2023-06-22T00:00:00"/>
    <d v="2025-06-17T00:00:00"/>
    <n v="6"/>
    <x v="2"/>
    <n v="4"/>
    <n v="3"/>
    <n v="2472.9299999999998"/>
    <n v="7649.53"/>
    <n v="6796.14"/>
  </r>
  <r>
    <s v="2835"/>
    <s v="Jorge Martínez"/>
    <d v="2000-12-31T00:00:00"/>
    <n v="25"/>
    <x v="0"/>
    <x v="0"/>
    <d v="2024-06-06T00:00:00"/>
    <d v="2025-02-22T00:00:00"/>
    <n v="11"/>
    <x v="1"/>
    <n v="13"/>
    <n v="0"/>
    <n v="16741.830000000002"/>
    <n v="526.55999999999995"/>
    <n v="10885.82"/>
  </r>
  <r>
    <s v="2836"/>
    <s v="José Gómez"/>
    <d v="1989-12-31T00:00:00"/>
    <n v="36"/>
    <x v="1"/>
    <x v="6"/>
    <d v="2024-11-01T00:00:00"/>
    <d v="2024-07-15T00:00:00"/>
    <n v="14"/>
    <x v="0"/>
    <n v="12"/>
    <n v="7"/>
    <n v="18097.02"/>
    <n v="827.5"/>
    <n v="13256.17"/>
  </r>
  <r>
    <s v="2837"/>
    <s v="Laura Rodríguez"/>
    <d v="1941-12-31T00:00:00"/>
    <n v="84"/>
    <x v="1"/>
    <x v="2"/>
    <d v="2023-07-24T00:00:00"/>
    <d v="2024-01-04T00:00:00"/>
    <n v="31"/>
    <x v="0"/>
    <n v="1"/>
    <n v="3"/>
    <n v="17183.830000000002"/>
    <n v="9828.52"/>
    <n v="10950.95"/>
  </r>
  <r>
    <s v="2838"/>
    <s v="Carmen Hernández"/>
    <d v="1972-12-31T00:00:00"/>
    <n v="53"/>
    <x v="0"/>
    <x v="5"/>
    <d v="2024-06-21T00:00:00"/>
    <d v="2023-08-28T00:00:00"/>
    <n v="19"/>
    <x v="0"/>
    <n v="2"/>
    <n v="6"/>
    <n v="0"/>
    <n v="6641.12"/>
    <n v="5060.28"/>
  </r>
  <r>
    <s v="2839"/>
    <s v="Ana Cruz"/>
    <d v="2005-12-31T00:00:00"/>
    <n v="20"/>
    <x v="1"/>
    <x v="6"/>
    <d v="2023-11-15T00:00:00"/>
    <d v="2024-12-28T00:00:00"/>
    <n v="29"/>
    <x v="0"/>
    <n v="12"/>
    <n v="6"/>
    <n v="0"/>
    <n v="1346.06"/>
    <n v="18352.18"/>
  </r>
  <r>
    <s v="2840"/>
    <s v="Luis López"/>
    <d v="1952-12-31T00:00:00"/>
    <n v="73"/>
    <x v="1"/>
    <x v="1"/>
    <d v="2023-06-08T00:00:00"/>
    <d v="2023-10-19T00:00:00"/>
    <n v="9"/>
    <x v="1"/>
    <n v="14"/>
    <n v="7"/>
    <n v="26797.25"/>
    <n v="5793.45"/>
    <n v="8700.0300000000007"/>
  </r>
  <r>
    <s v="2841"/>
    <s v="María Hernández"/>
    <d v="1988-12-31T00:00:00"/>
    <n v="37"/>
    <x v="1"/>
    <x v="2"/>
    <d v="2023-10-05T00:00:00"/>
    <d v="2024-01-08T00:00:00"/>
    <n v="13"/>
    <x v="1"/>
    <n v="1"/>
    <n v="8"/>
    <n v="17022.63"/>
    <n v="7132.42"/>
    <n v="9125.2999999999993"/>
  </r>
  <r>
    <s v="2842"/>
    <s v="Miguel Gómez"/>
    <d v="1980-12-31T00:00:00"/>
    <n v="45"/>
    <x v="0"/>
    <x v="6"/>
    <d v="2023-05-28T00:00:00"/>
    <d v="2025-05-12T00:00:00"/>
    <n v="19"/>
    <x v="2"/>
    <n v="12"/>
    <n v="8"/>
    <n v="22921.09"/>
    <n v="9533.85"/>
    <n v="19344.439999999999"/>
  </r>
  <r>
    <s v="2843"/>
    <s v="Jorge Ramírez"/>
    <d v="2023-01-01T00:00:00"/>
    <n v="3"/>
    <x v="0"/>
    <x v="3"/>
    <d v="2023-03-24T00:00:00"/>
    <d v="2024-03-07T00:00:00"/>
    <n v="35"/>
    <x v="2"/>
    <n v="9"/>
    <n v="6"/>
    <n v="10615.33"/>
    <n v="1774.95"/>
    <n v="17354.189999999999"/>
  </r>
  <r>
    <s v="2844"/>
    <s v="Carlos Cruz"/>
    <d v="1967-01-01T00:00:00"/>
    <n v="59"/>
    <x v="0"/>
    <x v="1"/>
    <d v="2024-02-23T00:00:00"/>
    <d v="2023-10-08T00:00:00"/>
    <n v="36"/>
    <x v="0"/>
    <n v="12"/>
    <n v="8"/>
    <n v="796.32"/>
    <n v="14922.06"/>
    <n v="16106.01"/>
  </r>
  <r>
    <s v="2845"/>
    <s v="Carmen Martínez"/>
    <d v="1969-12-31T00:00:00"/>
    <n v="56"/>
    <x v="1"/>
    <x v="1"/>
    <d v="2024-06-21T00:00:00"/>
    <d v="2024-04-12T00:00:00"/>
    <n v="1"/>
    <x v="0"/>
    <n v="3"/>
    <n v="4"/>
    <n v="7416.74"/>
    <n v="7120.58"/>
    <n v="3572.09"/>
  </r>
  <r>
    <s v="2846"/>
    <s v="Pedro Hernández"/>
    <d v="1981-12-31T00:00:00"/>
    <n v="44"/>
    <x v="0"/>
    <x v="0"/>
    <d v="2024-08-05T00:00:00"/>
    <d v="2023-11-13T00:00:00"/>
    <n v="5"/>
    <x v="1"/>
    <n v="11"/>
    <n v="9"/>
    <n v="1737.65"/>
    <n v="10211.86"/>
    <n v="16745.55"/>
  </r>
  <r>
    <s v="2847"/>
    <s v="Ricardo Morales"/>
    <d v="2007-01-01T00:00:00"/>
    <n v="19"/>
    <x v="0"/>
    <x v="3"/>
    <d v="2024-07-02T00:00:00"/>
    <d v="2023-03-19T00:00:00"/>
    <n v="2"/>
    <x v="0"/>
    <n v="13"/>
    <n v="3"/>
    <n v="1886.36"/>
    <n v="13623.27"/>
    <n v="9051.7000000000007"/>
  </r>
  <r>
    <s v="2848"/>
    <s v="Pedro Rodríguez"/>
    <d v="1986-01-01T00:00:00"/>
    <n v="16"/>
    <x v="1"/>
    <x v="3"/>
    <d v="2024-01-27T00:00:00"/>
    <d v="2025-03-27T00:00:00"/>
    <n v="38"/>
    <x v="1"/>
    <n v="10"/>
    <n v="2"/>
    <n v="6041.01"/>
    <n v="477.35"/>
    <n v="4108.82"/>
  </r>
  <r>
    <s v="2849"/>
    <s v="Carlos Martínez"/>
    <d v="1956-01-01T00:00:00"/>
    <n v="70"/>
    <x v="0"/>
    <x v="1"/>
    <d v="2023-05-13T00:00:00"/>
    <d v="2023-06-01T00:00:00"/>
    <n v="37"/>
    <x v="0"/>
    <n v="8"/>
    <n v="5"/>
    <n v="18824.13"/>
    <n v="9020.3799999999992"/>
    <n v="19816.73"/>
  </r>
  <r>
    <s v="2850"/>
    <s v="Carmen Morales"/>
    <d v="2023-01-01T00:00:00"/>
    <n v="3"/>
    <x v="0"/>
    <x v="5"/>
    <d v="2024-09-29T00:00:00"/>
    <d v="2024-02-01T00:00:00"/>
    <n v="38"/>
    <x v="0"/>
    <n v="14"/>
    <n v="9"/>
    <n v="24442.01"/>
    <n v="8105.34"/>
    <n v="3358.29"/>
  </r>
  <r>
    <s v="2851"/>
    <s v="Carlos Sánchez"/>
    <d v="1991-01-01T00:00:00"/>
    <n v="92"/>
    <x v="0"/>
    <x v="4"/>
    <d v="2024-09-18T00:00:00"/>
    <d v="2024-05-11T00:00:00"/>
    <n v="2"/>
    <x v="2"/>
    <n v="6"/>
    <n v="8"/>
    <n v="24551.39"/>
    <n v="861.1"/>
    <n v="18430.95"/>
  </r>
  <r>
    <s v="2852"/>
    <s v="Miguel Sánchez"/>
    <d v="2012-12-31T00:00:00"/>
    <n v="20"/>
    <x v="1"/>
    <x v="2"/>
    <d v="2024-08-26T00:00:00"/>
    <d v="2023-10-25T00:00:00"/>
    <n v="33"/>
    <x v="0"/>
    <n v="1"/>
    <n v="3"/>
    <n v="28101.57"/>
    <n v="10395.42"/>
    <n v="89.38"/>
  </r>
  <r>
    <s v="2853"/>
    <s v="María López"/>
    <d v="2024-01-01T00:00:00"/>
    <n v="2"/>
    <x v="1"/>
    <x v="0"/>
    <d v="2023-08-30T00:00:00"/>
    <d v="2024-10-31T00:00:00"/>
    <n v="14"/>
    <x v="2"/>
    <n v="8"/>
    <n v="1"/>
    <n v="19519.64"/>
    <n v="3311.74"/>
    <n v="8702.15"/>
  </r>
  <r>
    <s v="2854"/>
    <s v="Miguel Pérez"/>
    <d v="1939-01-01T00:00:00"/>
    <n v="87"/>
    <x v="1"/>
    <x v="3"/>
    <d v="2024-03-26T00:00:00"/>
    <d v="2024-12-11T00:00:00"/>
    <n v="38"/>
    <x v="0"/>
    <n v="11"/>
    <n v="2"/>
    <n v="105.76"/>
    <n v="10528.22"/>
    <n v="500.91"/>
  </r>
  <r>
    <s v="2855"/>
    <s v="Ana López"/>
    <d v="1973-01-01T00:00:00"/>
    <n v="79"/>
    <x v="1"/>
    <x v="0"/>
    <d v="2023-07-19T00:00:00"/>
    <d v="2025-06-15T00:00:00"/>
    <n v="27"/>
    <x v="0"/>
    <n v="13"/>
    <n v="2"/>
    <n v="11010.77"/>
    <n v="5439.44"/>
    <n v="18240.29"/>
  </r>
  <r>
    <s v="2856"/>
    <s v="Miguel Cruz"/>
    <d v="1968-12-31T00:00:00"/>
    <n v="65"/>
    <x v="0"/>
    <x v="1"/>
    <d v="2024-12-19T00:00:00"/>
    <d v="2024-02-12T00:00:00"/>
    <n v="12"/>
    <x v="1"/>
    <n v="2"/>
    <n v="1"/>
    <n v="2899.54"/>
    <n v="11551.89"/>
    <n v="2430.37"/>
  </r>
  <r>
    <s v="2857"/>
    <s v="Laura Rodríguez"/>
    <d v="1972-01-01T00:00:00"/>
    <n v="54"/>
    <x v="1"/>
    <x v="2"/>
    <d v="2023-04-27T00:00:00"/>
    <d v="2023-10-15T00:00:00"/>
    <n v="17"/>
    <x v="2"/>
    <n v="11"/>
    <n v="8"/>
    <n v="23212.67"/>
    <n v="14126.42"/>
    <n v="13429.28"/>
  </r>
  <r>
    <s v="2858"/>
    <s v="Laura Gómez"/>
    <d v="2023-01-01T00:00:00"/>
    <n v="12"/>
    <x v="0"/>
    <x v="6"/>
    <d v="2023-08-07T00:00:00"/>
    <d v="2024-05-08T00:00:00"/>
    <n v="33"/>
    <x v="0"/>
    <n v="2"/>
    <n v="3"/>
    <n v="3150.52"/>
    <n v="12907.69"/>
    <n v="12587.53"/>
  </r>
  <r>
    <s v="2859"/>
    <s v="Sofía Cruz"/>
    <d v="2003-01-01T00:00:00"/>
    <n v="23"/>
    <x v="1"/>
    <x v="3"/>
    <d v="2023-11-01T00:00:00"/>
    <d v="2024-06-20T00:00:00"/>
    <n v="1"/>
    <x v="1"/>
    <n v="4"/>
    <n v="2"/>
    <n v="2730.63"/>
    <n v="7238.6"/>
    <n v="15559.28"/>
  </r>
  <r>
    <s v="2860"/>
    <s v="Juan Hernández"/>
    <d v="1992-12-31T00:00:00"/>
    <n v="33"/>
    <x v="1"/>
    <x v="2"/>
    <d v="2023-08-31T00:00:00"/>
    <d v="2024-04-01T00:00:00"/>
    <n v="1"/>
    <x v="0"/>
    <n v="14"/>
    <n v="9"/>
    <n v="360.36"/>
    <n v="3379.09"/>
    <n v="14912.24"/>
  </r>
  <r>
    <s v="2861"/>
    <s v="Miguel Sánchez"/>
    <d v="1996-12-31T00:00:00"/>
    <n v="29"/>
    <x v="0"/>
    <x v="4"/>
    <d v="2023-10-19T00:00:00"/>
    <d v="2024-05-07T00:00:00"/>
    <n v="21"/>
    <x v="1"/>
    <n v="7"/>
    <n v="5"/>
    <n v="28642.83"/>
    <n v="14886.35"/>
    <n v="552.22"/>
  </r>
  <r>
    <s v="2862"/>
    <s v="Carlos Cruz"/>
    <d v="1944-12-31T00:00:00"/>
    <n v="81"/>
    <x v="1"/>
    <x v="0"/>
    <d v="2023-10-28T00:00:00"/>
    <d v="2023-01-10T00:00:00"/>
    <n v="39"/>
    <x v="2"/>
    <n v="8"/>
    <n v="7"/>
    <n v="23464.16"/>
    <n v="9892.48"/>
    <n v="7706.85"/>
  </r>
  <r>
    <s v="2863"/>
    <s v="María Hernández"/>
    <d v="2008-01-01T00:00:00"/>
    <n v="18"/>
    <x v="0"/>
    <x v="1"/>
    <d v="2024-11-14T00:00:00"/>
    <d v="2023-05-13T00:00:00"/>
    <n v="1"/>
    <x v="1"/>
    <n v="1"/>
    <n v="7"/>
    <n v="9665.98"/>
    <n v="5939.29"/>
    <n v="6382.71"/>
  </r>
  <r>
    <s v="2864"/>
    <s v="Juan Ramírez"/>
    <d v="1996-01-01T00:00:00"/>
    <n v="30"/>
    <x v="1"/>
    <x v="2"/>
    <d v="2024-01-23T00:00:00"/>
    <d v="2023-03-19T00:00:00"/>
    <n v="1"/>
    <x v="0"/>
    <n v="2"/>
    <n v="9"/>
    <n v="10981.4"/>
    <n v="7222.86"/>
    <n v="19454.990000000002"/>
  </r>
  <r>
    <s v="2865"/>
    <s v="Carlos Ramírez"/>
    <d v="1967-01-01T00:00:00"/>
    <n v="59"/>
    <x v="1"/>
    <x v="6"/>
    <d v="2024-08-10T00:00:00"/>
    <d v="2025-01-08T00:00:00"/>
    <n v="2"/>
    <x v="1"/>
    <n v="4"/>
    <n v="5"/>
    <n v="1312.57"/>
    <n v="1920.83"/>
    <n v="15475.35"/>
  </r>
  <r>
    <s v="2866"/>
    <s v="Ana Cruz"/>
    <d v="1967-01-01T00:00:00"/>
    <n v="59"/>
    <x v="0"/>
    <x v="2"/>
    <d v="2023-07-28T00:00:00"/>
    <d v="2023-05-12T00:00:00"/>
    <n v="10"/>
    <x v="0"/>
    <n v="4"/>
    <n v="4"/>
    <n v="4316.47"/>
    <n v="7579.38"/>
    <n v="14129.99"/>
  </r>
  <r>
    <s v="2867"/>
    <s v="Luis Rodríguez"/>
    <d v="2008-01-01T00:00:00"/>
    <n v="18"/>
    <x v="0"/>
    <x v="1"/>
    <d v="2023-11-10T00:00:00"/>
    <d v="2025-06-07T00:00:00"/>
    <n v="3"/>
    <x v="1"/>
    <n v="5"/>
    <n v="6"/>
    <n v="8999.27"/>
    <n v="2597.4699999999998"/>
    <n v="8787.42"/>
  </r>
  <r>
    <s v="2868"/>
    <s v="Laura Sánchez"/>
    <d v="1977-12-31T00:00:00"/>
    <n v="48"/>
    <x v="1"/>
    <x v="0"/>
    <d v="2024-09-08T00:00:00"/>
    <d v="2024-02-17T00:00:00"/>
    <n v="19"/>
    <x v="2"/>
    <n v="13"/>
    <n v="2"/>
    <n v="11329.97"/>
    <n v="5486.18"/>
    <n v="17808.46"/>
  </r>
  <r>
    <s v="2869"/>
    <s v="José Gómez"/>
    <d v="1964-01-01T00:00:00"/>
    <n v="62"/>
    <x v="1"/>
    <x v="3"/>
    <d v="2023-01-26T00:00:00"/>
    <d v="2023-04-01T00:00:00"/>
    <n v="14"/>
    <x v="0"/>
    <n v="1"/>
    <n v="9"/>
    <n v="18409.28"/>
    <n v="7376.5"/>
    <n v="238.08"/>
  </r>
  <r>
    <s v="2870"/>
    <s v="Carlos Sánchez"/>
    <d v="1944-01-01T00:00:00"/>
    <n v="82"/>
    <x v="0"/>
    <x v="4"/>
    <d v="2023-03-20T00:00:00"/>
    <d v="2024-05-13T00:00:00"/>
    <n v="19"/>
    <x v="0"/>
    <n v="12"/>
    <n v="1"/>
    <n v="10185.14"/>
    <n v="14216.98"/>
    <n v="4491.62"/>
  </r>
  <r>
    <s v="2871"/>
    <s v="Laura Morales"/>
    <d v="2004-12-31T00:00:00"/>
    <n v="21"/>
    <x v="2"/>
    <x v="4"/>
    <d v="2023-05-08T00:00:00"/>
    <d v="2024-09-21T00:00:00"/>
    <n v="3"/>
    <x v="0"/>
    <n v="12"/>
    <n v="7"/>
    <n v="28615.32"/>
    <n v="9370.4"/>
    <n v="13869.76"/>
  </r>
  <r>
    <s v="2872"/>
    <s v="Luisa Morales"/>
    <d v="2003-01-01T00:00:00"/>
    <n v="23"/>
    <x v="0"/>
    <x v="3"/>
    <d v="2024-02-17T00:00:00"/>
    <d v="2024-09-14T00:00:00"/>
    <n v="0"/>
    <x v="0"/>
    <n v="7"/>
    <n v="8"/>
    <n v="9955.2199999999993"/>
    <n v="5578.35"/>
    <n v="10118.6"/>
  </r>
  <r>
    <s v="2873"/>
    <s v="José Pérez"/>
    <d v="1951-01-01T00:00:00"/>
    <n v="75"/>
    <x v="1"/>
    <x v="5"/>
    <d v="2023-05-17T00:00:00"/>
    <d v="2025-06-08T00:00:00"/>
    <n v="3"/>
    <x v="0"/>
    <n v="14"/>
    <n v="5"/>
    <n v="28218.66"/>
    <n v="1696.34"/>
    <n v="10629.53"/>
  </r>
  <r>
    <s v="2874"/>
    <s v="Sofía Rodríguez"/>
    <d v="1996-12-31T00:00:00"/>
    <n v="29"/>
    <x v="2"/>
    <x v="0"/>
    <d v="2023-11-30T00:00:00"/>
    <d v="2023-12-21T00:00:00"/>
    <n v="14"/>
    <x v="0"/>
    <n v="0"/>
    <n v="3"/>
    <n v="21760.720000000001"/>
    <n v="11207.83"/>
    <n v="8268.5300000000007"/>
  </r>
  <r>
    <s v="2875"/>
    <s v="Ricardo Martínez"/>
    <d v="2001-01-01T00:00:00"/>
    <n v="57"/>
    <x v="1"/>
    <x v="4"/>
    <d v="2024-07-01T00:00:00"/>
    <d v="2023-09-29T00:00:00"/>
    <n v="32"/>
    <x v="0"/>
    <n v="12"/>
    <n v="5"/>
    <n v="26946.87"/>
    <n v="7002.79"/>
    <n v="3245.81"/>
  </r>
  <r>
    <s v="2876"/>
    <s v="Luisa Ramírez"/>
    <d v="1996-01-01T00:00:00"/>
    <n v="30"/>
    <x v="1"/>
    <x v="5"/>
    <d v="2024-01-23T00:00:00"/>
    <d v="2024-01-28T00:00:00"/>
    <n v="34"/>
    <x v="0"/>
    <n v="2"/>
    <n v="6"/>
    <n v="20946.29"/>
    <n v="1022.33"/>
    <n v="3241.05"/>
  </r>
  <r>
    <s v="2877"/>
    <s v="Carlos López"/>
    <d v="1963-01-01T00:00:00"/>
    <n v="63"/>
    <x v="0"/>
    <x v="5"/>
    <d v="2024-07-24T00:00:00"/>
    <d v="2024-03-08T00:00:00"/>
    <n v="32"/>
    <x v="2"/>
    <n v="1"/>
    <n v="7"/>
    <n v="16841.810000000001"/>
    <n v="9853.1200000000008"/>
    <n v="5819.07"/>
  </r>
  <r>
    <s v="2878"/>
    <s v="Miguel Ramírez"/>
    <d v="2008-01-01T00:00:00"/>
    <n v="18"/>
    <x v="1"/>
    <x v="1"/>
    <d v="2023-08-18T00:00:00"/>
    <d v="2025-01-09T00:00:00"/>
    <n v="20"/>
    <x v="2"/>
    <n v="1"/>
    <n v="2"/>
    <n v="15027.02"/>
    <n v="5251.58"/>
    <n v="9313.02"/>
  </r>
  <r>
    <s v="2879"/>
    <s v="Pedro Gómez"/>
    <d v="1979-01-01T00:00:00"/>
    <n v="47"/>
    <x v="1"/>
    <x v="1"/>
    <d v="2024-02-25T00:00:00"/>
    <d v="2024-04-17T00:00:00"/>
    <n v="5"/>
    <x v="0"/>
    <n v="9"/>
    <n v="5"/>
    <n v="8385.81"/>
    <n v="6058.37"/>
    <n v="16464.93"/>
  </r>
  <r>
    <s v="2880"/>
    <s v="Sofía Ramírez"/>
    <d v="1981-12-31T00:00:00"/>
    <n v="44"/>
    <x v="1"/>
    <x v="1"/>
    <d v="2023-05-04T00:00:00"/>
    <d v="2025-01-26T00:00:00"/>
    <n v="4"/>
    <x v="0"/>
    <n v="3"/>
    <n v="9"/>
    <n v="8594.31"/>
    <n v="12582.81"/>
    <n v="8881.32"/>
  </r>
  <r>
    <s v="2881"/>
    <s v="Elena Sánchez"/>
    <d v="1932-12-31T00:00:00"/>
    <n v="93"/>
    <x v="1"/>
    <x v="6"/>
    <d v="2023-03-29T00:00:00"/>
    <d v="2023-11-05T00:00:00"/>
    <n v="7"/>
    <x v="1"/>
    <n v="14"/>
    <n v="5"/>
    <n v="6307.78"/>
    <n v="2059.62"/>
    <n v="17945.689999999999"/>
  </r>
  <r>
    <s v="2882"/>
    <s v="José Hernández"/>
    <d v="1972-01-01T00:00:00"/>
    <n v="54"/>
    <x v="0"/>
    <x v="0"/>
    <d v="2023-05-21T00:00:00"/>
    <d v="2024-05-23T00:00:00"/>
    <n v="23"/>
    <x v="0"/>
    <n v="5"/>
    <n v="9"/>
    <n v="11259"/>
    <n v="5105.62"/>
    <n v="2322.39"/>
  </r>
  <r>
    <s v="2883"/>
    <s v="Sofía López"/>
    <d v="1972-01-01T00:00:00"/>
    <n v="54"/>
    <x v="0"/>
    <x v="3"/>
    <d v="2023-02-20T00:00:00"/>
    <d v="2023-02-25T00:00:00"/>
    <n v="7"/>
    <x v="0"/>
    <n v="11"/>
    <n v="6"/>
    <n v="3372.68"/>
    <n v="5455.02"/>
    <n v="5362.64"/>
  </r>
  <r>
    <s v="2884"/>
    <s v="Carmen Martínez"/>
    <d v="2008-12-31T00:00:00"/>
    <n v="17"/>
    <x v="1"/>
    <x v="0"/>
    <d v="2024-07-20T00:00:00"/>
    <d v="2023-02-07T00:00:00"/>
    <n v="16"/>
    <x v="0"/>
    <n v="10"/>
    <n v="3"/>
    <n v="11321.95"/>
    <n v="49.94"/>
    <n v="1317.53"/>
  </r>
  <r>
    <s v="2885"/>
    <s v="Sofía Pérez"/>
    <d v="1964-01-01T00:00:00"/>
    <n v="62"/>
    <x v="0"/>
    <x v="1"/>
    <d v="2024-02-09T00:00:00"/>
    <d v="2023-02-25T00:00:00"/>
    <n v="20"/>
    <x v="0"/>
    <n v="5"/>
    <n v="5"/>
    <n v="24929.18"/>
    <n v="12679.93"/>
    <n v="10151.51"/>
  </r>
  <r>
    <s v="2886"/>
    <s v="Ana Ramírez"/>
    <d v="1935-01-01T00:00:00"/>
    <n v="91"/>
    <x v="0"/>
    <x v="6"/>
    <d v="2023-12-03T00:00:00"/>
    <d v="2024-06-08T00:00:00"/>
    <n v="28"/>
    <x v="0"/>
    <n v="12"/>
    <n v="1"/>
    <n v="26043.91"/>
    <n v="12529.69"/>
    <n v="1709.65"/>
  </r>
  <r>
    <s v="2887"/>
    <s v="Carmen Cruz"/>
    <d v="1980-01-01T00:00:00"/>
    <n v="46"/>
    <x v="0"/>
    <x v="0"/>
    <d v="2024-10-23T00:00:00"/>
    <d v="2024-04-08T00:00:00"/>
    <n v="30"/>
    <x v="1"/>
    <n v="12"/>
    <n v="7"/>
    <n v="19106.330000000002"/>
    <n v="9927.5400000000009"/>
    <n v="15893.25"/>
  </r>
  <r>
    <s v="2888"/>
    <s v="Laura Morales"/>
    <d v="1952-01-01T00:00:00"/>
    <n v="74"/>
    <x v="1"/>
    <x v="0"/>
    <d v="2024-10-26T00:00:00"/>
    <d v="2024-11-28T00:00:00"/>
    <n v="1"/>
    <x v="2"/>
    <n v="5"/>
    <n v="2"/>
    <n v="7332.7"/>
    <n v="13484.11"/>
    <n v="699.25"/>
  </r>
  <r>
    <s v="2889"/>
    <s v="José Sánchez"/>
    <d v="1969-12-31T00:00:00"/>
    <n v="56"/>
    <x v="2"/>
    <x v="5"/>
    <d v="2024-01-01T00:00:00"/>
    <d v="2024-04-23T00:00:00"/>
    <n v="25"/>
    <x v="1"/>
    <n v="1"/>
    <n v="8"/>
    <n v="6830.66"/>
    <n v="4093.3"/>
    <n v="9455.41"/>
  </r>
  <r>
    <s v="2890"/>
    <s v="Elena Cruz"/>
    <d v="1981-12-31T00:00:00"/>
    <n v="44"/>
    <x v="0"/>
    <x v="0"/>
    <d v="2023-09-15T00:00:00"/>
    <d v="2025-01-19T00:00:00"/>
    <n v="29"/>
    <x v="1"/>
    <n v="7"/>
    <n v="7"/>
    <n v="0"/>
    <n v="3309.45"/>
    <n v="8354.35"/>
  </r>
  <r>
    <s v="2891"/>
    <s v="Miguel López"/>
    <d v="1993-12-31T00:00:00"/>
    <n v="32"/>
    <x v="1"/>
    <x v="5"/>
    <d v="2024-01-23T00:00:00"/>
    <d v="2025-03-16T00:00:00"/>
    <n v="30"/>
    <x v="1"/>
    <n v="4"/>
    <n v="5"/>
    <n v="14751.2"/>
    <n v="1027.81"/>
    <n v="3964.88"/>
  </r>
  <r>
    <s v="2892"/>
    <s v="Juan Sánchez"/>
    <d v="2009-12-31T00:00:00"/>
    <n v="16"/>
    <x v="1"/>
    <x v="5"/>
    <d v="2023-02-14T00:00:00"/>
    <d v="2024-12-17T00:00:00"/>
    <n v="6"/>
    <x v="0"/>
    <n v="14"/>
    <n v="9"/>
    <n v="29281.56"/>
    <n v="8880.19"/>
    <n v="11695.76"/>
  </r>
  <r>
    <s v="2893"/>
    <s v="María Pérez"/>
    <d v="1956-12-31T00:00:00"/>
    <n v="69"/>
    <x v="1"/>
    <x v="2"/>
    <d v="2023-09-26T00:00:00"/>
    <d v="2023-07-31T00:00:00"/>
    <n v="26"/>
    <x v="0"/>
    <n v="9"/>
    <n v="1"/>
    <n v="2830.13"/>
    <n v="7445.33"/>
    <n v="7660.58"/>
  </r>
  <r>
    <s v="2894"/>
    <s v="Elena Ramírez"/>
    <d v="2023-01-01T00:00:00"/>
    <n v="3"/>
    <x v="0"/>
    <x v="1"/>
    <d v="2023-11-07T00:00:00"/>
    <d v="2023-08-15T00:00:00"/>
    <n v="12"/>
    <x v="1"/>
    <n v="10"/>
    <n v="7"/>
    <n v="14765.62"/>
    <n v="12155.94"/>
    <n v="3879.13"/>
  </r>
  <r>
    <s v="2895"/>
    <s v="Jorge Morales"/>
    <d v="2007-01-01T00:00:00"/>
    <n v="19"/>
    <x v="1"/>
    <x v="4"/>
    <d v="2024-11-02T00:00:00"/>
    <d v="2023-01-08T00:00:00"/>
    <n v="15"/>
    <x v="0"/>
    <n v="9"/>
    <n v="5"/>
    <n v="20308.45"/>
    <n v="7219.31"/>
    <n v="16513.91"/>
  </r>
  <r>
    <s v="2896"/>
    <s v="Sofía Cruz"/>
    <d v="1980-01-01T00:00:00"/>
    <n v="46"/>
    <x v="0"/>
    <x v="6"/>
    <d v="2023-10-05T00:00:00"/>
    <d v="2025-01-02T00:00:00"/>
    <n v="15"/>
    <x v="0"/>
    <n v="8"/>
    <n v="0"/>
    <n v="6992.66"/>
    <n v="3048.54"/>
    <n v="13179.98"/>
  </r>
  <r>
    <s v="2897"/>
    <s v="Carlos Hernández"/>
    <d v="1972-01-01T00:00:00"/>
    <n v="90"/>
    <x v="1"/>
    <x v="5"/>
    <d v="2024-04-19T00:00:00"/>
    <d v="2025-04-03T00:00:00"/>
    <n v="4"/>
    <x v="2"/>
    <n v="9"/>
    <n v="5"/>
    <n v="29057.919999999998"/>
    <n v="12143.95"/>
    <n v="144.27000000000001"/>
  </r>
  <r>
    <s v="2898"/>
    <s v="Luisa Morales"/>
    <d v="2012-01-01T00:00:00"/>
    <n v="14"/>
    <x v="0"/>
    <x v="0"/>
    <d v="2024-07-20T00:00:00"/>
    <d v="2024-06-24T00:00:00"/>
    <n v="11"/>
    <x v="0"/>
    <n v="6"/>
    <n v="4"/>
    <n v="10145.16"/>
    <n v="6831.82"/>
    <n v="9987.48"/>
  </r>
  <r>
    <s v="2899"/>
    <s v="Sofía Gómez"/>
    <d v="1956-12-31T00:00:00"/>
    <n v="69"/>
    <x v="1"/>
    <x v="5"/>
    <d v="2023-05-25T00:00:00"/>
    <d v="2025-03-16T00:00:00"/>
    <n v="26"/>
    <x v="0"/>
    <n v="12"/>
    <n v="5"/>
    <n v="27936.85"/>
    <n v="14337.45"/>
    <n v="5353.26"/>
  </r>
  <r>
    <s v="2900"/>
    <s v="Pedro Ramírez"/>
    <d v="1980-01-01T00:00:00"/>
    <n v="46"/>
    <x v="0"/>
    <x v="5"/>
    <d v="2023-08-23T00:00:00"/>
    <d v="2023-08-01T00:00:00"/>
    <n v="16"/>
    <x v="1"/>
    <n v="13"/>
    <n v="0"/>
    <n v="17719.34"/>
    <n v="8017.07"/>
    <n v="18293.759999999998"/>
  </r>
  <r>
    <s v="2901"/>
    <s v="Ana Gómez"/>
    <d v="1948-12-31T00:00:00"/>
    <n v="77"/>
    <x v="0"/>
    <x v="5"/>
    <d v="2024-11-21T00:00:00"/>
    <d v="2023-07-09T00:00:00"/>
    <n v="2"/>
    <x v="2"/>
    <n v="12"/>
    <n v="3"/>
    <n v="375.58"/>
    <n v="1751.08"/>
    <n v="14484.18"/>
  </r>
  <r>
    <s v="2902"/>
    <s v="Pedro Martínez"/>
    <d v="1952-01-01T00:00:00"/>
    <n v="74"/>
    <x v="1"/>
    <x v="3"/>
    <d v="2024-12-20T00:00:00"/>
    <d v="2023-03-17T00:00:00"/>
    <n v="38"/>
    <x v="0"/>
    <n v="1"/>
    <n v="6"/>
    <n v="8988.92"/>
    <n v="12765.37"/>
    <n v="12193.46"/>
  </r>
  <r>
    <s v="2903"/>
    <s v="José Ramírez"/>
    <d v="2017-12-31T00:00:00"/>
    <n v="8"/>
    <x v="1"/>
    <x v="4"/>
    <d v="2023-05-16T00:00:00"/>
    <d v="2025-01-24T00:00:00"/>
    <n v="2"/>
    <x v="0"/>
    <n v="2"/>
    <n v="4"/>
    <n v="157.22999999999999"/>
    <n v="13176.16"/>
    <n v="1689.99"/>
  </r>
  <r>
    <s v="2904"/>
    <s v="Laura Morales"/>
    <d v="1936-12-31T00:00:00"/>
    <n v="89"/>
    <x v="1"/>
    <x v="4"/>
    <d v="2024-03-20T00:00:00"/>
    <d v="2023-04-25T00:00:00"/>
    <n v="12"/>
    <x v="2"/>
    <n v="13"/>
    <n v="5"/>
    <n v="11135.01"/>
    <n v="6681.47"/>
    <n v="18605.98"/>
  </r>
  <r>
    <s v="2905"/>
    <s v="Juan Sánchez"/>
    <d v="2011-01-01T00:00:00"/>
    <n v="15"/>
    <x v="0"/>
    <x v="3"/>
    <d v="2023-12-19T00:00:00"/>
    <d v="2024-11-10T00:00:00"/>
    <n v="23"/>
    <x v="0"/>
    <n v="13"/>
    <n v="1"/>
    <n v="27942.29"/>
    <n v="389.9"/>
    <n v="2798.45"/>
  </r>
  <r>
    <s v="2906"/>
    <s v="Ana Cruz"/>
    <d v="1957-12-31T00:00:00"/>
    <n v="68"/>
    <x v="0"/>
    <x v="3"/>
    <d v="2024-01-29T00:00:00"/>
    <d v="2024-09-10T00:00:00"/>
    <n v="21"/>
    <x v="2"/>
    <n v="5"/>
    <n v="7"/>
    <n v="23260.02"/>
    <n v="445.85"/>
    <n v="8960.01"/>
  </r>
  <r>
    <s v="2907"/>
    <s v="Juan Gómez"/>
    <d v="1965-12-31T00:00:00"/>
    <n v="60"/>
    <x v="1"/>
    <x v="3"/>
    <d v="2023-10-02T00:00:00"/>
    <d v="2023-06-01T00:00:00"/>
    <n v="16"/>
    <x v="1"/>
    <n v="10"/>
    <n v="9"/>
    <n v="18414.03"/>
    <n v="5267.24"/>
    <n v="13588.94"/>
  </r>
  <r>
    <s v="2908"/>
    <s v="Ricardo Hernández"/>
    <d v="2016-12-31T00:00:00"/>
    <n v="9"/>
    <x v="1"/>
    <x v="4"/>
    <d v="2024-01-19T00:00:00"/>
    <d v="2024-03-12T00:00:00"/>
    <n v="17"/>
    <x v="0"/>
    <n v="7"/>
    <n v="3"/>
    <n v="15925.84"/>
    <n v="10743.48"/>
    <n v="9844.86"/>
  </r>
  <r>
    <s v="2909"/>
    <s v="Carmen Morales"/>
    <d v="1976-12-31T00:00:00"/>
    <n v="49"/>
    <x v="1"/>
    <x v="2"/>
    <d v="2023-11-19T00:00:00"/>
    <d v="2025-05-28T00:00:00"/>
    <n v="6"/>
    <x v="0"/>
    <n v="10"/>
    <n v="5"/>
    <n v="10863.75"/>
    <n v="4965.78"/>
    <n v="17637.650000000001"/>
  </r>
  <r>
    <s v="2910"/>
    <s v="Carmen Pérez"/>
    <d v="2024-01-01T00:00:00"/>
    <n v="29"/>
    <x v="0"/>
    <x v="5"/>
    <d v="2023-07-02T00:00:00"/>
    <d v="2023-03-26T00:00:00"/>
    <n v="25"/>
    <x v="2"/>
    <n v="1"/>
    <n v="2"/>
    <n v="5951.96"/>
    <n v="115.95"/>
    <n v="16690.36"/>
  </r>
  <r>
    <s v="2911"/>
    <s v="Ana Sánchez"/>
    <d v="1949-12-31T00:00:00"/>
    <n v="76"/>
    <x v="0"/>
    <x v="2"/>
    <d v="2024-07-26T00:00:00"/>
    <d v="2023-08-01T00:00:00"/>
    <n v="13"/>
    <x v="0"/>
    <n v="10"/>
    <n v="8"/>
    <n v="1407.01"/>
    <n v="12728.57"/>
    <n v="2620.89"/>
  </r>
  <r>
    <s v="2912"/>
    <s v="Laura Morales"/>
    <d v="1932-12-31T00:00:00"/>
    <n v="93"/>
    <x v="0"/>
    <x v="0"/>
    <d v="2024-03-15T00:00:00"/>
    <d v="2025-02-18T00:00:00"/>
    <n v="8"/>
    <x v="0"/>
    <n v="9"/>
    <n v="7"/>
    <n v="5299.47"/>
    <n v="14530.99"/>
    <n v="12314.49"/>
  </r>
  <r>
    <s v="2913"/>
    <s v="Luis Cruz"/>
    <d v="1956-12-31T00:00:00"/>
    <n v="69"/>
    <x v="1"/>
    <x v="4"/>
    <d v="2023-03-04T00:00:00"/>
    <d v="2025-04-14T00:00:00"/>
    <n v="31"/>
    <x v="1"/>
    <n v="10"/>
    <n v="5"/>
    <n v="10221.36"/>
    <n v="5195.54"/>
    <n v="949.28"/>
  </r>
  <r>
    <s v="2914"/>
    <s v="Carmen Hernández"/>
    <d v="1945-12-31T00:00:00"/>
    <n v="80"/>
    <x v="1"/>
    <x v="1"/>
    <d v="2024-12-27T00:00:00"/>
    <d v="2025-02-20T00:00:00"/>
    <n v="22"/>
    <x v="0"/>
    <n v="4"/>
    <n v="8"/>
    <n v="15359.73"/>
    <n v="1096.1199999999999"/>
    <n v="14383.61"/>
  </r>
  <r>
    <s v="2915"/>
    <s v="Juan Hernández"/>
    <d v="1976-01-01T00:00:00"/>
    <n v="59"/>
    <x v="2"/>
    <x v="4"/>
    <d v="2024-10-12T00:00:00"/>
    <d v="2024-04-06T00:00:00"/>
    <n v="37"/>
    <x v="0"/>
    <n v="6"/>
    <n v="9"/>
    <n v="5734.32"/>
    <n v="4371.18"/>
    <n v="14694.02"/>
  </r>
  <r>
    <s v="2916"/>
    <s v="José Hernández"/>
    <d v="2008-01-01T00:00:00"/>
    <n v="18"/>
    <x v="1"/>
    <x v="6"/>
    <d v="2024-10-07T00:00:00"/>
    <d v="2023-06-27T00:00:00"/>
    <n v="18"/>
    <x v="0"/>
    <n v="9"/>
    <n v="8"/>
    <n v="29217.02"/>
    <n v="11985.09"/>
    <n v="6824.27"/>
  </r>
  <r>
    <s v="2917"/>
    <s v="Pedro Hernández"/>
    <d v="1984-12-31T00:00:00"/>
    <n v="41"/>
    <x v="0"/>
    <x v="2"/>
    <d v="2023-02-03T00:00:00"/>
    <d v="2025-02-22T00:00:00"/>
    <n v="2"/>
    <x v="2"/>
    <n v="1"/>
    <n v="1"/>
    <n v="1843.93"/>
    <n v="8133.88"/>
    <n v="15710.54"/>
  </r>
  <r>
    <s v="2918"/>
    <s v="Luis Gómez"/>
    <d v="2008-01-01T00:00:00"/>
    <n v="34"/>
    <x v="1"/>
    <x v="3"/>
    <d v="2024-12-05T00:00:00"/>
    <d v="2023-11-09T00:00:00"/>
    <n v="8"/>
    <x v="1"/>
    <n v="14"/>
    <n v="8"/>
    <n v="2391.15"/>
    <n v="5759.78"/>
    <n v="13019.32"/>
  </r>
  <r>
    <s v="2919"/>
    <s v="Ana Morales"/>
    <d v="1980-12-31T00:00:00"/>
    <n v="45"/>
    <x v="1"/>
    <x v="3"/>
    <d v="2024-04-21T00:00:00"/>
    <d v="2024-11-25T00:00:00"/>
    <n v="6"/>
    <x v="1"/>
    <n v="14"/>
    <n v="7"/>
    <n v="20319.37"/>
    <n v="5013.3999999999996"/>
    <n v="10031.42"/>
  </r>
  <r>
    <s v="2920"/>
    <s v="Luis Morales"/>
    <d v="2000-12-31T00:00:00"/>
    <n v="25"/>
    <x v="0"/>
    <x v="0"/>
    <d v="2023-03-28T00:00:00"/>
    <d v="2023-06-09T00:00:00"/>
    <n v="8"/>
    <x v="0"/>
    <n v="4"/>
    <n v="1"/>
    <n v="22529.38"/>
    <n v="1730.92"/>
    <n v="9050.98"/>
  </r>
  <r>
    <s v="2921"/>
    <s v="Ana Gómez"/>
    <d v="1957-12-31T00:00:00"/>
    <n v="68"/>
    <x v="2"/>
    <x v="5"/>
    <d v="2023-07-29T00:00:00"/>
    <d v="2024-12-02T00:00:00"/>
    <n v="34"/>
    <x v="0"/>
    <n v="7"/>
    <n v="8"/>
    <n v="29159.77"/>
    <n v="5092.71"/>
    <n v="2093.7199999999998"/>
  </r>
  <r>
    <s v="2922"/>
    <s v="Luisa Morales"/>
    <d v="1933-12-31T00:00:00"/>
    <n v="92"/>
    <x v="2"/>
    <x v="6"/>
    <d v="2024-04-06T00:00:00"/>
    <d v="2023-07-06T00:00:00"/>
    <n v="38"/>
    <x v="2"/>
    <n v="7"/>
    <n v="4"/>
    <n v="15678.55"/>
    <n v="7051.63"/>
    <n v="10575.19"/>
  </r>
  <r>
    <s v="2923"/>
    <s v="Miguel Gómez"/>
    <d v="1963-01-01T00:00:00"/>
    <n v="63"/>
    <x v="1"/>
    <x v="2"/>
    <d v="2023-03-22T00:00:00"/>
    <d v="2024-04-16T00:00:00"/>
    <n v="2"/>
    <x v="1"/>
    <n v="4"/>
    <n v="8"/>
    <n v="4560.9799999999996"/>
    <n v="10097.120000000001"/>
    <n v="3037.61"/>
  </r>
  <r>
    <s v="2924"/>
    <s v="Juan Martínez"/>
    <d v="1989-12-31T00:00:00"/>
    <n v="36"/>
    <x v="1"/>
    <x v="5"/>
    <d v="2023-11-18T00:00:00"/>
    <d v="2023-11-06T00:00:00"/>
    <n v="23"/>
    <x v="0"/>
    <n v="3"/>
    <n v="2"/>
    <n v="28106.83"/>
    <n v="3931.18"/>
    <n v="13086.21"/>
  </r>
  <r>
    <s v="2925"/>
    <s v="Jorge Pérez"/>
    <d v="1943-01-01T00:00:00"/>
    <n v="30"/>
    <x v="0"/>
    <x v="5"/>
    <d v="2024-02-19T00:00:00"/>
    <d v="2023-09-04T00:00:00"/>
    <n v="7"/>
    <x v="0"/>
    <n v="1"/>
    <n v="3"/>
    <n v="29397.15"/>
    <n v="13460.68"/>
    <n v="11853.75"/>
  </r>
  <r>
    <s v="2926"/>
    <s v="Juan Pérez"/>
    <d v="1977-12-31T00:00:00"/>
    <n v="48"/>
    <x v="0"/>
    <x v="1"/>
    <d v="2023-07-09T00:00:00"/>
    <d v="2025-04-09T00:00:00"/>
    <n v="37"/>
    <x v="0"/>
    <n v="1"/>
    <n v="0"/>
    <n v="27667.17"/>
    <n v="7272"/>
    <n v="5739.67"/>
  </r>
  <r>
    <s v="2927"/>
    <s v="José Cruz"/>
    <d v="2005-12-31T00:00:00"/>
    <n v="20"/>
    <x v="0"/>
    <x v="1"/>
    <d v="2023-08-21T00:00:00"/>
    <d v="2024-01-20T00:00:00"/>
    <n v="16"/>
    <x v="0"/>
    <n v="13"/>
    <n v="4"/>
    <n v="26085.51"/>
    <n v="6077.42"/>
    <n v="4864.68"/>
  </r>
  <r>
    <s v="2928"/>
    <s v="Miguel Pérez"/>
    <d v="1952-12-31T00:00:00"/>
    <n v="73"/>
    <x v="1"/>
    <x v="2"/>
    <d v="2024-01-27T00:00:00"/>
    <d v="2023-02-12T00:00:00"/>
    <n v="13"/>
    <x v="1"/>
    <n v="1"/>
    <n v="6"/>
    <n v="0"/>
    <n v="8909.31"/>
    <n v="9468.86"/>
  </r>
  <r>
    <s v="2929"/>
    <s v="Luis Cruz"/>
    <d v="1963-01-01T00:00:00"/>
    <n v="63"/>
    <x v="0"/>
    <x v="2"/>
    <d v="2023-06-18T00:00:00"/>
    <d v="2023-10-13T00:00:00"/>
    <n v="34"/>
    <x v="0"/>
    <n v="10"/>
    <n v="6"/>
    <n v="25573.63"/>
    <n v="2514.36"/>
    <n v="10201.01"/>
  </r>
  <r>
    <s v="2930"/>
    <s v="Ricardo Cruz"/>
    <d v="2021-12-31T00:00:00"/>
    <n v="4"/>
    <x v="0"/>
    <x v="2"/>
    <d v="2024-03-18T00:00:00"/>
    <d v="2023-10-28T00:00:00"/>
    <n v="38"/>
    <x v="0"/>
    <n v="2"/>
    <n v="5"/>
    <n v="28573.42"/>
    <n v="1598.78"/>
    <n v="15938.3"/>
  </r>
  <r>
    <s v="2931"/>
    <s v="Juan Sánchez"/>
    <d v="1956-12-31T00:00:00"/>
    <n v="69"/>
    <x v="0"/>
    <x v="2"/>
    <d v="2023-06-17T00:00:00"/>
    <d v="2024-03-12T00:00:00"/>
    <n v="1"/>
    <x v="0"/>
    <n v="3"/>
    <n v="5"/>
    <n v="16345.59"/>
    <n v="5198.1099999999997"/>
    <n v="6009.56"/>
  </r>
  <r>
    <s v="2932"/>
    <s v="Juan Sánchez"/>
    <d v="1936-12-31T00:00:00"/>
    <n v="89"/>
    <x v="0"/>
    <x v="3"/>
    <d v="2023-08-19T00:00:00"/>
    <d v="2024-01-05T00:00:00"/>
    <n v="11"/>
    <x v="2"/>
    <n v="14"/>
    <n v="7"/>
    <n v="23063.93"/>
    <n v="599"/>
    <n v="8008.79"/>
  </r>
  <r>
    <s v="2933"/>
    <s v="Juan Martínez"/>
    <d v="2023-01-01T00:00:00"/>
    <n v="3"/>
    <x v="1"/>
    <x v="4"/>
    <d v="2023-05-30T00:00:00"/>
    <d v="2025-05-24T00:00:00"/>
    <n v="27"/>
    <x v="1"/>
    <n v="9"/>
    <n v="9"/>
    <n v="19657.32"/>
    <n v="5663.75"/>
    <n v="6800.24"/>
  </r>
  <r>
    <s v="2934"/>
    <s v="Pedro Hernández"/>
    <d v="1988-01-01T00:00:00"/>
    <n v="38"/>
    <x v="2"/>
    <x v="4"/>
    <d v="2024-10-25T00:00:00"/>
    <d v="2024-05-01T00:00:00"/>
    <n v="4"/>
    <x v="1"/>
    <n v="6"/>
    <n v="8"/>
    <n v="8285.77"/>
    <n v="10072.280000000001"/>
    <n v="7821.75"/>
  </r>
  <r>
    <s v="2935"/>
    <s v="Sofía Pérez"/>
    <d v="1992-01-01T00:00:00"/>
    <n v="34"/>
    <x v="0"/>
    <x v="5"/>
    <d v="2024-07-03T00:00:00"/>
    <d v="2024-03-12T00:00:00"/>
    <n v="9"/>
    <x v="0"/>
    <n v="11"/>
    <n v="3"/>
    <n v="17419.349999999999"/>
    <n v="12181.83"/>
    <n v="11298.65"/>
  </r>
  <r>
    <s v="2936"/>
    <s v="Sofía Pérez"/>
    <d v="2025-12-31T00:00:00"/>
    <n v="0"/>
    <x v="0"/>
    <x v="4"/>
    <d v="2024-01-21T00:00:00"/>
    <d v="2025-03-17T00:00:00"/>
    <n v="21"/>
    <x v="0"/>
    <n v="9"/>
    <n v="3"/>
    <n v="26625.89"/>
    <n v="8696.4500000000007"/>
    <n v="11105.17"/>
  </r>
  <r>
    <s v="2937"/>
    <s v="Miguel Morales"/>
    <d v="2003-01-01T00:00:00"/>
    <n v="23"/>
    <x v="0"/>
    <x v="5"/>
    <d v="2024-01-16T00:00:00"/>
    <d v="2024-03-04T00:00:00"/>
    <n v="36"/>
    <x v="0"/>
    <n v="7"/>
    <n v="7"/>
    <n v="14639.75"/>
    <n v="10369.94"/>
    <n v="7162.98"/>
  </r>
  <r>
    <s v="2938"/>
    <s v="Carlos Pérez"/>
    <d v="1969-12-31T00:00:00"/>
    <n v="56"/>
    <x v="0"/>
    <x v="3"/>
    <d v="2023-10-02T00:00:00"/>
    <d v="2023-07-01T00:00:00"/>
    <n v="19"/>
    <x v="2"/>
    <n v="10"/>
    <n v="4"/>
    <n v="17499.43"/>
    <n v="12496.95"/>
    <n v="12008.95"/>
  </r>
  <r>
    <s v="2939"/>
    <s v="Carlos Gómez"/>
    <d v="1957-01-01T00:00:00"/>
    <n v="69"/>
    <x v="0"/>
    <x v="4"/>
    <d v="2024-09-08T00:00:00"/>
    <d v="2025-06-02T00:00:00"/>
    <n v="27"/>
    <x v="0"/>
    <n v="12"/>
    <n v="9"/>
    <n v="15709.64"/>
    <n v="11596.95"/>
    <n v="12282.5"/>
  </r>
  <r>
    <s v="2940"/>
    <s v="María Cruz"/>
    <d v="1985-12-31T00:00:00"/>
    <n v="40"/>
    <x v="1"/>
    <x v="5"/>
    <d v="2023-03-03T00:00:00"/>
    <d v="2025-06-17T00:00:00"/>
    <n v="36"/>
    <x v="0"/>
    <n v="12"/>
    <n v="8"/>
    <n v="8113.35"/>
    <n v="4799.7299999999996"/>
    <n v="10490.65"/>
  </r>
  <r>
    <s v="2941"/>
    <s v="Pedro Pérez"/>
    <d v="1972-12-31T00:00:00"/>
    <n v="53"/>
    <x v="1"/>
    <x v="2"/>
    <d v="2024-04-11T00:00:00"/>
    <d v="2025-05-27T00:00:00"/>
    <n v="17"/>
    <x v="1"/>
    <n v="5"/>
    <n v="5"/>
    <n v="19131.72"/>
    <n v="8601.34"/>
    <n v="8992.4699999999993"/>
  </r>
  <r>
    <s v="2942"/>
    <s v="Jorge López"/>
    <d v="1980-12-31T00:00:00"/>
    <n v="45"/>
    <x v="1"/>
    <x v="6"/>
    <d v="2024-06-11T00:00:00"/>
    <d v="2024-11-25T00:00:00"/>
    <n v="23"/>
    <x v="2"/>
    <n v="11"/>
    <n v="8"/>
    <n v="15038.84"/>
    <n v="3972.8"/>
    <n v="1466.53"/>
  </r>
  <r>
    <s v="2943"/>
    <s v="Elena Pérez"/>
    <d v="1967-01-01T00:00:00"/>
    <n v="59"/>
    <x v="1"/>
    <x v="4"/>
    <d v="2023-05-30T00:00:00"/>
    <d v="2023-12-07T00:00:00"/>
    <n v="2"/>
    <x v="1"/>
    <n v="8"/>
    <n v="3"/>
    <n v="6592.65"/>
    <n v="8645.01"/>
    <n v="10779.49"/>
  </r>
  <r>
    <s v="2944"/>
    <s v="Juan López"/>
    <d v="1967-01-01T00:00:00"/>
    <n v="59"/>
    <x v="1"/>
    <x v="1"/>
    <d v="2023-05-22T00:00:00"/>
    <d v="2024-05-06T00:00:00"/>
    <n v="37"/>
    <x v="2"/>
    <n v="4"/>
    <n v="0"/>
    <n v="26809.03"/>
    <n v="6390.02"/>
    <n v="14225.27"/>
  </r>
  <r>
    <s v="2945"/>
    <s v="María Rodríguez"/>
    <d v="2011-01-01T00:00:00"/>
    <n v="56"/>
    <x v="1"/>
    <x v="1"/>
    <d v="2023-04-26T00:00:00"/>
    <d v="2024-05-10T00:00:00"/>
    <n v="39"/>
    <x v="1"/>
    <n v="13"/>
    <n v="3"/>
    <n v="28476.400000000001"/>
    <n v="5591.99"/>
    <n v="4228.08"/>
  </r>
  <r>
    <s v="2946"/>
    <s v="Carmen Cruz"/>
    <d v="1958-01-01T00:00:00"/>
    <n v="30"/>
    <x v="1"/>
    <x v="5"/>
    <d v="2023-03-06T00:00:00"/>
    <d v="2024-12-31T00:00:00"/>
    <n v="3"/>
    <x v="0"/>
    <n v="1"/>
    <n v="8"/>
    <n v="1188.8699999999999"/>
    <n v="2753.46"/>
    <n v="15534.49"/>
  </r>
  <r>
    <s v="2947"/>
    <s v="María López"/>
    <d v="1943-01-01T00:00:00"/>
    <n v="83"/>
    <x v="1"/>
    <x v="6"/>
    <d v="2024-03-04T00:00:00"/>
    <d v="2023-06-13T00:00:00"/>
    <n v="31"/>
    <x v="0"/>
    <n v="7"/>
    <n v="6"/>
    <n v="18481.64"/>
    <n v="8426.2999999999993"/>
    <n v="11687.25"/>
  </r>
  <r>
    <s v="2948"/>
    <s v="Juan Gómez"/>
    <d v="2003-01-01T00:00:00"/>
    <n v="69"/>
    <x v="1"/>
    <x v="1"/>
    <d v="2023-11-06T00:00:00"/>
    <d v="2024-07-12T00:00:00"/>
    <n v="2"/>
    <x v="1"/>
    <n v="8"/>
    <n v="5"/>
    <n v="12158.89"/>
    <n v="10939.74"/>
    <n v="4674.17"/>
  </r>
  <r>
    <s v="2949"/>
    <s v="Luis Morales"/>
    <d v="1937-12-31T00:00:00"/>
    <n v="88"/>
    <x v="1"/>
    <x v="4"/>
    <d v="2024-12-06T00:00:00"/>
    <d v="2024-04-01T00:00:00"/>
    <n v="7"/>
    <x v="0"/>
    <n v="1"/>
    <n v="1"/>
    <n v="15541.61"/>
    <n v="8569.2000000000007"/>
    <n v="3175.32"/>
  </r>
  <r>
    <s v="2950"/>
    <s v="Laura Pérez"/>
    <d v="1991-01-01T00:00:00"/>
    <n v="35"/>
    <x v="0"/>
    <x v="6"/>
    <d v="2024-03-05T00:00:00"/>
    <d v="2023-04-03T00:00:00"/>
    <n v="25"/>
    <x v="1"/>
    <n v="7"/>
    <n v="3"/>
    <n v="10901.81"/>
    <n v="1038.4000000000001"/>
    <n v="4832.57"/>
  </r>
  <r>
    <s v="2951"/>
    <s v="Carmen Ramírez"/>
    <d v="1941-12-31T00:00:00"/>
    <n v="84"/>
    <x v="0"/>
    <x v="3"/>
    <d v="2023-06-10T00:00:00"/>
    <d v="2023-04-16T00:00:00"/>
    <n v="0"/>
    <x v="0"/>
    <n v="1"/>
    <n v="0"/>
    <n v="13967.93"/>
    <n v="13864.9"/>
    <n v="15157.63"/>
  </r>
  <r>
    <s v="2952"/>
    <s v="Ana Hernández"/>
    <d v="1996-12-31T00:00:00"/>
    <n v="29"/>
    <x v="1"/>
    <x v="0"/>
    <d v="2023-11-02T00:00:00"/>
    <d v="2024-12-20T00:00:00"/>
    <n v="10"/>
    <x v="2"/>
    <n v="7"/>
    <n v="2"/>
    <n v="9364.73"/>
    <n v="82.37"/>
    <n v="4935.29"/>
  </r>
  <r>
    <s v="2953"/>
    <s v="Pedro Hernández"/>
    <d v="2003-01-01T00:00:00"/>
    <n v="23"/>
    <x v="0"/>
    <x v="5"/>
    <d v="2023-12-27T00:00:00"/>
    <d v="2024-03-15T00:00:00"/>
    <n v="1"/>
    <x v="0"/>
    <n v="14"/>
    <n v="1"/>
    <n v="3086.9"/>
    <n v="13275.87"/>
    <n v="13632.8"/>
  </r>
  <r>
    <s v="2954"/>
    <s v="Ricardo Gómez"/>
    <d v="1996-12-31T00:00:00"/>
    <n v="29"/>
    <x v="0"/>
    <x v="3"/>
    <d v="2023-10-05T00:00:00"/>
    <d v="2024-05-13T00:00:00"/>
    <n v="32"/>
    <x v="1"/>
    <n v="11"/>
    <n v="3"/>
    <n v="8712"/>
    <n v="11491.1"/>
    <n v="10870.91"/>
  </r>
  <r>
    <s v="2955"/>
    <s v="Juan Sánchez"/>
    <d v="1940-12-31T00:00:00"/>
    <n v="85"/>
    <x v="1"/>
    <x v="3"/>
    <d v="2023-10-23T00:00:00"/>
    <d v="2023-11-25T00:00:00"/>
    <n v="25"/>
    <x v="0"/>
    <n v="8"/>
    <n v="3"/>
    <n v="19945.13"/>
    <n v="1448.36"/>
    <n v="10891.6"/>
  </r>
  <r>
    <s v="2956"/>
    <s v="Pedro Cruz"/>
    <d v="1935-01-01T00:00:00"/>
    <n v="91"/>
    <x v="0"/>
    <x v="6"/>
    <d v="2024-07-04T00:00:00"/>
    <d v="2024-10-13T00:00:00"/>
    <n v="34"/>
    <x v="2"/>
    <n v="1"/>
    <n v="8"/>
    <n v="1036.6400000000001"/>
    <n v="3548.47"/>
    <n v="17037.25"/>
  </r>
  <r>
    <s v="2957"/>
    <s v="José Pérez"/>
    <d v="2020-01-01T00:00:00"/>
    <n v="6"/>
    <x v="0"/>
    <x v="5"/>
    <d v="2023-06-18T00:00:00"/>
    <d v="2024-06-25T00:00:00"/>
    <n v="20"/>
    <x v="2"/>
    <n v="14"/>
    <n v="6"/>
    <n v="11173.34"/>
    <n v="5234.51"/>
    <n v="17482.02"/>
  </r>
  <r>
    <s v="2958"/>
    <s v="Ricardo Cruz"/>
    <d v="1992-01-01T00:00:00"/>
    <n v="34"/>
    <x v="0"/>
    <x v="3"/>
    <d v="2024-04-03T00:00:00"/>
    <d v="2024-05-24T00:00:00"/>
    <n v="20"/>
    <x v="0"/>
    <n v="6"/>
    <n v="2"/>
    <n v="790.12"/>
    <n v="13654.51"/>
    <n v="10691.87"/>
  </r>
  <r>
    <s v="2959"/>
    <s v="Jorge Rodríguez"/>
    <d v="1972-01-01T00:00:00"/>
    <n v="54"/>
    <x v="1"/>
    <x v="2"/>
    <d v="2024-08-02T00:00:00"/>
    <d v="2023-09-09T00:00:00"/>
    <n v="32"/>
    <x v="1"/>
    <n v="4"/>
    <n v="6"/>
    <n v="10366.120000000001"/>
    <n v="14698.89"/>
    <n v="1212.3399999999999"/>
  </r>
  <r>
    <s v="2960"/>
    <s v="Carmen Hernández"/>
    <d v="1935-01-01T00:00:00"/>
    <n v="91"/>
    <x v="0"/>
    <x v="3"/>
    <d v="2023-01-07T00:00:00"/>
    <d v="2023-07-11T00:00:00"/>
    <n v="38"/>
    <x v="0"/>
    <n v="12"/>
    <n v="7"/>
    <n v="2172.16"/>
    <n v="1307.52"/>
    <n v="3139.81"/>
  </r>
  <r>
    <s v="2961"/>
    <s v="Miguel Morales"/>
    <d v="2012-12-31T00:00:00"/>
    <n v="13"/>
    <x v="1"/>
    <x v="2"/>
    <d v="2024-08-19T00:00:00"/>
    <d v="2023-02-17T00:00:00"/>
    <n v="36"/>
    <x v="2"/>
    <n v="7"/>
    <n v="6"/>
    <n v="9859.02"/>
    <n v="5953.98"/>
    <n v="18968.22"/>
  </r>
  <r>
    <s v="2962"/>
    <s v="Laura Cruz"/>
    <d v="2016-12-31T00:00:00"/>
    <n v="9"/>
    <x v="0"/>
    <x v="0"/>
    <d v="2024-12-11T00:00:00"/>
    <d v="2025-05-29T00:00:00"/>
    <n v="29"/>
    <x v="0"/>
    <n v="2"/>
    <n v="7"/>
    <n v="25061.67"/>
    <n v="2239.23"/>
    <n v="2607.2199999999998"/>
  </r>
  <r>
    <s v="2963"/>
    <s v="Carmen Rodríguez"/>
    <d v="1947-01-01T00:00:00"/>
    <n v="79"/>
    <x v="2"/>
    <x v="2"/>
    <d v="2023-05-12T00:00:00"/>
    <d v="2023-09-09T00:00:00"/>
    <n v="1"/>
    <x v="0"/>
    <n v="10"/>
    <n v="8"/>
    <n v="18208.97"/>
    <n v="4176.55"/>
    <n v="16690.57"/>
  </r>
  <r>
    <s v="2964"/>
    <s v="Luis Martínez"/>
    <d v="2011-01-01T00:00:00"/>
    <n v="15"/>
    <x v="0"/>
    <x v="2"/>
    <d v="2024-08-10T00:00:00"/>
    <d v="2025-02-14T00:00:00"/>
    <n v="13"/>
    <x v="1"/>
    <n v="3"/>
    <n v="0"/>
    <n v="20309.98"/>
    <n v="14716.05"/>
    <n v="10762.18"/>
  </r>
  <r>
    <s v="2965"/>
    <s v="Miguel Ramírez"/>
    <d v="1972-12-31T00:00:00"/>
    <n v="18"/>
    <x v="0"/>
    <x v="6"/>
    <d v="2023-12-13T00:00:00"/>
    <d v="2025-06-04T00:00:00"/>
    <n v="13"/>
    <x v="0"/>
    <n v="4"/>
    <n v="9"/>
    <n v="14865.9"/>
    <n v="14766.39"/>
    <n v="2191.65"/>
  </r>
  <r>
    <s v="2966"/>
    <s v="Ana López"/>
    <d v="1932-01-01T00:00:00"/>
    <n v="94"/>
    <x v="1"/>
    <x v="3"/>
    <d v="2024-12-21T00:00:00"/>
    <d v="2023-03-06T00:00:00"/>
    <n v="0"/>
    <x v="0"/>
    <n v="10"/>
    <n v="5"/>
    <n v="27632.639999999999"/>
    <n v="7082.07"/>
    <n v="18382.02"/>
  </r>
  <r>
    <s v="2967"/>
    <s v="Luisa Cruz"/>
    <d v="1937-12-31T00:00:00"/>
    <n v="88"/>
    <x v="2"/>
    <x v="0"/>
    <d v="2024-08-18T00:00:00"/>
    <d v="2025-04-30T00:00:00"/>
    <n v="25"/>
    <x v="0"/>
    <n v="7"/>
    <n v="3"/>
    <n v="16005.34"/>
    <n v="2747.08"/>
    <n v="18554.91"/>
  </r>
  <r>
    <s v="2968"/>
    <s v="Laura López"/>
    <d v="1949-12-31T00:00:00"/>
    <n v="76"/>
    <x v="0"/>
    <x v="3"/>
    <d v="2023-09-10T00:00:00"/>
    <d v="2023-11-17T00:00:00"/>
    <n v="26"/>
    <x v="0"/>
    <n v="4"/>
    <n v="0"/>
    <n v="0"/>
    <n v="8205.2800000000007"/>
    <n v="12268.77"/>
  </r>
  <r>
    <s v="2969"/>
    <s v="Ana Hernández"/>
    <d v="1956-12-31T00:00:00"/>
    <n v="69"/>
    <x v="1"/>
    <x v="4"/>
    <d v="2024-02-14T00:00:00"/>
    <d v="2025-05-10T00:00:00"/>
    <n v="17"/>
    <x v="1"/>
    <n v="7"/>
    <n v="1"/>
    <n v="27959.64"/>
    <n v="4810.28"/>
    <n v="7716.09"/>
  </r>
  <r>
    <s v="2970"/>
    <s v="José Ramírez"/>
    <d v="1983-01-01T00:00:00"/>
    <n v="43"/>
    <x v="0"/>
    <x v="4"/>
    <d v="2024-06-26T00:00:00"/>
    <d v="2025-02-19T00:00:00"/>
    <n v="33"/>
    <x v="1"/>
    <n v="0"/>
    <n v="9"/>
    <n v="3558.43"/>
    <n v="13932.46"/>
    <n v="12110.73"/>
  </r>
  <r>
    <s v="2971"/>
    <s v="Laura Pérez"/>
    <d v="1953-12-31T00:00:00"/>
    <n v="72"/>
    <x v="1"/>
    <x v="2"/>
    <d v="2023-12-21T00:00:00"/>
    <d v="2024-06-08T00:00:00"/>
    <n v="30"/>
    <x v="2"/>
    <n v="12"/>
    <n v="3"/>
    <n v="29974.7"/>
    <n v="12273.21"/>
    <n v="12517.98"/>
  </r>
  <r>
    <s v="2972"/>
    <s v="Elena Rodríguez"/>
    <d v="1981-12-31T00:00:00"/>
    <n v="44"/>
    <x v="1"/>
    <x v="1"/>
    <d v="2024-12-13T00:00:00"/>
    <d v="2023-10-20T00:00:00"/>
    <n v="19"/>
    <x v="2"/>
    <n v="2"/>
    <n v="0"/>
    <n v="12779.22"/>
    <n v="4632.6099999999997"/>
    <n v="12404.98"/>
  </r>
  <r>
    <s v="2973"/>
    <s v="Sofía Hernández"/>
    <d v="1971-01-01T00:00:00"/>
    <n v="55"/>
    <x v="0"/>
    <x v="2"/>
    <d v="2024-07-17T00:00:00"/>
    <d v="2023-01-30T00:00:00"/>
    <n v="5"/>
    <x v="0"/>
    <n v="1"/>
    <n v="5"/>
    <n v="1741.31"/>
    <n v="274.64"/>
    <n v="14641.51"/>
  </r>
  <r>
    <s v="2974"/>
    <s v="José Martínez"/>
    <d v="1943-01-01T00:00:00"/>
    <n v="83"/>
    <x v="1"/>
    <x v="3"/>
    <d v="2024-01-03T00:00:00"/>
    <d v="2024-10-13T00:00:00"/>
    <n v="21"/>
    <x v="2"/>
    <n v="2"/>
    <n v="0"/>
    <n v="25855.11"/>
    <n v="14970.73"/>
    <n v="1249.5999999999999"/>
  </r>
  <r>
    <s v="2975"/>
    <s v="Carmen Rodríguez"/>
    <d v="1944-12-31T00:00:00"/>
    <n v="48"/>
    <x v="0"/>
    <x v="0"/>
    <d v="2024-08-06T00:00:00"/>
    <d v="2024-03-13T00:00:00"/>
    <n v="34"/>
    <x v="1"/>
    <n v="1"/>
    <n v="8"/>
    <n v="2332.9299999999998"/>
    <n v="10250.16"/>
    <n v="1960.85"/>
  </r>
  <r>
    <s v="2976"/>
    <s v="Carmen Martínez"/>
    <d v="1969-12-31T00:00:00"/>
    <n v="56"/>
    <x v="1"/>
    <x v="1"/>
    <d v="2024-05-25T00:00:00"/>
    <d v="2024-08-20T00:00:00"/>
    <n v="17"/>
    <x v="0"/>
    <n v="0"/>
    <n v="9"/>
    <n v="4820.1899999999996"/>
    <n v="6385.91"/>
    <n v="5583.85"/>
  </r>
  <r>
    <s v="2977"/>
    <s v="Ricardo Pérez"/>
    <d v="2005-12-31T00:00:00"/>
    <n v="20"/>
    <x v="1"/>
    <x v="0"/>
    <d v="2024-06-16T00:00:00"/>
    <d v="2024-08-09T00:00:00"/>
    <n v="9"/>
    <x v="2"/>
    <n v="2"/>
    <n v="2"/>
    <n v="12229.09"/>
    <n v="4326.84"/>
    <n v="6928.81"/>
  </r>
  <r>
    <s v="2978"/>
    <s v="Carlos López"/>
    <d v="1959-01-01T00:00:00"/>
    <n v="67"/>
    <x v="2"/>
    <x v="6"/>
    <d v="2024-06-11T00:00:00"/>
    <d v="2025-02-02T00:00:00"/>
    <n v="17"/>
    <x v="0"/>
    <n v="8"/>
    <n v="0"/>
    <n v="20123.68"/>
    <n v="66.37"/>
    <n v="12724.41"/>
  </r>
  <r>
    <s v="2979"/>
    <s v="Luis Morales"/>
    <d v="1976-12-31T00:00:00"/>
    <n v="49"/>
    <x v="1"/>
    <x v="2"/>
    <d v="2024-06-11T00:00:00"/>
    <d v="2025-01-06T00:00:00"/>
    <n v="17"/>
    <x v="2"/>
    <n v="2"/>
    <n v="5"/>
    <n v="3194.77"/>
    <n v="2309.39"/>
    <n v="3354.69"/>
  </r>
  <r>
    <s v="2980"/>
    <s v="Sofía López"/>
    <d v="1993-12-31T00:00:00"/>
    <n v="32"/>
    <x v="0"/>
    <x v="2"/>
    <d v="2024-02-06T00:00:00"/>
    <d v="2023-02-17T00:00:00"/>
    <n v="1"/>
    <x v="0"/>
    <n v="3"/>
    <n v="5"/>
    <n v="18490.07"/>
    <n v="88.07"/>
    <n v="10774.69"/>
  </r>
  <r>
    <s v="2981"/>
    <s v="Carlos Morales"/>
    <d v="1936-01-01T00:00:00"/>
    <n v="90"/>
    <x v="0"/>
    <x v="4"/>
    <d v="2023-06-24T00:00:00"/>
    <d v="2024-02-22T00:00:00"/>
    <n v="27"/>
    <x v="2"/>
    <n v="7"/>
    <n v="6"/>
    <n v="23301.78"/>
    <n v="8963.77"/>
    <n v="3625.32"/>
  </r>
  <r>
    <s v="2982"/>
    <s v="Juan Morales"/>
    <d v="2020-01-01T00:00:00"/>
    <n v="6"/>
    <x v="0"/>
    <x v="6"/>
    <d v="2023-03-19T00:00:00"/>
    <d v="2024-08-16T00:00:00"/>
    <n v="28"/>
    <x v="1"/>
    <n v="1"/>
    <n v="6"/>
    <n v="3266.63"/>
    <n v="9950.15"/>
    <n v="7045.27"/>
  </r>
  <r>
    <s v="2983"/>
    <s v="José Ramírez"/>
    <d v="1956-12-31T00:00:00"/>
    <n v="69"/>
    <x v="0"/>
    <x v="4"/>
    <d v="2024-03-15T00:00:00"/>
    <d v="2024-03-27T00:00:00"/>
    <n v="19"/>
    <x v="2"/>
    <n v="6"/>
    <n v="9"/>
    <n v="0"/>
    <n v="11501.94"/>
    <n v="18703.53"/>
  </r>
  <r>
    <s v="2984"/>
    <s v="Miguel Sánchez"/>
    <d v="2012-01-01T00:00:00"/>
    <n v="14"/>
    <x v="0"/>
    <x v="3"/>
    <d v="2024-07-02T00:00:00"/>
    <d v="2024-09-25T00:00:00"/>
    <n v="12"/>
    <x v="0"/>
    <n v="1"/>
    <n v="3"/>
    <n v="28745.71"/>
    <n v="2804.99"/>
    <n v="17903.560000000001"/>
  </r>
  <r>
    <s v="2985"/>
    <s v="Jorge Pérez"/>
    <d v="1944-12-31T00:00:00"/>
    <n v="81"/>
    <x v="1"/>
    <x v="2"/>
    <d v="2023-08-20T00:00:00"/>
    <d v="2024-07-09T00:00:00"/>
    <n v="35"/>
    <x v="0"/>
    <n v="7"/>
    <n v="4"/>
    <n v="29005.55"/>
    <n v="1439.56"/>
    <n v="19057.39"/>
  </r>
  <r>
    <s v="2986"/>
    <s v="Jorge López"/>
    <d v="1995-01-01T00:00:00"/>
    <n v="31"/>
    <x v="0"/>
    <x v="3"/>
    <d v="2024-02-04T00:00:00"/>
    <d v="2024-10-20T00:00:00"/>
    <n v="34"/>
    <x v="2"/>
    <n v="14"/>
    <n v="2"/>
    <n v="4430.71"/>
    <n v="9756.89"/>
    <n v="11787.53"/>
  </r>
  <r>
    <s v="2987"/>
    <s v="Carmen Martínez"/>
    <d v="1952-01-01T00:00:00"/>
    <n v="74"/>
    <x v="1"/>
    <x v="0"/>
    <d v="2023-08-01T00:00:00"/>
    <d v="2023-03-16T00:00:00"/>
    <n v="25"/>
    <x v="0"/>
    <n v="9"/>
    <n v="5"/>
    <n v="22670.97"/>
    <n v="7498.41"/>
    <n v="9976.1299999999992"/>
  </r>
  <r>
    <s v="2988"/>
    <s v="María Pérez"/>
    <d v="1957-01-01T00:00:00"/>
    <n v="19"/>
    <x v="0"/>
    <x v="1"/>
    <d v="2023-07-12T00:00:00"/>
    <d v="2023-02-23T00:00:00"/>
    <n v="8"/>
    <x v="0"/>
    <n v="6"/>
    <n v="6"/>
    <n v="25322.29"/>
    <n v="13135.29"/>
    <n v="16963.189999999999"/>
  </r>
  <r>
    <s v="2989"/>
    <s v="Pedro Hernández"/>
    <d v="1939-01-01T00:00:00"/>
    <n v="87"/>
    <x v="0"/>
    <x v="1"/>
    <d v="2024-07-25T00:00:00"/>
    <d v="2023-08-22T00:00:00"/>
    <n v="11"/>
    <x v="1"/>
    <n v="6"/>
    <n v="8"/>
    <n v="26613.38"/>
    <n v="7998.99"/>
    <n v="1501.26"/>
  </r>
  <r>
    <s v="2990"/>
    <s v="Luis Cruz"/>
    <d v="2012-01-01T00:00:00"/>
    <n v="14"/>
    <x v="0"/>
    <x v="1"/>
    <d v="2024-12-01T00:00:00"/>
    <d v="2025-03-18T00:00:00"/>
    <n v="8"/>
    <x v="2"/>
    <n v="7"/>
    <n v="8"/>
    <n v="9372.2800000000007"/>
    <n v="6672.32"/>
    <n v="19566.830000000002"/>
  </r>
  <r>
    <s v="2991"/>
    <s v="Elena Gómez"/>
    <d v="1979-01-01T00:00:00"/>
    <n v="47"/>
    <x v="0"/>
    <x v="4"/>
    <d v="2023-09-24T00:00:00"/>
    <d v="2025-05-25T00:00:00"/>
    <n v="6"/>
    <x v="0"/>
    <n v="13"/>
    <n v="4"/>
    <n v="7738.61"/>
    <n v="7320.42"/>
    <n v="9193.68"/>
  </r>
  <r>
    <s v="2992"/>
    <s v="Miguel Sánchez"/>
    <d v="1956-01-01T00:00:00"/>
    <n v="70"/>
    <x v="0"/>
    <x v="5"/>
    <d v="2023-05-06T00:00:00"/>
    <d v="2023-07-20T00:00:00"/>
    <n v="21"/>
    <x v="2"/>
    <n v="2"/>
    <n v="3"/>
    <n v="959.76"/>
    <n v="11734.83"/>
    <n v="13483.31"/>
  </r>
  <r>
    <s v="2993"/>
    <s v="Carmen Morales"/>
    <d v="2005-12-31T00:00:00"/>
    <n v="20"/>
    <x v="0"/>
    <x v="6"/>
    <d v="2024-12-15T00:00:00"/>
    <d v="2024-11-05T00:00:00"/>
    <n v="7"/>
    <x v="2"/>
    <n v="14"/>
    <n v="6"/>
    <n v="11683.89"/>
    <n v="274.58"/>
    <n v="14542.25"/>
  </r>
  <r>
    <s v="2994"/>
    <s v="Elena Cruz"/>
    <d v="1984-12-31T00:00:00"/>
    <n v="41"/>
    <x v="0"/>
    <x v="1"/>
    <d v="2024-01-17T00:00:00"/>
    <d v="2024-07-03T00:00:00"/>
    <n v="35"/>
    <x v="0"/>
    <n v="14"/>
    <n v="2"/>
    <n v="3280.67"/>
    <n v="13773.17"/>
    <n v="12539.68"/>
  </r>
  <r>
    <s v="2995"/>
    <s v="Juan Ramírez"/>
    <d v="2000-12-31T00:00:00"/>
    <n v="25"/>
    <x v="1"/>
    <x v="2"/>
    <d v="2024-06-27T00:00:00"/>
    <d v="2023-04-08T00:00:00"/>
    <n v="38"/>
    <x v="2"/>
    <n v="10"/>
    <n v="3"/>
    <n v="23480.85"/>
    <n v="10712.84"/>
    <n v="17819.66"/>
  </r>
  <r>
    <s v="2996"/>
    <s v="Pedro Rodríguez"/>
    <d v="2012-12-31T00:00:00"/>
    <n v="13"/>
    <x v="1"/>
    <x v="6"/>
    <d v="2024-05-16T00:00:00"/>
    <d v="2023-02-19T00:00:00"/>
    <n v="34"/>
    <x v="2"/>
    <n v="3"/>
    <n v="8"/>
    <n v="3860.48"/>
    <n v="13279.35"/>
    <n v="5692.04"/>
  </r>
  <r>
    <s v="2997"/>
    <s v="Ricardo López"/>
    <d v="1969-12-31T00:00:00"/>
    <n v="56"/>
    <x v="0"/>
    <x v="0"/>
    <d v="2024-02-07T00:00:00"/>
    <d v="2025-06-15T00:00:00"/>
    <n v="39"/>
    <x v="2"/>
    <n v="10"/>
    <n v="4"/>
    <n v="24476.61"/>
    <n v="14393.98"/>
    <n v="10599.39"/>
  </r>
  <r>
    <s v="2998"/>
    <s v="Elena Rodríguez"/>
    <d v="1989-12-31T00:00:00"/>
    <n v="36"/>
    <x v="0"/>
    <x v="0"/>
    <d v="2023-09-18T00:00:00"/>
    <d v="2024-06-06T00:00:00"/>
    <n v="29"/>
    <x v="1"/>
    <n v="5"/>
    <n v="9"/>
    <n v="2782.21"/>
    <n v="3390.06"/>
    <n v="8549.14"/>
  </r>
  <r>
    <s v="2999"/>
    <s v="Luisa Cruz"/>
    <d v="1968-12-31T00:00:00"/>
    <n v="57"/>
    <x v="1"/>
    <x v="4"/>
    <d v="2024-01-22T00:00:00"/>
    <d v="2023-02-10T00:00:00"/>
    <n v="17"/>
    <x v="2"/>
    <n v="0"/>
    <n v="6"/>
    <n v="14158.77"/>
    <n v="8675.11"/>
    <n v="14052.99"/>
  </r>
  <r>
    <s v="3000"/>
    <s v="Carlos Hernández"/>
    <d v="2005-12-31T00:00:00"/>
    <n v="20"/>
    <x v="1"/>
    <x v="0"/>
    <d v="2024-02-16T00:00:00"/>
    <d v="2023-06-03T00:00:00"/>
    <n v="11"/>
    <x v="1"/>
    <n v="5"/>
    <n v="1"/>
    <n v="11231.34"/>
    <n v="7290.66"/>
    <n v="7841.81"/>
  </r>
  <r>
    <s v="3001"/>
    <s v="Pedro Hernández"/>
    <d v="1944-12-31T00:00:00"/>
    <n v="81"/>
    <x v="1"/>
    <x v="0"/>
    <d v="2023-12-12T00:00:00"/>
    <d v="2023-04-17T00:00:00"/>
    <n v="35"/>
    <x v="2"/>
    <n v="14"/>
    <n v="8"/>
    <n v="17847.09"/>
    <n v="8064.29"/>
    <n v="17846.490000000002"/>
  </r>
  <r>
    <s v="3002"/>
    <s v="María Ramírez"/>
    <d v="1957-12-31T00:00:00"/>
    <n v="68"/>
    <x v="2"/>
    <x v="5"/>
    <d v="2023-04-04T00:00:00"/>
    <d v="2024-07-07T00:00:00"/>
    <n v="1"/>
    <x v="0"/>
    <n v="10"/>
    <n v="4"/>
    <n v="15322.54"/>
    <n v="709.34"/>
    <n v="9757.65"/>
  </r>
  <r>
    <s v="3003"/>
    <s v="María Gómez"/>
    <d v="2024-01-01T00:00:00"/>
    <n v="2"/>
    <x v="0"/>
    <x v="3"/>
    <d v="2023-11-24T00:00:00"/>
    <d v="2024-11-07T00:00:00"/>
    <n v="21"/>
    <x v="0"/>
    <n v="1"/>
    <n v="4"/>
    <n v="17758.11"/>
    <n v="13709.79"/>
    <n v="10673.76"/>
  </r>
  <r>
    <s v="3004"/>
    <s v="María Pérez"/>
    <d v="1940-01-01T00:00:00"/>
    <n v="86"/>
    <x v="1"/>
    <x v="3"/>
    <d v="2023-04-10T00:00:00"/>
    <d v="2025-02-09T00:00:00"/>
    <n v="29"/>
    <x v="0"/>
    <n v="4"/>
    <n v="3"/>
    <n v="470.61"/>
    <n v="14320.26"/>
    <n v="9817.2000000000007"/>
  </r>
  <r>
    <s v="3005"/>
    <s v="Ricardo Pérez"/>
    <d v="1936-12-31T00:00:00"/>
    <n v="89"/>
    <x v="1"/>
    <x v="1"/>
    <d v="2024-04-05T00:00:00"/>
    <d v="2023-07-31T00:00:00"/>
    <n v="7"/>
    <x v="2"/>
    <n v="11"/>
    <n v="7"/>
    <n v="3388.86"/>
    <n v="10276.86"/>
    <n v="12414.99"/>
  </r>
  <r>
    <s v="3006"/>
    <s v="Ricardo Ramírez"/>
    <d v="1989-12-31T00:00:00"/>
    <n v="36"/>
    <x v="1"/>
    <x v="5"/>
    <d v="2023-11-11T00:00:00"/>
    <d v="2023-07-22T00:00:00"/>
    <n v="13"/>
    <x v="0"/>
    <n v="4"/>
    <n v="3"/>
    <n v="15272.17"/>
    <n v="3874.16"/>
    <n v="10159.07"/>
  </r>
  <r>
    <s v="3007"/>
    <s v="Laura Martínez"/>
    <d v="1939-01-01T00:00:00"/>
    <n v="87"/>
    <x v="1"/>
    <x v="4"/>
    <d v="2023-01-25T00:00:00"/>
    <d v="2024-03-09T00:00:00"/>
    <n v="36"/>
    <x v="0"/>
    <n v="4"/>
    <n v="1"/>
    <n v="6504.82"/>
    <n v="11808.1"/>
    <n v="18742.099999999999"/>
  </r>
  <r>
    <s v="3008"/>
    <s v="Carmen Rodríguez"/>
    <d v="1977-12-31T00:00:00"/>
    <n v="48"/>
    <x v="1"/>
    <x v="3"/>
    <d v="2024-05-08T00:00:00"/>
    <d v="2024-12-08T00:00:00"/>
    <n v="29"/>
    <x v="2"/>
    <n v="8"/>
    <n v="4"/>
    <n v="1827.67"/>
    <n v="10962.7"/>
    <n v="2535.56"/>
  </r>
  <r>
    <s v="3009"/>
    <s v="Juan Morales"/>
    <d v="2008-01-01T00:00:00"/>
    <n v="18"/>
    <x v="0"/>
    <x v="4"/>
    <d v="2023-12-19T00:00:00"/>
    <d v="2024-07-19T00:00:00"/>
    <n v="15"/>
    <x v="0"/>
    <n v="13"/>
    <n v="2"/>
    <n v="6139.88"/>
    <n v="8618.85"/>
    <n v="169.89"/>
  </r>
  <r>
    <s v="3010"/>
    <s v="José Pérez"/>
    <d v="1937-12-31T00:00:00"/>
    <n v="88"/>
    <x v="2"/>
    <x v="4"/>
    <d v="2023-04-27T00:00:00"/>
    <d v="2023-05-28T00:00:00"/>
    <n v="22"/>
    <x v="1"/>
    <n v="0"/>
    <n v="3"/>
    <n v="23285.72"/>
    <n v="2553.59"/>
    <n v="10387.91"/>
  </r>
  <r>
    <s v="3011"/>
    <s v="Sofía Gómez"/>
    <d v="1941-12-31T00:00:00"/>
    <n v="84"/>
    <x v="1"/>
    <x v="0"/>
    <d v="2023-07-18T00:00:00"/>
    <d v="2024-05-14T00:00:00"/>
    <n v="4"/>
    <x v="0"/>
    <n v="7"/>
    <n v="2"/>
    <n v="16021.67"/>
    <n v="3017.68"/>
    <n v="15269.08"/>
  </r>
  <r>
    <s v="3012"/>
    <s v="Juan Ramírez"/>
    <d v="2015-01-01T00:00:00"/>
    <n v="11"/>
    <x v="1"/>
    <x v="3"/>
    <d v="2023-10-06T00:00:00"/>
    <d v="2023-10-10T00:00:00"/>
    <n v="15"/>
    <x v="0"/>
    <n v="6"/>
    <n v="6"/>
    <n v="5297.34"/>
    <n v="8841.07"/>
    <n v="12928.74"/>
  </r>
  <r>
    <s v="3013"/>
    <s v="José Hernández"/>
    <d v="1965-12-31T00:00:00"/>
    <n v="60"/>
    <x v="1"/>
    <x v="6"/>
    <d v="2024-08-04T00:00:00"/>
    <d v="2023-11-07T00:00:00"/>
    <n v="15"/>
    <x v="1"/>
    <n v="5"/>
    <n v="5"/>
    <n v="12.66"/>
    <n v="1932.37"/>
    <n v="19250.96"/>
  </r>
  <r>
    <s v="3014"/>
    <s v="Ricardo Martínez"/>
    <d v="1943-01-01T00:00:00"/>
    <n v="40"/>
    <x v="1"/>
    <x v="1"/>
    <d v="2023-03-20T00:00:00"/>
    <d v="2025-01-25T00:00:00"/>
    <n v="0"/>
    <x v="0"/>
    <n v="9"/>
    <n v="1"/>
    <n v="10406.67"/>
    <n v="10858.94"/>
    <n v="3563.77"/>
  </r>
  <r>
    <s v="3015"/>
    <s v="Carmen López"/>
    <d v="1993-12-31T00:00:00"/>
    <n v="32"/>
    <x v="1"/>
    <x v="3"/>
    <d v="2024-02-28T00:00:00"/>
    <d v="2023-02-21T00:00:00"/>
    <n v="2"/>
    <x v="1"/>
    <n v="12"/>
    <n v="7"/>
    <n v="10402.82"/>
    <n v="3189"/>
    <n v="13849.05"/>
  </r>
  <r>
    <s v="3016"/>
    <s v="Carmen López"/>
    <d v="1976-12-31T00:00:00"/>
    <n v="49"/>
    <x v="1"/>
    <x v="6"/>
    <d v="2023-12-20T00:00:00"/>
    <d v="2024-05-10T00:00:00"/>
    <n v="30"/>
    <x v="1"/>
    <n v="10"/>
    <n v="4"/>
    <n v="21921.32"/>
    <n v="13657.2"/>
    <n v="16298.94"/>
  </r>
  <r>
    <s v="3017"/>
    <s v="Carlos Morales"/>
    <d v="1959-01-01T00:00:00"/>
    <n v="67"/>
    <x v="1"/>
    <x v="2"/>
    <d v="2024-06-09T00:00:00"/>
    <d v="2024-02-14T00:00:00"/>
    <n v="4"/>
    <x v="0"/>
    <n v="10"/>
    <n v="5"/>
    <n v="27542.799999999999"/>
    <n v="13495.88"/>
    <n v="18232.490000000002"/>
  </r>
  <r>
    <s v="3018"/>
    <s v="Pedro Ramírez"/>
    <d v="1956-01-01T00:00:00"/>
    <n v="70"/>
    <x v="0"/>
    <x v="6"/>
    <d v="2024-06-24T00:00:00"/>
    <d v="2024-09-18T00:00:00"/>
    <n v="7"/>
    <x v="1"/>
    <n v="14"/>
    <n v="7"/>
    <n v="10846.43"/>
    <n v="4404.0600000000004"/>
    <n v="10523.88"/>
  </r>
  <r>
    <s v="3019"/>
    <s v="Sofía Pérez"/>
    <d v="1940-12-31T00:00:00"/>
    <n v="85"/>
    <x v="0"/>
    <x v="6"/>
    <d v="2024-10-17T00:00:00"/>
    <d v="2023-10-01T00:00:00"/>
    <n v="5"/>
    <x v="1"/>
    <n v="13"/>
    <n v="6"/>
    <n v="0"/>
    <n v="1250.8"/>
    <n v="7198.44"/>
  </r>
  <r>
    <s v="3020"/>
    <s v="Luisa Morales"/>
    <d v="1993-12-31T00:00:00"/>
    <n v="32"/>
    <x v="0"/>
    <x v="0"/>
    <d v="2024-04-21T00:00:00"/>
    <d v="2024-04-03T00:00:00"/>
    <n v="29"/>
    <x v="1"/>
    <n v="7"/>
    <n v="2"/>
    <n v="18864.62"/>
    <n v="9171.24"/>
    <n v="19102.759999999998"/>
  </r>
  <r>
    <s v="3021"/>
    <s v="Ana Ramírez"/>
    <d v="1945-12-31T00:00:00"/>
    <n v="80"/>
    <x v="1"/>
    <x v="0"/>
    <d v="2023-01-10T00:00:00"/>
    <d v="2023-05-01T00:00:00"/>
    <n v="20"/>
    <x v="1"/>
    <n v="2"/>
    <n v="1"/>
    <n v="12373.45"/>
    <n v="6726.22"/>
    <n v="15808.57"/>
  </r>
  <r>
    <s v="3022"/>
    <s v="Elena Pérez"/>
    <d v="2003-01-01T00:00:00"/>
    <n v="23"/>
    <x v="0"/>
    <x v="1"/>
    <d v="2024-07-12T00:00:00"/>
    <d v="2024-12-02T00:00:00"/>
    <n v="14"/>
    <x v="0"/>
    <n v="13"/>
    <n v="2"/>
    <n v="1509.65"/>
    <n v="2155.63"/>
    <n v="9363.9599999999991"/>
  </r>
  <r>
    <s v="3023"/>
    <s v="Luis Rodríguez"/>
    <d v="1965-12-31T00:00:00"/>
    <n v="60"/>
    <x v="2"/>
    <x v="0"/>
    <d v="2024-05-17T00:00:00"/>
    <d v="2023-02-16T00:00:00"/>
    <n v="11"/>
    <x v="1"/>
    <n v="0"/>
    <n v="7"/>
    <n v="13940.67"/>
    <n v="7972.22"/>
    <n v="12988.44"/>
  </r>
  <r>
    <s v="3024"/>
    <s v="Luis López"/>
    <d v="1965-12-31T00:00:00"/>
    <n v="60"/>
    <x v="1"/>
    <x v="6"/>
    <d v="2023-09-17T00:00:00"/>
    <d v="2023-09-01T00:00:00"/>
    <n v="14"/>
    <x v="0"/>
    <n v="2"/>
    <n v="3"/>
    <n v="10301.23"/>
    <n v="14890.86"/>
    <n v="5499.4"/>
  </r>
  <r>
    <s v="3025"/>
    <s v="María López"/>
    <d v="1999-01-01T00:00:00"/>
    <n v="27"/>
    <x v="1"/>
    <x v="5"/>
    <d v="2024-06-07T00:00:00"/>
    <d v="2023-11-08T00:00:00"/>
    <n v="22"/>
    <x v="2"/>
    <n v="12"/>
    <n v="7"/>
    <n v="16280.93"/>
    <n v="1034.74"/>
    <n v="12258.32"/>
  </r>
  <r>
    <s v="3026"/>
    <s v="Carlos Pérez"/>
    <d v="1968-12-31T00:00:00"/>
    <n v="57"/>
    <x v="0"/>
    <x v="0"/>
    <d v="2024-08-18T00:00:00"/>
    <d v="2024-07-16T00:00:00"/>
    <n v="18"/>
    <x v="2"/>
    <n v="10"/>
    <n v="3"/>
    <n v="3324.61"/>
    <n v="3958.43"/>
    <n v="10754.6"/>
  </r>
  <r>
    <s v="3027"/>
    <s v="Jorge Morales"/>
    <d v="1984-01-01T00:00:00"/>
    <n v="42"/>
    <x v="1"/>
    <x v="0"/>
    <d v="2023-01-06T00:00:00"/>
    <d v="2023-11-28T00:00:00"/>
    <n v="3"/>
    <x v="1"/>
    <n v="8"/>
    <n v="6"/>
    <n v="21589.31"/>
    <n v="8079.21"/>
    <n v="688.43"/>
  </r>
  <r>
    <s v="3028"/>
    <s v="Pedro Martínez"/>
    <d v="2007-01-01T00:00:00"/>
    <n v="40"/>
    <x v="1"/>
    <x v="6"/>
    <d v="2023-02-04T00:00:00"/>
    <d v="2023-01-12T00:00:00"/>
    <n v="17"/>
    <x v="0"/>
    <n v="9"/>
    <n v="5"/>
    <n v="23526.39"/>
    <n v="11900.42"/>
    <n v="17301.53"/>
  </r>
  <r>
    <s v="3029"/>
    <s v="Ana Morales"/>
    <d v="1988-01-01T00:00:00"/>
    <n v="38"/>
    <x v="0"/>
    <x v="2"/>
    <d v="2023-06-24T00:00:00"/>
    <d v="2024-02-29T00:00:00"/>
    <n v="17"/>
    <x v="0"/>
    <n v="12"/>
    <n v="9"/>
    <n v="11348.08"/>
    <n v="281.42"/>
    <n v="9752.86"/>
  </r>
  <r>
    <s v="3030"/>
    <s v="Jorge Martínez"/>
    <d v="1940-12-31T00:00:00"/>
    <n v="85"/>
    <x v="0"/>
    <x v="2"/>
    <d v="2024-03-17T00:00:00"/>
    <d v="2023-02-18T00:00:00"/>
    <n v="23"/>
    <x v="0"/>
    <n v="1"/>
    <n v="0"/>
    <n v="4845.91"/>
    <n v="10991.4"/>
    <n v="9542.7099999999991"/>
  </r>
  <r>
    <s v="3031"/>
    <s v="Ana Rodríguez"/>
    <d v="1977-12-31T00:00:00"/>
    <n v="48"/>
    <x v="1"/>
    <x v="3"/>
    <d v="2024-07-30T00:00:00"/>
    <d v="2024-01-13T00:00:00"/>
    <n v="29"/>
    <x v="0"/>
    <n v="0"/>
    <n v="7"/>
    <n v="18519.13"/>
    <n v="2098.25"/>
    <n v="5596.94"/>
  </r>
  <r>
    <s v="3032"/>
    <s v="Luis López"/>
    <d v="2009-12-31T00:00:00"/>
    <n v="16"/>
    <x v="0"/>
    <x v="1"/>
    <d v="2023-05-27T00:00:00"/>
    <d v="2024-07-22T00:00:00"/>
    <n v="5"/>
    <x v="2"/>
    <n v="0"/>
    <n v="5"/>
    <n v="28652.27"/>
    <n v="12460.19"/>
    <n v="3847.39"/>
  </r>
  <r>
    <s v="3033"/>
    <s v="Laura Pérez"/>
    <d v="1956-12-31T00:00:00"/>
    <n v="69"/>
    <x v="0"/>
    <x v="2"/>
    <d v="2024-07-22T00:00:00"/>
    <d v="2023-01-09T00:00:00"/>
    <n v="26"/>
    <x v="0"/>
    <n v="12"/>
    <n v="1"/>
    <n v="20865.349999999999"/>
    <n v="10382.64"/>
    <n v="5756.57"/>
  </r>
  <r>
    <s v="3034"/>
    <s v="Jorge Rodríguez"/>
    <d v="1956-12-31T00:00:00"/>
    <n v="69"/>
    <x v="1"/>
    <x v="0"/>
    <d v="2023-07-12T00:00:00"/>
    <d v="2024-06-10T00:00:00"/>
    <n v="14"/>
    <x v="0"/>
    <n v="6"/>
    <n v="4"/>
    <n v="3266.21"/>
    <n v="6847.67"/>
    <n v="12964.61"/>
  </r>
  <r>
    <s v="3035"/>
    <s v="Miguel Morales"/>
    <d v="1961-12-31T00:00:00"/>
    <n v="64"/>
    <x v="0"/>
    <x v="5"/>
    <d v="2023-01-13T00:00:00"/>
    <d v="2024-12-28T00:00:00"/>
    <n v="15"/>
    <x v="2"/>
    <n v="11"/>
    <n v="1"/>
    <n v="11615.21"/>
    <n v="12323.75"/>
    <n v="1862.75"/>
  </r>
  <r>
    <s v="3036"/>
    <s v="Pedro Ramírez"/>
    <d v="1952-12-31T00:00:00"/>
    <n v="73"/>
    <x v="1"/>
    <x v="3"/>
    <d v="2024-06-13T00:00:00"/>
    <d v="2024-01-06T00:00:00"/>
    <n v="37"/>
    <x v="1"/>
    <n v="3"/>
    <n v="9"/>
    <n v="27418.75"/>
    <n v="10995.73"/>
    <n v="6590.57"/>
  </r>
  <r>
    <s v="3037"/>
    <s v="María Pérez"/>
    <d v="1941-12-31T00:00:00"/>
    <n v="84"/>
    <x v="1"/>
    <x v="1"/>
    <d v="2023-09-03T00:00:00"/>
    <d v="2024-03-16T00:00:00"/>
    <n v="15"/>
    <x v="0"/>
    <n v="10"/>
    <n v="6"/>
    <n v="18849.89"/>
    <n v="11387.76"/>
    <n v="19572.68"/>
  </r>
  <r>
    <s v="3038"/>
    <s v="Carlos Martínez"/>
    <d v="2021-12-31T00:00:00"/>
    <n v="4"/>
    <x v="0"/>
    <x v="5"/>
    <d v="2024-11-05T00:00:00"/>
    <d v="2025-01-27T00:00:00"/>
    <n v="8"/>
    <x v="1"/>
    <n v="12"/>
    <n v="9"/>
    <n v="3988.14"/>
    <n v="4351.1099999999997"/>
    <n v="5357.72"/>
  </r>
  <r>
    <s v="3039"/>
    <s v="Miguel Pérez"/>
    <d v="2024-12-31T00:00:00"/>
    <n v="1"/>
    <x v="1"/>
    <x v="5"/>
    <d v="2023-04-24T00:00:00"/>
    <d v="2024-07-20T00:00:00"/>
    <n v="9"/>
    <x v="0"/>
    <n v="4"/>
    <n v="5"/>
    <n v="21600.06"/>
    <n v="9291.2800000000007"/>
    <n v="19329.77"/>
  </r>
  <r>
    <s v="3040"/>
    <s v="Carlos Rodríguez"/>
    <d v="2004-12-31T00:00:00"/>
    <n v="21"/>
    <x v="1"/>
    <x v="0"/>
    <d v="2023-08-21T00:00:00"/>
    <d v="2024-04-29T00:00:00"/>
    <n v="12"/>
    <x v="0"/>
    <n v="6"/>
    <n v="6"/>
    <n v="10282.32"/>
    <n v="2116.59"/>
    <n v="2006.7"/>
  </r>
  <r>
    <s v="3041"/>
    <s v="Luis Rodríguez"/>
    <d v="1969-12-31T00:00:00"/>
    <n v="56"/>
    <x v="1"/>
    <x v="6"/>
    <d v="2024-11-08T00:00:00"/>
    <d v="2023-10-01T00:00:00"/>
    <n v="23"/>
    <x v="0"/>
    <n v="5"/>
    <n v="5"/>
    <n v="14430.8"/>
    <n v="12312.91"/>
    <n v="15859.1"/>
  </r>
  <r>
    <s v="3042"/>
    <s v="Elena Cruz"/>
    <d v="1960-12-31T00:00:00"/>
    <n v="65"/>
    <x v="0"/>
    <x v="6"/>
    <d v="2023-11-18T00:00:00"/>
    <d v="2023-05-12T00:00:00"/>
    <n v="0"/>
    <x v="0"/>
    <n v="5"/>
    <n v="9"/>
    <n v="0"/>
    <n v="7901.13"/>
    <n v="8738.74"/>
  </r>
  <r>
    <s v="3043"/>
    <s v="Juan López"/>
    <d v="1952-12-31T00:00:00"/>
    <n v="73"/>
    <x v="0"/>
    <x v="6"/>
    <d v="2024-06-21T00:00:00"/>
    <d v="2024-06-05T00:00:00"/>
    <n v="0"/>
    <x v="0"/>
    <n v="10"/>
    <n v="0"/>
    <n v="0"/>
    <n v="12373.25"/>
    <n v="3815.82"/>
  </r>
  <r>
    <s v="3044"/>
    <s v="Elena Morales"/>
    <d v="2011-01-01T00:00:00"/>
    <n v="15"/>
    <x v="1"/>
    <x v="2"/>
    <d v="2023-05-06T00:00:00"/>
    <d v="2024-12-25T00:00:00"/>
    <n v="35"/>
    <x v="1"/>
    <n v="11"/>
    <n v="2"/>
    <n v="6146.14"/>
    <n v="3167.35"/>
    <n v="15727.19"/>
  </r>
  <r>
    <s v="3045"/>
    <s v="Miguel López"/>
    <d v="1976-01-01T00:00:00"/>
    <n v="50"/>
    <x v="0"/>
    <x v="6"/>
    <d v="2023-11-09T00:00:00"/>
    <d v="2024-09-26T00:00:00"/>
    <n v="32"/>
    <x v="0"/>
    <n v="5"/>
    <n v="9"/>
    <n v="11345.28"/>
    <n v="1955.12"/>
    <n v="40.31"/>
  </r>
  <r>
    <s v="3046"/>
    <s v="Juan Gómez"/>
    <d v="1988-01-01T00:00:00"/>
    <n v="38"/>
    <x v="1"/>
    <x v="1"/>
    <d v="2024-05-25T00:00:00"/>
    <d v="2023-04-25T00:00:00"/>
    <n v="6"/>
    <x v="1"/>
    <n v="10"/>
    <n v="1"/>
    <n v="22208.639999999999"/>
    <n v="10334.530000000001"/>
    <n v="6877.52"/>
  </r>
  <r>
    <s v="3047"/>
    <s v="Carmen Pérez"/>
    <d v="1940-12-31T00:00:00"/>
    <n v="85"/>
    <x v="0"/>
    <x v="0"/>
    <d v="2024-04-28T00:00:00"/>
    <d v="2024-06-16T00:00:00"/>
    <n v="37"/>
    <x v="0"/>
    <n v="9"/>
    <n v="0"/>
    <n v="20995.88"/>
    <n v="875.96"/>
    <n v="12057.63"/>
  </r>
  <r>
    <s v="3048"/>
    <s v="José Rodríguez"/>
    <d v="1951-01-01T00:00:00"/>
    <n v="75"/>
    <x v="1"/>
    <x v="2"/>
    <d v="2023-10-08T00:00:00"/>
    <d v="2024-05-14T00:00:00"/>
    <n v="1"/>
    <x v="0"/>
    <n v="14"/>
    <n v="0"/>
    <n v="5653.2"/>
    <n v="3659.79"/>
    <n v="4542.5"/>
  </r>
  <r>
    <s v="3049"/>
    <s v="Luisa Martínez"/>
    <d v="1939-01-01T00:00:00"/>
    <n v="87"/>
    <x v="0"/>
    <x v="1"/>
    <d v="2023-10-10T00:00:00"/>
    <d v="2023-12-06T00:00:00"/>
    <n v="17"/>
    <x v="0"/>
    <n v="9"/>
    <n v="3"/>
    <n v="10195.25"/>
    <n v="13630.7"/>
    <n v="6583.92"/>
  </r>
  <r>
    <s v="3050"/>
    <s v="Sofía Ramírez"/>
    <d v="1987-01-01T00:00:00"/>
    <n v="39"/>
    <x v="2"/>
    <x v="6"/>
    <d v="2024-10-12T00:00:00"/>
    <d v="2023-01-22T00:00:00"/>
    <n v="12"/>
    <x v="0"/>
    <n v="5"/>
    <n v="0"/>
    <n v="0"/>
    <n v="1991.37"/>
    <n v="1738.21"/>
  </r>
  <r>
    <s v="3051"/>
    <s v="Ana Martínez"/>
    <d v="1988-12-31T00:00:00"/>
    <n v="37"/>
    <x v="0"/>
    <x v="1"/>
    <d v="2024-09-04T00:00:00"/>
    <d v="2024-12-21T00:00:00"/>
    <n v="26"/>
    <x v="2"/>
    <n v="6"/>
    <n v="1"/>
    <n v="15670.26"/>
    <n v="5633.34"/>
    <n v="17049.57"/>
  </r>
  <r>
    <s v="3052"/>
    <s v="Luis Martínez"/>
    <d v="1967-01-01T00:00:00"/>
    <n v="59"/>
    <x v="1"/>
    <x v="5"/>
    <d v="2024-01-27T00:00:00"/>
    <d v="2023-02-03T00:00:00"/>
    <n v="2"/>
    <x v="0"/>
    <n v="1"/>
    <n v="0"/>
    <n v="8068.71"/>
    <n v="14183.74"/>
    <n v="8385.5400000000009"/>
  </r>
  <r>
    <s v="3053"/>
    <s v="Miguel Cruz"/>
    <d v="1968-01-01T00:00:00"/>
    <n v="58"/>
    <x v="0"/>
    <x v="0"/>
    <d v="2024-06-06T00:00:00"/>
    <d v="2023-05-14T00:00:00"/>
    <n v="36"/>
    <x v="0"/>
    <n v="11"/>
    <n v="5"/>
    <n v="138.09"/>
    <n v="300.05"/>
    <n v="2820.43"/>
  </r>
  <r>
    <s v="3054"/>
    <s v="Miguel Rodríguez"/>
    <d v="2016-12-31T00:00:00"/>
    <n v="9"/>
    <x v="1"/>
    <x v="0"/>
    <d v="2024-01-17T00:00:00"/>
    <d v="2024-12-04T00:00:00"/>
    <n v="37"/>
    <x v="0"/>
    <n v="1"/>
    <n v="3"/>
    <n v="12453.5"/>
    <n v="6679.73"/>
    <n v="3901.79"/>
  </r>
  <r>
    <s v="3055"/>
    <s v="José Sánchez"/>
    <d v="1963-01-01T00:00:00"/>
    <n v="63"/>
    <x v="0"/>
    <x v="1"/>
    <d v="2023-08-04T00:00:00"/>
    <d v="2023-01-27T00:00:00"/>
    <n v="4"/>
    <x v="2"/>
    <n v="13"/>
    <n v="7"/>
    <n v="27769.53"/>
    <n v="11796.89"/>
    <n v="5430.85"/>
  </r>
  <r>
    <s v="3056"/>
    <s v="Carmen Cruz"/>
    <d v="1964-01-01T00:00:00"/>
    <n v="62"/>
    <x v="1"/>
    <x v="3"/>
    <d v="2024-06-25T00:00:00"/>
    <d v="2023-12-31T00:00:00"/>
    <n v="5"/>
    <x v="0"/>
    <n v="1"/>
    <n v="4"/>
    <n v="27663.74"/>
    <n v="13634.71"/>
    <n v="4512.28"/>
  </r>
  <r>
    <s v="3057"/>
    <s v="Elena Ramírez"/>
    <d v="1977-12-31T00:00:00"/>
    <n v="48"/>
    <x v="1"/>
    <x v="0"/>
    <d v="2024-08-28T00:00:00"/>
    <d v="2024-08-24T00:00:00"/>
    <n v="29"/>
    <x v="2"/>
    <n v="6"/>
    <n v="9"/>
    <n v="10849.14"/>
    <n v="11033.65"/>
    <n v="10016.469999999999"/>
  </r>
  <r>
    <s v="3058"/>
    <s v="Jorge Rodríguez"/>
    <d v="1963-01-01T00:00:00"/>
    <n v="63"/>
    <x v="1"/>
    <x v="5"/>
    <d v="2023-04-26T00:00:00"/>
    <d v="2023-04-03T00:00:00"/>
    <n v="33"/>
    <x v="2"/>
    <n v="0"/>
    <n v="4"/>
    <n v="13199.93"/>
    <n v="13325.88"/>
    <n v="18094.89"/>
  </r>
  <r>
    <s v="3059"/>
    <s v="Juan López"/>
    <d v="1941-01-01T00:00:00"/>
    <n v="31"/>
    <x v="1"/>
    <x v="0"/>
    <d v="2024-05-23T00:00:00"/>
    <d v="2024-06-29T00:00:00"/>
    <n v="30"/>
    <x v="0"/>
    <n v="5"/>
    <n v="7"/>
    <n v="6901.78"/>
    <n v="515.52"/>
    <n v="3596.69"/>
  </r>
  <r>
    <s v="3060"/>
    <s v="Elena Hernández"/>
    <d v="2020-01-01T00:00:00"/>
    <n v="6"/>
    <x v="0"/>
    <x v="3"/>
    <d v="2024-05-14T00:00:00"/>
    <d v="2023-08-27T00:00:00"/>
    <n v="34"/>
    <x v="2"/>
    <n v="4"/>
    <n v="9"/>
    <n v="1583.39"/>
    <n v="1498.14"/>
    <n v="9014.27"/>
  </r>
  <r>
    <s v="3061"/>
    <s v="Carlos Pérez"/>
    <d v="2005-12-31T00:00:00"/>
    <n v="20"/>
    <x v="0"/>
    <x v="0"/>
    <d v="2023-09-28T00:00:00"/>
    <d v="2023-01-19T00:00:00"/>
    <n v="29"/>
    <x v="0"/>
    <n v="9"/>
    <n v="5"/>
    <n v="20664.759999999998"/>
    <n v="11065.9"/>
    <n v="13244.98"/>
  </r>
  <r>
    <s v="3062"/>
    <s v="José Pérez"/>
    <d v="2007-01-01T00:00:00"/>
    <n v="19"/>
    <x v="0"/>
    <x v="4"/>
    <d v="2024-03-15T00:00:00"/>
    <d v="2023-10-02T00:00:00"/>
    <n v="33"/>
    <x v="1"/>
    <n v="1"/>
    <n v="5"/>
    <n v="23901.61"/>
    <n v="11299.92"/>
    <n v="3594.26"/>
  </r>
  <r>
    <s v="3063"/>
    <s v="Sofía Pérez"/>
    <d v="2000-12-31T00:00:00"/>
    <n v="25"/>
    <x v="0"/>
    <x v="0"/>
    <d v="2023-10-18T00:00:00"/>
    <d v="2023-10-17T00:00:00"/>
    <n v="31"/>
    <x v="1"/>
    <n v="10"/>
    <n v="2"/>
    <n v="26343.19"/>
    <n v="9079.07"/>
    <n v="2995.24"/>
  </r>
  <r>
    <s v="3064"/>
    <s v="Elena Hernández"/>
    <d v="1959-01-01T00:00:00"/>
    <n v="67"/>
    <x v="0"/>
    <x v="3"/>
    <d v="2023-02-08T00:00:00"/>
    <d v="2023-01-28T00:00:00"/>
    <n v="22"/>
    <x v="1"/>
    <n v="13"/>
    <n v="5"/>
    <n v="28026.26"/>
    <n v="10954.15"/>
    <n v="3022.79"/>
  </r>
  <r>
    <s v="3065"/>
    <s v="Juan Ramírez"/>
    <d v="1940-12-31T00:00:00"/>
    <n v="85"/>
    <x v="1"/>
    <x v="4"/>
    <d v="2023-01-24T00:00:00"/>
    <d v="2025-03-28T00:00:00"/>
    <n v="29"/>
    <x v="0"/>
    <n v="4"/>
    <n v="9"/>
    <n v="27436.880000000001"/>
    <n v="12870.8"/>
    <n v="17627.88"/>
  </r>
  <r>
    <s v="3066"/>
    <s v="Carlos Hernández"/>
    <d v="2012-01-01T00:00:00"/>
    <n v="14"/>
    <x v="1"/>
    <x v="4"/>
    <d v="2023-02-12T00:00:00"/>
    <d v="2024-03-10T00:00:00"/>
    <n v="1"/>
    <x v="0"/>
    <n v="7"/>
    <n v="6"/>
    <n v="335.19"/>
    <n v="8182.24"/>
    <n v="14196.44"/>
  </r>
  <r>
    <s v="3067"/>
    <s v="Luisa Pérez"/>
    <d v="1941-12-31T00:00:00"/>
    <n v="84"/>
    <x v="1"/>
    <x v="0"/>
    <d v="2023-06-19T00:00:00"/>
    <d v="2023-04-19T00:00:00"/>
    <n v="6"/>
    <x v="0"/>
    <n v="1"/>
    <n v="1"/>
    <n v="29331.89"/>
    <n v="14209.87"/>
    <n v="6661.01"/>
  </r>
  <r>
    <s v="3068"/>
    <s v="Juan Martínez"/>
    <d v="1948-01-01T00:00:00"/>
    <n v="78"/>
    <x v="1"/>
    <x v="1"/>
    <d v="2023-12-06T00:00:00"/>
    <d v="2025-01-08T00:00:00"/>
    <n v="35"/>
    <x v="1"/>
    <n v="10"/>
    <n v="2"/>
    <n v="11074.81"/>
    <n v="10413.56"/>
    <n v="18041.48"/>
  </r>
  <r>
    <s v="3069"/>
    <s v="José Cruz"/>
    <d v="1940-12-31T00:00:00"/>
    <n v="85"/>
    <x v="1"/>
    <x v="2"/>
    <d v="2023-06-18T00:00:00"/>
    <d v="2023-11-21T00:00:00"/>
    <n v="26"/>
    <x v="1"/>
    <n v="5"/>
    <n v="5"/>
    <n v="26526.28"/>
    <n v="7079.73"/>
    <n v="19066.27"/>
  </r>
  <r>
    <s v="3070"/>
    <s v="Ricardo Pérez"/>
    <d v="1941-01-01T00:00:00"/>
    <n v="80"/>
    <x v="1"/>
    <x v="4"/>
    <d v="2024-06-21T00:00:00"/>
    <d v="2025-05-17T00:00:00"/>
    <n v="35"/>
    <x v="0"/>
    <n v="14"/>
    <n v="9"/>
    <n v="12943.19"/>
    <n v="6322.77"/>
    <n v="7905.3"/>
  </r>
  <r>
    <s v="3071"/>
    <s v="Elena López"/>
    <d v="2012-12-31T00:00:00"/>
    <n v="13"/>
    <x v="1"/>
    <x v="1"/>
    <d v="2024-11-22T00:00:00"/>
    <d v="2024-06-15T00:00:00"/>
    <n v="15"/>
    <x v="1"/>
    <n v="2"/>
    <n v="8"/>
    <n v="12376.81"/>
    <n v="11252.5"/>
    <n v="10160"/>
  </r>
  <r>
    <s v="3072"/>
    <s v="Miguel Sánchez"/>
    <d v="2000-01-01T00:00:00"/>
    <n v="26"/>
    <x v="1"/>
    <x v="0"/>
    <d v="2024-04-16T00:00:00"/>
    <d v="2025-01-05T00:00:00"/>
    <n v="19"/>
    <x v="2"/>
    <n v="1"/>
    <n v="8"/>
    <n v="0"/>
    <n v="9457.0400000000009"/>
    <n v="7097.5"/>
  </r>
  <r>
    <s v="3073"/>
    <s v="Miguel Cruz"/>
    <d v="1987-01-01T00:00:00"/>
    <n v="39"/>
    <x v="0"/>
    <x v="6"/>
    <d v="2024-10-23T00:00:00"/>
    <d v="2025-03-04T00:00:00"/>
    <n v="32"/>
    <x v="2"/>
    <n v="5"/>
    <n v="7"/>
    <n v="1099.46"/>
    <n v="12261.65"/>
    <n v="4473.87"/>
  </r>
  <r>
    <s v="3074"/>
    <s v="Laura Rodríguez"/>
    <d v="1968-12-31T00:00:00"/>
    <n v="57"/>
    <x v="1"/>
    <x v="6"/>
    <d v="2024-10-06T00:00:00"/>
    <d v="2023-04-15T00:00:00"/>
    <n v="12"/>
    <x v="1"/>
    <n v="14"/>
    <n v="7"/>
    <n v="19974.009999999998"/>
    <n v="11714.79"/>
    <n v="15578.2"/>
  </r>
  <r>
    <s v="3075"/>
    <s v="Carmen Gómez"/>
    <d v="1999-01-01T00:00:00"/>
    <n v="27"/>
    <x v="0"/>
    <x v="2"/>
    <d v="2023-05-23T00:00:00"/>
    <d v="2025-04-24T00:00:00"/>
    <n v="4"/>
    <x v="0"/>
    <n v="1"/>
    <n v="8"/>
    <n v="28098.04"/>
    <n v="7863.04"/>
    <n v="12946.16"/>
  </r>
  <r>
    <s v="3076"/>
    <s v="Ana Gómez"/>
    <d v="2000-12-31T00:00:00"/>
    <n v="25"/>
    <x v="0"/>
    <x v="4"/>
    <d v="2024-11-06T00:00:00"/>
    <d v="2023-11-29T00:00:00"/>
    <n v="10"/>
    <x v="0"/>
    <n v="9"/>
    <n v="8"/>
    <n v="6344.21"/>
    <n v="14185.53"/>
    <n v="7274.5"/>
  </r>
  <r>
    <s v="3077"/>
    <s v="Juan Rodríguez"/>
    <d v="1964-01-01T00:00:00"/>
    <n v="62"/>
    <x v="0"/>
    <x v="0"/>
    <d v="2023-04-11T00:00:00"/>
    <d v="2023-12-29T00:00:00"/>
    <n v="39"/>
    <x v="0"/>
    <n v="2"/>
    <n v="9"/>
    <n v="2364.5300000000002"/>
    <n v="10563.86"/>
    <n v="189.04"/>
  </r>
  <r>
    <s v="3078"/>
    <s v="Luisa Pérez"/>
    <d v="1960-12-31T00:00:00"/>
    <n v="65"/>
    <x v="1"/>
    <x v="5"/>
    <d v="2024-07-28T00:00:00"/>
    <d v="2023-10-17T00:00:00"/>
    <n v="33"/>
    <x v="1"/>
    <n v="11"/>
    <n v="8"/>
    <n v="6022.64"/>
    <n v="3012.59"/>
    <n v="15249.84"/>
  </r>
  <r>
    <s v="3079"/>
    <s v="María Pérez"/>
    <d v="2001-12-31T00:00:00"/>
    <n v="24"/>
    <x v="1"/>
    <x v="4"/>
    <d v="2024-08-27T00:00:00"/>
    <d v="2024-03-20T00:00:00"/>
    <n v="13"/>
    <x v="0"/>
    <n v="13"/>
    <n v="4"/>
    <n v="5975.76"/>
    <n v="9277.31"/>
    <n v="9495.17"/>
  </r>
  <r>
    <s v="3080"/>
    <s v="Pedro Martínez"/>
    <d v="2024-01-01T00:00:00"/>
    <n v="2"/>
    <x v="1"/>
    <x v="0"/>
    <d v="2024-12-19T00:00:00"/>
    <d v="2023-02-07T00:00:00"/>
    <n v="38"/>
    <x v="0"/>
    <n v="14"/>
    <n v="5"/>
    <n v="8440.64"/>
    <n v="3027.2"/>
    <n v="1369.02"/>
  </r>
  <r>
    <s v="3081"/>
    <s v="Pedro Rodríguez"/>
    <d v="1955-01-01T00:00:00"/>
    <n v="71"/>
    <x v="1"/>
    <x v="6"/>
    <d v="2024-04-19T00:00:00"/>
    <d v="2023-12-15T00:00:00"/>
    <n v="18"/>
    <x v="2"/>
    <n v="7"/>
    <n v="4"/>
    <n v="2389.6799999999998"/>
    <n v="8382.74"/>
    <n v="2402.5"/>
  </r>
  <r>
    <s v="3082"/>
    <s v="Elena Ramírez"/>
    <d v="1983-01-01T00:00:00"/>
    <n v="69"/>
    <x v="1"/>
    <x v="3"/>
    <d v="2023-11-07T00:00:00"/>
    <d v="2025-06-11T00:00:00"/>
    <n v="25"/>
    <x v="2"/>
    <n v="3"/>
    <n v="0"/>
    <n v="6683.56"/>
    <n v="11849.02"/>
    <n v="12530.4"/>
  </r>
  <r>
    <s v="3083"/>
    <s v="Pedro Hernández"/>
    <d v="1984-12-31T00:00:00"/>
    <n v="41"/>
    <x v="0"/>
    <x v="2"/>
    <d v="2024-08-06T00:00:00"/>
    <d v="2025-01-26T00:00:00"/>
    <n v="7"/>
    <x v="0"/>
    <n v="5"/>
    <n v="3"/>
    <n v="27598.880000000001"/>
    <n v="12187.58"/>
    <n v="10881.28"/>
  </r>
  <r>
    <s v="3084"/>
    <s v="Elena Ramírez"/>
    <d v="2020-12-31T00:00:00"/>
    <n v="5"/>
    <x v="0"/>
    <x v="3"/>
    <d v="2023-03-01T00:00:00"/>
    <d v="2023-02-13T00:00:00"/>
    <n v="16"/>
    <x v="0"/>
    <n v="11"/>
    <n v="0"/>
    <n v="26651.69"/>
    <n v="9762.3799999999992"/>
    <n v="4733.6099999999997"/>
  </r>
  <r>
    <s v="3085"/>
    <s v="Ricardo Gómez"/>
    <d v="1988-01-01T00:00:00"/>
    <n v="38"/>
    <x v="0"/>
    <x v="5"/>
    <d v="2023-01-29T00:00:00"/>
    <d v="2023-05-07T00:00:00"/>
    <n v="14"/>
    <x v="1"/>
    <n v="5"/>
    <n v="0"/>
    <n v="9147.2800000000007"/>
    <n v="11749.59"/>
    <n v="2711.57"/>
  </r>
  <r>
    <s v="3086"/>
    <s v="Pedro Martínez"/>
    <d v="1975-01-01T00:00:00"/>
    <n v="51"/>
    <x v="1"/>
    <x v="0"/>
    <d v="2024-06-14T00:00:00"/>
    <d v="2023-01-10T00:00:00"/>
    <n v="2"/>
    <x v="2"/>
    <n v="13"/>
    <n v="2"/>
    <n v="29905.25"/>
    <n v="7083.53"/>
    <n v="17683.16"/>
  </r>
  <r>
    <s v="3087"/>
    <s v="Luisa Pérez"/>
    <d v="2004-01-01T00:00:00"/>
    <n v="22"/>
    <x v="1"/>
    <x v="5"/>
    <d v="2023-03-14T00:00:00"/>
    <d v="2024-06-10T00:00:00"/>
    <n v="10"/>
    <x v="0"/>
    <n v="10"/>
    <n v="6"/>
    <n v="8599.77"/>
    <n v="8259.84"/>
    <n v="2610.8200000000002"/>
  </r>
  <r>
    <s v="3088"/>
    <s v="Luis Pérez"/>
    <d v="1937-12-31T00:00:00"/>
    <n v="88"/>
    <x v="0"/>
    <x v="3"/>
    <d v="2024-01-29T00:00:00"/>
    <d v="2023-05-12T00:00:00"/>
    <n v="33"/>
    <x v="0"/>
    <n v="1"/>
    <n v="0"/>
    <n v="21515.81"/>
    <n v="13194.1"/>
    <n v="1622.09"/>
  </r>
  <r>
    <s v="3089"/>
    <s v="Jorge Sánchez"/>
    <d v="1976-12-31T00:00:00"/>
    <n v="21"/>
    <x v="1"/>
    <x v="0"/>
    <d v="2024-01-29T00:00:00"/>
    <d v="2023-11-22T00:00:00"/>
    <n v="39"/>
    <x v="2"/>
    <n v="11"/>
    <n v="6"/>
    <n v="19142.27"/>
    <n v="7396.21"/>
    <n v="12360.83"/>
  </r>
  <r>
    <s v="3090"/>
    <s v="Laura López"/>
    <d v="1984-01-01T00:00:00"/>
    <n v="42"/>
    <x v="0"/>
    <x v="4"/>
    <d v="2024-04-25T00:00:00"/>
    <d v="2023-07-04T00:00:00"/>
    <n v="17"/>
    <x v="2"/>
    <n v="9"/>
    <n v="9"/>
    <n v="1468.9"/>
    <n v="5263.94"/>
    <n v="4976.3"/>
  </r>
  <r>
    <s v="3091"/>
    <s v="Ana Gómez"/>
    <d v="2008-01-01T00:00:00"/>
    <n v="18"/>
    <x v="0"/>
    <x v="1"/>
    <d v="2024-04-17T00:00:00"/>
    <d v="2023-10-10T00:00:00"/>
    <n v="38"/>
    <x v="1"/>
    <n v="6"/>
    <n v="9"/>
    <n v="9940.0499999999993"/>
    <n v="11954.89"/>
    <n v="13097.66"/>
  </r>
  <r>
    <s v="3092"/>
    <s v="Luis Pérez"/>
    <d v="1957-12-31T00:00:00"/>
    <n v="68"/>
    <x v="1"/>
    <x v="1"/>
    <d v="2023-11-09T00:00:00"/>
    <d v="2025-06-14T00:00:00"/>
    <n v="37"/>
    <x v="0"/>
    <n v="1"/>
    <n v="0"/>
    <n v="28520.74"/>
    <n v="757.11"/>
    <n v="9730.8700000000008"/>
  </r>
  <r>
    <s v="3093"/>
    <s v="Sofía Martínez"/>
    <d v="1976-01-01T00:00:00"/>
    <n v="50"/>
    <x v="1"/>
    <x v="4"/>
    <d v="2024-03-13T00:00:00"/>
    <d v="2023-02-23T00:00:00"/>
    <n v="3"/>
    <x v="0"/>
    <n v="2"/>
    <n v="8"/>
    <n v="0"/>
    <n v="14375.36"/>
    <n v="4146.09"/>
  </r>
  <r>
    <s v="3094"/>
    <s v="José Gómez"/>
    <d v="2016-01-01T00:00:00"/>
    <n v="10"/>
    <x v="1"/>
    <x v="5"/>
    <d v="2023-11-20T00:00:00"/>
    <d v="2024-07-07T00:00:00"/>
    <n v="20"/>
    <x v="1"/>
    <n v="8"/>
    <n v="4"/>
    <n v="4833.97"/>
    <n v="5100.9799999999996"/>
    <n v="1299.74"/>
  </r>
  <r>
    <s v="3095"/>
    <s v="Miguel Morales"/>
    <d v="2015-01-01T00:00:00"/>
    <n v="11"/>
    <x v="1"/>
    <x v="1"/>
    <d v="2023-03-28T00:00:00"/>
    <d v="2025-04-30T00:00:00"/>
    <n v="39"/>
    <x v="2"/>
    <n v="2"/>
    <n v="5"/>
    <n v="29113.85"/>
    <n v="9444.24"/>
    <n v="1320.08"/>
  </r>
  <r>
    <s v="3096"/>
    <s v="Juan López"/>
    <d v="1952-12-31T00:00:00"/>
    <n v="73"/>
    <x v="1"/>
    <x v="1"/>
    <d v="2023-12-25T00:00:00"/>
    <d v="2025-05-20T00:00:00"/>
    <n v="21"/>
    <x v="0"/>
    <n v="0"/>
    <n v="8"/>
    <n v="713.68"/>
    <n v="10281.83"/>
    <n v="11675.79"/>
  </r>
  <r>
    <s v="3097"/>
    <s v="Luisa Hernández"/>
    <d v="2019-01-01T00:00:00"/>
    <n v="75"/>
    <x v="1"/>
    <x v="6"/>
    <d v="2024-11-25T00:00:00"/>
    <d v="2024-06-17T00:00:00"/>
    <n v="2"/>
    <x v="0"/>
    <n v="4"/>
    <n v="2"/>
    <n v="13121.52"/>
    <n v="2056.17"/>
    <n v="15140.73"/>
  </r>
  <r>
    <s v="3098"/>
    <s v="Miguel Pérez"/>
    <d v="2003-01-01T00:00:00"/>
    <n v="23"/>
    <x v="1"/>
    <x v="1"/>
    <d v="2023-07-16T00:00:00"/>
    <d v="2024-01-13T00:00:00"/>
    <n v="29"/>
    <x v="0"/>
    <n v="13"/>
    <n v="2"/>
    <n v="27509.71"/>
    <n v="12342.9"/>
    <n v="13762.16"/>
  </r>
  <r>
    <s v="3099"/>
    <s v="Juan Sánchez"/>
    <d v="1935-01-01T00:00:00"/>
    <n v="91"/>
    <x v="0"/>
    <x v="6"/>
    <d v="2024-01-20T00:00:00"/>
    <d v="2023-10-23T00:00:00"/>
    <n v="14"/>
    <x v="0"/>
    <n v="1"/>
    <n v="4"/>
    <n v="28282.2"/>
    <n v="8581.69"/>
    <n v="11816.35"/>
  </r>
  <r>
    <s v="3100"/>
    <s v="Ana Martínez"/>
    <d v="1985-12-31T00:00:00"/>
    <n v="40"/>
    <x v="0"/>
    <x v="2"/>
    <d v="2023-04-28T00:00:00"/>
    <d v="2023-07-28T00:00:00"/>
    <n v="8"/>
    <x v="2"/>
    <n v="1"/>
    <n v="6"/>
    <n v="0"/>
    <n v="4918.93"/>
    <n v="4139.66"/>
  </r>
  <r>
    <s v="3101"/>
    <s v="Elena Ramírez"/>
    <d v="1991-01-01T00:00:00"/>
    <n v="35"/>
    <x v="1"/>
    <x v="6"/>
    <d v="2024-05-12T00:00:00"/>
    <d v="2024-10-25T00:00:00"/>
    <n v="24"/>
    <x v="2"/>
    <n v="7"/>
    <n v="2"/>
    <n v="14180.3"/>
    <n v="12760.29"/>
    <n v="17221.95"/>
  </r>
  <r>
    <s v="3102"/>
    <s v="Pedro Morales"/>
    <d v="1941-12-31T00:00:00"/>
    <n v="84"/>
    <x v="0"/>
    <x v="6"/>
    <d v="2024-04-06T00:00:00"/>
    <d v="2024-04-22T00:00:00"/>
    <n v="1"/>
    <x v="2"/>
    <n v="10"/>
    <n v="3"/>
    <n v="2137.64"/>
    <n v="9376.2099999999991"/>
    <n v="12539.8"/>
  </r>
  <r>
    <s v="3103"/>
    <s v="Luisa Gómez"/>
    <d v="1955-01-01T00:00:00"/>
    <n v="71"/>
    <x v="0"/>
    <x v="3"/>
    <d v="2024-05-10T00:00:00"/>
    <d v="2023-03-11T00:00:00"/>
    <n v="20"/>
    <x v="1"/>
    <n v="8"/>
    <n v="1"/>
    <n v="0"/>
    <n v="11786.67"/>
    <n v="13853.39"/>
  </r>
  <r>
    <s v="3104"/>
    <s v="Ricardo López"/>
    <d v="1972-01-01T00:00:00"/>
    <n v="54"/>
    <x v="0"/>
    <x v="6"/>
    <d v="2024-08-16T00:00:00"/>
    <d v="2025-04-23T00:00:00"/>
    <n v="20"/>
    <x v="2"/>
    <n v="4"/>
    <n v="8"/>
    <n v="21124"/>
    <n v="14884.65"/>
    <n v="4399"/>
  </r>
  <r>
    <s v="3105"/>
    <s v="Miguel Pérez"/>
    <d v="2017-12-31T00:00:00"/>
    <n v="8"/>
    <x v="0"/>
    <x v="6"/>
    <d v="2023-09-04T00:00:00"/>
    <d v="2025-04-10T00:00:00"/>
    <n v="31"/>
    <x v="1"/>
    <n v="0"/>
    <n v="9"/>
    <n v="17178.21"/>
    <n v="1954.15"/>
    <n v="5155.97"/>
  </r>
  <r>
    <s v="3106"/>
    <s v="Miguel Cruz"/>
    <d v="1980-01-01T00:00:00"/>
    <n v="46"/>
    <x v="1"/>
    <x v="3"/>
    <d v="2023-08-22T00:00:00"/>
    <d v="2024-03-13T00:00:00"/>
    <n v="18"/>
    <x v="2"/>
    <n v="10"/>
    <n v="8"/>
    <n v="26591.19"/>
    <n v="11243.95"/>
    <n v="18141.75"/>
  </r>
  <r>
    <s v="3107"/>
    <s v="Carlos Rodríguez"/>
    <d v="2012-01-01T00:00:00"/>
    <n v="14"/>
    <x v="1"/>
    <x v="6"/>
    <d v="2024-02-21T00:00:00"/>
    <d v="2023-10-29T00:00:00"/>
    <n v="19"/>
    <x v="2"/>
    <n v="10"/>
    <n v="1"/>
    <n v="27302.89"/>
    <n v="11365.07"/>
    <n v="9469.08"/>
  </r>
  <r>
    <s v="3108"/>
    <s v="Miguel Cruz"/>
    <d v="1979-01-01T00:00:00"/>
    <n v="47"/>
    <x v="0"/>
    <x v="1"/>
    <d v="2024-04-11T00:00:00"/>
    <d v="2023-01-28T00:00:00"/>
    <n v="2"/>
    <x v="0"/>
    <n v="13"/>
    <n v="4"/>
    <n v="20338.95"/>
    <n v="13120.34"/>
    <n v="11032.23"/>
  </r>
  <r>
    <s v="3109"/>
    <s v="Miguel Rodríguez"/>
    <d v="1944-12-31T00:00:00"/>
    <n v="81"/>
    <x v="0"/>
    <x v="4"/>
    <d v="2024-04-26T00:00:00"/>
    <d v="2024-09-20T00:00:00"/>
    <n v="29"/>
    <x v="0"/>
    <n v="13"/>
    <n v="0"/>
    <n v="2919.05"/>
    <n v="6120.98"/>
    <n v="2126.39"/>
  </r>
  <r>
    <s v="3110"/>
    <s v="Pedro Gómez"/>
    <d v="1984-12-31T00:00:00"/>
    <n v="41"/>
    <x v="0"/>
    <x v="6"/>
    <d v="2023-12-31T00:00:00"/>
    <d v="2024-10-16T00:00:00"/>
    <n v="25"/>
    <x v="2"/>
    <n v="7"/>
    <n v="7"/>
    <n v="2413.52"/>
    <n v="13044.77"/>
    <n v="7830.94"/>
  </r>
  <r>
    <s v="3111"/>
    <s v="Ricardo Rodríguez"/>
    <d v="1967-01-01T00:00:00"/>
    <n v="59"/>
    <x v="2"/>
    <x v="2"/>
    <d v="2023-06-02T00:00:00"/>
    <d v="2024-07-07T00:00:00"/>
    <n v="15"/>
    <x v="0"/>
    <n v="11"/>
    <n v="5"/>
    <n v="11963.21"/>
    <n v="9598.25"/>
    <n v="17729.419999999998"/>
  </r>
  <r>
    <s v="3112"/>
    <s v="María Pérez"/>
    <d v="1943-01-01T00:00:00"/>
    <n v="83"/>
    <x v="0"/>
    <x v="6"/>
    <d v="2023-09-29T00:00:00"/>
    <d v="2023-04-17T00:00:00"/>
    <n v="4"/>
    <x v="0"/>
    <n v="0"/>
    <n v="9"/>
    <n v="8427.3700000000008"/>
    <n v="1031.58"/>
    <n v="17993.04"/>
  </r>
  <r>
    <s v="3113"/>
    <s v="María Sánchez"/>
    <d v="1956-12-31T00:00:00"/>
    <n v="69"/>
    <x v="1"/>
    <x v="6"/>
    <d v="2024-01-27T00:00:00"/>
    <d v="2024-08-09T00:00:00"/>
    <n v="35"/>
    <x v="0"/>
    <n v="10"/>
    <n v="9"/>
    <n v="3555.99"/>
    <n v="472.75"/>
    <n v="14576.07"/>
  </r>
  <r>
    <s v="3114"/>
    <s v="Sofía Gómez"/>
    <d v="2015-01-01T00:00:00"/>
    <n v="11"/>
    <x v="1"/>
    <x v="2"/>
    <d v="2024-06-30T00:00:00"/>
    <d v="2024-07-26T00:00:00"/>
    <n v="3"/>
    <x v="0"/>
    <n v="14"/>
    <n v="1"/>
    <n v="18141.32"/>
    <n v="7222.28"/>
    <n v="10867.32"/>
  </r>
  <r>
    <s v="3115"/>
    <s v="Luisa Martínez"/>
    <d v="2024-12-31T00:00:00"/>
    <n v="1"/>
    <x v="1"/>
    <x v="4"/>
    <d v="2024-12-25T00:00:00"/>
    <d v="2025-03-21T00:00:00"/>
    <n v="11"/>
    <x v="0"/>
    <n v="5"/>
    <n v="1"/>
    <n v="20347.66"/>
    <n v="11787.48"/>
    <n v="18609.53"/>
  </r>
  <r>
    <s v="3116"/>
    <s v="Carlos Cruz"/>
    <d v="2020-01-01T00:00:00"/>
    <n v="6"/>
    <x v="0"/>
    <x v="3"/>
    <d v="2024-12-23T00:00:00"/>
    <d v="2024-09-26T00:00:00"/>
    <n v="27"/>
    <x v="0"/>
    <n v="13"/>
    <n v="9"/>
    <n v="0"/>
    <n v="5763.47"/>
    <n v="17424"/>
  </r>
  <r>
    <s v="3117"/>
    <s v="Laura Hernández"/>
    <d v="1947-01-01T00:00:00"/>
    <n v="79"/>
    <x v="0"/>
    <x v="1"/>
    <d v="2024-03-05T00:00:00"/>
    <d v="2024-12-16T00:00:00"/>
    <n v="11"/>
    <x v="1"/>
    <n v="1"/>
    <n v="4"/>
    <n v="4845.96"/>
    <n v="12777.48"/>
    <n v="16911.66"/>
  </r>
  <r>
    <s v="3118"/>
    <s v="Carmen Pérez"/>
    <d v="2024-01-01T00:00:00"/>
    <n v="2"/>
    <x v="0"/>
    <x v="4"/>
    <d v="2024-10-12T00:00:00"/>
    <d v="2023-01-12T00:00:00"/>
    <n v="38"/>
    <x v="0"/>
    <n v="3"/>
    <n v="6"/>
    <n v="8828.24"/>
    <n v="7381.83"/>
    <n v="17624.330000000002"/>
  </r>
  <r>
    <s v="3119"/>
    <s v="Luis Ramírez"/>
    <d v="2024-01-01T00:00:00"/>
    <n v="2"/>
    <x v="0"/>
    <x v="6"/>
    <d v="2023-07-08T00:00:00"/>
    <d v="2024-10-21T00:00:00"/>
    <n v="6"/>
    <x v="0"/>
    <n v="5"/>
    <n v="8"/>
    <n v="5571.11"/>
    <n v="394.33"/>
    <n v="9010.09"/>
  </r>
  <r>
    <s v="3120"/>
    <s v="Ana Sánchez"/>
    <d v="2000-01-01T00:00:00"/>
    <n v="26"/>
    <x v="0"/>
    <x v="1"/>
    <d v="2023-09-09T00:00:00"/>
    <d v="2023-08-05T00:00:00"/>
    <n v="28"/>
    <x v="2"/>
    <n v="1"/>
    <n v="8"/>
    <n v="17840.689999999999"/>
    <n v="14604.98"/>
    <n v="10462.35"/>
  </r>
  <r>
    <s v="3121"/>
    <s v="Miguel Martínez"/>
    <d v="1987-01-01T00:00:00"/>
    <n v="39"/>
    <x v="0"/>
    <x v="5"/>
    <d v="2024-01-30T00:00:00"/>
    <d v="2025-06-05T00:00:00"/>
    <n v="1"/>
    <x v="2"/>
    <n v="2"/>
    <n v="5"/>
    <n v="16795.98"/>
    <n v="7344.18"/>
    <n v="8422.65"/>
  </r>
  <r>
    <s v="3122"/>
    <s v="Sofía Cruz"/>
    <d v="1993-12-31T00:00:00"/>
    <n v="32"/>
    <x v="0"/>
    <x v="1"/>
    <d v="2024-10-23T00:00:00"/>
    <d v="2023-11-18T00:00:00"/>
    <n v="15"/>
    <x v="1"/>
    <n v="3"/>
    <n v="1"/>
    <n v="14851.06"/>
    <n v="9752.0400000000009"/>
    <n v="14775.35"/>
  </r>
  <r>
    <s v="3123"/>
    <s v="Sofía Pérez"/>
    <d v="1935-01-01T00:00:00"/>
    <n v="91"/>
    <x v="1"/>
    <x v="3"/>
    <d v="2023-08-07T00:00:00"/>
    <d v="2024-04-05T00:00:00"/>
    <n v="2"/>
    <x v="0"/>
    <n v="1"/>
    <n v="5"/>
    <n v="8529.73"/>
    <n v="2989.34"/>
    <n v="11797.74"/>
  </r>
  <r>
    <s v="3124"/>
    <s v="María Rodríguez"/>
    <d v="2025-12-31T00:00:00"/>
    <n v="0"/>
    <x v="0"/>
    <x v="3"/>
    <d v="2024-08-16T00:00:00"/>
    <d v="2025-03-26T00:00:00"/>
    <n v="23"/>
    <x v="0"/>
    <n v="13"/>
    <n v="0"/>
    <n v="6730.11"/>
    <n v="4459.96"/>
    <n v="1300.93"/>
  </r>
  <r>
    <s v="3125"/>
    <s v="Ricardo López"/>
    <d v="2019-01-01T00:00:00"/>
    <n v="7"/>
    <x v="0"/>
    <x v="4"/>
    <d v="2023-07-09T00:00:00"/>
    <d v="2024-06-10T00:00:00"/>
    <n v="20"/>
    <x v="1"/>
    <n v="4"/>
    <n v="1"/>
    <n v="26657.439999999999"/>
    <n v="7264.27"/>
    <n v="2645.66"/>
  </r>
  <r>
    <s v="3126"/>
    <s v="Miguel Cruz"/>
    <d v="1995-01-01T00:00:00"/>
    <n v="62"/>
    <x v="1"/>
    <x v="6"/>
    <d v="2023-08-22T00:00:00"/>
    <d v="2024-08-02T00:00:00"/>
    <n v="9"/>
    <x v="2"/>
    <n v="13"/>
    <n v="2"/>
    <n v="990.05"/>
    <n v="12842.84"/>
    <n v="3765.72"/>
  </r>
  <r>
    <s v="3127"/>
    <s v="Miguel Hernández"/>
    <d v="1979-01-01T00:00:00"/>
    <n v="47"/>
    <x v="1"/>
    <x v="2"/>
    <d v="2024-11-18T00:00:00"/>
    <d v="2024-11-23T00:00:00"/>
    <n v="11"/>
    <x v="0"/>
    <n v="1"/>
    <n v="4"/>
    <n v="19520.150000000001"/>
    <n v="1529.31"/>
    <n v="13378.13"/>
  </r>
  <r>
    <s v="3128"/>
    <s v="Juan Cruz"/>
    <d v="2023-01-01T00:00:00"/>
    <n v="3"/>
    <x v="0"/>
    <x v="3"/>
    <d v="2023-08-20T00:00:00"/>
    <d v="2025-05-27T00:00:00"/>
    <n v="10"/>
    <x v="1"/>
    <n v="6"/>
    <n v="9"/>
    <n v="97.1"/>
    <n v="11705.1"/>
    <n v="2107.08"/>
  </r>
  <r>
    <s v="3129"/>
    <s v="José López"/>
    <d v="1932-12-31T00:00:00"/>
    <n v="2"/>
    <x v="1"/>
    <x v="2"/>
    <d v="2023-12-24T00:00:00"/>
    <d v="2025-01-24T00:00:00"/>
    <n v="32"/>
    <x v="2"/>
    <n v="5"/>
    <n v="0"/>
    <n v="5412.06"/>
    <n v="8690.26"/>
    <n v="10770.48"/>
  </r>
  <r>
    <s v="3130"/>
    <s v="Ricardo López"/>
    <d v="1956-12-31T00:00:00"/>
    <n v="69"/>
    <x v="1"/>
    <x v="4"/>
    <d v="2024-04-22T00:00:00"/>
    <d v="2023-06-10T00:00:00"/>
    <n v="12"/>
    <x v="0"/>
    <n v="1"/>
    <n v="9"/>
    <n v="8329.25"/>
    <n v="7494.98"/>
    <n v="16800.78"/>
  </r>
  <r>
    <s v="3131"/>
    <s v="Carlos Ramírez"/>
    <d v="2008-01-01T00:00:00"/>
    <n v="18"/>
    <x v="1"/>
    <x v="4"/>
    <d v="2024-07-28T00:00:00"/>
    <d v="2024-04-09T00:00:00"/>
    <n v="32"/>
    <x v="1"/>
    <n v="0"/>
    <n v="4"/>
    <n v="26537.82"/>
    <n v="13148.82"/>
    <n v="18945.04"/>
  </r>
  <r>
    <s v="3132"/>
    <s v="Carlos Gómez"/>
    <d v="1995-01-01T00:00:00"/>
    <n v="31"/>
    <x v="0"/>
    <x v="5"/>
    <d v="2024-03-04T00:00:00"/>
    <d v="2024-06-06T00:00:00"/>
    <n v="16"/>
    <x v="1"/>
    <n v="2"/>
    <n v="4"/>
    <n v="3700.92"/>
    <n v="1771.8"/>
    <n v="8507.4699999999993"/>
  </r>
  <r>
    <s v="3133"/>
    <s v="Miguel Sánchez"/>
    <d v="1976-01-01T00:00:00"/>
    <n v="8"/>
    <x v="0"/>
    <x v="2"/>
    <d v="2023-08-25T00:00:00"/>
    <d v="2024-09-28T00:00:00"/>
    <n v="12"/>
    <x v="0"/>
    <n v="3"/>
    <n v="3"/>
    <n v="28103.1"/>
    <n v="14861.31"/>
    <n v="10621.93"/>
  </r>
  <r>
    <s v="3134"/>
    <s v="Ana Sánchez"/>
    <d v="2015-01-01T00:00:00"/>
    <n v="11"/>
    <x v="1"/>
    <x v="4"/>
    <d v="2023-02-02T00:00:00"/>
    <d v="2023-10-01T00:00:00"/>
    <n v="5"/>
    <x v="0"/>
    <n v="12"/>
    <n v="2"/>
    <n v="24371.42"/>
    <n v="12819.5"/>
    <n v="16613.71"/>
  </r>
  <r>
    <s v="3135"/>
    <s v="Juan Martínez"/>
    <d v="2016-01-01T00:00:00"/>
    <n v="10"/>
    <x v="1"/>
    <x v="4"/>
    <d v="2023-08-01T00:00:00"/>
    <d v="2023-08-30T00:00:00"/>
    <n v="20"/>
    <x v="2"/>
    <n v="12"/>
    <n v="6"/>
    <n v="20210.919999999998"/>
    <n v="4886.05"/>
    <n v="18708.41"/>
  </r>
  <r>
    <s v="3136"/>
    <s v="Elena Cruz"/>
    <d v="1980-12-31T00:00:00"/>
    <n v="45"/>
    <x v="2"/>
    <x v="4"/>
    <d v="2024-07-25T00:00:00"/>
    <d v="2024-10-17T00:00:00"/>
    <n v="10"/>
    <x v="0"/>
    <n v="9"/>
    <n v="6"/>
    <n v="12058.26"/>
    <n v="6773.65"/>
    <n v="7736.21"/>
  </r>
  <r>
    <s v="3137"/>
    <s v="Juan López"/>
    <d v="2011-01-01T00:00:00"/>
    <n v="15"/>
    <x v="0"/>
    <x v="0"/>
    <d v="2024-01-14T00:00:00"/>
    <d v="2025-05-15T00:00:00"/>
    <n v="20"/>
    <x v="0"/>
    <n v="12"/>
    <n v="0"/>
    <n v="27110.33"/>
    <n v="375.05"/>
    <n v="6996.52"/>
  </r>
  <r>
    <s v="3138"/>
    <s v="José Morales"/>
    <d v="2025-12-31T00:00:00"/>
    <n v="0"/>
    <x v="0"/>
    <x v="4"/>
    <d v="2023-01-02T00:00:00"/>
    <d v="2023-06-17T00:00:00"/>
    <n v="28"/>
    <x v="0"/>
    <n v="8"/>
    <n v="6"/>
    <n v="15602.63"/>
    <n v="7914.07"/>
    <n v="8961.98"/>
  </r>
  <r>
    <s v="3139"/>
    <s v="Pedro Rodríguez"/>
    <d v="1964-01-01T00:00:00"/>
    <n v="62"/>
    <x v="1"/>
    <x v="4"/>
    <d v="2024-03-25T00:00:00"/>
    <d v="2024-07-23T00:00:00"/>
    <n v="27"/>
    <x v="2"/>
    <n v="9"/>
    <n v="2"/>
    <n v="10821.83"/>
    <n v="8215.7900000000009"/>
    <n v="5001.47"/>
  </r>
  <r>
    <s v="3140"/>
    <s v="Luis Ramírez"/>
    <d v="2005-12-31T00:00:00"/>
    <n v="20"/>
    <x v="1"/>
    <x v="2"/>
    <d v="2024-07-22T00:00:00"/>
    <d v="2024-10-12T00:00:00"/>
    <n v="39"/>
    <x v="2"/>
    <n v="2"/>
    <n v="2"/>
    <n v="17361.53"/>
    <n v="13898.64"/>
    <n v="17179.25"/>
  </r>
  <r>
    <s v="3141"/>
    <s v="Juan Ramírez"/>
    <d v="1996-12-31T00:00:00"/>
    <n v="29"/>
    <x v="1"/>
    <x v="3"/>
    <d v="2024-03-02T00:00:00"/>
    <d v="2023-11-24T00:00:00"/>
    <n v="1"/>
    <x v="2"/>
    <n v="13"/>
    <n v="5"/>
    <n v="6584.16"/>
    <n v="5818.89"/>
    <n v="6295.77"/>
  </r>
  <r>
    <s v="3142"/>
    <s v="Elena Sánchez"/>
    <d v="2013-12-31T00:00:00"/>
    <n v="12"/>
    <x v="0"/>
    <x v="2"/>
    <d v="2024-10-11T00:00:00"/>
    <d v="2025-05-15T00:00:00"/>
    <n v="8"/>
    <x v="0"/>
    <n v="2"/>
    <n v="5"/>
    <n v="7822.78"/>
    <n v="8559.27"/>
    <n v="8934.09"/>
  </r>
  <r>
    <s v="3143"/>
    <s v="Pedro Cruz"/>
    <d v="1992-12-31T00:00:00"/>
    <n v="33"/>
    <x v="1"/>
    <x v="2"/>
    <d v="2023-10-06T00:00:00"/>
    <d v="2024-06-13T00:00:00"/>
    <n v="22"/>
    <x v="2"/>
    <n v="12"/>
    <n v="3"/>
    <n v="27539.09"/>
    <n v="11109.26"/>
    <n v="6331.26"/>
  </r>
  <r>
    <s v="3144"/>
    <s v="José Hernández"/>
    <d v="1972-01-01T00:00:00"/>
    <n v="3"/>
    <x v="1"/>
    <x v="0"/>
    <d v="2023-08-02T00:00:00"/>
    <d v="2025-04-24T00:00:00"/>
    <n v="26"/>
    <x v="2"/>
    <n v="7"/>
    <n v="4"/>
    <n v="23714.77"/>
    <n v="9127.75"/>
    <n v="2290.31"/>
  </r>
  <r>
    <s v="3145"/>
    <s v="María Rodríguez"/>
    <d v="1999-01-01T00:00:00"/>
    <n v="27"/>
    <x v="1"/>
    <x v="0"/>
    <d v="2023-10-12T00:00:00"/>
    <d v="2023-10-01T00:00:00"/>
    <n v="19"/>
    <x v="2"/>
    <n v="2"/>
    <n v="2"/>
    <n v="0"/>
    <n v="2342.61"/>
    <n v="12093.61"/>
  </r>
  <r>
    <s v="3146"/>
    <s v="Ana López"/>
    <d v="1980-01-01T00:00:00"/>
    <n v="94"/>
    <x v="1"/>
    <x v="6"/>
    <d v="2024-06-26T00:00:00"/>
    <d v="2025-05-29T00:00:00"/>
    <n v="16"/>
    <x v="1"/>
    <n v="2"/>
    <n v="2"/>
    <n v="12205.31"/>
    <n v="2577.23"/>
    <n v="11710.97"/>
  </r>
  <r>
    <s v="3147"/>
    <s v="Pedro Pérez"/>
    <d v="1968-01-01T00:00:00"/>
    <n v="58"/>
    <x v="0"/>
    <x v="3"/>
    <d v="2024-12-18T00:00:00"/>
    <d v="2024-01-12T00:00:00"/>
    <n v="6"/>
    <x v="2"/>
    <n v="2"/>
    <n v="8"/>
    <n v="24130.880000000001"/>
    <n v="2075.09"/>
    <n v="5827.49"/>
  </r>
  <r>
    <s v="3148"/>
    <s v="Miguel López"/>
    <d v="2000-01-01T00:00:00"/>
    <n v="26"/>
    <x v="1"/>
    <x v="4"/>
    <d v="2023-10-01T00:00:00"/>
    <d v="2024-01-11T00:00:00"/>
    <n v="38"/>
    <x v="0"/>
    <n v="14"/>
    <n v="4"/>
    <n v="0"/>
    <n v="3265.93"/>
    <n v="531.1"/>
  </r>
  <r>
    <s v="3149"/>
    <s v="Carmen López"/>
    <d v="1957-12-31T00:00:00"/>
    <n v="68"/>
    <x v="0"/>
    <x v="6"/>
    <d v="2023-01-11T00:00:00"/>
    <d v="2023-12-01T00:00:00"/>
    <n v="35"/>
    <x v="1"/>
    <n v="0"/>
    <n v="0"/>
    <n v="12158.53"/>
    <n v="4924.95"/>
    <n v="18728.61"/>
  </r>
  <r>
    <s v="3150"/>
    <s v="Juan Rodríguez"/>
    <d v="2001-12-31T00:00:00"/>
    <n v="24"/>
    <x v="0"/>
    <x v="4"/>
    <d v="2023-02-16T00:00:00"/>
    <d v="2023-01-04T00:00:00"/>
    <n v="26"/>
    <x v="0"/>
    <n v="11"/>
    <n v="8"/>
    <n v="15221.19"/>
    <n v="11095.01"/>
    <n v="7046.5"/>
  </r>
  <r>
    <s v="3151"/>
    <s v="Luis Hernández"/>
    <d v="2024-01-01T00:00:00"/>
    <n v="2"/>
    <x v="1"/>
    <x v="4"/>
    <d v="2024-05-29T00:00:00"/>
    <d v="2023-09-01T00:00:00"/>
    <n v="7"/>
    <x v="0"/>
    <n v="6"/>
    <n v="9"/>
    <n v="6597.63"/>
    <n v="913.89"/>
    <n v="10728.97"/>
  </r>
  <r>
    <s v="3152"/>
    <s v="Sofía Cruz"/>
    <d v="1959-01-01T00:00:00"/>
    <n v="67"/>
    <x v="0"/>
    <x v="0"/>
    <d v="2024-10-03T00:00:00"/>
    <d v="2024-09-12T00:00:00"/>
    <n v="19"/>
    <x v="1"/>
    <n v="11"/>
    <n v="5"/>
    <n v="5660.08"/>
    <n v="12306.67"/>
    <n v="2789.35"/>
  </r>
  <r>
    <s v="3153"/>
    <s v="Sofía Pérez"/>
    <d v="2001-12-31T00:00:00"/>
    <n v="24"/>
    <x v="2"/>
    <x v="4"/>
    <d v="2024-03-13T00:00:00"/>
    <d v="2023-02-21T00:00:00"/>
    <n v="21"/>
    <x v="2"/>
    <n v="12"/>
    <n v="8"/>
    <n v="29667.27"/>
    <n v="3936.94"/>
    <n v="4948.4799999999996"/>
  </r>
  <r>
    <s v="3154"/>
    <s v="Jorge Cruz"/>
    <d v="2007-01-01T00:00:00"/>
    <n v="19"/>
    <x v="2"/>
    <x v="4"/>
    <d v="2024-08-06T00:00:00"/>
    <d v="2025-06-01T00:00:00"/>
    <n v="5"/>
    <x v="1"/>
    <n v="2"/>
    <n v="6"/>
    <n v="29072.55"/>
    <n v="9201.36"/>
    <n v="8648.58"/>
  </r>
  <r>
    <s v="3155"/>
    <s v="Elena Sánchez"/>
    <d v="1992-12-31T00:00:00"/>
    <n v="33"/>
    <x v="1"/>
    <x v="2"/>
    <d v="2024-11-01T00:00:00"/>
    <d v="2023-12-17T00:00:00"/>
    <n v="3"/>
    <x v="0"/>
    <n v="3"/>
    <n v="9"/>
    <n v="12335.23"/>
    <n v="8291.5300000000007"/>
    <n v="11201.11"/>
  </r>
  <r>
    <s v="3156"/>
    <s v="María Pérez"/>
    <d v="2000-12-31T00:00:00"/>
    <n v="25"/>
    <x v="1"/>
    <x v="0"/>
    <d v="2024-03-02T00:00:00"/>
    <d v="2023-06-24T00:00:00"/>
    <n v="4"/>
    <x v="1"/>
    <n v="14"/>
    <n v="9"/>
    <n v="15215.48"/>
    <n v="2310.33"/>
    <n v="17065.68"/>
  </r>
  <r>
    <s v="3157"/>
    <s v="Juan Hernández"/>
    <d v="2021-12-31T00:00:00"/>
    <n v="4"/>
    <x v="1"/>
    <x v="5"/>
    <d v="2024-03-07T00:00:00"/>
    <d v="2023-04-27T00:00:00"/>
    <n v="17"/>
    <x v="0"/>
    <n v="6"/>
    <n v="6"/>
    <n v="24729.42"/>
    <n v="4309.46"/>
    <n v="5737.31"/>
  </r>
  <r>
    <s v="3158"/>
    <s v="Sofía Ramírez"/>
    <d v="1965-12-31T00:00:00"/>
    <n v="60"/>
    <x v="0"/>
    <x v="2"/>
    <d v="2023-05-10T00:00:00"/>
    <d v="2024-11-26T00:00:00"/>
    <n v="14"/>
    <x v="2"/>
    <n v="12"/>
    <n v="4"/>
    <n v="21637.99"/>
    <n v="4438.8100000000004"/>
    <n v="17422.79"/>
  </r>
  <r>
    <s v="3159"/>
    <s v="Luis Gómez"/>
    <d v="1935-01-01T00:00:00"/>
    <n v="91"/>
    <x v="0"/>
    <x v="6"/>
    <d v="2023-01-22T00:00:00"/>
    <d v="2023-12-28T00:00:00"/>
    <n v="33"/>
    <x v="2"/>
    <n v="2"/>
    <n v="6"/>
    <n v="0"/>
    <n v="9357.4599999999991"/>
    <n v="9114.7199999999993"/>
  </r>
  <r>
    <s v="3160"/>
    <s v="Juan Gómez"/>
    <d v="1933-12-31T00:00:00"/>
    <n v="92"/>
    <x v="0"/>
    <x v="2"/>
    <d v="2024-01-24T00:00:00"/>
    <d v="2023-12-22T00:00:00"/>
    <n v="5"/>
    <x v="0"/>
    <n v="3"/>
    <n v="9"/>
    <n v="10925.64"/>
    <n v="11827.51"/>
    <n v="8596.81"/>
  </r>
  <r>
    <s v="3161"/>
    <s v="Juan Rodríguez"/>
    <d v="2017-12-31T00:00:00"/>
    <n v="8"/>
    <x v="1"/>
    <x v="5"/>
    <d v="2023-05-15T00:00:00"/>
    <d v="2024-10-28T00:00:00"/>
    <n v="10"/>
    <x v="0"/>
    <n v="3"/>
    <n v="3"/>
    <n v="7129.61"/>
    <n v="14944.33"/>
    <n v="7867.94"/>
  </r>
  <r>
    <s v="3162"/>
    <s v="José Sánchez"/>
    <d v="1976-12-31T00:00:00"/>
    <n v="49"/>
    <x v="1"/>
    <x v="0"/>
    <d v="2024-06-15T00:00:00"/>
    <d v="2025-01-29T00:00:00"/>
    <n v="21"/>
    <x v="1"/>
    <n v="4"/>
    <n v="5"/>
    <n v="29775.22"/>
    <n v="1438.46"/>
    <n v="17712.18"/>
  </r>
  <r>
    <s v="3163"/>
    <s v="Carlos Morales"/>
    <d v="2020-12-31T00:00:00"/>
    <n v="5"/>
    <x v="0"/>
    <x v="3"/>
    <d v="2023-08-08T00:00:00"/>
    <d v="2023-03-18T00:00:00"/>
    <n v="28"/>
    <x v="0"/>
    <n v="5"/>
    <n v="1"/>
    <n v="22335.4"/>
    <n v="14080"/>
    <n v="4945.4399999999996"/>
  </r>
  <r>
    <s v="3164"/>
    <s v="Sofía Morales"/>
    <d v="1944-01-01T00:00:00"/>
    <n v="82"/>
    <x v="0"/>
    <x v="4"/>
    <d v="2023-11-29T00:00:00"/>
    <d v="2025-01-26T00:00:00"/>
    <n v="20"/>
    <x v="0"/>
    <n v="1"/>
    <n v="9"/>
    <n v="956.84"/>
    <n v="8422.89"/>
    <n v="17133.02"/>
  </r>
  <r>
    <s v="3165"/>
    <s v="Luis Ramírez"/>
    <d v="1967-01-01T00:00:00"/>
    <n v="59"/>
    <x v="0"/>
    <x v="1"/>
    <d v="2023-05-10T00:00:00"/>
    <d v="2023-03-23T00:00:00"/>
    <n v="14"/>
    <x v="0"/>
    <n v="12"/>
    <n v="2"/>
    <n v="26951.16"/>
    <n v="5351.52"/>
    <n v="1690.98"/>
  </r>
  <r>
    <s v="3166"/>
    <s v="Pedro Rodríguez"/>
    <d v="1983-01-01T00:00:00"/>
    <n v="79"/>
    <x v="1"/>
    <x v="3"/>
    <d v="2023-02-01T00:00:00"/>
    <d v="2023-08-18T00:00:00"/>
    <n v="21"/>
    <x v="2"/>
    <n v="8"/>
    <n v="1"/>
    <n v="27802.73"/>
    <n v="4268.62"/>
    <n v="19102.09"/>
  </r>
  <r>
    <s v="3167"/>
    <s v="María Gómez"/>
    <d v="2016-01-01T00:00:00"/>
    <n v="10"/>
    <x v="1"/>
    <x v="3"/>
    <d v="2024-08-24T00:00:00"/>
    <d v="2023-03-14T00:00:00"/>
    <n v="7"/>
    <x v="1"/>
    <n v="9"/>
    <n v="9"/>
    <n v="9664.7000000000007"/>
    <n v="3135.61"/>
    <n v="10010.620000000001"/>
  </r>
  <r>
    <s v="3168"/>
    <s v="Luis Pérez"/>
    <d v="1960-12-31T00:00:00"/>
    <n v="65"/>
    <x v="1"/>
    <x v="4"/>
    <d v="2024-02-29T00:00:00"/>
    <d v="2024-02-08T00:00:00"/>
    <n v="28"/>
    <x v="2"/>
    <n v="1"/>
    <n v="1"/>
    <n v="0"/>
    <n v="8356.1200000000008"/>
    <n v="19977.990000000002"/>
  </r>
  <r>
    <s v="3169"/>
    <s v="Laura Gómez"/>
    <d v="1980-01-01T00:00:00"/>
    <n v="46"/>
    <x v="1"/>
    <x v="0"/>
    <d v="2023-10-25T00:00:00"/>
    <d v="2023-08-07T00:00:00"/>
    <n v="17"/>
    <x v="2"/>
    <n v="11"/>
    <n v="6"/>
    <n v="20302.189999999999"/>
    <n v="14190.25"/>
    <n v="12119.47"/>
  </r>
  <r>
    <s v="3170"/>
    <s v="Elena Cruz"/>
    <d v="1953-12-31T00:00:00"/>
    <n v="72"/>
    <x v="1"/>
    <x v="3"/>
    <d v="2024-05-18T00:00:00"/>
    <d v="2024-03-28T00:00:00"/>
    <n v="13"/>
    <x v="2"/>
    <n v="7"/>
    <n v="4"/>
    <n v="21751.200000000001"/>
    <n v="2732.34"/>
    <n v="2263.8000000000002"/>
  </r>
  <r>
    <s v="3171"/>
    <s v="Luisa Hernández"/>
    <d v="2008-01-01T00:00:00"/>
    <n v="84"/>
    <x v="1"/>
    <x v="5"/>
    <d v="2024-11-15T00:00:00"/>
    <d v="2025-01-25T00:00:00"/>
    <n v="11"/>
    <x v="1"/>
    <n v="1"/>
    <n v="5"/>
    <n v="20651.97"/>
    <n v="6542.51"/>
    <n v="1123.92"/>
  </r>
  <r>
    <s v="3172"/>
    <s v="Sofía Ramírez"/>
    <d v="1939-01-01T00:00:00"/>
    <n v="87"/>
    <x v="1"/>
    <x v="4"/>
    <d v="2023-12-23T00:00:00"/>
    <d v="2024-01-03T00:00:00"/>
    <n v="0"/>
    <x v="0"/>
    <n v="13"/>
    <n v="2"/>
    <n v="16571.400000000001"/>
    <n v="3057.72"/>
    <n v="3787.72"/>
  </r>
  <r>
    <s v="3173"/>
    <s v="Ricardo Martínez"/>
    <d v="1940-12-31T00:00:00"/>
    <n v="85"/>
    <x v="1"/>
    <x v="0"/>
    <d v="2024-03-30T00:00:00"/>
    <d v="2025-04-06T00:00:00"/>
    <n v="27"/>
    <x v="2"/>
    <n v="8"/>
    <n v="9"/>
    <n v="28592.240000000002"/>
    <n v="2634.46"/>
    <n v="8365.09"/>
  </r>
  <r>
    <s v="3174"/>
    <s v="Laura Cruz"/>
    <d v="2015-01-01T00:00:00"/>
    <n v="2"/>
    <x v="1"/>
    <x v="3"/>
    <d v="2024-02-05T00:00:00"/>
    <d v="2024-08-13T00:00:00"/>
    <n v="15"/>
    <x v="2"/>
    <n v="10"/>
    <n v="4"/>
    <n v="15127.41"/>
    <n v="13001.13"/>
    <n v="14918.51"/>
  </r>
  <r>
    <s v="3175"/>
    <s v="José Hernández"/>
    <d v="2016-01-01T00:00:00"/>
    <n v="75"/>
    <x v="0"/>
    <x v="4"/>
    <d v="2024-07-12T00:00:00"/>
    <d v="2024-11-01T00:00:00"/>
    <n v="3"/>
    <x v="2"/>
    <n v="11"/>
    <n v="4"/>
    <n v="2882.85"/>
    <n v="3929.44"/>
    <n v="85.63"/>
  </r>
  <r>
    <s v="3176"/>
    <s v="Carmen López"/>
    <d v="1981-01-01T00:00:00"/>
    <n v="91"/>
    <x v="1"/>
    <x v="1"/>
    <d v="2024-12-09T00:00:00"/>
    <d v="2024-07-14T00:00:00"/>
    <n v="17"/>
    <x v="1"/>
    <n v="6"/>
    <n v="3"/>
    <n v="1952.98"/>
    <n v="3719.58"/>
    <n v="5072.67"/>
  </r>
  <r>
    <s v="3177"/>
    <s v="Elena Pérez"/>
    <d v="1996-12-31T00:00:00"/>
    <n v="29"/>
    <x v="0"/>
    <x v="6"/>
    <d v="2024-03-30T00:00:00"/>
    <d v="2023-11-09T00:00:00"/>
    <n v="32"/>
    <x v="1"/>
    <n v="8"/>
    <n v="9"/>
    <n v="60.49"/>
    <n v="13646.88"/>
    <n v="11710.16"/>
  </r>
  <r>
    <s v="3178"/>
    <s v="Luis Cruz"/>
    <d v="1936-12-31T00:00:00"/>
    <n v="89"/>
    <x v="0"/>
    <x v="0"/>
    <d v="2023-02-03T00:00:00"/>
    <d v="2023-10-26T00:00:00"/>
    <n v="16"/>
    <x v="0"/>
    <n v="1"/>
    <n v="3"/>
    <n v="12551.66"/>
    <n v="5790.6"/>
    <n v="5887.46"/>
  </r>
  <r>
    <s v="3179"/>
    <s v="Elena Sánchez"/>
    <d v="2005-12-31T00:00:00"/>
    <n v="20"/>
    <x v="0"/>
    <x v="0"/>
    <d v="2023-09-05T00:00:00"/>
    <d v="2023-01-25T00:00:00"/>
    <n v="23"/>
    <x v="2"/>
    <n v="3"/>
    <n v="7"/>
    <n v="7833.71"/>
    <n v="130.75"/>
    <n v="7074.57"/>
  </r>
  <r>
    <s v="3180"/>
    <s v="Pedro Martínez"/>
    <d v="1999-01-01T00:00:00"/>
    <n v="27"/>
    <x v="0"/>
    <x v="2"/>
    <d v="2023-02-11T00:00:00"/>
    <d v="2023-04-21T00:00:00"/>
    <n v="32"/>
    <x v="2"/>
    <n v="1"/>
    <n v="5"/>
    <n v="26804.18"/>
    <n v="10817.78"/>
    <n v="5945.35"/>
  </r>
  <r>
    <s v="3181"/>
    <s v="Jorge Cruz"/>
    <d v="1936-12-31T00:00:00"/>
    <n v="31"/>
    <x v="1"/>
    <x v="4"/>
    <d v="2023-05-03T00:00:00"/>
    <d v="2023-02-22T00:00:00"/>
    <n v="9"/>
    <x v="1"/>
    <n v="8"/>
    <n v="1"/>
    <n v="25948.01"/>
    <n v="7755.18"/>
    <n v="19058.98"/>
  </r>
  <r>
    <s v="3182"/>
    <s v="Carlos Rodríguez"/>
    <d v="2014-01-01T00:00:00"/>
    <n v="61"/>
    <x v="0"/>
    <x v="3"/>
    <d v="2023-01-27T00:00:00"/>
    <d v="2023-10-18T00:00:00"/>
    <n v="5"/>
    <x v="1"/>
    <n v="1"/>
    <n v="1"/>
    <n v="25054.2"/>
    <n v="11611.97"/>
    <n v="1223.25"/>
  </r>
  <r>
    <s v="3183"/>
    <s v="Juan Cruz"/>
    <d v="1993-12-31T00:00:00"/>
    <n v="32"/>
    <x v="0"/>
    <x v="6"/>
    <d v="2024-04-06T00:00:00"/>
    <d v="2024-03-20T00:00:00"/>
    <n v="34"/>
    <x v="2"/>
    <n v="8"/>
    <n v="1"/>
    <n v="25951.98"/>
    <n v="8554.42"/>
    <n v="18140.98"/>
  </r>
  <r>
    <s v="3184"/>
    <s v="José Gómez"/>
    <d v="1941-12-31T00:00:00"/>
    <n v="84"/>
    <x v="0"/>
    <x v="4"/>
    <d v="2024-07-24T00:00:00"/>
    <d v="2024-04-12T00:00:00"/>
    <n v="7"/>
    <x v="0"/>
    <n v="12"/>
    <n v="5"/>
    <n v="8576.9699999999993"/>
    <n v="5269.01"/>
    <n v="6397.11"/>
  </r>
  <r>
    <s v="3185"/>
    <s v="Pedro Cruz"/>
    <d v="1992-01-01T00:00:00"/>
    <n v="34"/>
    <x v="1"/>
    <x v="1"/>
    <d v="2023-05-27T00:00:00"/>
    <d v="2023-09-17T00:00:00"/>
    <n v="18"/>
    <x v="0"/>
    <n v="3"/>
    <n v="0"/>
    <n v="12496.59"/>
    <n v="998.46"/>
    <n v="4855.59"/>
  </r>
  <r>
    <s v="3186"/>
    <s v="Sofía Gómez"/>
    <d v="1975-01-01T00:00:00"/>
    <n v="51"/>
    <x v="1"/>
    <x v="5"/>
    <d v="2024-05-10T00:00:00"/>
    <d v="2023-11-21T00:00:00"/>
    <n v="38"/>
    <x v="0"/>
    <n v="6"/>
    <n v="2"/>
    <n v="9008.01"/>
    <n v="12989.05"/>
    <n v="17653.7"/>
  </r>
  <r>
    <s v="3187"/>
    <s v="María Ramírez"/>
    <d v="1992-12-31T00:00:00"/>
    <n v="33"/>
    <x v="1"/>
    <x v="0"/>
    <d v="2024-09-18T00:00:00"/>
    <d v="2024-10-13T00:00:00"/>
    <n v="39"/>
    <x v="2"/>
    <n v="3"/>
    <n v="0"/>
    <n v="2125.4699999999998"/>
    <n v="3106.27"/>
    <n v="5670.4"/>
  </r>
  <r>
    <s v="3188"/>
    <s v="Carmen López"/>
    <d v="1985-12-31T00:00:00"/>
    <n v="40"/>
    <x v="0"/>
    <x v="5"/>
    <d v="2024-04-30T00:00:00"/>
    <d v="2025-03-29T00:00:00"/>
    <n v="26"/>
    <x v="0"/>
    <n v="13"/>
    <n v="3"/>
    <n v="27683.41"/>
    <n v="14570.22"/>
    <n v="19748.419999999998"/>
  </r>
  <r>
    <s v="3189"/>
    <s v="Elena Pérez"/>
    <d v="1976-01-01T00:00:00"/>
    <n v="50"/>
    <x v="0"/>
    <x v="5"/>
    <d v="2024-04-04T00:00:00"/>
    <d v="2023-12-05T00:00:00"/>
    <n v="28"/>
    <x v="0"/>
    <n v="2"/>
    <n v="0"/>
    <n v="18285.75"/>
    <n v="3687.53"/>
    <n v="10916.56"/>
  </r>
  <r>
    <s v="3190"/>
    <s v="Pedro Gómez"/>
    <d v="1980-01-01T00:00:00"/>
    <n v="46"/>
    <x v="1"/>
    <x v="5"/>
    <d v="2024-12-11T00:00:00"/>
    <d v="2025-02-26T00:00:00"/>
    <n v="37"/>
    <x v="2"/>
    <n v="7"/>
    <n v="8"/>
    <n v="3542.85"/>
    <n v="12405.53"/>
    <n v="9475.08"/>
  </r>
  <r>
    <s v="3191"/>
    <s v="Ricardo Rodríguez"/>
    <d v="1944-12-31T00:00:00"/>
    <n v="81"/>
    <x v="0"/>
    <x v="2"/>
    <d v="2023-05-08T00:00:00"/>
    <d v="2024-07-10T00:00:00"/>
    <n v="4"/>
    <x v="0"/>
    <n v="11"/>
    <n v="5"/>
    <n v="5784.8"/>
    <n v="11831.22"/>
    <n v="19527.39"/>
  </r>
  <r>
    <s v="3192"/>
    <s v="Luis Rodríguez"/>
    <d v="1968-12-31T00:00:00"/>
    <n v="33"/>
    <x v="0"/>
    <x v="4"/>
    <d v="2024-01-11T00:00:00"/>
    <d v="2024-02-27T00:00:00"/>
    <n v="31"/>
    <x v="1"/>
    <n v="1"/>
    <n v="7"/>
    <n v="13247.96"/>
    <n v="6941.21"/>
    <n v="4458.01"/>
  </r>
  <r>
    <s v="3193"/>
    <s v="Luisa Ramírez"/>
    <d v="1952-01-01T00:00:00"/>
    <n v="74"/>
    <x v="1"/>
    <x v="5"/>
    <d v="2024-10-26T00:00:00"/>
    <d v="2023-09-17T00:00:00"/>
    <n v="31"/>
    <x v="2"/>
    <n v="3"/>
    <n v="1"/>
    <n v="1082.77"/>
    <n v="6025.56"/>
    <n v="18170.28"/>
  </r>
  <r>
    <s v="3194"/>
    <s v="Ricardo Gómez"/>
    <d v="1969-12-31T00:00:00"/>
    <n v="56"/>
    <x v="0"/>
    <x v="3"/>
    <d v="2023-03-24T00:00:00"/>
    <d v="2024-09-17T00:00:00"/>
    <n v="27"/>
    <x v="1"/>
    <n v="1"/>
    <n v="5"/>
    <n v="7795.75"/>
    <n v="10548.9"/>
    <n v="11789.64"/>
  </r>
  <r>
    <s v="3195"/>
    <s v="Elena Ramírez"/>
    <d v="1993-01-01T00:00:00"/>
    <n v="22"/>
    <x v="0"/>
    <x v="3"/>
    <d v="2024-06-18T00:00:00"/>
    <d v="2025-01-09T00:00:00"/>
    <n v="1"/>
    <x v="2"/>
    <n v="13"/>
    <n v="3"/>
    <n v="20955.11"/>
    <n v="7928.29"/>
    <n v="15074.85"/>
  </r>
  <r>
    <s v="3196"/>
    <s v="Carmen Hernández"/>
    <d v="1979-01-01T00:00:00"/>
    <n v="58"/>
    <x v="1"/>
    <x v="6"/>
    <d v="2024-06-06T00:00:00"/>
    <d v="2023-03-07T00:00:00"/>
    <n v="38"/>
    <x v="1"/>
    <n v="4"/>
    <n v="6"/>
    <n v="27572.400000000001"/>
    <n v="9479.3700000000008"/>
    <n v="11598.89"/>
  </r>
  <r>
    <s v="3197"/>
    <s v="Miguel Cruz"/>
    <d v="2004-12-31T00:00:00"/>
    <n v="21"/>
    <x v="0"/>
    <x v="6"/>
    <d v="2024-11-29T00:00:00"/>
    <d v="2023-06-13T00:00:00"/>
    <n v="27"/>
    <x v="0"/>
    <n v="13"/>
    <n v="7"/>
    <n v="27826.31"/>
    <n v="7053.23"/>
    <n v="12334.83"/>
  </r>
  <r>
    <s v="3198"/>
    <s v="Elena Cruz"/>
    <d v="2009-12-31T00:00:00"/>
    <n v="16"/>
    <x v="1"/>
    <x v="1"/>
    <d v="2024-09-19T00:00:00"/>
    <d v="2023-06-14T00:00:00"/>
    <n v="22"/>
    <x v="0"/>
    <n v="8"/>
    <n v="5"/>
    <n v="15360.89"/>
    <n v="8357.32"/>
    <n v="3013.92"/>
  </r>
  <r>
    <s v="3199"/>
    <s v="María Ramírez"/>
    <d v="1957-12-31T00:00:00"/>
    <n v="68"/>
    <x v="0"/>
    <x v="5"/>
    <d v="2024-11-04T00:00:00"/>
    <d v="2024-11-09T00:00:00"/>
    <n v="11"/>
    <x v="1"/>
    <n v="7"/>
    <n v="0"/>
    <n v="9020.74"/>
    <n v="2837.25"/>
    <n v="2948.42"/>
  </r>
  <r>
    <s v="3200"/>
    <s v="Luis Hernández"/>
    <d v="2016-01-01T00:00:00"/>
    <n v="10"/>
    <x v="0"/>
    <x v="5"/>
    <d v="2023-04-13T00:00:00"/>
    <d v="2023-02-09T00:00:00"/>
    <n v="21"/>
    <x v="1"/>
    <n v="9"/>
    <n v="7"/>
    <n v="27582.74"/>
    <n v="830.95"/>
    <n v="7882.86"/>
  </r>
  <r>
    <s v="3201"/>
    <s v="Juan Ramírez"/>
    <d v="1932-12-31T00:00:00"/>
    <n v="93"/>
    <x v="0"/>
    <x v="2"/>
    <d v="2024-06-02T00:00:00"/>
    <d v="2024-10-27T00:00:00"/>
    <n v="28"/>
    <x v="0"/>
    <n v="12"/>
    <n v="0"/>
    <n v="23492.36"/>
    <n v="5338.86"/>
    <n v="6862.42"/>
  </r>
  <r>
    <s v="3202"/>
    <s v="José López"/>
    <d v="1977-01-01T00:00:00"/>
    <n v="14"/>
    <x v="1"/>
    <x v="4"/>
    <d v="2023-12-28T00:00:00"/>
    <d v="2023-11-17T00:00:00"/>
    <n v="36"/>
    <x v="0"/>
    <n v="0"/>
    <n v="8"/>
    <n v="0"/>
    <n v="6987.93"/>
    <n v="14212.42"/>
  </r>
  <r>
    <s v="3203"/>
    <s v="Juan Cruz"/>
    <d v="1936-01-01T00:00:00"/>
    <n v="90"/>
    <x v="1"/>
    <x v="5"/>
    <d v="2024-11-14T00:00:00"/>
    <d v="2023-12-27T00:00:00"/>
    <n v="25"/>
    <x v="1"/>
    <n v="11"/>
    <n v="1"/>
    <n v="24953.86"/>
    <n v="13590.44"/>
    <n v="14427.48"/>
  </r>
  <r>
    <s v="3204"/>
    <s v="Ana Gómez"/>
    <d v="1992-01-01T00:00:00"/>
    <n v="34"/>
    <x v="1"/>
    <x v="5"/>
    <d v="2023-09-13T00:00:00"/>
    <d v="2023-09-27T00:00:00"/>
    <n v="22"/>
    <x v="1"/>
    <n v="11"/>
    <n v="9"/>
    <n v="13494.33"/>
    <n v="6209.09"/>
    <n v="11232.22"/>
  </r>
  <r>
    <s v="3205"/>
    <s v="Pedro Gómez"/>
    <d v="1993-12-31T00:00:00"/>
    <n v="32"/>
    <x v="0"/>
    <x v="4"/>
    <d v="2023-09-04T00:00:00"/>
    <d v="2023-11-21T00:00:00"/>
    <n v="16"/>
    <x v="1"/>
    <n v="2"/>
    <n v="5"/>
    <n v="2921.94"/>
    <n v="6508.78"/>
    <n v="7980.38"/>
  </r>
  <r>
    <s v="3206"/>
    <s v="Luis Hernández"/>
    <d v="1943-01-01T00:00:00"/>
    <n v="83"/>
    <x v="1"/>
    <x v="5"/>
    <d v="2023-07-11T00:00:00"/>
    <d v="2023-11-23T00:00:00"/>
    <n v="1"/>
    <x v="2"/>
    <n v="6"/>
    <n v="7"/>
    <n v="28116.26"/>
    <n v="10122.469999999999"/>
    <n v="13503.87"/>
  </r>
  <r>
    <s v="3207"/>
    <s v="Carmen Sánchez"/>
    <d v="2016-01-01T00:00:00"/>
    <n v="15"/>
    <x v="0"/>
    <x v="0"/>
    <d v="2024-09-17T00:00:00"/>
    <d v="2024-08-10T00:00:00"/>
    <n v="31"/>
    <x v="1"/>
    <n v="12"/>
    <n v="4"/>
    <n v="15787.22"/>
    <n v="3101.79"/>
    <n v="13715.65"/>
  </r>
  <r>
    <s v="3208"/>
    <s v="Carmen Pérez"/>
    <d v="1992-12-31T00:00:00"/>
    <n v="33"/>
    <x v="1"/>
    <x v="0"/>
    <d v="2024-06-18T00:00:00"/>
    <d v="2023-09-15T00:00:00"/>
    <n v="29"/>
    <x v="1"/>
    <n v="14"/>
    <n v="1"/>
    <n v="20706.36"/>
    <n v="13074.59"/>
    <n v="16162.95"/>
  </r>
  <r>
    <s v="3209"/>
    <s v="Juan López"/>
    <d v="1960-12-31T00:00:00"/>
    <n v="65"/>
    <x v="1"/>
    <x v="2"/>
    <d v="2023-11-10T00:00:00"/>
    <d v="2023-07-20T00:00:00"/>
    <n v="22"/>
    <x v="0"/>
    <n v="1"/>
    <n v="4"/>
    <n v="11464.91"/>
    <n v="6414.61"/>
    <n v="16215.78"/>
  </r>
  <r>
    <s v="3210"/>
    <s v="Luis Cruz"/>
    <d v="1987-01-01T00:00:00"/>
    <n v="39"/>
    <x v="1"/>
    <x v="2"/>
    <d v="2023-10-03T00:00:00"/>
    <d v="2024-03-14T00:00:00"/>
    <n v="19"/>
    <x v="0"/>
    <n v="12"/>
    <n v="0"/>
    <n v="3640.12"/>
    <n v="13961.8"/>
    <n v="1298.3"/>
  </r>
  <r>
    <s v="3211"/>
    <s v="Carmen Ramírez"/>
    <d v="1999-01-01T00:00:00"/>
    <n v="27"/>
    <x v="2"/>
    <x v="3"/>
    <d v="2024-01-08T00:00:00"/>
    <d v="2024-09-02T00:00:00"/>
    <n v="25"/>
    <x v="2"/>
    <n v="5"/>
    <n v="7"/>
    <n v="7792.39"/>
    <n v="4069.03"/>
    <n v="7418.43"/>
  </r>
  <r>
    <s v="3212"/>
    <s v="Luisa Sánchez"/>
    <d v="1939-01-01T00:00:00"/>
    <n v="46"/>
    <x v="0"/>
    <x v="2"/>
    <d v="2024-03-19T00:00:00"/>
    <d v="2023-04-15T00:00:00"/>
    <n v="15"/>
    <x v="2"/>
    <n v="10"/>
    <n v="7"/>
    <n v="832.02"/>
    <n v="6983.89"/>
    <n v="8340.58"/>
  </r>
  <r>
    <s v="3213"/>
    <s v="Laura Martínez"/>
    <d v="1988-01-01T00:00:00"/>
    <n v="38"/>
    <x v="1"/>
    <x v="1"/>
    <d v="2024-10-09T00:00:00"/>
    <d v="2024-01-08T00:00:00"/>
    <n v="4"/>
    <x v="0"/>
    <n v="5"/>
    <n v="1"/>
    <n v="2171.1799999999998"/>
    <n v="11672.42"/>
    <n v="16923.189999999999"/>
  </r>
  <r>
    <s v="3214"/>
    <s v="Luis Pérez"/>
    <d v="1956-12-31T00:00:00"/>
    <n v="69"/>
    <x v="1"/>
    <x v="3"/>
    <d v="2023-07-14T00:00:00"/>
    <d v="2023-06-14T00:00:00"/>
    <n v="8"/>
    <x v="1"/>
    <n v="12"/>
    <n v="5"/>
    <n v="5750.03"/>
    <n v="8338.9"/>
    <n v="9986.34"/>
  </r>
  <r>
    <s v="3215"/>
    <s v="Ricardo Cruz"/>
    <d v="1953-12-31T00:00:00"/>
    <n v="72"/>
    <x v="0"/>
    <x v="4"/>
    <d v="2023-09-15T00:00:00"/>
    <d v="2023-04-24T00:00:00"/>
    <n v="39"/>
    <x v="1"/>
    <n v="13"/>
    <n v="7"/>
    <n v="16610.84"/>
    <n v="9918.68"/>
    <n v="9725"/>
  </r>
  <r>
    <s v="3216"/>
    <s v="José Cruz"/>
    <d v="2007-01-01T00:00:00"/>
    <n v="19"/>
    <x v="1"/>
    <x v="5"/>
    <d v="2024-08-04T00:00:00"/>
    <d v="2024-09-07T00:00:00"/>
    <n v="8"/>
    <x v="0"/>
    <n v="0"/>
    <n v="9"/>
    <n v="29782.98"/>
    <n v="4210.4399999999996"/>
    <n v="11030.82"/>
  </r>
  <r>
    <s v="3217"/>
    <s v="Carlos Martínez"/>
    <d v="2025-12-31T00:00:00"/>
    <n v="0"/>
    <x v="0"/>
    <x v="2"/>
    <d v="2023-12-26T00:00:00"/>
    <d v="2024-07-03T00:00:00"/>
    <n v="6"/>
    <x v="0"/>
    <n v="10"/>
    <n v="7"/>
    <n v="25233.56"/>
    <n v="4926.8900000000003"/>
    <n v="2457"/>
  </r>
  <r>
    <s v="3218"/>
    <s v="María Morales"/>
    <d v="1955-01-01T00:00:00"/>
    <n v="71"/>
    <x v="0"/>
    <x v="1"/>
    <d v="2024-07-01T00:00:00"/>
    <d v="2023-04-17T00:00:00"/>
    <n v="32"/>
    <x v="1"/>
    <n v="8"/>
    <n v="6"/>
    <n v="2118.9499999999998"/>
    <n v="7614.2"/>
    <n v="11262.46"/>
  </r>
  <r>
    <s v="3219"/>
    <s v="Luis Sánchez"/>
    <d v="1940-01-01T00:00:00"/>
    <n v="72"/>
    <x v="0"/>
    <x v="2"/>
    <d v="2023-04-18T00:00:00"/>
    <d v="2024-11-30T00:00:00"/>
    <n v="34"/>
    <x v="0"/>
    <n v="2"/>
    <n v="2"/>
    <n v="25191.48"/>
    <n v="3037.2"/>
    <n v="10986.1"/>
  </r>
  <r>
    <s v="3220"/>
    <s v="Carmen Gómez"/>
    <d v="1964-01-01T00:00:00"/>
    <n v="62"/>
    <x v="0"/>
    <x v="2"/>
    <d v="2023-01-24T00:00:00"/>
    <d v="2023-12-31T00:00:00"/>
    <n v="20"/>
    <x v="2"/>
    <n v="1"/>
    <n v="3"/>
    <n v="15857.49"/>
    <n v="1894.59"/>
    <n v="15063.95"/>
  </r>
  <r>
    <s v="3221"/>
    <s v="Pedro López"/>
    <d v="1960-01-01T00:00:00"/>
    <n v="66"/>
    <x v="0"/>
    <x v="3"/>
    <d v="2024-10-13T00:00:00"/>
    <d v="2023-01-22T00:00:00"/>
    <n v="30"/>
    <x v="1"/>
    <n v="6"/>
    <n v="0"/>
    <n v="19639.87"/>
    <n v="12657.04"/>
    <n v="12646.48"/>
  </r>
  <r>
    <s v="3222"/>
    <s v="Miguel Morales"/>
    <d v="2023-01-01T00:00:00"/>
    <n v="3"/>
    <x v="0"/>
    <x v="4"/>
    <d v="2024-04-09T00:00:00"/>
    <d v="2024-10-22T00:00:00"/>
    <n v="2"/>
    <x v="1"/>
    <n v="8"/>
    <n v="8"/>
    <n v="3457.85"/>
    <n v="11622.82"/>
    <n v="19096.099999999999"/>
  </r>
  <r>
    <s v="3223"/>
    <s v="Laura Pérez"/>
    <d v="1968-12-31T00:00:00"/>
    <n v="11"/>
    <x v="0"/>
    <x v="4"/>
    <d v="2023-01-22T00:00:00"/>
    <d v="2023-05-10T00:00:00"/>
    <n v="17"/>
    <x v="2"/>
    <n v="8"/>
    <n v="9"/>
    <n v="11560.93"/>
    <n v="13980.85"/>
    <n v="1510.04"/>
  </r>
  <r>
    <s v="3224"/>
    <s v="Elena Martínez"/>
    <d v="2001-12-31T00:00:00"/>
    <n v="24"/>
    <x v="0"/>
    <x v="3"/>
    <d v="2024-05-16T00:00:00"/>
    <d v="2024-04-28T00:00:00"/>
    <n v="2"/>
    <x v="1"/>
    <n v="7"/>
    <n v="9"/>
    <n v="26465.71"/>
    <n v="8798.2800000000007"/>
    <n v="15410.2"/>
  </r>
  <r>
    <s v="3225"/>
    <s v="Elena Pérez"/>
    <d v="1980-01-01T00:00:00"/>
    <n v="46"/>
    <x v="1"/>
    <x v="6"/>
    <d v="2024-12-16T00:00:00"/>
    <d v="2024-11-30T00:00:00"/>
    <n v="26"/>
    <x v="2"/>
    <n v="1"/>
    <n v="1"/>
    <n v="12473.65"/>
    <n v="6303.98"/>
    <n v="15005.2"/>
  </r>
  <r>
    <s v="3226"/>
    <s v="Luisa Sánchez"/>
    <d v="1988-12-31T00:00:00"/>
    <n v="37"/>
    <x v="1"/>
    <x v="3"/>
    <d v="2024-05-15T00:00:00"/>
    <d v="2025-03-07T00:00:00"/>
    <n v="23"/>
    <x v="2"/>
    <n v="14"/>
    <n v="9"/>
    <n v="3376.96"/>
    <n v="1545.32"/>
    <n v="5313.83"/>
  </r>
  <r>
    <s v="3227"/>
    <s v="Carlos Rodríguez"/>
    <d v="2012-01-01T00:00:00"/>
    <n v="14"/>
    <x v="1"/>
    <x v="3"/>
    <d v="2024-08-15T00:00:00"/>
    <d v="2023-07-19T00:00:00"/>
    <n v="35"/>
    <x v="0"/>
    <n v="9"/>
    <n v="6"/>
    <n v="8987.7999999999993"/>
    <n v="12757.01"/>
    <n v="13940.86"/>
  </r>
  <r>
    <s v="3228"/>
    <s v="Luisa López"/>
    <d v="1964-01-01T00:00:00"/>
    <n v="62"/>
    <x v="0"/>
    <x v="0"/>
    <d v="2024-02-11T00:00:00"/>
    <d v="2025-01-17T00:00:00"/>
    <n v="0"/>
    <x v="0"/>
    <n v="5"/>
    <n v="7"/>
    <n v="0"/>
    <n v="6843.89"/>
    <n v="13152.36"/>
  </r>
  <r>
    <s v="3229"/>
    <s v="Carlos Sánchez"/>
    <d v="1976-01-01T00:00:00"/>
    <n v="20"/>
    <x v="0"/>
    <x v="2"/>
    <d v="2023-11-26T00:00:00"/>
    <d v="2024-09-12T00:00:00"/>
    <n v="18"/>
    <x v="0"/>
    <n v="1"/>
    <n v="3"/>
    <n v="20450.36"/>
    <n v="8417.01"/>
    <n v="5903.99"/>
  </r>
  <r>
    <s v="3230"/>
    <s v="Carlos Ramírez"/>
    <d v="1969-12-31T00:00:00"/>
    <n v="56"/>
    <x v="1"/>
    <x v="3"/>
    <d v="2024-12-03T00:00:00"/>
    <d v="2024-06-05T00:00:00"/>
    <n v="10"/>
    <x v="2"/>
    <n v="10"/>
    <n v="9"/>
    <n v="27286.35"/>
    <n v="4702.8500000000004"/>
    <n v="14448.03"/>
  </r>
  <r>
    <s v="3231"/>
    <s v="María Pérez"/>
    <d v="1973-12-31T00:00:00"/>
    <n v="52"/>
    <x v="1"/>
    <x v="2"/>
    <d v="2023-10-13T00:00:00"/>
    <d v="2024-02-25T00:00:00"/>
    <n v="28"/>
    <x v="0"/>
    <n v="1"/>
    <n v="0"/>
    <n v="0"/>
    <n v="7858.09"/>
    <n v="18606.11"/>
  </r>
  <r>
    <s v="3232"/>
    <s v="Jorge Hernández"/>
    <d v="1993-01-01T00:00:00"/>
    <n v="45"/>
    <x v="1"/>
    <x v="2"/>
    <d v="2023-05-27T00:00:00"/>
    <d v="2023-08-15T00:00:00"/>
    <n v="14"/>
    <x v="2"/>
    <n v="7"/>
    <n v="4"/>
    <n v="0"/>
    <n v="11726.28"/>
    <n v="6034.9"/>
  </r>
  <r>
    <s v="3233"/>
    <s v="Pedro Pérez"/>
    <d v="2012-12-31T00:00:00"/>
    <n v="13"/>
    <x v="0"/>
    <x v="0"/>
    <d v="2024-01-19T00:00:00"/>
    <d v="2023-07-29T00:00:00"/>
    <n v="32"/>
    <x v="0"/>
    <n v="8"/>
    <n v="9"/>
    <n v="0"/>
    <n v="10683.9"/>
    <n v="19599.66"/>
  </r>
  <r>
    <s v="3234"/>
    <s v="Elena Morales"/>
    <d v="1951-01-01T00:00:00"/>
    <n v="75"/>
    <x v="0"/>
    <x v="2"/>
    <d v="2023-01-11T00:00:00"/>
    <d v="2023-09-03T00:00:00"/>
    <n v="20"/>
    <x v="0"/>
    <n v="8"/>
    <n v="9"/>
    <n v="54.57"/>
    <n v="14833.84"/>
    <n v="4408.16"/>
  </r>
  <r>
    <s v="3235"/>
    <s v="Jorge Cruz"/>
    <d v="2009-12-31T00:00:00"/>
    <n v="16"/>
    <x v="0"/>
    <x v="1"/>
    <d v="2023-10-03T00:00:00"/>
    <d v="2023-10-16T00:00:00"/>
    <n v="0"/>
    <x v="0"/>
    <n v="4"/>
    <n v="5"/>
    <n v="3293.29"/>
    <n v="7434.73"/>
    <n v="2606.3000000000002"/>
  </r>
  <r>
    <s v="3236"/>
    <s v="Laura Rodríguez"/>
    <d v="1988-01-01T00:00:00"/>
    <n v="38"/>
    <x v="1"/>
    <x v="3"/>
    <d v="2024-07-21T00:00:00"/>
    <d v="2023-03-08T00:00:00"/>
    <n v="1"/>
    <x v="0"/>
    <n v="1"/>
    <n v="6"/>
    <n v="12413.06"/>
    <n v="7945.5"/>
    <n v="1448.71"/>
  </r>
  <r>
    <s v="3237"/>
    <s v="Carlos López"/>
    <d v="2017-12-31T00:00:00"/>
    <n v="8"/>
    <x v="0"/>
    <x v="2"/>
    <d v="2024-11-15T00:00:00"/>
    <d v="2025-05-18T00:00:00"/>
    <n v="0"/>
    <x v="0"/>
    <n v="14"/>
    <n v="0"/>
    <n v="2918.73"/>
    <n v="790.89"/>
    <n v="4195.04"/>
  </r>
  <r>
    <s v="3238"/>
    <s v="Carmen Pérez"/>
    <d v="1949-12-31T00:00:00"/>
    <n v="76"/>
    <x v="1"/>
    <x v="6"/>
    <d v="2023-10-30T00:00:00"/>
    <d v="2023-06-03T00:00:00"/>
    <n v="17"/>
    <x v="0"/>
    <n v="5"/>
    <n v="3"/>
    <n v="21915.51"/>
    <n v="5840.74"/>
    <n v="6784.48"/>
  </r>
  <r>
    <s v="3239"/>
    <s v="Sofía Rodríguez"/>
    <d v="1948-01-01T00:00:00"/>
    <n v="78"/>
    <x v="0"/>
    <x v="6"/>
    <d v="2023-07-23T00:00:00"/>
    <d v="2024-05-06T00:00:00"/>
    <n v="6"/>
    <x v="0"/>
    <n v="1"/>
    <n v="4"/>
    <n v="1640.72"/>
    <n v="13831.56"/>
    <n v="14636.51"/>
  </r>
  <r>
    <s v="3240"/>
    <s v="Elena Morales"/>
    <d v="1944-12-31T00:00:00"/>
    <n v="81"/>
    <x v="1"/>
    <x v="0"/>
    <d v="2023-12-11T00:00:00"/>
    <d v="2024-03-11T00:00:00"/>
    <n v="1"/>
    <x v="1"/>
    <n v="8"/>
    <n v="4"/>
    <n v="12195.38"/>
    <n v="5257.14"/>
    <n v="1347.42"/>
  </r>
  <r>
    <s v="3241"/>
    <s v="Ana Pérez"/>
    <d v="2020-12-31T00:00:00"/>
    <n v="5"/>
    <x v="0"/>
    <x v="1"/>
    <d v="2023-09-23T00:00:00"/>
    <d v="2024-12-04T00:00:00"/>
    <n v="22"/>
    <x v="2"/>
    <n v="2"/>
    <n v="6"/>
    <n v="11464.82"/>
    <n v="11491.68"/>
    <n v="10096.030000000001"/>
  </r>
  <r>
    <s v="3242"/>
    <s v="Ana Pérez"/>
    <d v="1936-01-01T00:00:00"/>
    <n v="90"/>
    <x v="1"/>
    <x v="4"/>
    <d v="2023-01-22T00:00:00"/>
    <d v="2023-08-07T00:00:00"/>
    <n v="2"/>
    <x v="0"/>
    <n v="12"/>
    <n v="3"/>
    <n v="16075.09"/>
    <n v="14663.99"/>
    <n v="10326.73"/>
  </r>
  <r>
    <s v="3243"/>
    <s v="Luis Martínez"/>
    <d v="2004-01-01T00:00:00"/>
    <n v="56"/>
    <x v="1"/>
    <x v="4"/>
    <d v="2024-06-19T00:00:00"/>
    <d v="2024-03-05T00:00:00"/>
    <n v="36"/>
    <x v="2"/>
    <n v="2"/>
    <n v="9"/>
    <n v="18696.009999999998"/>
    <n v="1902.73"/>
    <n v="4481.66"/>
  </r>
  <r>
    <s v="3244"/>
    <s v="Ricardo Ramírez"/>
    <d v="1968-01-01T00:00:00"/>
    <n v="58"/>
    <x v="2"/>
    <x v="3"/>
    <d v="2024-12-06T00:00:00"/>
    <d v="2024-05-17T00:00:00"/>
    <n v="9"/>
    <x v="0"/>
    <n v="6"/>
    <n v="6"/>
    <n v="28382.17"/>
    <n v="5009.8999999999996"/>
    <n v="813.68"/>
  </r>
  <r>
    <s v="3245"/>
    <s v="Ricardo Sánchez"/>
    <d v="1936-01-01T00:00:00"/>
    <n v="90"/>
    <x v="1"/>
    <x v="0"/>
    <d v="2023-04-06T00:00:00"/>
    <d v="2024-10-28T00:00:00"/>
    <n v="37"/>
    <x v="2"/>
    <n v="14"/>
    <n v="7"/>
    <n v="7771.14"/>
    <n v="7115.61"/>
    <n v="4424.8900000000003"/>
  </r>
  <r>
    <s v="3246"/>
    <s v="Ana Ramírez"/>
    <d v="1980-12-31T00:00:00"/>
    <n v="45"/>
    <x v="1"/>
    <x v="6"/>
    <d v="2024-03-20T00:00:00"/>
    <d v="2025-02-28T00:00:00"/>
    <n v="37"/>
    <x v="2"/>
    <n v="1"/>
    <n v="1"/>
    <n v="19812.53"/>
    <n v="3560.62"/>
    <n v="4530.83"/>
  </r>
  <r>
    <s v="3247"/>
    <s v="Ana Rodríguez"/>
    <d v="1988-12-31T00:00:00"/>
    <n v="37"/>
    <x v="0"/>
    <x v="1"/>
    <d v="2023-09-20T00:00:00"/>
    <d v="2024-08-17T00:00:00"/>
    <n v="21"/>
    <x v="0"/>
    <n v="6"/>
    <n v="0"/>
    <n v="570.09"/>
    <n v="186.55"/>
    <n v="13729.28"/>
  </r>
  <r>
    <s v="3248"/>
    <s v="Laura Hernández"/>
    <d v="2012-12-31T00:00:00"/>
    <n v="13"/>
    <x v="0"/>
    <x v="3"/>
    <d v="2024-08-06T00:00:00"/>
    <d v="2023-08-10T00:00:00"/>
    <n v="6"/>
    <x v="0"/>
    <n v="7"/>
    <n v="9"/>
    <n v="469.29"/>
    <n v="7029.06"/>
    <n v="4598.97"/>
  </r>
  <r>
    <s v="3249"/>
    <s v="Ana Rodríguez"/>
    <d v="1955-01-01T00:00:00"/>
    <n v="71"/>
    <x v="1"/>
    <x v="2"/>
    <d v="2024-01-18T00:00:00"/>
    <d v="2024-03-11T00:00:00"/>
    <n v="17"/>
    <x v="0"/>
    <n v="9"/>
    <n v="9"/>
    <n v="273.43"/>
    <n v="8049.24"/>
    <n v="6739.31"/>
  </r>
  <r>
    <s v="3250"/>
    <s v="Laura Cruz"/>
    <d v="1964-12-31T00:00:00"/>
    <n v="61"/>
    <x v="0"/>
    <x v="3"/>
    <d v="2024-07-03T00:00:00"/>
    <d v="2023-10-08T00:00:00"/>
    <n v="2"/>
    <x v="0"/>
    <n v="5"/>
    <n v="0"/>
    <n v="13191.81"/>
    <n v="9381.52"/>
    <n v="853.34"/>
  </r>
  <r>
    <s v="3251"/>
    <s v="Luis Ramírez"/>
    <d v="1992-01-01T00:00:00"/>
    <n v="34"/>
    <x v="0"/>
    <x v="5"/>
    <d v="2024-01-27T00:00:00"/>
    <d v="2024-09-15T00:00:00"/>
    <n v="17"/>
    <x v="0"/>
    <n v="1"/>
    <n v="0"/>
    <n v="16427.900000000001"/>
    <n v="12408.23"/>
    <n v="12441.31"/>
  </r>
  <r>
    <s v="3252"/>
    <s v="Jorge Hernández"/>
    <d v="2008-01-01T00:00:00"/>
    <n v="18"/>
    <x v="1"/>
    <x v="3"/>
    <d v="2024-08-23T00:00:00"/>
    <d v="2023-04-03T00:00:00"/>
    <n v="18"/>
    <x v="0"/>
    <n v="13"/>
    <n v="8"/>
    <n v="310.54000000000002"/>
    <n v="3795.64"/>
    <n v="9430.2900000000009"/>
  </r>
  <r>
    <s v="3253"/>
    <s v="Miguel Martínez"/>
    <d v="1988-01-01T00:00:00"/>
    <n v="29"/>
    <x v="1"/>
    <x v="2"/>
    <d v="2024-06-23T00:00:00"/>
    <d v="2024-06-08T00:00:00"/>
    <n v="1"/>
    <x v="0"/>
    <n v="5"/>
    <n v="3"/>
    <n v="11590.55"/>
    <n v="915.54"/>
    <n v="6833.89"/>
  </r>
  <r>
    <s v="3254"/>
    <s v="Luisa Hernández"/>
    <d v="1948-12-31T00:00:00"/>
    <n v="77"/>
    <x v="1"/>
    <x v="5"/>
    <d v="2023-04-02T00:00:00"/>
    <d v="2023-05-20T00:00:00"/>
    <n v="18"/>
    <x v="0"/>
    <n v="4"/>
    <n v="8"/>
    <n v="746.13"/>
    <n v="1347.52"/>
    <n v="14027.89"/>
  </r>
  <r>
    <s v="3255"/>
    <s v="Miguel Gómez"/>
    <d v="1943-01-01T00:00:00"/>
    <n v="83"/>
    <x v="0"/>
    <x v="4"/>
    <d v="2024-07-19T00:00:00"/>
    <d v="2024-10-29T00:00:00"/>
    <n v="39"/>
    <x v="1"/>
    <n v="3"/>
    <n v="6"/>
    <n v="19425.16"/>
    <n v="7461.14"/>
    <n v="13610.65"/>
  </r>
  <r>
    <s v="3256"/>
    <s v="Elena Rodríguez"/>
    <d v="2001-12-31T00:00:00"/>
    <n v="24"/>
    <x v="1"/>
    <x v="1"/>
    <d v="2023-06-08T00:00:00"/>
    <d v="2023-01-24T00:00:00"/>
    <n v="21"/>
    <x v="2"/>
    <n v="3"/>
    <n v="6"/>
    <n v="18752.580000000002"/>
    <n v="13833.55"/>
    <n v="6490.93"/>
  </r>
  <r>
    <s v="3257"/>
    <s v="María Rodríguez"/>
    <d v="1987-01-01T00:00:00"/>
    <n v="39"/>
    <x v="1"/>
    <x v="0"/>
    <d v="2023-08-16T00:00:00"/>
    <d v="2024-02-22T00:00:00"/>
    <n v="6"/>
    <x v="0"/>
    <n v="1"/>
    <n v="1"/>
    <n v="23417.61"/>
    <n v="14733.16"/>
    <n v="14159.09"/>
  </r>
  <r>
    <s v="3258"/>
    <s v="Juan Sánchez"/>
    <d v="1939-01-01T00:00:00"/>
    <n v="87"/>
    <x v="0"/>
    <x v="1"/>
    <d v="2024-04-17T00:00:00"/>
    <d v="2025-01-02T00:00:00"/>
    <n v="36"/>
    <x v="0"/>
    <n v="4"/>
    <n v="1"/>
    <n v="16160.96"/>
    <n v="3075.77"/>
    <n v="6899.02"/>
  </r>
  <r>
    <s v="3259"/>
    <s v="José Gómez"/>
    <d v="2012-12-31T00:00:00"/>
    <n v="13"/>
    <x v="0"/>
    <x v="3"/>
    <d v="2024-01-07T00:00:00"/>
    <d v="2023-12-15T00:00:00"/>
    <n v="27"/>
    <x v="2"/>
    <n v="11"/>
    <n v="4"/>
    <n v="18499.97"/>
    <n v="2279.5100000000002"/>
    <n v="4362.1899999999996"/>
  </r>
  <r>
    <s v="3260"/>
    <s v="Pedro Hernández"/>
    <d v="2000-12-31T00:00:00"/>
    <n v="25"/>
    <x v="1"/>
    <x v="4"/>
    <d v="2024-01-11T00:00:00"/>
    <d v="2023-08-26T00:00:00"/>
    <n v="15"/>
    <x v="2"/>
    <n v="13"/>
    <n v="9"/>
    <n v="8022.29"/>
    <n v="5302.08"/>
    <n v="14368.58"/>
  </r>
  <r>
    <s v="3261"/>
    <s v="Luisa Pérez"/>
    <d v="1940-01-01T00:00:00"/>
    <n v="86"/>
    <x v="0"/>
    <x v="0"/>
    <d v="2024-07-06T00:00:00"/>
    <d v="2025-02-04T00:00:00"/>
    <n v="7"/>
    <x v="0"/>
    <n v="2"/>
    <n v="0"/>
    <n v="2106.34"/>
    <n v="6958.35"/>
    <n v="14533.32"/>
  </r>
  <r>
    <s v="3262"/>
    <s v="Luisa Rodríguez"/>
    <d v="2023-01-01T00:00:00"/>
    <n v="21"/>
    <x v="1"/>
    <x v="3"/>
    <d v="2023-02-06T00:00:00"/>
    <d v="2023-07-03T00:00:00"/>
    <n v="38"/>
    <x v="2"/>
    <n v="12"/>
    <n v="6"/>
    <n v="0"/>
    <n v="12120.98"/>
    <n v="17301.919999999998"/>
  </r>
  <r>
    <s v="3263"/>
    <s v="Carmen Sánchez"/>
    <d v="1979-01-01T00:00:00"/>
    <n v="47"/>
    <x v="1"/>
    <x v="6"/>
    <d v="2024-09-28T00:00:00"/>
    <d v="2024-05-23T00:00:00"/>
    <n v="18"/>
    <x v="2"/>
    <n v="12"/>
    <n v="6"/>
    <n v="18161.830000000002"/>
    <n v="11619.1"/>
    <n v="9968.98"/>
  </r>
  <r>
    <s v="3264"/>
    <s v="José López"/>
    <d v="1944-01-01T00:00:00"/>
    <n v="82"/>
    <x v="0"/>
    <x v="6"/>
    <d v="2024-11-21T00:00:00"/>
    <d v="2023-07-18T00:00:00"/>
    <n v="19"/>
    <x v="1"/>
    <n v="1"/>
    <n v="7"/>
    <n v="28119.119999999999"/>
    <n v="13839.99"/>
    <n v="4570.82"/>
  </r>
  <r>
    <s v="3265"/>
    <s v="Carmen Sánchez"/>
    <d v="1976-01-01T00:00:00"/>
    <n v="50"/>
    <x v="0"/>
    <x v="2"/>
    <d v="2023-02-06T00:00:00"/>
    <d v="2024-11-13T00:00:00"/>
    <n v="14"/>
    <x v="0"/>
    <n v="10"/>
    <n v="6"/>
    <n v="29671.39"/>
    <n v="12871.51"/>
    <n v="16721.63"/>
  </r>
  <r>
    <s v="3266"/>
    <s v="Sofía Morales"/>
    <d v="2024-01-01T00:00:00"/>
    <n v="2"/>
    <x v="1"/>
    <x v="4"/>
    <d v="2023-04-11T00:00:00"/>
    <d v="2023-05-04T00:00:00"/>
    <n v="2"/>
    <x v="1"/>
    <n v="6"/>
    <n v="7"/>
    <n v="25342.16"/>
    <n v="6581.89"/>
    <n v="3410.81"/>
  </r>
  <r>
    <s v="3267"/>
    <s v="María Hernández"/>
    <d v="1984-12-31T00:00:00"/>
    <n v="41"/>
    <x v="0"/>
    <x v="4"/>
    <d v="2024-06-26T00:00:00"/>
    <d v="2024-06-30T00:00:00"/>
    <n v="3"/>
    <x v="2"/>
    <n v="6"/>
    <n v="2"/>
    <n v="29561.47"/>
    <n v="285.33999999999997"/>
    <n v="18766.13"/>
  </r>
  <r>
    <s v="3268"/>
    <s v="Luis Martínez"/>
    <d v="2008-01-01T00:00:00"/>
    <n v="18"/>
    <x v="0"/>
    <x v="1"/>
    <d v="2023-07-09T00:00:00"/>
    <d v="2024-01-17T00:00:00"/>
    <n v="7"/>
    <x v="0"/>
    <n v="13"/>
    <n v="2"/>
    <n v="19247.11"/>
    <n v="3548.84"/>
    <n v="6063.74"/>
  </r>
  <r>
    <s v="3269"/>
    <s v="Miguel Rodríguez"/>
    <d v="1953-12-31T00:00:00"/>
    <n v="62"/>
    <x v="1"/>
    <x v="6"/>
    <d v="2024-05-26T00:00:00"/>
    <d v="2025-04-05T00:00:00"/>
    <n v="1"/>
    <x v="0"/>
    <n v="10"/>
    <n v="7"/>
    <n v="2304.4499999999998"/>
    <n v="9150.82"/>
    <n v="277.14"/>
  </r>
  <r>
    <s v="3270"/>
    <s v="Jorge Sánchez"/>
    <d v="1999-01-01T00:00:00"/>
    <n v="66"/>
    <x v="0"/>
    <x v="5"/>
    <d v="2024-10-19T00:00:00"/>
    <d v="2024-05-30T00:00:00"/>
    <n v="4"/>
    <x v="2"/>
    <n v="11"/>
    <n v="8"/>
    <n v="2239.89"/>
    <n v="7522.42"/>
    <n v="3654"/>
  </r>
  <r>
    <s v="3271"/>
    <s v="Ricardo Sánchez"/>
    <d v="1943-01-01T00:00:00"/>
    <n v="83"/>
    <x v="1"/>
    <x v="5"/>
    <d v="2023-03-31T00:00:00"/>
    <d v="2023-01-07T00:00:00"/>
    <n v="1"/>
    <x v="2"/>
    <n v="9"/>
    <n v="9"/>
    <n v="24117.15"/>
    <n v="3602.4"/>
    <n v="8237.32"/>
  </r>
  <r>
    <s v="3272"/>
    <s v="Jorge Martínez"/>
    <d v="1981-12-31T00:00:00"/>
    <n v="44"/>
    <x v="2"/>
    <x v="4"/>
    <d v="2023-01-06T00:00:00"/>
    <d v="2023-11-01T00:00:00"/>
    <n v="34"/>
    <x v="0"/>
    <n v="2"/>
    <n v="3"/>
    <n v="6724.24"/>
    <n v="1973.99"/>
    <n v="1009.31"/>
  </r>
  <r>
    <s v="3273"/>
    <s v="Pedro Morales"/>
    <d v="1956-01-01T00:00:00"/>
    <n v="70"/>
    <x v="0"/>
    <x v="4"/>
    <d v="2023-05-19T00:00:00"/>
    <d v="2024-09-06T00:00:00"/>
    <n v="16"/>
    <x v="0"/>
    <n v="11"/>
    <n v="7"/>
    <n v="1360.14"/>
    <n v="3240.18"/>
    <n v="8131.37"/>
  </r>
  <r>
    <s v="3274"/>
    <s v="Laura Sánchez"/>
    <d v="1951-01-01T00:00:00"/>
    <n v="77"/>
    <x v="1"/>
    <x v="3"/>
    <d v="2023-04-05T00:00:00"/>
    <d v="2023-07-12T00:00:00"/>
    <n v="25"/>
    <x v="0"/>
    <n v="5"/>
    <n v="0"/>
    <n v="13904.38"/>
    <n v="3896.17"/>
    <n v="3977.93"/>
  </r>
  <r>
    <s v="3275"/>
    <s v="Carlos Gómez"/>
    <d v="1964-01-01T00:00:00"/>
    <n v="62"/>
    <x v="1"/>
    <x v="4"/>
    <d v="2024-09-22T00:00:00"/>
    <d v="2024-01-12T00:00:00"/>
    <n v="17"/>
    <x v="0"/>
    <n v="1"/>
    <n v="1"/>
    <n v="9096.7000000000007"/>
    <n v="13009.36"/>
    <n v="280.98"/>
  </r>
  <r>
    <s v="3276"/>
    <s v="Sofía Gómez"/>
    <d v="1953-12-31T00:00:00"/>
    <n v="72"/>
    <x v="1"/>
    <x v="0"/>
    <d v="2024-09-23T00:00:00"/>
    <d v="2024-06-09T00:00:00"/>
    <n v="27"/>
    <x v="1"/>
    <n v="6"/>
    <n v="9"/>
    <n v="17438.55"/>
    <n v="10653.93"/>
    <n v="5910.03"/>
  </r>
  <r>
    <s v="3277"/>
    <s v="Sofía López"/>
    <d v="2008-01-01T00:00:00"/>
    <n v="18"/>
    <x v="1"/>
    <x v="5"/>
    <d v="2024-01-21T00:00:00"/>
    <d v="2023-02-06T00:00:00"/>
    <n v="39"/>
    <x v="0"/>
    <n v="5"/>
    <n v="9"/>
    <n v="17804.61"/>
    <n v="8284.99"/>
    <n v="4448.72"/>
  </r>
  <r>
    <s v="3278"/>
    <s v="Jorge Gómez"/>
    <d v="1980-01-01T00:00:00"/>
    <n v="46"/>
    <x v="1"/>
    <x v="3"/>
    <d v="2023-05-03T00:00:00"/>
    <d v="2023-03-12T00:00:00"/>
    <n v="35"/>
    <x v="0"/>
    <n v="12"/>
    <n v="9"/>
    <n v="20285.78"/>
    <n v="314.12"/>
    <n v="8337.17"/>
  </r>
  <r>
    <s v="3279"/>
    <s v="Miguel Pérez"/>
    <d v="2012-12-31T00:00:00"/>
    <n v="13"/>
    <x v="1"/>
    <x v="0"/>
    <d v="2023-10-12T00:00:00"/>
    <d v="2023-10-17T00:00:00"/>
    <n v="1"/>
    <x v="0"/>
    <n v="3"/>
    <n v="8"/>
    <n v="17081.490000000002"/>
    <n v="12317.95"/>
    <n v="15156.21"/>
  </r>
  <r>
    <s v="3280"/>
    <s v="Ana Cruz"/>
    <d v="1988-12-31T00:00:00"/>
    <n v="37"/>
    <x v="0"/>
    <x v="4"/>
    <d v="2024-01-01T00:00:00"/>
    <d v="2023-04-16T00:00:00"/>
    <n v="0"/>
    <x v="0"/>
    <n v="14"/>
    <n v="1"/>
    <n v="11118"/>
    <n v="8286.9500000000007"/>
    <n v="10146.49"/>
  </r>
  <r>
    <s v="3281"/>
    <s v="Jorge Cruz"/>
    <d v="1973-12-31T00:00:00"/>
    <n v="52"/>
    <x v="1"/>
    <x v="4"/>
    <d v="2024-11-21T00:00:00"/>
    <d v="2024-12-17T00:00:00"/>
    <n v="39"/>
    <x v="1"/>
    <n v="3"/>
    <n v="1"/>
    <n v="221.83"/>
    <n v="9410.11"/>
    <n v="15338.11"/>
  </r>
  <r>
    <s v="3282"/>
    <s v="Ana Cruz"/>
    <d v="1936-01-01T00:00:00"/>
    <n v="60"/>
    <x v="0"/>
    <x v="6"/>
    <d v="2024-05-04T00:00:00"/>
    <d v="2023-11-10T00:00:00"/>
    <n v="36"/>
    <x v="0"/>
    <n v="7"/>
    <n v="7"/>
    <n v="27105.200000000001"/>
    <n v="984.7"/>
    <n v="6667.25"/>
  </r>
  <r>
    <s v="3283"/>
    <s v="Laura Hernández"/>
    <d v="1970-01-01T00:00:00"/>
    <n v="75"/>
    <x v="0"/>
    <x v="3"/>
    <d v="2023-11-21T00:00:00"/>
    <d v="2023-02-25T00:00:00"/>
    <n v="22"/>
    <x v="1"/>
    <n v="4"/>
    <n v="4"/>
    <n v="9471.11"/>
    <n v="12222.75"/>
    <n v="165.01"/>
  </r>
  <r>
    <s v="3284"/>
    <s v="Juan Morales"/>
    <d v="1987-01-01T00:00:00"/>
    <n v="39"/>
    <x v="1"/>
    <x v="0"/>
    <d v="2024-02-11T00:00:00"/>
    <d v="2023-04-18T00:00:00"/>
    <n v="1"/>
    <x v="1"/>
    <n v="13"/>
    <n v="4"/>
    <n v="14968.09"/>
    <n v="12480.42"/>
    <n v="18435.68"/>
  </r>
  <r>
    <s v="3285"/>
    <s v="Elena Hernández"/>
    <d v="1945-12-31T00:00:00"/>
    <n v="80"/>
    <x v="0"/>
    <x v="2"/>
    <d v="2024-06-02T00:00:00"/>
    <d v="2024-10-15T00:00:00"/>
    <n v="36"/>
    <x v="0"/>
    <n v="4"/>
    <n v="5"/>
    <n v="16486.599999999999"/>
    <n v="13250.13"/>
    <n v="6225.76"/>
  </r>
  <r>
    <s v="3286"/>
    <s v="Sofía Gómez"/>
    <d v="1996-12-31T00:00:00"/>
    <n v="29"/>
    <x v="1"/>
    <x v="4"/>
    <d v="2024-09-30T00:00:00"/>
    <d v="2025-01-07T00:00:00"/>
    <n v="12"/>
    <x v="0"/>
    <n v="0"/>
    <n v="7"/>
    <n v="9103.01"/>
    <n v="7921.34"/>
    <n v="10490.24"/>
  </r>
  <r>
    <s v="3287"/>
    <s v="José Gómez"/>
    <d v="2017-12-31T00:00:00"/>
    <n v="8"/>
    <x v="1"/>
    <x v="1"/>
    <d v="2023-03-18T00:00:00"/>
    <d v="2023-11-04T00:00:00"/>
    <n v="0"/>
    <x v="0"/>
    <n v="9"/>
    <n v="7"/>
    <n v="8908.67"/>
    <n v="5910.67"/>
    <n v="9331.2199999999993"/>
  </r>
  <r>
    <s v="3288"/>
    <s v="Ana Sánchez"/>
    <d v="1963-01-01T00:00:00"/>
    <n v="63"/>
    <x v="0"/>
    <x v="1"/>
    <d v="2023-08-22T00:00:00"/>
    <d v="2025-05-10T00:00:00"/>
    <n v="2"/>
    <x v="1"/>
    <n v="14"/>
    <n v="8"/>
    <n v="7456.28"/>
    <n v="1095.69"/>
    <n v="11620.01"/>
  </r>
  <r>
    <s v="3289"/>
    <s v="Elena Ramírez"/>
    <d v="1993-12-31T00:00:00"/>
    <n v="32"/>
    <x v="1"/>
    <x v="4"/>
    <d v="2024-08-08T00:00:00"/>
    <d v="2025-04-01T00:00:00"/>
    <n v="37"/>
    <x v="0"/>
    <n v="3"/>
    <n v="9"/>
    <n v="6922.28"/>
    <n v="2908.28"/>
    <n v="17687.78"/>
  </r>
  <r>
    <s v="3290"/>
    <s v="Carmen Cruz"/>
    <d v="1975-01-01T00:00:00"/>
    <n v="51"/>
    <x v="0"/>
    <x v="2"/>
    <d v="2024-04-28T00:00:00"/>
    <d v="2023-02-06T00:00:00"/>
    <n v="33"/>
    <x v="1"/>
    <n v="10"/>
    <n v="2"/>
    <n v="0"/>
    <n v="3383.53"/>
    <n v="17331.61"/>
  </r>
  <r>
    <s v="3291"/>
    <s v="Luisa Pérez"/>
    <d v="1937-12-31T00:00:00"/>
    <n v="88"/>
    <x v="0"/>
    <x v="5"/>
    <d v="2024-04-08T00:00:00"/>
    <d v="2023-05-14T00:00:00"/>
    <n v="37"/>
    <x v="1"/>
    <n v="2"/>
    <n v="8"/>
    <n v="28716.400000000001"/>
    <n v="940.35"/>
    <n v="19618.71"/>
  </r>
  <r>
    <s v="3292"/>
    <s v="María Hernández"/>
    <d v="2012-12-31T00:00:00"/>
    <n v="13"/>
    <x v="2"/>
    <x v="1"/>
    <d v="2023-09-28T00:00:00"/>
    <d v="2025-06-06T00:00:00"/>
    <n v="35"/>
    <x v="1"/>
    <n v="8"/>
    <n v="2"/>
    <n v="17656.53"/>
    <n v="2315.63"/>
    <n v="10520.22"/>
  </r>
  <r>
    <s v="3293"/>
    <s v="Luisa Rodríguez"/>
    <d v="1952-01-01T00:00:00"/>
    <n v="74"/>
    <x v="0"/>
    <x v="0"/>
    <d v="2024-04-11T00:00:00"/>
    <d v="2023-01-26T00:00:00"/>
    <n v="34"/>
    <x v="1"/>
    <n v="13"/>
    <n v="0"/>
    <n v="2796.04"/>
    <n v="13302.05"/>
    <n v="18441.53"/>
  </r>
  <r>
    <s v="3294"/>
    <s v="Sofía Ramírez"/>
    <d v="1973-12-31T00:00:00"/>
    <n v="52"/>
    <x v="0"/>
    <x v="4"/>
    <d v="2024-04-13T00:00:00"/>
    <d v="2025-04-29T00:00:00"/>
    <n v="24"/>
    <x v="0"/>
    <n v="1"/>
    <n v="4"/>
    <n v="17554.73"/>
    <n v="8181.04"/>
    <n v="9597.25"/>
  </r>
  <r>
    <s v="3295"/>
    <s v="Ricardo Hernández"/>
    <d v="1968-01-01T00:00:00"/>
    <n v="58"/>
    <x v="1"/>
    <x v="4"/>
    <d v="2024-09-23T00:00:00"/>
    <d v="2023-02-07T00:00:00"/>
    <n v="2"/>
    <x v="2"/>
    <n v="7"/>
    <n v="6"/>
    <n v="6583.55"/>
    <n v="11467.37"/>
    <n v="792.52"/>
  </r>
  <r>
    <s v="3296"/>
    <s v="Elena Hernández"/>
    <d v="1948-12-31T00:00:00"/>
    <n v="77"/>
    <x v="1"/>
    <x v="4"/>
    <d v="2024-06-30T00:00:00"/>
    <d v="2023-01-20T00:00:00"/>
    <n v="14"/>
    <x v="0"/>
    <n v="9"/>
    <n v="2"/>
    <n v="0"/>
    <n v="4125.3599999999997"/>
    <n v="2838.52"/>
  </r>
  <r>
    <s v="3297"/>
    <s v="Juan Martínez"/>
    <d v="1932-12-31T00:00:00"/>
    <n v="93"/>
    <x v="0"/>
    <x v="2"/>
    <d v="2024-12-19T00:00:00"/>
    <d v="2023-02-05T00:00:00"/>
    <n v="35"/>
    <x v="0"/>
    <n v="10"/>
    <n v="8"/>
    <n v="23935.63"/>
    <n v="2018.97"/>
    <n v="6613.12"/>
  </r>
  <r>
    <s v="3298"/>
    <s v="Miguel Rodríguez"/>
    <d v="1985-12-31T00:00:00"/>
    <n v="40"/>
    <x v="1"/>
    <x v="5"/>
    <d v="2023-09-27T00:00:00"/>
    <d v="2023-12-30T00:00:00"/>
    <n v="38"/>
    <x v="2"/>
    <n v="5"/>
    <n v="0"/>
    <n v="0"/>
    <n v="5598.81"/>
    <n v="14481.7"/>
  </r>
  <r>
    <s v="3299"/>
    <s v="Luisa Morales"/>
    <d v="1959-01-01T00:00:00"/>
    <n v="67"/>
    <x v="1"/>
    <x v="3"/>
    <d v="2024-08-27T00:00:00"/>
    <d v="2024-02-23T00:00:00"/>
    <n v="9"/>
    <x v="1"/>
    <n v="13"/>
    <n v="5"/>
    <n v="20844.63"/>
    <n v="11894.78"/>
    <n v="1535.57"/>
  </r>
  <r>
    <s v="3300"/>
    <s v="Carlos Martínez"/>
    <d v="1959-01-01T00:00:00"/>
    <n v="67"/>
    <x v="1"/>
    <x v="4"/>
    <d v="2024-01-13T00:00:00"/>
    <d v="2025-04-02T00:00:00"/>
    <n v="39"/>
    <x v="0"/>
    <n v="2"/>
    <n v="5"/>
    <n v="27943.74"/>
    <n v="4459.97"/>
    <n v="7167.19"/>
  </r>
  <r>
    <s v="3301"/>
    <s v="Luisa Rodríguez"/>
    <d v="1935-01-01T00:00:00"/>
    <n v="91"/>
    <x v="0"/>
    <x v="3"/>
    <d v="2023-06-26T00:00:00"/>
    <d v="2024-03-06T00:00:00"/>
    <n v="28"/>
    <x v="2"/>
    <n v="7"/>
    <n v="7"/>
    <n v="27103.33"/>
    <n v="3068.02"/>
    <n v="19645.46"/>
  </r>
  <r>
    <s v="3302"/>
    <s v="Elena Morales"/>
    <d v="2019-01-01T00:00:00"/>
    <n v="7"/>
    <x v="1"/>
    <x v="0"/>
    <d v="2023-10-01T00:00:00"/>
    <d v="2024-06-02T00:00:00"/>
    <n v="30"/>
    <x v="1"/>
    <n v="7"/>
    <n v="2"/>
    <n v="16310.69"/>
    <n v="335.96"/>
    <n v="15692.18"/>
  </r>
  <r>
    <s v="3303"/>
    <s v="María Hernández"/>
    <d v="2024-12-31T00:00:00"/>
    <n v="1"/>
    <x v="0"/>
    <x v="0"/>
    <d v="2024-11-21T00:00:00"/>
    <d v="2024-04-12T00:00:00"/>
    <n v="26"/>
    <x v="0"/>
    <n v="10"/>
    <n v="4"/>
    <n v="27189.32"/>
    <n v="9360.17"/>
    <n v="11397.11"/>
  </r>
  <r>
    <s v="3304"/>
    <s v="Pedro López"/>
    <d v="1940-12-31T00:00:00"/>
    <n v="85"/>
    <x v="1"/>
    <x v="0"/>
    <d v="2024-10-02T00:00:00"/>
    <d v="2025-06-16T00:00:00"/>
    <n v="35"/>
    <x v="2"/>
    <n v="13"/>
    <n v="9"/>
    <n v="0"/>
    <n v="6537.33"/>
    <n v="1141.58"/>
  </r>
  <r>
    <s v="3305"/>
    <s v="Sofía Sánchez"/>
    <d v="1985-12-31T00:00:00"/>
    <n v="40"/>
    <x v="1"/>
    <x v="1"/>
    <d v="2024-09-28T00:00:00"/>
    <d v="2023-07-19T00:00:00"/>
    <n v="0"/>
    <x v="0"/>
    <n v="5"/>
    <n v="4"/>
    <n v="2680.36"/>
    <n v="3881.35"/>
    <n v="193.84"/>
  </r>
  <r>
    <s v="3306"/>
    <s v="Luisa Ramírez"/>
    <d v="1972-01-01T00:00:00"/>
    <n v="54"/>
    <x v="1"/>
    <x v="0"/>
    <d v="2023-01-27T00:00:00"/>
    <d v="2024-06-30T00:00:00"/>
    <n v="35"/>
    <x v="2"/>
    <n v="3"/>
    <n v="7"/>
    <n v="24798.39"/>
    <n v="7796.31"/>
    <n v="2015.49"/>
  </r>
  <r>
    <s v="3307"/>
    <s v="Carlos Hernández"/>
    <d v="2011-01-01T00:00:00"/>
    <n v="15"/>
    <x v="1"/>
    <x v="4"/>
    <d v="2024-07-29T00:00:00"/>
    <d v="2024-07-22T00:00:00"/>
    <n v="38"/>
    <x v="0"/>
    <n v="11"/>
    <n v="6"/>
    <n v="3501.68"/>
    <n v="10509.36"/>
    <n v="6475.31"/>
  </r>
  <r>
    <s v="3308"/>
    <s v="Elena Martínez"/>
    <d v="1933-12-31T00:00:00"/>
    <n v="92"/>
    <x v="0"/>
    <x v="2"/>
    <d v="2023-03-01T00:00:00"/>
    <d v="2025-02-07T00:00:00"/>
    <n v="37"/>
    <x v="0"/>
    <n v="7"/>
    <n v="2"/>
    <n v="9136.7800000000007"/>
    <n v="3712"/>
    <n v="12088.51"/>
  </r>
  <r>
    <s v="3309"/>
    <s v="Juan Rodríguez"/>
    <d v="1964-01-01T00:00:00"/>
    <n v="61"/>
    <x v="1"/>
    <x v="2"/>
    <d v="2023-08-05T00:00:00"/>
    <d v="2023-07-31T00:00:00"/>
    <n v="27"/>
    <x v="0"/>
    <n v="12"/>
    <n v="6"/>
    <n v="11083.68"/>
    <n v="9131.56"/>
    <n v="3869.35"/>
  </r>
  <r>
    <s v="3310"/>
    <s v="Elena Pérez"/>
    <d v="1979-01-01T00:00:00"/>
    <n v="47"/>
    <x v="1"/>
    <x v="5"/>
    <d v="2024-11-11T00:00:00"/>
    <d v="2024-09-01T00:00:00"/>
    <n v="19"/>
    <x v="2"/>
    <n v="11"/>
    <n v="9"/>
    <n v="0"/>
    <n v="3902.29"/>
    <n v="928.14"/>
  </r>
  <r>
    <s v="3311"/>
    <s v="Ana Morales"/>
    <d v="1996-12-31T00:00:00"/>
    <n v="29"/>
    <x v="0"/>
    <x v="2"/>
    <d v="2024-10-22T00:00:00"/>
    <d v="2025-03-05T00:00:00"/>
    <n v="35"/>
    <x v="0"/>
    <n v="5"/>
    <n v="7"/>
    <n v="2047.87"/>
    <n v="14799.91"/>
    <n v="1726.05"/>
  </r>
  <r>
    <s v="3312"/>
    <s v="Carlos López"/>
    <d v="2015-01-01T00:00:00"/>
    <n v="11"/>
    <x v="0"/>
    <x v="1"/>
    <d v="2023-09-27T00:00:00"/>
    <d v="2024-05-16T00:00:00"/>
    <n v="29"/>
    <x v="0"/>
    <n v="7"/>
    <n v="4"/>
    <n v="13070.71"/>
    <n v="10985.85"/>
    <n v="8478.58"/>
  </r>
  <r>
    <s v="3313"/>
    <s v="Sofía Rodríguez"/>
    <d v="1992-01-01T00:00:00"/>
    <n v="34"/>
    <x v="1"/>
    <x v="3"/>
    <d v="2023-04-26T00:00:00"/>
    <d v="2023-08-30T00:00:00"/>
    <n v="7"/>
    <x v="0"/>
    <n v="9"/>
    <n v="4"/>
    <n v="12819.83"/>
    <n v="9039.8700000000008"/>
    <n v="15439.85"/>
  </r>
  <r>
    <s v="3314"/>
    <s v="Jorge Hernández"/>
    <d v="2016-01-01T00:00:00"/>
    <n v="10"/>
    <x v="1"/>
    <x v="5"/>
    <d v="2023-09-02T00:00:00"/>
    <d v="2023-06-20T00:00:00"/>
    <n v="29"/>
    <x v="0"/>
    <n v="1"/>
    <n v="0"/>
    <n v="17255.89"/>
    <n v="2584.96"/>
    <n v="16403.86"/>
  </r>
  <r>
    <s v="3315"/>
    <s v="José Ramírez"/>
    <d v="1963-01-01T00:00:00"/>
    <n v="63"/>
    <x v="2"/>
    <x v="2"/>
    <d v="2024-10-21T00:00:00"/>
    <d v="2025-05-09T00:00:00"/>
    <n v="1"/>
    <x v="0"/>
    <n v="9"/>
    <n v="7"/>
    <n v="10293"/>
    <n v="8795.91"/>
    <n v="5750.15"/>
  </r>
  <r>
    <s v="3316"/>
    <s v="Sofía Ramírez"/>
    <d v="1976-12-31T00:00:00"/>
    <n v="49"/>
    <x v="0"/>
    <x v="0"/>
    <d v="2024-08-26T00:00:00"/>
    <d v="2023-10-22T00:00:00"/>
    <n v="26"/>
    <x v="1"/>
    <n v="7"/>
    <n v="5"/>
    <n v="17103.46"/>
    <n v="12006.84"/>
    <n v="13235.11"/>
  </r>
  <r>
    <s v="3317"/>
    <s v="Ricardo Pérez"/>
    <d v="1941-12-31T00:00:00"/>
    <n v="84"/>
    <x v="1"/>
    <x v="2"/>
    <d v="2023-03-26T00:00:00"/>
    <d v="2025-01-09T00:00:00"/>
    <n v="5"/>
    <x v="2"/>
    <n v="1"/>
    <n v="5"/>
    <n v="29569.78"/>
    <n v="11056.61"/>
    <n v="7793.47"/>
  </r>
  <r>
    <s v="3318"/>
    <s v="Laura Sánchez"/>
    <d v="2005-12-31T00:00:00"/>
    <n v="20"/>
    <x v="1"/>
    <x v="6"/>
    <d v="2024-08-21T00:00:00"/>
    <d v="2023-11-12T00:00:00"/>
    <n v="17"/>
    <x v="0"/>
    <n v="14"/>
    <n v="4"/>
    <n v="1682.25"/>
    <n v="11670.38"/>
    <n v="19447.509999999998"/>
  </r>
  <r>
    <s v="3319"/>
    <s v="Luis Cruz"/>
    <d v="1957-12-31T00:00:00"/>
    <n v="68"/>
    <x v="1"/>
    <x v="5"/>
    <d v="2024-09-23T00:00:00"/>
    <d v="2023-05-08T00:00:00"/>
    <n v="4"/>
    <x v="0"/>
    <n v="3"/>
    <n v="4"/>
    <n v="26176.17"/>
    <n v="4766.99"/>
    <n v="8039.71"/>
  </r>
  <r>
    <s v="3320"/>
    <s v="Miguel Martínez"/>
    <d v="1979-01-01T00:00:00"/>
    <n v="47"/>
    <x v="1"/>
    <x v="4"/>
    <d v="2024-03-25T00:00:00"/>
    <d v="2024-04-13T00:00:00"/>
    <n v="2"/>
    <x v="2"/>
    <n v="11"/>
    <n v="2"/>
    <n v="8913.2000000000007"/>
    <n v="4923.95"/>
    <n v="7857.66"/>
  </r>
  <r>
    <s v="3321"/>
    <s v="Luis Gómez"/>
    <d v="2007-01-01T00:00:00"/>
    <n v="19"/>
    <x v="0"/>
    <x v="4"/>
    <d v="2024-06-19T00:00:00"/>
    <d v="2025-03-03T00:00:00"/>
    <n v="22"/>
    <x v="0"/>
    <n v="11"/>
    <n v="2"/>
    <n v="13704.35"/>
    <n v="8083.26"/>
    <n v="9981.51"/>
  </r>
  <r>
    <s v="3322"/>
    <s v="Jorge Rodríguez"/>
    <d v="1960-01-01T00:00:00"/>
    <n v="66"/>
    <x v="0"/>
    <x v="1"/>
    <d v="2023-03-30T00:00:00"/>
    <d v="2024-01-03T00:00:00"/>
    <n v="23"/>
    <x v="2"/>
    <n v="0"/>
    <n v="1"/>
    <n v="22104.080000000002"/>
    <n v="4179.87"/>
    <n v="412.6"/>
  </r>
  <r>
    <s v="3323"/>
    <s v="Miguel Cruz"/>
    <d v="1983-01-01T00:00:00"/>
    <n v="43"/>
    <x v="1"/>
    <x v="2"/>
    <d v="2024-07-02T00:00:00"/>
    <d v="2023-01-22T00:00:00"/>
    <n v="6"/>
    <x v="2"/>
    <n v="1"/>
    <n v="8"/>
    <n v="27256.11"/>
    <n v="1695.2"/>
    <n v="8300.36"/>
  </r>
  <r>
    <s v="3324"/>
    <s v="Luisa Pérez"/>
    <d v="1993-12-31T00:00:00"/>
    <n v="32"/>
    <x v="0"/>
    <x v="2"/>
    <d v="2024-05-21T00:00:00"/>
    <d v="2023-11-13T00:00:00"/>
    <n v="20"/>
    <x v="0"/>
    <n v="12"/>
    <n v="7"/>
    <n v="223.2"/>
    <n v="6916.83"/>
    <n v="16557.03"/>
  </r>
  <r>
    <s v="3325"/>
    <s v="Carlos Gómez"/>
    <d v="1953-12-31T00:00:00"/>
    <n v="72"/>
    <x v="1"/>
    <x v="1"/>
    <d v="2024-02-12T00:00:00"/>
    <d v="2025-01-28T00:00:00"/>
    <n v="37"/>
    <x v="1"/>
    <n v="1"/>
    <n v="2"/>
    <n v="19696.86"/>
    <n v="28.86"/>
    <n v="12202.85"/>
  </r>
  <r>
    <s v="3326"/>
    <s v="Juan Cruz"/>
    <d v="1965-12-31T00:00:00"/>
    <n v="60"/>
    <x v="1"/>
    <x v="3"/>
    <d v="2023-09-28T00:00:00"/>
    <d v="2023-04-01T00:00:00"/>
    <n v="1"/>
    <x v="1"/>
    <n v="5"/>
    <n v="4"/>
    <n v="1621.35"/>
    <n v="11411.37"/>
    <n v="19385.36"/>
  </r>
  <r>
    <s v="3327"/>
    <s v="Pedro Martínez"/>
    <d v="2017-12-31T00:00:00"/>
    <n v="8"/>
    <x v="1"/>
    <x v="0"/>
    <d v="2024-06-07T00:00:00"/>
    <d v="2024-02-09T00:00:00"/>
    <n v="23"/>
    <x v="2"/>
    <n v="13"/>
    <n v="9"/>
    <n v="15533.19"/>
    <n v="11245.3"/>
    <n v="6445.02"/>
  </r>
  <r>
    <s v="3328"/>
    <s v="Carmen Gómez"/>
    <d v="1963-01-01T00:00:00"/>
    <n v="67"/>
    <x v="1"/>
    <x v="0"/>
    <d v="2024-05-08T00:00:00"/>
    <d v="2024-06-02T00:00:00"/>
    <n v="11"/>
    <x v="0"/>
    <n v="1"/>
    <n v="4"/>
    <n v="22367.68"/>
    <n v="8278.74"/>
    <n v="3146.64"/>
  </r>
  <r>
    <s v="3329"/>
    <s v="Juan Ramírez"/>
    <d v="1992-01-01T00:00:00"/>
    <n v="34"/>
    <x v="0"/>
    <x v="3"/>
    <d v="2024-08-29T00:00:00"/>
    <d v="2024-03-27T00:00:00"/>
    <n v="28"/>
    <x v="0"/>
    <n v="8"/>
    <n v="7"/>
    <n v="4670.79"/>
    <n v="11214.28"/>
    <n v="14986.59"/>
  </r>
  <r>
    <s v="3330"/>
    <s v="Elena Gómez"/>
    <d v="1945-12-31T00:00:00"/>
    <n v="80"/>
    <x v="1"/>
    <x v="3"/>
    <d v="2024-03-23T00:00:00"/>
    <d v="2025-02-17T00:00:00"/>
    <n v="23"/>
    <x v="0"/>
    <n v="8"/>
    <n v="5"/>
    <n v="22795.439999999999"/>
    <n v="9367.92"/>
    <n v="777.51"/>
  </r>
  <r>
    <s v="3331"/>
    <s v="Juan Gómez"/>
    <d v="1939-01-01T00:00:00"/>
    <n v="87"/>
    <x v="1"/>
    <x v="6"/>
    <d v="2024-06-26T00:00:00"/>
    <d v="2024-09-01T00:00:00"/>
    <n v="16"/>
    <x v="2"/>
    <n v="9"/>
    <n v="6"/>
    <n v="8940.9"/>
    <n v="10461.83"/>
    <n v="3107.07"/>
  </r>
  <r>
    <s v="3332"/>
    <s v="Luisa Ramírez"/>
    <d v="1961-12-31T00:00:00"/>
    <n v="64"/>
    <x v="0"/>
    <x v="1"/>
    <d v="2023-12-16T00:00:00"/>
    <d v="2023-05-31T00:00:00"/>
    <n v="35"/>
    <x v="0"/>
    <n v="7"/>
    <n v="4"/>
    <n v="18121.810000000001"/>
    <n v="969.84"/>
    <n v="10089.69"/>
  </r>
  <r>
    <s v="3333"/>
    <s v="Miguel Hernández"/>
    <d v="1952-01-01T00:00:00"/>
    <n v="7"/>
    <x v="0"/>
    <x v="5"/>
    <d v="2023-11-24T00:00:00"/>
    <d v="2024-03-22T00:00:00"/>
    <n v="2"/>
    <x v="0"/>
    <n v="1"/>
    <n v="0"/>
    <n v="19570.25"/>
    <n v="13218.98"/>
    <n v="15046.13"/>
  </r>
  <r>
    <s v="3334"/>
    <s v="Luis Rodríguez"/>
    <d v="1981-12-31T00:00:00"/>
    <n v="44"/>
    <x v="0"/>
    <x v="0"/>
    <d v="2023-10-13T00:00:00"/>
    <d v="2023-03-22T00:00:00"/>
    <n v="3"/>
    <x v="2"/>
    <n v="9"/>
    <n v="7"/>
    <n v="19293.91"/>
    <n v="9658.9699999999993"/>
    <n v="11979.5"/>
  </r>
  <r>
    <s v="3335"/>
    <s v="Ricardo Rodríguez"/>
    <d v="1940-01-01T00:00:00"/>
    <n v="86"/>
    <x v="0"/>
    <x v="3"/>
    <d v="2023-02-04T00:00:00"/>
    <d v="2023-01-18T00:00:00"/>
    <n v="32"/>
    <x v="1"/>
    <n v="4"/>
    <n v="3"/>
    <n v="65.62"/>
    <n v="9159.4599999999991"/>
    <n v="19897.34"/>
  </r>
  <r>
    <s v="3336"/>
    <s v="Carmen Cruz"/>
    <d v="1980-01-01T00:00:00"/>
    <n v="46"/>
    <x v="1"/>
    <x v="3"/>
    <d v="2024-06-16T00:00:00"/>
    <d v="2023-05-19T00:00:00"/>
    <n v="13"/>
    <x v="1"/>
    <n v="13"/>
    <n v="4"/>
    <n v="4144.3599999999997"/>
    <n v="5808.61"/>
    <n v="13064.3"/>
  </r>
  <r>
    <s v="3337"/>
    <s v="Ana Cruz"/>
    <d v="1987-01-01T00:00:00"/>
    <n v="39"/>
    <x v="0"/>
    <x v="1"/>
    <d v="2024-09-14T00:00:00"/>
    <d v="2024-10-14T00:00:00"/>
    <n v="28"/>
    <x v="0"/>
    <n v="0"/>
    <n v="0"/>
    <n v="25614.18"/>
    <n v="422.03"/>
    <n v="14471.84"/>
  </r>
  <r>
    <s v="3338"/>
    <s v="Ana Gómez"/>
    <d v="1951-01-01T00:00:00"/>
    <n v="75"/>
    <x v="0"/>
    <x v="4"/>
    <d v="2024-05-02T00:00:00"/>
    <d v="2025-05-01T00:00:00"/>
    <n v="15"/>
    <x v="2"/>
    <n v="6"/>
    <n v="2"/>
    <n v="28165.19"/>
    <n v="13521.93"/>
    <n v="19877.71"/>
  </r>
  <r>
    <s v="3339"/>
    <s v="Laura López"/>
    <d v="1959-01-01T00:00:00"/>
    <n v="53"/>
    <x v="0"/>
    <x v="5"/>
    <d v="2024-05-01T00:00:00"/>
    <d v="2024-05-23T00:00:00"/>
    <n v="11"/>
    <x v="0"/>
    <n v="8"/>
    <n v="1"/>
    <n v="16691.87"/>
    <n v="14784.98"/>
    <n v="11808.5"/>
  </r>
  <r>
    <s v="3340"/>
    <s v="José Hernández"/>
    <d v="1951-01-01T00:00:00"/>
    <n v="75"/>
    <x v="0"/>
    <x v="3"/>
    <d v="2023-05-25T00:00:00"/>
    <d v="2024-07-06T00:00:00"/>
    <n v="22"/>
    <x v="0"/>
    <n v="13"/>
    <n v="1"/>
    <n v="17707.63"/>
    <n v="12116.8"/>
    <n v="14263.83"/>
  </r>
  <r>
    <s v="3341"/>
    <s v="Luis Pérez"/>
    <d v="1980-12-31T00:00:00"/>
    <n v="45"/>
    <x v="1"/>
    <x v="4"/>
    <d v="2024-06-07T00:00:00"/>
    <d v="2024-11-11T00:00:00"/>
    <n v="12"/>
    <x v="1"/>
    <n v="3"/>
    <n v="0"/>
    <n v="22528.43"/>
    <n v="13725.59"/>
    <n v="5896.38"/>
  </r>
  <r>
    <s v="3342"/>
    <s v="Carlos Martínez"/>
    <d v="1980-01-01T00:00:00"/>
    <n v="46"/>
    <x v="0"/>
    <x v="6"/>
    <d v="2023-05-26T00:00:00"/>
    <d v="2023-03-16T00:00:00"/>
    <n v="23"/>
    <x v="0"/>
    <n v="0"/>
    <n v="5"/>
    <n v="11886.21"/>
    <n v="1814.36"/>
    <n v="10688.79"/>
  </r>
  <r>
    <s v="3343"/>
    <s v="José Pérez"/>
    <d v="2012-01-01T00:00:00"/>
    <n v="52"/>
    <x v="1"/>
    <x v="5"/>
    <d v="2024-05-17T00:00:00"/>
    <d v="2023-03-16T00:00:00"/>
    <n v="33"/>
    <x v="2"/>
    <n v="12"/>
    <n v="7"/>
    <n v="9504.5"/>
    <n v="1930.13"/>
    <n v="18230.240000000002"/>
  </r>
  <r>
    <s v="3344"/>
    <s v="Ricardo Cruz"/>
    <d v="2008-01-01T00:00:00"/>
    <n v="18"/>
    <x v="1"/>
    <x v="4"/>
    <d v="2024-08-26T00:00:00"/>
    <d v="2023-02-20T00:00:00"/>
    <n v="8"/>
    <x v="1"/>
    <n v="12"/>
    <n v="2"/>
    <n v="22930.15"/>
    <n v="13194.09"/>
    <n v="17051.77"/>
  </r>
  <r>
    <s v="3345"/>
    <s v="Ricardo Rodríguez"/>
    <d v="2000-12-31T00:00:00"/>
    <n v="25"/>
    <x v="1"/>
    <x v="6"/>
    <d v="2024-09-18T00:00:00"/>
    <d v="2023-01-11T00:00:00"/>
    <n v="34"/>
    <x v="0"/>
    <n v="5"/>
    <n v="0"/>
    <n v="362.71"/>
    <n v="862.59"/>
    <n v="6056.39"/>
  </r>
  <r>
    <s v="3346"/>
    <s v="Miguel Rodríguez"/>
    <d v="1975-01-01T00:00:00"/>
    <n v="51"/>
    <x v="0"/>
    <x v="2"/>
    <d v="2024-06-10T00:00:00"/>
    <d v="2023-04-14T00:00:00"/>
    <n v="38"/>
    <x v="1"/>
    <n v="1"/>
    <n v="9"/>
    <n v="26503.06"/>
    <n v="1398.05"/>
    <n v="7080.08"/>
  </r>
  <r>
    <s v="3347"/>
    <s v="Carmen Gómez"/>
    <d v="1933-12-31T00:00:00"/>
    <n v="92"/>
    <x v="1"/>
    <x v="0"/>
    <d v="2023-09-29T00:00:00"/>
    <d v="2025-05-12T00:00:00"/>
    <n v="34"/>
    <x v="2"/>
    <n v="12"/>
    <n v="1"/>
    <n v="12947.53"/>
    <n v="12252.71"/>
    <n v="16912.11"/>
  </r>
  <r>
    <s v="3348"/>
    <s v="Pedro Rodríguez"/>
    <d v="2004-12-31T00:00:00"/>
    <n v="21"/>
    <x v="0"/>
    <x v="3"/>
    <d v="2024-06-17T00:00:00"/>
    <d v="2024-01-24T00:00:00"/>
    <n v="4"/>
    <x v="0"/>
    <n v="3"/>
    <n v="2"/>
    <n v="14878.97"/>
    <n v="8354.6200000000008"/>
    <n v="5621.95"/>
  </r>
  <r>
    <s v="3349"/>
    <s v="José Gómez"/>
    <d v="2005-12-31T00:00:00"/>
    <n v="20"/>
    <x v="1"/>
    <x v="4"/>
    <d v="2024-09-21T00:00:00"/>
    <d v="2024-01-21T00:00:00"/>
    <n v="15"/>
    <x v="0"/>
    <n v="9"/>
    <n v="5"/>
    <n v="18845.48"/>
    <n v="5875.91"/>
    <n v="17741.12"/>
  </r>
  <r>
    <s v="3350"/>
    <s v="Luisa López"/>
    <d v="1976-01-01T00:00:00"/>
    <n v="50"/>
    <x v="0"/>
    <x v="5"/>
    <d v="2023-04-05T00:00:00"/>
    <d v="2023-10-27T00:00:00"/>
    <n v="17"/>
    <x v="0"/>
    <n v="7"/>
    <n v="2"/>
    <n v="7868.77"/>
    <n v="8301.73"/>
    <n v="15452.77"/>
  </r>
  <r>
    <s v="3351"/>
    <s v="Sofía Morales"/>
    <d v="1988-12-31T00:00:00"/>
    <n v="37"/>
    <x v="1"/>
    <x v="6"/>
    <d v="2024-03-22T00:00:00"/>
    <d v="2023-12-06T00:00:00"/>
    <n v="1"/>
    <x v="2"/>
    <n v="14"/>
    <n v="8"/>
    <n v="17720.32"/>
    <n v="13181.22"/>
    <n v="2962.37"/>
  </r>
  <r>
    <s v="3352"/>
    <s v="Sofía Ramírez"/>
    <d v="2007-01-01T00:00:00"/>
    <n v="19"/>
    <x v="0"/>
    <x v="0"/>
    <d v="2024-02-19T00:00:00"/>
    <d v="2024-01-25T00:00:00"/>
    <n v="23"/>
    <x v="1"/>
    <n v="1"/>
    <n v="0"/>
    <n v="20637.689999999999"/>
    <n v="11356.98"/>
    <n v="14367.28"/>
  </r>
  <r>
    <s v="3353"/>
    <s v="Laura Sánchez"/>
    <d v="1992-01-01T00:00:00"/>
    <n v="28"/>
    <x v="0"/>
    <x v="0"/>
    <d v="2023-09-14T00:00:00"/>
    <d v="2024-04-19T00:00:00"/>
    <n v="20"/>
    <x v="1"/>
    <n v="13"/>
    <n v="6"/>
    <n v="3096.91"/>
    <n v="10374.11"/>
    <n v="16669.97"/>
  </r>
  <r>
    <s v="3354"/>
    <s v="Carlos Martínez"/>
    <d v="1976-01-01T00:00:00"/>
    <n v="50"/>
    <x v="1"/>
    <x v="3"/>
    <d v="2023-09-19T00:00:00"/>
    <d v="2024-09-08T00:00:00"/>
    <n v="29"/>
    <x v="1"/>
    <n v="0"/>
    <n v="9"/>
    <n v="15374.36"/>
    <n v="14653.28"/>
    <n v="2801.29"/>
  </r>
  <r>
    <s v="3355"/>
    <s v="María Morales"/>
    <d v="2023-01-01T00:00:00"/>
    <n v="3"/>
    <x v="1"/>
    <x v="4"/>
    <d v="2023-03-28T00:00:00"/>
    <d v="2025-03-13T00:00:00"/>
    <n v="10"/>
    <x v="0"/>
    <n v="14"/>
    <n v="7"/>
    <n v="9547.31"/>
    <n v="7819.6"/>
    <n v="9092.7099999999991"/>
  </r>
  <r>
    <s v="3356"/>
    <s v="Luisa Sánchez"/>
    <d v="1972-01-01T00:00:00"/>
    <n v="54"/>
    <x v="0"/>
    <x v="0"/>
    <d v="2024-03-11T00:00:00"/>
    <d v="2025-03-03T00:00:00"/>
    <n v="10"/>
    <x v="0"/>
    <n v="3"/>
    <n v="8"/>
    <n v="16499.41"/>
    <n v="94.86"/>
    <n v="17238.830000000002"/>
  </r>
  <r>
    <s v="3357"/>
    <s v="Sofía Ramírez"/>
    <d v="1956-01-01T00:00:00"/>
    <n v="70"/>
    <x v="0"/>
    <x v="3"/>
    <d v="2024-07-23T00:00:00"/>
    <d v="2023-05-23T00:00:00"/>
    <n v="14"/>
    <x v="1"/>
    <n v="12"/>
    <n v="7"/>
    <n v="149.47999999999999"/>
    <n v="6435.49"/>
    <n v="3892.87"/>
  </r>
  <r>
    <s v="3358"/>
    <s v="Miguel Morales"/>
    <d v="1935-01-01T00:00:00"/>
    <n v="91"/>
    <x v="0"/>
    <x v="4"/>
    <d v="2023-04-18T00:00:00"/>
    <d v="2025-03-20T00:00:00"/>
    <n v="22"/>
    <x v="0"/>
    <n v="2"/>
    <n v="4"/>
    <n v="22151.75"/>
    <n v="1448.58"/>
    <n v="8926.69"/>
  </r>
  <r>
    <s v="3359"/>
    <s v="Elena Sánchez"/>
    <d v="1999-01-01T00:00:00"/>
    <n v="27"/>
    <x v="1"/>
    <x v="4"/>
    <d v="2023-01-19T00:00:00"/>
    <d v="2023-06-20T00:00:00"/>
    <n v="19"/>
    <x v="0"/>
    <n v="1"/>
    <n v="0"/>
    <n v="4636.34"/>
    <n v="1746.81"/>
    <n v="12216.68"/>
  </r>
  <r>
    <s v="3360"/>
    <s v="Jorge Cruz"/>
    <d v="2023-01-01T00:00:00"/>
    <n v="3"/>
    <x v="0"/>
    <x v="2"/>
    <d v="2023-12-31T00:00:00"/>
    <d v="2023-01-14T00:00:00"/>
    <n v="24"/>
    <x v="2"/>
    <n v="12"/>
    <n v="0"/>
    <n v="20526.3"/>
    <n v="3823.51"/>
    <n v="1854.77"/>
  </r>
  <r>
    <s v="3361"/>
    <s v="José Morales"/>
    <d v="2004-12-31T00:00:00"/>
    <n v="21"/>
    <x v="1"/>
    <x v="3"/>
    <d v="2024-10-14T00:00:00"/>
    <d v="2024-10-31T00:00:00"/>
    <n v="14"/>
    <x v="2"/>
    <n v="14"/>
    <n v="7"/>
    <n v="0"/>
    <n v="5720.51"/>
    <n v="4162.32"/>
  </r>
  <r>
    <s v="3362"/>
    <s v="María Gómez"/>
    <d v="1960-01-01T00:00:00"/>
    <n v="75"/>
    <x v="0"/>
    <x v="1"/>
    <d v="2024-01-14T00:00:00"/>
    <d v="2024-03-25T00:00:00"/>
    <n v="23"/>
    <x v="0"/>
    <n v="5"/>
    <n v="6"/>
    <n v="22454.67"/>
    <n v="7223.99"/>
    <n v="9281.2800000000007"/>
  </r>
  <r>
    <s v="3363"/>
    <s v="Ana Cruz"/>
    <d v="1981-12-31T00:00:00"/>
    <n v="44"/>
    <x v="0"/>
    <x v="6"/>
    <d v="2023-06-09T00:00:00"/>
    <d v="2023-06-24T00:00:00"/>
    <n v="35"/>
    <x v="0"/>
    <n v="7"/>
    <n v="4"/>
    <n v="24433.81"/>
    <n v="2547.3000000000002"/>
    <n v="7411"/>
  </r>
  <r>
    <s v="3364"/>
    <s v="Luisa Gómez"/>
    <d v="1960-01-01T00:00:00"/>
    <n v="66"/>
    <x v="1"/>
    <x v="1"/>
    <d v="2023-04-10T00:00:00"/>
    <d v="2024-11-05T00:00:00"/>
    <n v="11"/>
    <x v="0"/>
    <n v="1"/>
    <n v="9"/>
    <n v="8886.23"/>
    <n v="4675.8100000000004"/>
    <n v="6428"/>
  </r>
  <r>
    <s v="3365"/>
    <s v="Pedro Ramírez"/>
    <d v="1940-12-31T00:00:00"/>
    <n v="49"/>
    <x v="0"/>
    <x v="4"/>
    <d v="2023-09-22T00:00:00"/>
    <d v="2023-05-13T00:00:00"/>
    <n v="11"/>
    <x v="1"/>
    <n v="6"/>
    <n v="2"/>
    <n v="28996.95"/>
    <n v="4148.09"/>
    <n v="429.98"/>
  </r>
  <r>
    <s v="3366"/>
    <s v="Sofía Sánchez"/>
    <d v="1960-12-31T00:00:00"/>
    <n v="65"/>
    <x v="0"/>
    <x v="4"/>
    <d v="2023-02-18T00:00:00"/>
    <d v="2024-06-24T00:00:00"/>
    <n v="9"/>
    <x v="2"/>
    <n v="7"/>
    <n v="8"/>
    <n v="226.45"/>
    <n v="5478.71"/>
    <n v="18551.490000000002"/>
  </r>
  <r>
    <s v="3367"/>
    <s v="Carlos Pérez"/>
    <d v="1939-01-01T00:00:00"/>
    <n v="87"/>
    <x v="0"/>
    <x v="0"/>
    <d v="2024-11-07T00:00:00"/>
    <d v="2024-08-18T00:00:00"/>
    <n v="2"/>
    <x v="2"/>
    <n v="0"/>
    <n v="3"/>
    <n v="14176.6"/>
    <n v="1619.86"/>
    <n v="17415.599999999999"/>
  </r>
  <r>
    <s v="3368"/>
    <s v="María Gómez"/>
    <d v="1992-12-31T00:00:00"/>
    <n v="33"/>
    <x v="1"/>
    <x v="0"/>
    <d v="2024-02-19T00:00:00"/>
    <d v="2025-06-16T00:00:00"/>
    <n v="34"/>
    <x v="2"/>
    <n v="11"/>
    <n v="5"/>
    <n v="7743.69"/>
    <n v="5960.11"/>
    <n v="7791.65"/>
  </r>
  <r>
    <s v="3369"/>
    <s v="Ana Hernández"/>
    <d v="1936-01-01T00:00:00"/>
    <n v="90"/>
    <x v="1"/>
    <x v="0"/>
    <d v="2023-02-28T00:00:00"/>
    <d v="2025-05-25T00:00:00"/>
    <n v="1"/>
    <x v="0"/>
    <n v="1"/>
    <n v="3"/>
    <n v="22066.35"/>
    <n v="8315.26"/>
    <n v="3545.64"/>
  </r>
  <r>
    <s v="3370"/>
    <s v="Ana Cruz"/>
    <d v="1972-01-01T00:00:00"/>
    <n v="19"/>
    <x v="0"/>
    <x v="4"/>
    <d v="2023-07-02T00:00:00"/>
    <d v="2023-09-27T00:00:00"/>
    <n v="26"/>
    <x v="0"/>
    <n v="4"/>
    <n v="8"/>
    <n v="24059.31"/>
    <n v="1454.22"/>
    <n v="1287.82"/>
  </r>
  <r>
    <s v="3371"/>
    <s v="Ana Hernández"/>
    <d v="2025-12-31T00:00:00"/>
    <n v="0"/>
    <x v="1"/>
    <x v="3"/>
    <d v="2024-10-20T00:00:00"/>
    <d v="2023-09-09T00:00:00"/>
    <n v="22"/>
    <x v="1"/>
    <n v="12"/>
    <n v="3"/>
    <n v="24582.97"/>
    <n v="7811.55"/>
    <n v="2376.08"/>
  </r>
  <r>
    <s v="3372"/>
    <s v="José Morales"/>
    <d v="1955-01-01T00:00:00"/>
    <n v="71"/>
    <x v="1"/>
    <x v="5"/>
    <d v="2024-03-22T00:00:00"/>
    <d v="2024-01-06T00:00:00"/>
    <n v="1"/>
    <x v="0"/>
    <n v="5"/>
    <n v="7"/>
    <n v="8555.57"/>
    <n v="11338.69"/>
    <n v="12000.65"/>
  </r>
  <r>
    <s v="3373"/>
    <s v="Carmen Morales"/>
    <d v="1940-01-01T00:00:00"/>
    <n v="86"/>
    <x v="2"/>
    <x v="3"/>
    <d v="2023-10-28T00:00:00"/>
    <d v="2024-09-10T00:00:00"/>
    <n v="13"/>
    <x v="1"/>
    <n v="0"/>
    <n v="2"/>
    <n v="7861.29"/>
    <n v="123.6"/>
    <n v="14651.74"/>
  </r>
  <r>
    <s v="3374"/>
    <s v="Juan Sánchez"/>
    <d v="1988-12-31T00:00:00"/>
    <n v="37"/>
    <x v="1"/>
    <x v="6"/>
    <d v="2024-08-30T00:00:00"/>
    <d v="2025-02-12T00:00:00"/>
    <n v="1"/>
    <x v="0"/>
    <n v="3"/>
    <n v="7"/>
    <n v="20146.54"/>
    <n v="712.92"/>
    <n v="3044.08"/>
  </r>
  <r>
    <s v="3375"/>
    <s v="Jorge Rodríguez"/>
    <d v="2020-12-31T00:00:00"/>
    <n v="5"/>
    <x v="2"/>
    <x v="3"/>
    <d v="2024-07-08T00:00:00"/>
    <d v="2025-05-15T00:00:00"/>
    <n v="20"/>
    <x v="2"/>
    <n v="14"/>
    <n v="2"/>
    <n v="27809.62"/>
    <n v="6997.11"/>
    <n v="2167.09"/>
  </r>
  <r>
    <s v="3376"/>
    <s v="Laura Hernández"/>
    <d v="1940-12-31T00:00:00"/>
    <n v="85"/>
    <x v="1"/>
    <x v="0"/>
    <d v="2023-12-20T00:00:00"/>
    <d v="2024-06-10T00:00:00"/>
    <n v="1"/>
    <x v="1"/>
    <n v="3"/>
    <n v="4"/>
    <n v="7253.26"/>
    <n v="13091.66"/>
    <n v="13790.69"/>
  </r>
  <r>
    <s v="3377"/>
    <s v="Carlos Gómez"/>
    <d v="2001-12-31T00:00:00"/>
    <n v="24"/>
    <x v="1"/>
    <x v="2"/>
    <d v="2023-08-01T00:00:00"/>
    <d v="2024-08-15T00:00:00"/>
    <n v="17"/>
    <x v="0"/>
    <n v="5"/>
    <n v="0"/>
    <n v="27273.29"/>
    <n v="14966.83"/>
    <n v="10292.15"/>
  </r>
  <r>
    <s v="3378"/>
    <s v="Laura Martínez"/>
    <d v="1944-12-31T00:00:00"/>
    <n v="81"/>
    <x v="0"/>
    <x v="6"/>
    <d v="2023-07-08T00:00:00"/>
    <d v="2025-06-07T00:00:00"/>
    <n v="14"/>
    <x v="0"/>
    <n v="10"/>
    <n v="5"/>
    <n v="17539.57"/>
    <n v="1400.91"/>
    <n v="7373.92"/>
  </r>
  <r>
    <s v="3379"/>
    <s v="Ricardo Pérez"/>
    <d v="2009-12-31T00:00:00"/>
    <n v="16"/>
    <x v="0"/>
    <x v="1"/>
    <d v="2024-10-04T00:00:00"/>
    <d v="2024-05-21T00:00:00"/>
    <n v="3"/>
    <x v="0"/>
    <n v="9"/>
    <n v="1"/>
    <n v="22007.11"/>
    <n v="275.13"/>
    <n v="14472.08"/>
  </r>
  <r>
    <s v="3380"/>
    <s v="Sofía Ramírez"/>
    <d v="1965-12-31T00:00:00"/>
    <n v="60"/>
    <x v="0"/>
    <x v="2"/>
    <d v="2023-12-13T00:00:00"/>
    <d v="2024-11-03T00:00:00"/>
    <n v="15"/>
    <x v="2"/>
    <n v="1"/>
    <n v="2"/>
    <n v="12916.71"/>
    <n v="3431.55"/>
    <n v="9059.11"/>
  </r>
  <r>
    <s v="3381"/>
    <s v="Carlos López"/>
    <d v="2015-01-01T00:00:00"/>
    <n v="11"/>
    <x v="0"/>
    <x v="6"/>
    <d v="2023-05-17T00:00:00"/>
    <d v="2023-06-28T00:00:00"/>
    <n v="17"/>
    <x v="0"/>
    <n v="8"/>
    <n v="0"/>
    <n v="24109.15"/>
    <n v="7012.05"/>
    <n v="9248.94"/>
  </r>
  <r>
    <s v="3382"/>
    <s v="Elena Hernández"/>
    <d v="2020-12-31T00:00:00"/>
    <n v="5"/>
    <x v="0"/>
    <x v="6"/>
    <d v="2023-01-30T00:00:00"/>
    <d v="2024-10-29T00:00:00"/>
    <n v="36"/>
    <x v="1"/>
    <n v="6"/>
    <n v="5"/>
    <n v="29100.03"/>
    <n v="8576.94"/>
    <n v="216.4"/>
  </r>
  <r>
    <s v="3383"/>
    <s v="Carlos Ramírez"/>
    <d v="1936-12-31T00:00:00"/>
    <n v="89"/>
    <x v="1"/>
    <x v="4"/>
    <d v="2023-05-26T00:00:00"/>
    <d v="2024-07-01T00:00:00"/>
    <n v="38"/>
    <x v="0"/>
    <n v="3"/>
    <n v="4"/>
    <n v="4702.5600000000004"/>
    <n v="14602.27"/>
    <n v="6251.79"/>
  </r>
  <r>
    <s v="3384"/>
    <s v="Elena Hernández"/>
    <d v="2000-01-01T00:00:00"/>
    <n v="26"/>
    <x v="1"/>
    <x v="0"/>
    <d v="2024-04-12T00:00:00"/>
    <d v="2023-09-17T00:00:00"/>
    <n v="31"/>
    <x v="0"/>
    <n v="10"/>
    <n v="9"/>
    <n v="11259.56"/>
    <n v="13326.96"/>
    <n v="1.2"/>
  </r>
  <r>
    <s v="3385"/>
    <s v="Sofía Martínez"/>
    <d v="2019-01-01T00:00:00"/>
    <n v="7"/>
    <x v="1"/>
    <x v="4"/>
    <d v="2024-09-08T00:00:00"/>
    <d v="2023-09-18T00:00:00"/>
    <n v="37"/>
    <x v="0"/>
    <n v="1"/>
    <n v="1"/>
    <n v="25804.93"/>
    <n v="8431.48"/>
    <n v="18469.330000000002"/>
  </r>
  <r>
    <s v="3386"/>
    <s v="Ana Rodríguez"/>
    <d v="1944-01-01T00:00:00"/>
    <n v="82"/>
    <x v="0"/>
    <x v="1"/>
    <d v="2024-05-17T00:00:00"/>
    <d v="2023-05-16T00:00:00"/>
    <n v="21"/>
    <x v="0"/>
    <n v="11"/>
    <n v="7"/>
    <n v="4888.5200000000004"/>
    <n v="5425.71"/>
    <n v="5808.18"/>
  </r>
  <r>
    <s v="3387"/>
    <s v="Miguel Pérez"/>
    <d v="1961-12-31T00:00:00"/>
    <n v="64"/>
    <x v="1"/>
    <x v="3"/>
    <d v="2023-07-10T00:00:00"/>
    <d v="2024-04-06T00:00:00"/>
    <n v="15"/>
    <x v="1"/>
    <n v="14"/>
    <n v="8"/>
    <n v="12095.39"/>
    <n v="4819.46"/>
    <n v="3528.45"/>
  </r>
  <r>
    <s v="3388"/>
    <s v="Carlos Rodríguez"/>
    <d v="1969-12-31T00:00:00"/>
    <n v="56"/>
    <x v="1"/>
    <x v="4"/>
    <d v="2024-04-15T00:00:00"/>
    <d v="2024-05-04T00:00:00"/>
    <n v="27"/>
    <x v="0"/>
    <n v="11"/>
    <n v="2"/>
    <n v="4566.51"/>
    <n v="8589.3700000000008"/>
    <n v="1727.04"/>
  </r>
  <r>
    <s v="3389"/>
    <s v="Luisa Ramírez"/>
    <d v="1933-12-31T00:00:00"/>
    <n v="92"/>
    <x v="1"/>
    <x v="1"/>
    <d v="2024-11-20T00:00:00"/>
    <d v="2024-10-05T00:00:00"/>
    <n v="2"/>
    <x v="0"/>
    <n v="7"/>
    <n v="5"/>
    <n v="19275.23"/>
    <n v="10820.29"/>
    <n v="837.38"/>
  </r>
  <r>
    <s v="3390"/>
    <s v="Elena Pérez"/>
    <d v="1987-01-01T00:00:00"/>
    <n v="45"/>
    <x v="1"/>
    <x v="0"/>
    <d v="2023-12-11T00:00:00"/>
    <d v="2023-03-23T00:00:00"/>
    <n v="20"/>
    <x v="0"/>
    <n v="9"/>
    <n v="5"/>
    <n v="6768.73"/>
    <n v="7224.99"/>
    <n v="17708.78"/>
  </r>
  <r>
    <s v="3391"/>
    <s v="Carlos Sánchez"/>
    <d v="2012-12-31T00:00:00"/>
    <n v="13"/>
    <x v="1"/>
    <x v="0"/>
    <d v="2023-01-01T00:00:00"/>
    <d v="2024-01-03T00:00:00"/>
    <n v="26"/>
    <x v="1"/>
    <n v="1"/>
    <n v="9"/>
    <n v="11114.46"/>
    <n v="4565.9799999999996"/>
    <n v="3287.11"/>
  </r>
  <r>
    <s v="3392"/>
    <s v="Sofía Ramírez"/>
    <d v="1992-01-01T00:00:00"/>
    <n v="34"/>
    <x v="0"/>
    <x v="4"/>
    <d v="2023-04-20T00:00:00"/>
    <d v="2023-03-01T00:00:00"/>
    <n v="38"/>
    <x v="2"/>
    <n v="5"/>
    <n v="5"/>
    <n v="14479.58"/>
    <n v="9197.48"/>
    <n v="12311.45"/>
  </r>
  <r>
    <s v="3393"/>
    <s v="Luisa Sánchez"/>
    <d v="1979-01-01T00:00:00"/>
    <n v="47"/>
    <x v="1"/>
    <x v="0"/>
    <d v="2023-03-05T00:00:00"/>
    <d v="2023-03-16T00:00:00"/>
    <n v="38"/>
    <x v="2"/>
    <n v="8"/>
    <n v="7"/>
    <n v="8562.43"/>
    <n v="8369.1299999999992"/>
    <n v="12989.48"/>
  </r>
  <r>
    <s v="3394"/>
    <s v="José Rodríguez"/>
    <d v="1976-01-01T00:00:00"/>
    <n v="83"/>
    <x v="0"/>
    <x v="2"/>
    <d v="2023-02-22T00:00:00"/>
    <d v="2023-08-28T00:00:00"/>
    <n v="29"/>
    <x v="0"/>
    <n v="10"/>
    <n v="4"/>
    <n v="20236.98"/>
    <n v="6410.53"/>
    <n v="6282.64"/>
  </r>
  <r>
    <s v="3395"/>
    <s v="Laura Pérez"/>
    <d v="1971-01-01T00:00:00"/>
    <n v="55"/>
    <x v="0"/>
    <x v="1"/>
    <d v="2023-09-19T00:00:00"/>
    <d v="2023-05-10T00:00:00"/>
    <n v="1"/>
    <x v="2"/>
    <n v="5"/>
    <n v="9"/>
    <n v="2893.11"/>
    <n v="11225.34"/>
    <n v="16648.25"/>
  </r>
  <r>
    <s v="3396"/>
    <s v="Luisa Pérez"/>
    <d v="1977-12-31T00:00:00"/>
    <n v="48"/>
    <x v="1"/>
    <x v="1"/>
    <d v="2024-06-12T00:00:00"/>
    <d v="2024-02-17T00:00:00"/>
    <n v="33"/>
    <x v="1"/>
    <n v="12"/>
    <n v="9"/>
    <n v="26333.919999999998"/>
    <n v="4233.32"/>
    <n v="4202.01"/>
  </r>
  <r>
    <s v="3397"/>
    <s v="Juan Cruz"/>
    <d v="2013-12-31T00:00:00"/>
    <n v="12"/>
    <x v="0"/>
    <x v="6"/>
    <d v="2023-10-29T00:00:00"/>
    <d v="2023-11-12T00:00:00"/>
    <n v="14"/>
    <x v="0"/>
    <n v="8"/>
    <n v="7"/>
    <n v="14180.88"/>
    <n v="7273.88"/>
    <n v="1336.31"/>
  </r>
  <r>
    <s v="3398"/>
    <s v="Elena Morales"/>
    <d v="1965-12-31T00:00:00"/>
    <n v="60"/>
    <x v="1"/>
    <x v="5"/>
    <d v="2023-08-22T00:00:00"/>
    <d v="2024-01-10T00:00:00"/>
    <n v="1"/>
    <x v="1"/>
    <n v="10"/>
    <n v="2"/>
    <n v="16970.830000000002"/>
    <n v="14105.09"/>
    <n v="1277.69"/>
  </r>
  <r>
    <s v="3399"/>
    <s v="Luisa López"/>
    <d v="1999-01-01T00:00:00"/>
    <n v="50"/>
    <x v="0"/>
    <x v="3"/>
    <d v="2023-03-14T00:00:00"/>
    <d v="2024-03-13T00:00:00"/>
    <n v="1"/>
    <x v="2"/>
    <n v="6"/>
    <n v="6"/>
    <n v="18474.96"/>
    <n v="10842.43"/>
    <n v="5938.58"/>
  </r>
  <r>
    <s v="3400"/>
    <s v="José Pérez"/>
    <d v="1980-12-31T00:00:00"/>
    <n v="45"/>
    <x v="2"/>
    <x v="0"/>
    <d v="2023-12-23T00:00:00"/>
    <d v="2023-05-19T00:00:00"/>
    <n v="31"/>
    <x v="2"/>
    <n v="13"/>
    <n v="0"/>
    <n v="1320.3"/>
    <n v="5819.58"/>
    <n v="9211.25"/>
  </r>
  <r>
    <s v="3401"/>
    <s v="Luisa Hernández"/>
    <d v="1964-12-31T00:00:00"/>
    <n v="61"/>
    <x v="0"/>
    <x v="1"/>
    <d v="2024-08-25T00:00:00"/>
    <d v="2024-03-31T00:00:00"/>
    <n v="2"/>
    <x v="0"/>
    <n v="8"/>
    <n v="3"/>
    <n v="22588.22"/>
    <n v="8192.67"/>
    <n v="12550.2"/>
  </r>
  <r>
    <s v="3402"/>
    <s v="Ana Ramírez"/>
    <d v="2019-01-01T00:00:00"/>
    <n v="7"/>
    <x v="0"/>
    <x v="1"/>
    <d v="2024-04-28T00:00:00"/>
    <d v="2024-09-07T00:00:00"/>
    <n v="20"/>
    <x v="2"/>
    <n v="14"/>
    <n v="4"/>
    <n v="28351.23"/>
    <n v="6082.23"/>
    <n v="14547.04"/>
  </r>
  <r>
    <s v="3403"/>
    <s v="Carlos Pérez"/>
    <d v="1984-01-01T00:00:00"/>
    <n v="42"/>
    <x v="1"/>
    <x v="6"/>
    <d v="2023-01-06T00:00:00"/>
    <d v="2025-06-18T00:00:00"/>
    <n v="3"/>
    <x v="0"/>
    <n v="6"/>
    <n v="6"/>
    <n v="15357.19"/>
    <n v="1688.22"/>
    <n v="3491.69"/>
  </r>
  <r>
    <s v="3404"/>
    <s v="Ana Rodríguez"/>
    <d v="2007-01-01T00:00:00"/>
    <n v="19"/>
    <x v="1"/>
    <x v="3"/>
    <d v="2024-12-10T00:00:00"/>
    <d v="2023-01-10T00:00:00"/>
    <n v="13"/>
    <x v="0"/>
    <n v="2"/>
    <n v="5"/>
    <n v="11421.5"/>
    <n v="5024.0600000000004"/>
    <n v="13646.85"/>
  </r>
  <r>
    <s v="3405"/>
    <s v="Juan Gómez"/>
    <d v="1936-12-31T00:00:00"/>
    <n v="89"/>
    <x v="0"/>
    <x v="5"/>
    <d v="2024-12-08T00:00:00"/>
    <d v="2023-08-21T00:00:00"/>
    <n v="1"/>
    <x v="0"/>
    <n v="14"/>
    <n v="5"/>
    <n v="23436.27"/>
    <n v="12906.65"/>
    <n v="3569.06"/>
  </r>
  <r>
    <s v="3406"/>
    <s v="Carmen Martínez"/>
    <d v="1988-01-01T00:00:00"/>
    <n v="38"/>
    <x v="1"/>
    <x v="5"/>
    <d v="2023-05-17T00:00:00"/>
    <d v="2024-09-03T00:00:00"/>
    <n v="9"/>
    <x v="0"/>
    <n v="12"/>
    <n v="1"/>
    <n v="21470.77"/>
    <n v="6918.03"/>
    <n v="19943.580000000002"/>
  </r>
  <r>
    <s v="3407"/>
    <s v="Laura Sánchez"/>
    <d v="1941-12-31T00:00:00"/>
    <n v="84"/>
    <x v="1"/>
    <x v="0"/>
    <d v="2024-02-08T00:00:00"/>
    <d v="2024-12-31T00:00:00"/>
    <n v="24"/>
    <x v="0"/>
    <n v="1"/>
    <n v="1"/>
    <n v="19354.759999999998"/>
    <n v="8769.56"/>
    <n v="19177.27"/>
  </r>
  <r>
    <s v="3408"/>
    <s v="Juan López"/>
    <d v="1977-12-31T00:00:00"/>
    <n v="48"/>
    <x v="1"/>
    <x v="5"/>
    <d v="2024-09-19T00:00:00"/>
    <d v="2024-02-02T00:00:00"/>
    <n v="16"/>
    <x v="1"/>
    <n v="2"/>
    <n v="1"/>
    <n v="28943.22"/>
    <n v="2721.7"/>
    <n v="1958.39"/>
  </r>
  <r>
    <s v="3409"/>
    <s v="Ricardo López"/>
    <d v="1963-01-01T00:00:00"/>
    <n v="63"/>
    <x v="0"/>
    <x v="5"/>
    <d v="2024-07-08T00:00:00"/>
    <d v="2025-01-19T00:00:00"/>
    <n v="25"/>
    <x v="2"/>
    <n v="4"/>
    <n v="9"/>
    <n v="0"/>
    <n v="5343.47"/>
    <n v="13067.91"/>
  </r>
  <r>
    <s v="3410"/>
    <s v="Luis Ramírez"/>
    <d v="1964-12-31T00:00:00"/>
    <n v="61"/>
    <x v="1"/>
    <x v="4"/>
    <d v="2024-07-23T00:00:00"/>
    <d v="2025-01-04T00:00:00"/>
    <n v="32"/>
    <x v="2"/>
    <n v="14"/>
    <n v="7"/>
    <n v="7075.46"/>
    <n v="13938.07"/>
    <n v="18055.66"/>
  </r>
  <r>
    <s v="3411"/>
    <s v="Elena Sánchez"/>
    <d v="1972-12-31T00:00:00"/>
    <n v="53"/>
    <x v="0"/>
    <x v="3"/>
    <d v="2023-07-25T00:00:00"/>
    <d v="2024-11-11T00:00:00"/>
    <n v="1"/>
    <x v="0"/>
    <n v="8"/>
    <n v="6"/>
    <n v="255.36"/>
    <n v="4713.68"/>
    <n v="1522.12"/>
  </r>
  <r>
    <s v="3412"/>
    <s v="Laura Hernández"/>
    <d v="2017-12-31T00:00:00"/>
    <n v="8"/>
    <x v="1"/>
    <x v="3"/>
    <d v="2024-02-14T00:00:00"/>
    <d v="2025-06-01T00:00:00"/>
    <n v="4"/>
    <x v="0"/>
    <n v="9"/>
    <n v="0"/>
    <n v="13330.59"/>
    <n v="3758.42"/>
    <n v="2392.0300000000002"/>
  </r>
  <r>
    <s v="3413"/>
    <s v="Juan Ramírez"/>
    <d v="1939-01-01T00:00:00"/>
    <n v="87"/>
    <x v="1"/>
    <x v="4"/>
    <d v="2024-08-28T00:00:00"/>
    <d v="2024-07-28T00:00:00"/>
    <n v="34"/>
    <x v="0"/>
    <n v="11"/>
    <n v="8"/>
    <n v="19395.87"/>
    <n v="838.5"/>
    <n v="6874.65"/>
  </r>
  <r>
    <s v="3414"/>
    <s v="Carlos Hernández"/>
    <d v="1989-12-31T00:00:00"/>
    <n v="36"/>
    <x v="0"/>
    <x v="0"/>
    <d v="2023-02-05T00:00:00"/>
    <d v="2023-11-15T00:00:00"/>
    <n v="22"/>
    <x v="0"/>
    <n v="4"/>
    <n v="7"/>
    <n v="4750.24"/>
    <n v="1458.46"/>
    <n v="1824.14"/>
  </r>
  <r>
    <s v="3415"/>
    <s v="Laura Sánchez"/>
    <d v="1977-12-31T00:00:00"/>
    <n v="48"/>
    <x v="1"/>
    <x v="1"/>
    <d v="2023-08-18T00:00:00"/>
    <d v="2024-05-22T00:00:00"/>
    <n v="38"/>
    <x v="0"/>
    <n v="4"/>
    <n v="8"/>
    <n v="285.79000000000002"/>
    <n v="8771.84"/>
    <n v="17700.400000000001"/>
  </r>
  <r>
    <s v="3416"/>
    <s v="Luisa Morales"/>
    <d v="1985-12-31T00:00:00"/>
    <n v="40"/>
    <x v="0"/>
    <x v="6"/>
    <d v="2023-08-15T00:00:00"/>
    <d v="2024-06-06T00:00:00"/>
    <n v="14"/>
    <x v="1"/>
    <n v="12"/>
    <n v="3"/>
    <n v="0"/>
    <n v="9900.49"/>
    <n v="17498.45"/>
  </r>
  <r>
    <s v="3417"/>
    <s v="José Cruz"/>
    <d v="2009-12-31T00:00:00"/>
    <n v="16"/>
    <x v="1"/>
    <x v="0"/>
    <d v="2024-11-25T00:00:00"/>
    <d v="2025-01-16T00:00:00"/>
    <n v="38"/>
    <x v="2"/>
    <n v="10"/>
    <n v="4"/>
    <n v="8709.4"/>
    <n v="9623.7099999999991"/>
    <n v="18969.12"/>
  </r>
  <r>
    <s v="3418"/>
    <s v="Sofía Pérez"/>
    <d v="1939-01-01T00:00:00"/>
    <n v="87"/>
    <x v="1"/>
    <x v="2"/>
    <d v="2023-09-19T00:00:00"/>
    <d v="2023-03-29T00:00:00"/>
    <n v="11"/>
    <x v="0"/>
    <n v="5"/>
    <n v="4"/>
    <n v="13714.51"/>
    <n v="8097.44"/>
    <n v="4020.34"/>
  </r>
  <r>
    <s v="3419"/>
    <s v="Juan Pérez"/>
    <d v="2005-12-31T00:00:00"/>
    <n v="20"/>
    <x v="1"/>
    <x v="5"/>
    <d v="2023-05-11T00:00:00"/>
    <d v="2025-02-18T00:00:00"/>
    <n v="34"/>
    <x v="1"/>
    <n v="10"/>
    <n v="8"/>
    <n v="2277.66"/>
    <n v="7364.57"/>
    <n v="811.56"/>
  </r>
  <r>
    <s v="3420"/>
    <s v="Pedro Morales"/>
    <d v="1976-01-01T00:00:00"/>
    <n v="50"/>
    <x v="0"/>
    <x v="4"/>
    <d v="2024-07-30T00:00:00"/>
    <d v="2024-12-17T00:00:00"/>
    <n v="1"/>
    <x v="2"/>
    <n v="9"/>
    <n v="7"/>
    <n v="0"/>
    <n v="1082.1099999999999"/>
    <n v="8837.02"/>
  </r>
  <r>
    <s v="3421"/>
    <s v="Luisa Rodríguez"/>
    <d v="1968-01-01T00:00:00"/>
    <n v="58"/>
    <x v="0"/>
    <x v="6"/>
    <d v="2024-03-23T00:00:00"/>
    <d v="2023-11-15T00:00:00"/>
    <n v="21"/>
    <x v="1"/>
    <n v="1"/>
    <n v="9"/>
    <n v="12425.09"/>
    <n v="12610.43"/>
    <n v="17599.12"/>
  </r>
  <r>
    <s v="3422"/>
    <s v="Elena Gómez"/>
    <d v="1988-01-01T00:00:00"/>
    <n v="86"/>
    <x v="0"/>
    <x v="1"/>
    <d v="2023-07-05T00:00:00"/>
    <d v="2023-11-30T00:00:00"/>
    <n v="12"/>
    <x v="0"/>
    <n v="14"/>
    <n v="5"/>
    <n v="0"/>
    <n v="7696.21"/>
    <n v="12732.78"/>
  </r>
  <r>
    <s v="3423"/>
    <s v="Ana Rodríguez"/>
    <d v="1972-01-01T00:00:00"/>
    <n v="54"/>
    <x v="1"/>
    <x v="1"/>
    <d v="2024-09-20T00:00:00"/>
    <d v="2023-12-27T00:00:00"/>
    <n v="30"/>
    <x v="1"/>
    <n v="8"/>
    <n v="9"/>
    <n v="25896.45"/>
    <n v="1978.72"/>
    <n v="19966.169999999998"/>
  </r>
  <r>
    <s v="3424"/>
    <s v="Luisa Morales"/>
    <d v="1985-12-31T00:00:00"/>
    <n v="40"/>
    <x v="0"/>
    <x v="3"/>
    <d v="2023-07-05T00:00:00"/>
    <d v="2023-08-30T00:00:00"/>
    <n v="9"/>
    <x v="1"/>
    <n v="1"/>
    <n v="9"/>
    <n v="5264.56"/>
    <n v="2037.74"/>
    <n v="18104.3"/>
  </r>
  <r>
    <s v="3425"/>
    <s v="Laura Sánchez"/>
    <d v="1988-01-01T00:00:00"/>
    <n v="38"/>
    <x v="0"/>
    <x v="2"/>
    <d v="2023-10-01T00:00:00"/>
    <d v="2023-02-26T00:00:00"/>
    <n v="16"/>
    <x v="0"/>
    <n v="14"/>
    <n v="0"/>
    <n v="16459.900000000001"/>
    <n v="7694.35"/>
    <n v="7794.28"/>
  </r>
  <r>
    <s v="3426"/>
    <s v="José Rodríguez"/>
    <d v="2013-12-31T00:00:00"/>
    <n v="12"/>
    <x v="0"/>
    <x v="1"/>
    <d v="2024-10-24T00:00:00"/>
    <d v="2023-04-21T00:00:00"/>
    <n v="2"/>
    <x v="0"/>
    <n v="5"/>
    <n v="6"/>
    <n v="21803.06"/>
    <n v="3668.65"/>
    <n v="694.61"/>
  </r>
  <r>
    <s v="3427"/>
    <s v="José Gómez"/>
    <d v="1963-01-01T00:00:00"/>
    <n v="63"/>
    <x v="0"/>
    <x v="2"/>
    <d v="2023-12-18T00:00:00"/>
    <d v="2023-02-19T00:00:00"/>
    <n v="2"/>
    <x v="0"/>
    <n v="10"/>
    <n v="8"/>
    <n v="8401.44"/>
    <n v="13829.47"/>
    <n v="3.94"/>
  </r>
  <r>
    <s v="3428"/>
    <s v="Laura Ramírez"/>
    <d v="1970-01-01T00:00:00"/>
    <n v="10"/>
    <x v="0"/>
    <x v="5"/>
    <d v="2024-02-17T00:00:00"/>
    <d v="2025-01-25T00:00:00"/>
    <n v="6"/>
    <x v="0"/>
    <n v="2"/>
    <n v="3"/>
    <n v="11530.21"/>
    <n v="7484.23"/>
    <n v="12848.54"/>
  </r>
  <r>
    <s v="3429"/>
    <s v="Ricardo Morales"/>
    <d v="2008-01-01T00:00:00"/>
    <n v="18"/>
    <x v="1"/>
    <x v="3"/>
    <d v="2023-05-31T00:00:00"/>
    <d v="2023-01-17T00:00:00"/>
    <n v="36"/>
    <x v="2"/>
    <n v="4"/>
    <n v="3"/>
    <n v="29538.880000000001"/>
    <n v="14676.28"/>
    <n v="18306.900000000001"/>
  </r>
  <r>
    <s v="3430"/>
    <s v="Ricardo Ramírez"/>
    <d v="2016-01-01T00:00:00"/>
    <n v="10"/>
    <x v="0"/>
    <x v="6"/>
    <d v="2024-01-19T00:00:00"/>
    <d v="2023-03-15T00:00:00"/>
    <n v="31"/>
    <x v="0"/>
    <n v="4"/>
    <n v="4"/>
    <n v="22671.83"/>
    <n v="11012.38"/>
    <n v="8829.0300000000007"/>
  </r>
  <r>
    <s v="3431"/>
    <s v="Ana Sánchez"/>
    <d v="1949-12-31T00:00:00"/>
    <n v="76"/>
    <x v="1"/>
    <x v="3"/>
    <d v="2023-02-05T00:00:00"/>
    <d v="2025-06-03T00:00:00"/>
    <n v="26"/>
    <x v="0"/>
    <n v="7"/>
    <n v="7"/>
    <n v="12833.99"/>
    <n v="12160.48"/>
    <n v="17473.27"/>
  </r>
  <r>
    <s v="3432"/>
    <s v="Ana Ramírez"/>
    <d v="1980-12-31T00:00:00"/>
    <n v="45"/>
    <x v="0"/>
    <x v="5"/>
    <d v="2023-11-22T00:00:00"/>
    <d v="2023-07-22T00:00:00"/>
    <n v="1"/>
    <x v="2"/>
    <n v="0"/>
    <n v="4"/>
    <n v="15789.49"/>
    <n v="5833.18"/>
    <n v="11291.49"/>
  </r>
  <r>
    <s v="3433"/>
    <s v="Ana Martínez"/>
    <d v="1979-01-01T00:00:00"/>
    <n v="44"/>
    <x v="1"/>
    <x v="4"/>
    <d v="2024-04-09T00:00:00"/>
    <d v="2023-04-04T00:00:00"/>
    <n v="16"/>
    <x v="1"/>
    <n v="2"/>
    <n v="3"/>
    <n v="18586.36"/>
    <n v="2010.31"/>
    <n v="1870.2"/>
  </r>
  <r>
    <s v="3434"/>
    <s v="Luisa Morales"/>
    <d v="2025-12-31T00:00:00"/>
    <n v="0"/>
    <x v="1"/>
    <x v="1"/>
    <d v="2024-04-10T00:00:00"/>
    <d v="2024-10-11T00:00:00"/>
    <n v="25"/>
    <x v="1"/>
    <n v="2"/>
    <n v="7"/>
    <n v="14714.64"/>
    <n v="10345.44"/>
    <n v="15946.14"/>
  </r>
  <r>
    <s v="3435"/>
    <s v="Carlos Morales"/>
    <d v="1987-01-01T00:00:00"/>
    <n v="39"/>
    <x v="1"/>
    <x v="2"/>
    <d v="2023-04-05T00:00:00"/>
    <d v="2023-02-03T00:00:00"/>
    <n v="32"/>
    <x v="1"/>
    <n v="5"/>
    <n v="4"/>
    <n v="12054.41"/>
    <n v="6106.07"/>
    <n v="9801.14"/>
  </r>
  <r>
    <s v="3436"/>
    <s v="Luis Rodríguez"/>
    <d v="2008-01-01T00:00:00"/>
    <n v="18"/>
    <x v="1"/>
    <x v="4"/>
    <d v="2023-05-14T00:00:00"/>
    <d v="2024-08-23T00:00:00"/>
    <n v="37"/>
    <x v="0"/>
    <n v="14"/>
    <n v="7"/>
    <n v="10460.17"/>
    <n v="14233.23"/>
    <n v="926.38"/>
  </r>
  <r>
    <s v="3437"/>
    <s v="Luis Rodríguez"/>
    <d v="1951-01-01T00:00:00"/>
    <n v="75"/>
    <x v="1"/>
    <x v="5"/>
    <d v="2023-06-11T00:00:00"/>
    <d v="2024-02-24T00:00:00"/>
    <n v="19"/>
    <x v="2"/>
    <n v="1"/>
    <n v="0"/>
    <n v="4653.9399999999996"/>
    <n v="2904.48"/>
    <n v="16273.53"/>
  </r>
  <r>
    <s v="3438"/>
    <s v="Carmen Morales"/>
    <d v="1955-01-01T00:00:00"/>
    <n v="71"/>
    <x v="0"/>
    <x v="1"/>
    <d v="2024-07-09T00:00:00"/>
    <d v="2023-07-23T00:00:00"/>
    <n v="1"/>
    <x v="1"/>
    <n v="3"/>
    <n v="2"/>
    <n v="29195.439999999999"/>
    <n v="9397.5499999999993"/>
    <n v="15128.85"/>
  </r>
  <r>
    <s v="3439"/>
    <s v="Carmen Ramírez"/>
    <d v="1955-01-01T00:00:00"/>
    <n v="71"/>
    <x v="0"/>
    <x v="0"/>
    <d v="2023-10-27T00:00:00"/>
    <d v="2024-07-05T00:00:00"/>
    <n v="5"/>
    <x v="0"/>
    <n v="12"/>
    <n v="6"/>
    <n v="2288.09"/>
    <n v="12990.92"/>
    <n v="9091.4699999999993"/>
  </r>
  <r>
    <s v="3440"/>
    <s v="Elena Pérez"/>
    <d v="1965-12-31T00:00:00"/>
    <n v="60"/>
    <x v="0"/>
    <x v="2"/>
    <d v="2023-12-22T00:00:00"/>
    <d v="2024-09-18T00:00:00"/>
    <n v="2"/>
    <x v="0"/>
    <n v="9"/>
    <n v="0"/>
    <n v="17831.18"/>
    <n v="6042.44"/>
    <n v="291.23"/>
  </r>
  <r>
    <s v="3441"/>
    <s v="Sofía Cruz"/>
    <d v="2015-01-01T00:00:00"/>
    <n v="11"/>
    <x v="0"/>
    <x v="5"/>
    <d v="2023-08-28T00:00:00"/>
    <d v="2025-04-25T00:00:00"/>
    <n v="33"/>
    <x v="0"/>
    <n v="2"/>
    <n v="4"/>
    <n v="28767.87"/>
    <n v="14305.01"/>
    <n v="6873.43"/>
  </r>
  <r>
    <s v="3442"/>
    <s v="Luis Cruz"/>
    <d v="1965-12-31T00:00:00"/>
    <n v="60"/>
    <x v="1"/>
    <x v="6"/>
    <d v="2024-07-17T00:00:00"/>
    <d v="2025-01-29T00:00:00"/>
    <n v="4"/>
    <x v="2"/>
    <n v="0"/>
    <n v="5"/>
    <n v="10935.41"/>
    <n v="1149.25"/>
    <n v="8642.51"/>
  </r>
  <r>
    <s v="3443"/>
    <s v="Miguel Hernández"/>
    <d v="1993-12-31T00:00:00"/>
    <n v="32"/>
    <x v="0"/>
    <x v="6"/>
    <d v="2024-08-08T00:00:00"/>
    <d v="2025-05-05T00:00:00"/>
    <n v="22"/>
    <x v="2"/>
    <n v="14"/>
    <n v="0"/>
    <n v="7198.85"/>
    <n v="8803.89"/>
    <n v="3222.83"/>
  </r>
  <r>
    <s v="3444"/>
    <s v="Laura Martínez"/>
    <d v="1981-12-31T00:00:00"/>
    <n v="44"/>
    <x v="1"/>
    <x v="1"/>
    <d v="2023-06-16T00:00:00"/>
    <d v="2025-06-01T00:00:00"/>
    <n v="26"/>
    <x v="0"/>
    <n v="3"/>
    <n v="6"/>
    <n v="28643.45"/>
    <n v="11660.8"/>
    <n v="3134.19"/>
  </r>
  <r>
    <s v="3445"/>
    <s v="Elena Rodríguez"/>
    <d v="1936-12-31T00:00:00"/>
    <n v="89"/>
    <x v="0"/>
    <x v="1"/>
    <d v="2023-05-20T00:00:00"/>
    <d v="2024-12-21T00:00:00"/>
    <n v="2"/>
    <x v="0"/>
    <n v="7"/>
    <n v="8"/>
    <n v="23953.05"/>
    <n v="3027.1"/>
    <n v="3256.31"/>
  </r>
  <r>
    <s v="3446"/>
    <s v="Carmen Sánchez"/>
    <d v="1935-01-01T00:00:00"/>
    <n v="91"/>
    <x v="1"/>
    <x v="6"/>
    <d v="2023-05-19T00:00:00"/>
    <d v="2023-11-09T00:00:00"/>
    <n v="15"/>
    <x v="0"/>
    <n v="13"/>
    <n v="8"/>
    <n v="0"/>
    <n v="867.86"/>
    <n v="7348.6"/>
  </r>
  <r>
    <s v="3447"/>
    <s v="Ana Morales"/>
    <d v="1957-12-31T00:00:00"/>
    <n v="68"/>
    <x v="1"/>
    <x v="0"/>
    <d v="2023-08-23T00:00:00"/>
    <d v="2024-04-14T00:00:00"/>
    <n v="1"/>
    <x v="1"/>
    <n v="6"/>
    <n v="2"/>
    <n v="18165.650000000001"/>
    <n v="1198.46"/>
    <n v="16332.64"/>
  </r>
  <r>
    <s v="3448"/>
    <s v="Elena Rodríguez"/>
    <d v="2019-01-01T00:00:00"/>
    <n v="7"/>
    <x v="1"/>
    <x v="3"/>
    <d v="2023-01-03T00:00:00"/>
    <d v="2024-01-30T00:00:00"/>
    <n v="17"/>
    <x v="1"/>
    <n v="14"/>
    <n v="3"/>
    <n v="10483.85"/>
    <n v="4788.4399999999996"/>
    <n v="15163.09"/>
  </r>
  <r>
    <s v="3449"/>
    <s v="Elena Hernández"/>
    <d v="2001-12-31T00:00:00"/>
    <n v="24"/>
    <x v="1"/>
    <x v="6"/>
    <d v="2023-09-13T00:00:00"/>
    <d v="2025-03-20T00:00:00"/>
    <n v="5"/>
    <x v="1"/>
    <n v="7"/>
    <n v="0"/>
    <n v="19060.240000000002"/>
    <n v="3347.58"/>
    <n v="103.3"/>
  </r>
  <r>
    <s v="3450"/>
    <s v="Pedro Cruz"/>
    <d v="1936-01-01T00:00:00"/>
    <n v="90"/>
    <x v="1"/>
    <x v="1"/>
    <d v="2024-01-06T00:00:00"/>
    <d v="2025-05-22T00:00:00"/>
    <n v="24"/>
    <x v="1"/>
    <n v="5"/>
    <n v="3"/>
    <n v="21613.279999999999"/>
    <n v="3358.35"/>
    <n v="93.82"/>
  </r>
  <r>
    <s v="3451"/>
    <s v="Ricardo Hernández"/>
    <d v="1980-12-31T00:00:00"/>
    <n v="45"/>
    <x v="1"/>
    <x v="1"/>
    <d v="2023-10-05T00:00:00"/>
    <d v="2023-07-31T00:00:00"/>
    <n v="36"/>
    <x v="1"/>
    <n v="8"/>
    <n v="4"/>
    <n v="467.79"/>
    <n v="6877.81"/>
    <n v="1461.7"/>
  </r>
  <r>
    <s v="3452"/>
    <s v="Luis Gómez"/>
    <d v="1940-01-01T00:00:00"/>
    <n v="86"/>
    <x v="0"/>
    <x v="0"/>
    <d v="2024-05-30T00:00:00"/>
    <d v="2025-05-17T00:00:00"/>
    <n v="32"/>
    <x v="2"/>
    <n v="5"/>
    <n v="6"/>
    <n v="3089.55"/>
    <n v="1274.01"/>
    <n v="9278.2900000000009"/>
  </r>
  <r>
    <s v="3453"/>
    <s v="María Cruz"/>
    <d v="1996-12-31T00:00:00"/>
    <n v="29"/>
    <x v="0"/>
    <x v="6"/>
    <d v="2023-07-31T00:00:00"/>
    <d v="2024-07-25T00:00:00"/>
    <n v="22"/>
    <x v="2"/>
    <n v="12"/>
    <n v="4"/>
    <n v="0"/>
    <n v="14932.51"/>
    <n v="17766.53"/>
  </r>
  <r>
    <s v="3454"/>
    <s v="María Gómez"/>
    <d v="1980-01-01T00:00:00"/>
    <n v="46"/>
    <x v="1"/>
    <x v="0"/>
    <d v="2023-08-04T00:00:00"/>
    <d v="2023-06-06T00:00:00"/>
    <n v="11"/>
    <x v="0"/>
    <n v="12"/>
    <n v="7"/>
    <n v="9355.42"/>
    <n v="10437.11"/>
    <n v="3563.37"/>
  </r>
  <r>
    <s v="3455"/>
    <s v="Carlos Rodríguez"/>
    <d v="1940-01-01T00:00:00"/>
    <n v="86"/>
    <x v="1"/>
    <x v="6"/>
    <d v="2023-09-27T00:00:00"/>
    <d v="2024-09-26T00:00:00"/>
    <n v="37"/>
    <x v="0"/>
    <n v="11"/>
    <n v="6"/>
    <n v="26965.74"/>
    <n v="454.4"/>
    <n v="9483.6"/>
  </r>
  <r>
    <s v="3456"/>
    <s v="Ana Ramírez"/>
    <d v="1977-12-31T00:00:00"/>
    <n v="48"/>
    <x v="0"/>
    <x v="3"/>
    <d v="2024-04-20T00:00:00"/>
    <d v="2024-09-24T00:00:00"/>
    <n v="28"/>
    <x v="2"/>
    <n v="0"/>
    <n v="0"/>
    <n v="20377.41"/>
    <n v="10378.56"/>
    <n v="719.02"/>
  </r>
  <r>
    <s v="3457"/>
    <s v="Sofía Gómez"/>
    <d v="1980-01-01T00:00:00"/>
    <n v="46"/>
    <x v="1"/>
    <x v="5"/>
    <d v="2024-06-11T00:00:00"/>
    <d v="2025-03-20T00:00:00"/>
    <n v="2"/>
    <x v="0"/>
    <n v="10"/>
    <n v="1"/>
    <n v="10891.89"/>
    <n v="11877.42"/>
    <n v="308.56"/>
  </r>
  <r>
    <s v="3458"/>
    <s v="Ana Cruz"/>
    <d v="1943-01-01T00:00:00"/>
    <n v="83"/>
    <x v="0"/>
    <x v="6"/>
    <d v="2023-03-05T00:00:00"/>
    <d v="2023-11-19T00:00:00"/>
    <n v="14"/>
    <x v="0"/>
    <n v="11"/>
    <n v="6"/>
    <n v="24180.67"/>
    <n v="2861.43"/>
    <n v="50.39"/>
  </r>
  <r>
    <s v="3459"/>
    <s v="Ricardo Gómez"/>
    <d v="1944-12-31T00:00:00"/>
    <n v="81"/>
    <x v="1"/>
    <x v="5"/>
    <d v="2024-04-04T00:00:00"/>
    <d v="2024-03-11T00:00:00"/>
    <n v="7"/>
    <x v="0"/>
    <n v="1"/>
    <n v="2"/>
    <n v="9357.44"/>
    <n v="12604.15"/>
    <n v="14707.29"/>
  </r>
  <r>
    <s v="3460"/>
    <s v="Miguel Pérez"/>
    <d v="2008-12-31T00:00:00"/>
    <n v="17"/>
    <x v="0"/>
    <x v="6"/>
    <d v="2023-01-16T00:00:00"/>
    <d v="2024-07-28T00:00:00"/>
    <n v="13"/>
    <x v="0"/>
    <n v="9"/>
    <n v="1"/>
    <n v="29718.06"/>
    <n v="9176.48"/>
    <n v="378.88"/>
  </r>
  <r>
    <s v="3461"/>
    <s v="Miguel Sánchez"/>
    <d v="1960-12-31T00:00:00"/>
    <n v="8"/>
    <x v="0"/>
    <x v="3"/>
    <d v="2024-07-17T00:00:00"/>
    <d v="2024-11-01T00:00:00"/>
    <n v="1"/>
    <x v="0"/>
    <n v="8"/>
    <n v="8"/>
    <n v="23339.4"/>
    <n v="12312.84"/>
    <n v="5403.69"/>
  </r>
  <r>
    <s v="3462"/>
    <s v="Sofía Ramírez"/>
    <d v="1959-01-01T00:00:00"/>
    <n v="67"/>
    <x v="0"/>
    <x v="4"/>
    <d v="2023-01-19T00:00:00"/>
    <d v="2023-02-10T00:00:00"/>
    <n v="2"/>
    <x v="1"/>
    <n v="6"/>
    <n v="9"/>
    <n v="24155.9"/>
    <n v="10750.4"/>
    <n v="12865.46"/>
  </r>
  <r>
    <s v="3463"/>
    <s v="Pedro López"/>
    <d v="1932-12-31T00:00:00"/>
    <n v="93"/>
    <x v="0"/>
    <x v="1"/>
    <d v="2023-11-21T00:00:00"/>
    <d v="2025-01-24T00:00:00"/>
    <n v="39"/>
    <x v="0"/>
    <n v="9"/>
    <n v="7"/>
    <n v="7459.66"/>
    <n v="10569.43"/>
    <n v="12334.88"/>
  </r>
  <r>
    <s v="3464"/>
    <s v="Ana Gómez"/>
    <d v="1993-12-31T00:00:00"/>
    <n v="48"/>
    <x v="1"/>
    <x v="5"/>
    <d v="2023-04-03T00:00:00"/>
    <d v="2023-02-10T00:00:00"/>
    <n v="38"/>
    <x v="0"/>
    <n v="0"/>
    <n v="7"/>
    <n v="3923.53"/>
    <n v="2373.62"/>
    <n v="1008.41"/>
  </r>
  <r>
    <s v="3465"/>
    <s v="Pedro Gómez"/>
    <d v="1991-01-01T00:00:00"/>
    <n v="35"/>
    <x v="1"/>
    <x v="0"/>
    <d v="2023-01-17T00:00:00"/>
    <d v="2024-03-29T00:00:00"/>
    <n v="17"/>
    <x v="0"/>
    <n v="5"/>
    <n v="2"/>
    <n v="11380.94"/>
    <n v="4736.95"/>
    <n v="5059"/>
  </r>
  <r>
    <s v="3466"/>
    <s v="Sofía López"/>
    <d v="1944-12-31T00:00:00"/>
    <n v="81"/>
    <x v="0"/>
    <x v="6"/>
    <d v="2024-09-14T00:00:00"/>
    <d v="2025-05-20T00:00:00"/>
    <n v="3"/>
    <x v="0"/>
    <n v="10"/>
    <n v="9"/>
    <n v="9694.19"/>
    <n v="7848.68"/>
    <n v="12750.38"/>
  </r>
  <r>
    <s v="3467"/>
    <s v="Juan López"/>
    <d v="2008-01-01T00:00:00"/>
    <n v="18"/>
    <x v="0"/>
    <x v="1"/>
    <d v="2024-05-02T00:00:00"/>
    <d v="2023-07-10T00:00:00"/>
    <n v="8"/>
    <x v="2"/>
    <n v="4"/>
    <n v="8"/>
    <n v="22979.88"/>
    <n v="1688.2"/>
    <n v="7784.14"/>
  </r>
  <r>
    <s v="3468"/>
    <s v="Carlos Hernández"/>
    <d v="1999-01-01T00:00:00"/>
    <n v="27"/>
    <x v="1"/>
    <x v="6"/>
    <d v="2023-04-04T00:00:00"/>
    <d v="2025-01-16T00:00:00"/>
    <n v="14"/>
    <x v="2"/>
    <n v="10"/>
    <n v="7"/>
    <n v="4815.79"/>
    <n v="7177.4"/>
    <n v="9263.0400000000009"/>
  </r>
  <r>
    <s v="3469"/>
    <s v="Luisa Sánchez"/>
    <d v="1987-01-01T00:00:00"/>
    <n v="39"/>
    <x v="0"/>
    <x v="0"/>
    <d v="2023-01-10T00:00:00"/>
    <d v="2023-01-16T00:00:00"/>
    <n v="38"/>
    <x v="1"/>
    <n v="8"/>
    <n v="1"/>
    <n v="15587.72"/>
    <n v="6679.8"/>
    <n v="4062.42"/>
  </r>
  <r>
    <s v="3470"/>
    <s v="María Hernández"/>
    <d v="1943-01-01T00:00:00"/>
    <n v="83"/>
    <x v="1"/>
    <x v="3"/>
    <d v="2024-12-24T00:00:00"/>
    <d v="2023-05-05T00:00:00"/>
    <n v="0"/>
    <x v="0"/>
    <n v="2"/>
    <n v="6"/>
    <n v="18659.900000000001"/>
    <n v="3478.85"/>
    <n v="658.92"/>
  </r>
  <r>
    <s v="3471"/>
    <s v="Laura Hernández"/>
    <d v="1951-01-01T00:00:00"/>
    <n v="75"/>
    <x v="1"/>
    <x v="2"/>
    <d v="2024-06-11T00:00:00"/>
    <d v="2025-01-10T00:00:00"/>
    <n v="13"/>
    <x v="2"/>
    <n v="9"/>
    <n v="7"/>
    <n v="11247.55"/>
    <n v="2995.77"/>
    <n v="6838.58"/>
  </r>
  <r>
    <s v="3472"/>
    <s v="Miguel Martínez"/>
    <d v="2012-01-01T00:00:00"/>
    <n v="14"/>
    <x v="0"/>
    <x v="6"/>
    <d v="2024-05-03T00:00:00"/>
    <d v="2025-06-18T00:00:00"/>
    <n v="33"/>
    <x v="0"/>
    <n v="13"/>
    <n v="6"/>
    <n v="5618.52"/>
    <n v="3710.61"/>
    <n v="13627.98"/>
  </r>
  <r>
    <s v="3473"/>
    <s v="Miguel Morales"/>
    <d v="1985-12-31T00:00:00"/>
    <n v="40"/>
    <x v="1"/>
    <x v="4"/>
    <d v="2023-05-24T00:00:00"/>
    <d v="2023-10-08T00:00:00"/>
    <n v="23"/>
    <x v="0"/>
    <n v="2"/>
    <n v="8"/>
    <n v="26817.84"/>
    <n v="9076.6"/>
    <n v="15307.24"/>
  </r>
  <r>
    <s v="3474"/>
    <s v="Luisa Rodríguez"/>
    <d v="1988-01-01T00:00:00"/>
    <n v="38"/>
    <x v="0"/>
    <x v="0"/>
    <d v="2024-07-07T00:00:00"/>
    <d v="2023-02-18T00:00:00"/>
    <n v="21"/>
    <x v="1"/>
    <n v="13"/>
    <n v="6"/>
    <n v="3734.62"/>
    <n v="6224.29"/>
    <n v="11809.85"/>
  </r>
  <r>
    <s v="3475"/>
    <s v="Ana Morales"/>
    <d v="2024-12-31T00:00:00"/>
    <n v="1"/>
    <x v="1"/>
    <x v="2"/>
    <d v="2024-05-29T00:00:00"/>
    <d v="2023-07-09T00:00:00"/>
    <n v="31"/>
    <x v="0"/>
    <n v="1"/>
    <n v="6"/>
    <n v="8766.0300000000007"/>
    <n v="6209.39"/>
    <n v="7803.34"/>
  </r>
  <r>
    <s v="3476"/>
    <s v="Elena Cruz"/>
    <d v="1964-01-01T00:00:00"/>
    <n v="62"/>
    <x v="1"/>
    <x v="6"/>
    <d v="2024-04-14T00:00:00"/>
    <d v="2023-11-01T00:00:00"/>
    <n v="17"/>
    <x v="0"/>
    <n v="12"/>
    <n v="0"/>
    <n v="22575.31"/>
    <n v="2726"/>
    <n v="11621.03"/>
  </r>
  <r>
    <s v="3477"/>
    <s v="Ana Rodríguez"/>
    <d v="1997-12-31T00:00:00"/>
    <n v="28"/>
    <x v="0"/>
    <x v="5"/>
    <d v="2024-01-12T00:00:00"/>
    <d v="2024-07-13T00:00:00"/>
    <n v="14"/>
    <x v="0"/>
    <n v="14"/>
    <n v="1"/>
    <n v="17962"/>
    <n v="11810.49"/>
    <n v="14070.27"/>
  </r>
  <r>
    <s v="3478"/>
    <s v="Ricardo Gómez"/>
    <d v="1952-12-31T00:00:00"/>
    <n v="73"/>
    <x v="0"/>
    <x v="1"/>
    <d v="2024-10-29T00:00:00"/>
    <d v="2024-11-27T00:00:00"/>
    <n v="17"/>
    <x v="1"/>
    <n v="4"/>
    <n v="4"/>
    <n v="21784.69"/>
    <n v="10505.69"/>
    <n v="15080.96"/>
  </r>
  <r>
    <s v="3479"/>
    <s v="Luis López"/>
    <d v="1960-12-31T00:00:00"/>
    <n v="65"/>
    <x v="1"/>
    <x v="1"/>
    <d v="2024-05-08T00:00:00"/>
    <d v="2023-04-16T00:00:00"/>
    <n v="13"/>
    <x v="1"/>
    <n v="1"/>
    <n v="0"/>
    <n v="0"/>
    <n v="6436.13"/>
    <n v="1799.17"/>
  </r>
  <r>
    <s v="3480"/>
    <s v="Elena Sánchez"/>
    <d v="1976-01-01T00:00:00"/>
    <n v="50"/>
    <x v="1"/>
    <x v="0"/>
    <d v="2024-11-15T00:00:00"/>
    <d v="2024-01-05T00:00:00"/>
    <n v="1"/>
    <x v="0"/>
    <n v="13"/>
    <n v="9"/>
    <n v="26809.48"/>
    <n v="2133.0300000000002"/>
    <n v="16039.97"/>
  </r>
  <r>
    <s v="3481"/>
    <s v="Luisa Hernández"/>
    <d v="1952-01-01T00:00:00"/>
    <n v="74"/>
    <x v="1"/>
    <x v="5"/>
    <d v="2024-04-28T00:00:00"/>
    <d v="2024-05-16T00:00:00"/>
    <n v="15"/>
    <x v="0"/>
    <n v="7"/>
    <n v="6"/>
    <n v="8789.23"/>
    <n v="10720.51"/>
    <n v="1175.8699999999999"/>
  </r>
  <r>
    <s v="3482"/>
    <s v="Carmen Gómez"/>
    <d v="1949-12-31T00:00:00"/>
    <n v="76"/>
    <x v="1"/>
    <x v="3"/>
    <d v="2024-03-27T00:00:00"/>
    <d v="2024-04-05T00:00:00"/>
    <n v="33"/>
    <x v="2"/>
    <n v="2"/>
    <n v="4"/>
    <n v="13966.31"/>
    <n v="13482.67"/>
    <n v="17396.189999999999"/>
  </r>
  <r>
    <s v="3483"/>
    <s v="Carlos Morales"/>
    <d v="2016-12-31T00:00:00"/>
    <n v="0"/>
    <x v="0"/>
    <x v="2"/>
    <d v="2024-06-19T00:00:00"/>
    <d v="2023-09-05T00:00:00"/>
    <n v="32"/>
    <x v="0"/>
    <n v="2"/>
    <n v="4"/>
    <n v="20493.46"/>
    <n v="2673.93"/>
    <n v="7784.04"/>
  </r>
  <r>
    <s v="3484"/>
    <s v="Sofía Cruz"/>
    <d v="2012-12-31T00:00:00"/>
    <n v="13"/>
    <x v="0"/>
    <x v="0"/>
    <d v="2023-03-16T00:00:00"/>
    <d v="2023-09-22T00:00:00"/>
    <n v="27"/>
    <x v="0"/>
    <n v="0"/>
    <n v="7"/>
    <n v="23739.74"/>
    <n v="9039.91"/>
    <n v="10893.14"/>
  </r>
  <r>
    <s v="3485"/>
    <s v="Laura Martínez"/>
    <d v="1944-12-31T00:00:00"/>
    <n v="81"/>
    <x v="1"/>
    <x v="4"/>
    <d v="2023-02-09T00:00:00"/>
    <d v="2023-07-26T00:00:00"/>
    <n v="15"/>
    <x v="0"/>
    <n v="14"/>
    <n v="8"/>
    <n v="17123.41"/>
    <n v="6364.63"/>
    <n v="5728.65"/>
  </r>
  <r>
    <s v="3486"/>
    <s v="Ricardo Rodríguez"/>
    <d v="1976-01-01T00:00:00"/>
    <n v="50"/>
    <x v="1"/>
    <x v="6"/>
    <d v="2023-10-29T00:00:00"/>
    <d v="2024-05-22T00:00:00"/>
    <n v="18"/>
    <x v="0"/>
    <n v="0"/>
    <n v="9"/>
    <n v="15169.32"/>
    <n v="1314.76"/>
    <n v="8475.9500000000007"/>
  </r>
  <r>
    <s v="3487"/>
    <s v="María Sánchez"/>
    <d v="1953-12-31T00:00:00"/>
    <n v="72"/>
    <x v="0"/>
    <x v="1"/>
    <d v="2024-07-05T00:00:00"/>
    <d v="2024-06-14T00:00:00"/>
    <n v="29"/>
    <x v="2"/>
    <n v="5"/>
    <n v="0"/>
    <n v="20598.79"/>
    <n v="10887.41"/>
    <n v="16888.39"/>
  </r>
  <r>
    <s v="3488"/>
    <s v="Laura Hernández"/>
    <d v="1988-01-01T00:00:00"/>
    <n v="38"/>
    <x v="0"/>
    <x v="6"/>
    <d v="2023-03-03T00:00:00"/>
    <d v="2023-12-31T00:00:00"/>
    <n v="2"/>
    <x v="0"/>
    <n v="3"/>
    <n v="9"/>
    <n v="11151.88"/>
    <n v="1067.21"/>
    <n v="5843.5"/>
  </r>
  <r>
    <s v="3489"/>
    <s v="Miguel Ramírez"/>
    <d v="1999-01-01T00:00:00"/>
    <n v="27"/>
    <x v="0"/>
    <x v="2"/>
    <d v="2024-05-17T00:00:00"/>
    <d v="2025-02-02T00:00:00"/>
    <n v="38"/>
    <x v="2"/>
    <n v="1"/>
    <n v="3"/>
    <n v="26757.98"/>
    <n v="10533.47"/>
    <n v="11240.02"/>
  </r>
  <r>
    <s v="3490"/>
    <s v="Juan Pérez"/>
    <d v="2024-01-01T00:00:00"/>
    <n v="2"/>
    <x v="0"/>
    <x v="5"/>
    <d v="2023-09-02T00:00:00"/>
    <d v="2025-01-20T00:00:00"/>
    <n v="20"/>
    <x v="1"/>
    <n v="4"/>
    <n v="1"/>
    <n v="5972.68"/>
    <n v="4217.29"/>
    <n v="12906.29"/>
  </r>
  <r>
    <s v="3491"/>
    <s v="Miguel Gómez"/>
    <d v="1943-01-01T00:00:00"/>
    <n v="83"/>
    <x v="1"/>
    <x v="5"/>
    <d v="2023-01-18T00:00:00"/>
    <d v="2023-12-07T00:00:00"/>
    <n v="27"/>
    <x v="2"/>
    <n v="4"/>
    <n v="8"/>
    <n v="26462.13"/>
    <n v="8484.9"/>
    <n v="2842.8"/>
  </r>
  <r>
    <s v="3492"/>
    <s v="Miguel Rodríguez"/>
    <d v="1956-12-31T00:00:00"/>
    <n v="69"/>
    <x v="0"/>
    <x v="0"/>
    <d v="2024-10-13T00:00:00"/>
    <d v="2024-02-12T00:00:00"/>
    <n v="24"/>
    <x v="0"/>
    <n v="1"/>
    <n v="8"/>
    <n v="19130.310000000001"/>
    <n v="2406.81"/>
    <n v="15534.1"/>
  </r>
  <r>
    <s v="3493"/>
    <s v="Jorge Pérez"/>
    <d v="2000-01-01T00:00:00"/>
    <n v="26"/>
    <x v="2"/>
    <x v="0"/>
    <d v="2024-02-02T00:00:00"/>
    <d v="2024-03-29T00:00:00"/>
    <n v="12"/>
    <x v="1"/>
    <n v="1"/>
    <n v="0"/>
    <n v="17820.080000000002"/>
    <n v="5563.45"/>
    <n v="19981.259999999998"/>
  </r>
  <r>
    <s v="3494"/>
    <s v="Ricardo Martínez"/>
    <d v="2024-12-31T00:00:00"/>
    <n v="1"/>
    <x v="0"/>
    <x v="5"/>
    <d v="2024-08-16T00:00:00"/>
    <d v="2025-04-13T00:00:00"/>
    <n v="38"/>
    <x v="1"/>
    <n v="10"/>
    <n v="2"/>
    <n v="13833.62"/>
    <n v="1561.34"/>
    <n v="3016.74"/>
  </r>
  <r>
    <s v="3495"/>
    <s v="Laura Rodríguez"/>
    <d v="1933-12-31T00:00:00"/>
    <n v="92"/>
    <x v="1"/>
    <x v="0"/>
    <d v="2023-07-08T00:00:00"/>
    <d v="2025-05-27T00:00:00"/>
    <n v="11"/>
    <x v="0"/>
    <n v="3"/>
    <n v="9"/>
    <n v="4219.75"/>
    <n v="7009.55"/>
    <n v="15334.48"/>
  </r>
  <r>
    <s v="3496"/>
    <s v="Juan Sánchez"/>
    <d v="1988-12-31T00:00:00"/>
    <n v="37"/>
    <x v="1"/>
    <x v="5"/>
    <d v="2024-09-11T00:00:00"/>
    <d v="2025-03-25T00:00:00"/>
    <n v="18"/>
    <x v="2"/>
    <n v="14"/>
    <n v="7"/>
    <n v="25880.49"/>
    <n v="3199.36"/>
    <n v="2856.17"/>
  </r>
  <r>
    <s v="3497"/>
    <s v="Jorge Hernández"/>
    <d v="2024-01-01T00:00:00"/>
    <n v="2"/>
    <x v="1"/>
    <x v="2"/>
    <d v="2023-04-14T00:00:00"/>
    <d v="2024-08-01T00:00:00"/>
    <n v="31"/>
    <x v="1"/>
    <n v="9"/>
    <n v="1"/>
    <n v="1102.29"/>
    <n v="2818.96"/>
    <n v="19000.150000000001"/>
  </r>
  <r>
    <s v="3498"/>
    <s v="Sofía Rodríguez"/>
    <d v="2011-01-01T00:00:00"/>
    <n v="15"/>
    <x v="0"/>
    <x v="0"/>
    <d v="2024-10-07T00:00:00"/>
    <d v="2025-04-28T00:00:00"/>
    <n v="23"/>
    <x v="1"/>
    <n v="11"/>
    <n v="1"/>
    <n v="7733.95"/>
    <n v="1607.29"/>
    <n v="8160.81"/>
  </r>
  <r>
    <s v="3499"/>
    <s v="Sofía Cruz"/>
    <d v="1932-12-31T00:00:00"/>
    <n v="93"/>
    <x v="1"/>
    <x v="5"/>
    <d v="2023-12-10T00:00:00"/>
    <d v="2023-05-31T00:00:00"/>
    <n v="22"/>
    <x v="2"/>
    <n v="9"/>
    <n v="1"/>
    <n v="2846.06"/>
    <n v="11481.51"/>
    <n v="19596.330000000002"/>
  </r>
  <r>
    <s v="3500"/>
    <s v="Laura Pérez"/>
    <d v="1987-01-01T00:00:00"/>
    <n v="39"/>
    <x v="1"/>
    <x v="0"/>
    <d v="2024-01-06T00:00:00"/>
    <d v="2023-07-13T00:00:00"/>
    <n v="28"/>
    <x v="2"/>
    <n v="5"/>
    <n v="4"/>
    <n v="2758.48"/>
    <n v="9592.7999999999993"/>
    <n v="1265.1500000000001"/>
  </r>
  <r>
    <s v="3501"/>
    <s v="Carlos Hernández"/>
    <d v="2024-12-31T00:00:00"/>
    <n v="1"/>
    <x v="0"/>
    <x v="6"/>
    <d v="2023-02-02T00:00:00"/>
    <d v="2023-05-28T00:00:00"/>
    <n v="3"/>
    <x v="1"/>
    <n v="2"/>
    <n v="8"/>
    <n v="0"/>
    <n v="2353.56"/>
    <n v="15798.72"/>
  </r>
  <r>
    <s v="3502"/>
    <s v="Pedro López"/>
    <d v="1945-12-31T00:00:00"/>
    <n v="80"/>
    <x v="1"/>
    <x v="1"/>
    <d v="2024-01-09T00:00:00"/>
    <d v="2024-02-11T00:00:00"/>
    <n v="1"/>
    <x v="1"/>
    <n v="10"/>
    <n v="6"/>
    <n v="4392.9799999999996"/>
    <n v="7086.44"/>
    <n v="9414.9"/>
  </r>
  <r>
    <s v="3503"/>
    <s v="Luis Cruz"/>
    <d v="1985-12-31T00:00:00"/>
    <n v="40"/>
    <x v="1"/>
    <x v="6"/>
    <d v="2023-06-27T00:00:00"/>
    <d v="2023-07-03T00:00:00"/>
    <n v="21"/>
    <x v="2"/>
    <n v="6"/>
    <n v="6"/>
    <n v="17232.27"/>
    <n v="9913.27"/>
    <n v="5718.83"/>
  </r>
  <r>
    <s v="3504"/>
    <s v="José Ramírez"/>
    <d v="2015-01-01T00:00:00"/>
    <n v="11"/>
    <x v="1"/>
    <x v="3"/>
    <d v="2023-01-12T00:00:00"/>
    <d v="2023-04-17T00:00:00"/>
    <n v="39"/>
    <x v="0"/>
    <n v="1"/>
    <n v="1"/>
    <n v="18628.349999999999"/>
    <n v="13171.03"/>
    <n v="14932.55"/>
  </r>
  <r>
    <s v="3505"/>
    <s v="Luisa López"/>
    <d v="1992-01-01T00:00:00"/>
    <n v="34"/>
    <x v="1"/>
    <x v="5"/>
    <d v="2024-03-31T00:00:00"/>
    <d v="2023-08-25T00:00:00"/>
    <n v="28"/>
    <x v="2"/>
    <n v="4"/>
    <n v="1"/>
    <n v="26403.86"/>
    <n v="893.58"/>
    <n v="12670.11"/>
  </r>
  <r>
    <s v="3506"/>
    <s v="Ana López"/>
    <d v="1961-12-31T00:00:00"/>
    <n v="64"/>
    <x v="1"/>
    <x v="3"/>
    <d v="2024-10-04T00:00:00"/>
    <d v="2024-09-30T00:00:00"/>
    <n v="16"/>
    <x v="0"/>
    <n v="13"/>
    <n v="4"/>
    <n v="8639.8700000000008"/>
    <n v="5435.32"/>
    <n v="18047.990000000002"/>
  </r>
  <r>
    <s v="3507"/>
    <s v="Ricardo Martínez"/>
    <d v="1972-01-01T00:00:00"/>
    <n v="54"/>
    <x v="0"/>
    <x v="5"/>
    <d v="2023-09-06T00:00:00"/>
    <d v="2023-06-29T00:00:00"/>
    <n v="8"/>
    <x v="1"/>
    <n v="4"/>
    <n v="6"/>
    <n v="8929.94"/>
    <n v="9239.2999999999993"/>
    <n v="4901.07"/>
  </r>
  <r>
    <s v="3508"/>
    <s v="Luis Sánchez"/>
    <d v="1981-12-31T00:00:00"/>
    <n v="44"/>
    <x v="0"/>
    <x v="1"/>
    <d v="2024-03-23T00:00:00"/>
    <d v="2024-03-08T00:00:00"/>
    <n v="26"/>
    <x v="0"/>
    <n v="7"/>
    <n v="6"/>
    <n v="7014.25"/>
    <n v="234.26"/>
    <n v="18788.88"/>
  </r>
  <r>
    <s v="3509"/>
    <s v="Sofía Gómez"/>
    <d v="1948-01-01T00:00:00"/>
    <n v="78"/>
    <x v="1"/>
    <x v="0"/>
    <d v="2024-07-23T00:00:00"/>
    <d v="2024-02-06T00:00:00"/>
    <n v="2"/>
    <x v="2"/>
    <n v="2"/>
    <n v="8"/>
    <n v="23345.22"/>
    <n v="3652.9"/>
    <n v="12801.55"/>
  </r>
  <r>
    <s v="3510"/>
    <s v="Carmen Ramírez"/>
    <d v="1936-12-31T00:00:00"/>
    <n v="89"/>
    <x v="1"/>
    <x v="5"/>
    <d v="2023-01-04T00:00:00"/>
    <d v="2024-06-09T00:00:00"/>
    <n v="15"/>
    <x v="1"/>
    <n v="14"/>
    <n v="2"/>
    <n v="12555.83"/>
    <n v="11173.51"/>
    <n v="8953.7199999999993"/>
  </r>
  <r>
    <s v="3511"/>
    <s v="Juan Pérez"/>
    <d v="1941-12-31T00:00:00"/>
    <n v="84"/>
    <x v="0"/>
    <x v="6"/>
    <d v="2023-08-24T00:00:00"/>
    <d v="2025-01-13T00:00:00"/>
    <n v="0"/>
    <x v="1"/>
    <n v="5"/>
    <n v="0"/>
    <n v="16348.87"/>
    <n v="5336.05"/>
    <n v="967.94"/>
  </r>
  <r>
    <s v="3512"/>
    <s v="Ana Morales"/>
    <d v="1964-12-31T00:00:00"/>
    <n v="61"/>
    <x v="1"/>
    <x v="0"/>
    <d v="2023-06-22T00:00:00"/>
    <d v="2024-06-24T00:00:00"/>
    <n v="37"/>
    <x v="0"/>
    <n v="8"/>
    <n v="8"/>
    <n v="10925.83"/>
    <n v="1267.42"/>
    <n v="15280.04"/>
  </r>
  <r>
    <s v="3513"/>
    <s v="Luisa Gómez"/>
    <d v="1977-12-31T00:00:00"/>
    <n v="48"/>
    <x v="1"/>
    <x v="1"/>
    <d v="2023-11-18T00:00:00"/>
    <d v="2025-06-10T00:00:00"/>
    <n v="8"/>
    <x v="2"/>
    <n v="1"/>
    <n v="0"/>
    <n v="4282.79"/>
    <n v="9398.93"/>
    <n v="17153.87"/>
  </r>
  <r>
    <s v="3514"/>
    <s v="Carmen Gómez"/>
    <d v="1932-01-01T00:00:00"/>
    <n v="94"/>
    <x v="0"/>
    <x v="6"/>
    <d v="2024-01-06T00:00:00"/>
    <d v="2023-11-20T00:00:00"/>
    <n v="18"/>
    <x v="1"/>
    <n v="9"/>
    <n v="7"/>
    <n v="0"/>
    <n v="3750.79"/>
    <n v="16172.65"/>
  </r>
  <r>
    <s v="3515"/>
    <s v="Juan Morales"/>
    <d v="2001-12-31T00:00:00"/>
    <n v="24"/>
    <x v="1"/>
    <x v="0"/>
    <d v="2024-07-01T00:00:00"/>
    <d v="2023-09-19T00:00:00"/>
    <n v="27"/>
    <x v="0"/>
    <n v="1"/>
    <n v="4"/>
    <n v="25982.34"/>
    <n v="10524.81"/>
    <n v="14686.89"/>
  </r>
  <r>
    <s v="3516"/>
    <s v="María Ramírez"/>
    <d v="2004-01-01T00:00:00"/>
    <n v="22"/>
    <x v="1"/>
    <x v="5"/>
    <d v="2023-10-23T00:00:00"/>
    <d v="2024-09-04T00:00:00"/>
    <n v="16"/>
    <x v="0"/>
    <n v="0"/>
    <n v="7"/>
    <n v="7597.19"/>
    <n v="13502.62"/>
    <n v="19385.16"/>
  </r>
  <r>
    <s v="3517"/>
    <s v="Sofía Hernández"/>
    <d v="2003-01-01T00:00:00"/>
    <n v="23"/>
    <x v="1"/>
    <x v="5"/>
    <d v="2024-02-04T00:00:00"/>
    <d v="2024-12-01T00:00:00"/>
    <n v="22"/>
    <x v="0"/>
    <n v="2"/>
    <n v="6"/>
    <n v="28219.41"/>
    <n v="7917.89"/>
    <n v="16966.97"/>
  </r>
  <r>
    <s v="3518"/>
    <s v="Miguel Gómez"/>
    <d v="1988-12-31T00:00:00"/>
    <n v="37"/>
    <x v="0"/>
    <x v="6"/>
    <d v="2023-02-27T00:00:00"/>
    <d v="2024-02-04T00:00:00"/>
    <n v="32"/>
    <x v="2"/>
    <n v="10"/>
    <n v="8"/>
    <n v="28392.45"/>
    <n v="8987.16"/>
    <n v="18550.37"/>
  </r>
  <r>
    <s v="3519"/>
    <s v="Jorge Morales"/>
    <d v="1999-01-01T00:00:00"/>
    <n v="27"/>
    <x v="1"/>
    <x v="2"/>
    <d v="2024-06-13T00:00:00"/>
    <d v="2023-12-04T00:00:00"/>
    <n v="9"/>
    <x v="0"/>
    <n v="4"/>
    <n v="1"/>
    <n v="14107.11"/>
    <n v="7716.09"/>
    <n v="14582.62"/>
  </r>
  <r>
    <s v="3520"/>
    <s v="Laura Morales"/>
    <d v="1976-01-01T00:00:00"/>
    <n v="20"/>
    <x v="1"/>
    <x v="5"/>
    <d v="2024-07-01T00:00:00"/>
    <d v="2023-10-28T00:00:00"/>
    <n v="23"/>
    <x v="0"/>
    <n v="2"/>
    <n v="8"/>
    <n v="28736.94"/>
    <n v="12261.63"/>
    <n v="16386.16"/>
  </r>
  <r>
    <s v="3521"/>
    <s v="Elena Cruz"/>
    <d v="1952-01-01T00:00:00"/>
    <n v="53"/>
    <x v="1"/>
    <x v="2"/>
    <d v="2024-02-12T00:00:00"/>
    <d v="2023-04-30T00:00:00"/>
    <n v="2"/>
    <x v="1"/>
    <n v="13"/>
    <n v="9"/>
    <n v="368.86"/>
    <n v="3625.72"/>
    <n v="5712.08"/>
  </r>
  <r>
    <s v="3522"/>
    <s v="Luisa Pérez"/>
    <d v="2008-12-31T00:00:00"/>
    <n v="17"/>
    <x v="0"/>
    <x v="0"/>
    <d v="2024-10-02T00:00:00"/>
    <d v="2024-07-12T00:00:00"/>
    <n v="16"/>
    <x v="0"/>
    <n v="4"/>
    <n v="4"/>
    <n v="2295.34"/>
    <n v="6023.16"/>
    <n v="13344.87"/>
  </r>
  <r>
    <s v="3523"/>
    <s v="Jorge Cruz"/>
    <d v="1991-01-01T00:00:00"/>
    <n v="35"/>
    <x v="1"/>
    <x v="2"/>
    <d v="2024-05-27T00:00:00"/>
    <d v="2024-02-18T00:00:00"/>
    <n v="24"/>
    <x v="1"/>
    <n v="14"/>
    <n v="4"/>
    <n v="6920.95"/>
    <n v="13425.47"/>
    <n v="4031.33"/>
  </r>
  <r>
    <s v="3524"/>
    <s v="María López"/>
    <d v="1981-12-31T00:00:00"/>
    <n v="44"/>
    <x v="1"/>
    <x v="6"/>
    <d v="2023-03-05T00:00:00"/>
    <d v="2024-08-03T00:00:00"/>
    <n v="35"/>
    <x v="1"/>
    <n v="0"/>
    <n v="0"/>
    <n v="5880.4"/>
    <n v="10854.69"/>
    <n v="1292.3399999999999"/>
  </r>
  <r>
    <s v="3525"/>
    <s v="Sofía López"/>
    <d v="1953-12-31T00:00:00"/>
    <n v="72"/>
    <x v="0"/>
    <x v="3"/>
    <d v="2024-07-27T00:00:00"/>
    <d v="2024-01-20T00:00:00"/>
    <n v="26"/>
    <x v="0"/>
    <n v="7"/>
    <n v="5"/>
    <n v="7205.45"/>
    <n v="4801.29"/>
    <n v="11543.05"/>
  </r>
  <r>
    <s v="3526"/>
    <s v="Carlos Pérez"/>
    <d v="1973-12-31T00:00:00"/>
    <n v="28"/>
    <x v="0"/>
    <x v="3"/>
    <d v="2024-02-24T00:00:00"/>
    <d v="2024-04-25T00:00:00"/>
    <n v="9"/>
    <x v="0"/>
    <n v="9"/>
    <n v="9"/>
    <n v="13294.98"/>
    <n v="12489.48"/>
    <n v="15636.47"/>
  </r>
  <r>
    <s v="3527"/>
    <s v="Luisa Hernández"/>
    <d v="1996-12-31T00:00:00"/>
    <n v="29"/>
    <x v="1"/>
    <x v="6"/>
    <d v="2023-05-26T00:00:00"/>
    <d v="2023-11-02T00:00:00"/>
    <n v="16"/>
    <x v="0"/>
    <n v="1"/>
    <n v="9"/>
    <n v="1419.1"/>
    <n v="3582.36"/>
    <n v="1563.43"/>
  </r>
  <r>
    <s v="3528"/>
    <s v="Miguel López"/>
    <d v="1967-01-01T00:00:00"/>
    <n v="59"/>
    <x v="1"/>
    <x v="4"/>
    <d v="2023-09-29T00:00:00"/>
    <d v="2024-11-14T00:00:00"/>
    <n v="6"/>
    <x v="1"/>
    <n v="5"/>
    <n v="9"/>
    <n v="16439.34"/>
    <n v="9512.69"/>
    <n v="3543.76"/>
  </r>
  <r>
    <s v="3529"/>
    <s v="José Hernández"/>
    <d v="1999-01-01T00:00:00"/>
    <n v="31"/>
    <x v="0"/>
    <x v="3"/>
    <d v="2023-01-17T00:00:00"/>
    <d v="2025-05-20T00:00:00"/>
    <n v="15"/>
    <x v="0"/>
    <n v="14"/>
    <n v="9"/>
    <n v="8938.35"/>
    <n v="14346.85"/>
    <n v="1768.64"/>
  </r>
  <r>
    <s v="3530"/>
    <s v="Elena López"/>
    <d v="1960-01-01T00:00:00"/>
    <n v="66"/>
    <x v="0"/>
    <x v="6"/>
    <d v="2023-04-08T00:00:00"/>
    <d v="2023-07-16T00:00:00"/>
    <n v="26"/>
    <x v="2"/>
    <n v="1"/>
    <n v="2"/>
    <n v="1682.2"/>
    <n v="8620.66"/>
    <n v="12646.98"/>
  </r>
  <r>
    <s v="3531"/>
    <s v="Ricardo Hernández"/>
    <d v="1960-01-01T00:00:00"/>
    <n v="66"/>
    <x v="1"/>
    <x v="5"/>
    <d v="2024-03-27T00:00:00"/>
    <d v="2023-11-30T00:00:00"/>
    <n v="0"/>
    <x v="2"/>
    <n v="6"/>
    <n v="9"/>
    <n v="22472.880000000001"/>
    <n v="11992.01"/>
    <n v="1497.99"/>
  </r>
  <r>
    <s v="3532"/>
    <s v="Miguel Sánchez"/>
    <d v="1957-01-01T00:00:00"/>
    <n v="27"/>
    <x v="1"/>
    <x v="2"/>
    <d v="2023-08-31T00:00:00"/>
    <d v="2023-01-21T00:00:00"/>
    <n v="20"/>
    <x v="0"/>
    <n v="2"/>
    <n v="2"/>
    <n v="19429.61"/>
    <n v="11031.46"/>
    <n v="1775.24"/>
  </r>
  <r>
    <s v="3533"/>
    <s v="Elena Rodríguez"/>
    <d v="1983-01-01T00:00:00"/>
    <n v="43"/>
    <x v="1"/>
    <x v="3"/>
    <d v="2024-04-23T00:00:00"/>
    <d v="2024-09-15T00:00:00"/>
    <n v="27"/>
    <x v="0"/>
    <n v="12"/>
    <n v="2"/>
    <n v="23699.62"/>
    <n v="12985.82"/>
    <n v="5209.76"/>
  </r>
  <r>
    <s v="3534"/>
    <s v="Ana Morales"/>
    <d v="1948-01-01T00:00:00"/>
    <n v="78"/>
    <x v="1"/>
    <x v="5"/>
    <d v="2023-07-20T00:00:00"/>
    <d v="2024-10-20T00:00:00"/>
    <n v="21"/>
    <x v="0"/>
    <n v="9"/>
    <n v="3"/>
    <n v="0"/>
    <n v="14531.46"/>
    <n v="5331.72"/>
  </r>
  <r>
    <s v="3535"/>
    <s v="Elena Pérez"/>
    <d v="1985-12-31T00:00:00"/>
    <n v="40"/>
    <x v="0"/>
    <x v="3"/>
    <d v="2024-04-17T00:00:00"/>
    <d v="2024-12-05T00:00:00"/>
    <n v="34"/>
    <x v="0"/>
    <n v="10"/>
    <n v="8"/>
    <n v="17365.84"/>
    <n v="334.75"/>
    <n v="11105.82"/>
  </r>
  <r>
    <s v="3536"/>
    <s v="Ana Morales"/>
    <d v="1989-01-01T00:00:00"/>
    <n v="62"/>
    <x v="1"/>
    <x v="0"/>
    <d v="2023-06-28T00:00:00"/>
    <d v="2024-03-09T00:00:00"/>
    <n v="34"/>
    <x v="0"/>
    <n v="13"/>
    <n v="7"/>
    <n v="23494.84"/>
    <n v="418.05"/>
    <n v="546.95000000000005"/>
  </r>
  <r>
    <s v="3537"/>
    <s v="Miguel Cruz"/>
    <d v="2004-01-01T00:00:00"/>
    <n v="22"/>
    <x v="0"/>
    <x v="6"/>
    <d v="2024-05-22T00:00:00"/>
    <d v="2025-06-02T00:00:00"/>
    <n v="1"/>
    <x v="0"/>
    <n v="11"/>
    <n v="5"/>
    <n v="5575.07"/>
    <n v="8916.33"/>
    <n v="12268.43"/>
  </r>
  <r>
    <s v="3538"/>
    <s v="Pedro López"/>
    <d v="1952-01-01T00:00:00"/>
    <n v="74"/>
    <x v="0"/>
    <x v="6"/>
    <d v="2024-03-28T00:00:00"/>
    <d v="2024-03-02T00:00:00"/>
    <n v="25"/>
    <x v="2"/>
    <n v="3"/>
    <n v="7"/>
    <n v="12016.19"/>
    <n v="14313.68"/>
    <n v="8175.33"/>
  </r>
  <r>
    <s v="3539"/>
    <s v="Jorge Ramírez"/>
    <d v="1979-01-01T00:00:00"/>
    <n v="47"/>
    <x v="1"/>
    <x v="5"/>
    <d v="2023-09-27T00:00:00"/>
    <d v="2023-08-18T00:00:00"/>
    <n v="13"/>
    <x v="1"/>
    <n v="5"/>
    <n v="7"/>
    <n v="15667.17"/>
    <n v="7285.25"/>
    <n v="3492.51"/>
  </r>
  <r>
    <s v="3540"/>
    <s v="Miguel Rodríguez"/>
    <d v="1995-01-01T00:00:00"/>
    <n v="31"/>
    <x v="1"/>
    <x v="4"/>
    <d v="2023-08-22T00:00:00"/>
    <d v="2024-06-08T00:00:00"/>
    <n v="10"/>
    <x v="1"/>
    <n v="1"/>
    <n v="0"/>
    <n v="16007.02"/>
    <n v="12596.69"/>
    <n v="13032.26"/>
  </r>
  <r>
    <s v="3541"/>
    <s v="Sofía Morales"/>
    <d v="1969-12-31T00:00:00"/>
    <n v="56"/>
    <x v="0"/>
    <x v="0"/>
    <d v="2024-09-15T00:00:00"/>
    <d v="2023-08-06T00:00:00"/>
    <n v="5"/>
    <x v="2"/>
    <n v="7"/>
    <n v="8"/>
    <n v="0"/>
    <n v="11518.62"/>
    <n v="6526.45"/>
  </r>
  <r>
    <s v="3542"/>
    <s v="Ana Gómez"/>
    <d v="1993-12-31T00:00:00"/>
    <n v="32"/>
    <x v="1"/>
    <x v="2"/>
    <d v="2024-04-30T00:00:00"/>
    <d v="2024-08-14T00:00:00"/>
    <n v="22"/>
    <x v="1"/>
    <n v="7"/>
    <n v="0"/>
    <n v="23776.2"/>
    <n v="7473.78"/>
    <n v="16532.54"/>
  </r>
  <r>
    <s v="3543"/>
    <s v="Miguel Martínez"/>
    <d v="2003-01-01T00:00:00"/>
    <n v="23"/>
    <x v="0"/>
    <x v="0"/>
    <d v="2024-07-31T00:00:00"/>
    <d v="2024-01-11T00:00:00"/>
    <n v="1"/>
    <x v="0"/>
    <n v="6"/>
    <n v="1"/>
    <n v="19839.009999999998"/>
    <n v="7697.58"/>
    <n v="19787.59"/>
  </r>
  <r>
    <s v="3544"/>
    <s v="María Morales"/>
    <d v="1988-01-01T00:00:00"/>
    <n v="38"/>
    <x v="2"/>
    <x v="4"/>
    <d v="2023-12-04T00:00:00"/>
    <d v="2023-02-06T00:00:00"/>
    <n v="27"/>
    <x v="0"/>
    <n v="1"/>
    <n v="8"/>
    <n v="940.99"/>
    <n v="6540.5"/>
    <n v="15558.48"/>
  </r>
  <r>
    <s v="3545"/>
    <s v="José Morales"/>
    <d v="1992-12-31T00:00:00"/>
    <n v="33"/>
    <x v="1"/>
    <x v="0"/>
    <d v="2024-03-23T00:00:00"/>
    <d v="2025-02-15T00:00:00"/>
    <n v="37"/>
    <x v="2"/>
    <n v="10"/>
    <n v="6"/>
    <n v="10212.11"/>
    <n v="3782.98"/>
    <n v="14834.1"/>
  </r>
  <r>
    <s v="3546"/>
    <s v="Juan Hernández"/>
    <d v="1971-01-01T00:00:00"/>
    <n v="55"/>
    <x v="1"/>
    <x v="1"/>
    <d v="2024-08-06T00:00:00"/>
    <d v="2023-01-29T00:00:00"/>
    <n v="0"/>
    <x v="2"/>
    <n v="11"/>
    <n v="9"/>
    <n v="16959.39"/>
    <n v="12880.68"/>
    <n v="7038.58"/>
  </r>
  <r>
    <s v="3547"/>
    <s v="Ana Rodríguez"/>
    <d v="1999-01-01T00:00:00"/>
    <n v="27"/>
    <x v="1"/>
    <x v="2"/>
    <d v="2023-12-23T00:00:00"/>
    <d v="2024-01-08T00:00:00"/>
    <n v="20"/>
    <x v="2"/>
    <n v="10"/>
    <n v="0"/>
    <n v="14990.02"/>
    <n v="3143.55"/>
    <n v="10645.57"/>
  </r>
  <r>
    <s v="3548"/>
    <s v="María Ramírez"/>
    <d v="1989-12-31T00:00:00"/>
    <n v="36"/>
    <x v="0"/>
    <x v="2"/>
    <d v="2023-02-18T00:00:00"/>
    <d v="2023-03-28T00:00:00"/>
    <n v="26"/>
    <x v="2"/>
    <n v="0"/>
    <n v="2"/>
    <n v="866.31"/>
    <n v="13603.81"/>
    <n v="958.89"/>
  </r>
  <r>
    <s v="3549"/>
    <s v="Sofía Rodríguez"/>
    <d v="2020-01-01T00:00:00"/>
    <n v="6"/>
    <x v="0"/>
    <x v="0"/>
    <d v="2024-05-10T00:00:00"/>
    <d v="2023-07-08T00:00:00"/>
    <n v="38"/>
    <x v="1"/>
    <n v="0"/>
    <n v="0"/>
    <n v="29409.42"/>
    <n v="5395.91"/>
    <n v="14519.44"/>
  </r>
  <r>
    <s v="3550"/>
    <s v="José Cruz"/>
    <d v="1959-01-01T00:00:00"/>
    <n v="1"/>
    <x v="0"/>
    <x v="3"/>
    <d v="2023-12-12T00:00:00"/>
    <d v="2023-11-02T00:00:00"/>
    <n v="27"/>
    <x v="1"/>
    <n v="14"/>
    <n v="4"/>
    <n v="28661.22"/>
    <n v="397.46"/>
    <n v="13468.31"/>
  </r>
  <r>
    <s v="3551"/>
    <s v="María Ramírez"/>
    <d v="1989-12-31T00:00:00"/>
    <n v="36"/>
    <x v="0"/>
    <x v="1"/>
    <d v="2024-12-02T00:00:00"/>
    <d v="2025-02-05T00:00:00"/>
    <n v="8"/>
    <x v="1"/>
    <n v="1"/>
    <n v="3"/>
    <n v="23099.73"/>
    <n v="2525.67"/>
    <n v="5313.98"/>
  </r>
  <r>
    <s v="3552"/>
    <s v="Luis Martínez"/>
    <d v="1971-01-01T00:00:00"/>
    <n v="55"/>
    <x v="1"/>
    <x v="3"/>
    <d v="2023-10-20T00:00:00"/>
    <d v="2024-02-27T00:00:00"/>
    <n v="18"/>
    <x v="0"/>
    <n v="0"/>
    <n v="7"/>
    <n v="1188.27"/>
    <n v="13317.37"/>
    <n v="10636.14"/>
  </r>
  <r>
    <s v="3553"/>
    <s v="Carmen Ramírez"/>
    <d v="1961-12-31T00:00:00"/>
    <n v="64"/>
    <x v="0"/>
    <x v="0"/>
    <d v="2024-11-19T00:00:00"/>
    <d v="2023-03-22T00:00:00"/>
    <n v="24"/>
    <x v="0"/>
    <n v="1"/>
    <n v="8"/>
    <n v="12621.34"/>
    <n v="1926.67"/>
    <n v="13554.21"/>
  </r>
  <r>
    <s v="3554"/>
    <s v="Sofía López"/>
    <d v="1961-12-31T00:00:00"/>
    <n v="64"/>
    <x v="0"/>
    <x v="3"/>
    <d v="2024-11-03T00:00:00"/>
    <d v="2023-07-06T00:00:00"/>
    <n v="21"/>
    <x v="0"/>
    <n v="9"/>
    <n v="3"/>
    <n v="11997.97"/>
    <n v="11081.61"/>
    <n v="7294.67"/>
  </r>
  <r>
    <s v="3555"/>
    <s v="Sofía Morales"/>
    <d v="1980-01-01T00:00:00"/>
    <n v="46"/>
    <x v="0"/>
    <x v="2"/>
    <d v="2023-05-30T00:00:00"/>
    <d v="2023-01-06T00:00:00"/>
    <n v="28"/>
    <x v="0"/>
    <n v="3"/>
    <n v="2"/>
    <n v="16519.79"/>
    <n v="2742.21"/>
    <n v="14484.72"/>
  </r>
  <r>
    <s v="3556"/>
    <s v="Sofía López"/>
    <d v="2007-01-01T00:00:00"/>
    <n v="19"/>
    <x v="1"/>
    <x v="2"/>
    <d v="2024-08-04T00:00:00"/>
    <d v="2024-07-12T00:00:00"/>
    <n v="27"/>
    <x v="2"/>
    <n v="4"/>
    <n v="3"/>
    <n v="1205.82"/>
    <n v="7483.99"/>
    <n v="15913.92"/>
  </r>
  <r>
    <s v="3557"/>
    <s v="Carlos Gómez"/>
    <d v="2008-01-01T00:00:00"/>
    <n v="18"/>
    <x v="0"/>
    <x v="3"/>
    <d v="2024-06-28T00:00:00"/>
    <d v="2025-05-16T00:00:00"/>
    <n v="2"/>
    <x v="2"/>
    <n v="11"/>
    <n v="2"/>
    <n v="12421.53"/>
    <n v="3078.11"/>
    <n v="4393.09"/>
  </r>
  <r>
    <s v="3558"/>
    <s v="Sofía Gómez"/>
    <d v="1989-01-01T00:00:00"/>
    <n v="28"/>
    <x v="0"/>
    <x v="2"/>
    <d v="2023-09-17T00:00:00"/>
    <d v="2024-05-12T00:00:00"/>
    <n v="2"/>
    <x v="1"/>
    <n v="14"/>
    <n v="5"/>
    <n v="22614.1"/>
    <n v="4997.4799999999996"/>
    <n v="5955.21"/>
  </r>
  <r>
    <s v="3559"/>
    <s v="José Martínez"/>
    <d v="1952-12-31T00:00:00"/>
    <n v="73"/>
    <x v="0"/>
    <x v="6"/>
    <d v="2023-11-18T00:00:00"/>
    <d v="2024-05-24T00:00:00"/>
    <n v="5"/>
    <x v="1"/>
    <n v="5"/>
    <n v="0"/>
    <n v="29939.24"/>
    <n v="1872.33"/>
    <n v="7971.41"/>
  </r>
  <r>
    <s v="3560"/>
    <s v="Ricardo Martínez"/>
    <d v="1967-01-01T00:00:00"/>
    <n v="59"/>
    <x v="0"/>
    <x v="2"/>
    <d v="2023-03-18T00:00:00"/>
    <d v="2024-09-06T00:00:00"/>
    <n v="39"/>
    <x v="0"/>
    <n v="8"/>
    <n v="1"/>
    <n v="17661.02"/>
    <n v="8340.0300000000007"/>
    <n v="4637.13"/>
  </r>
  <r>
    <s v="3561"/>
    <s v="Ana Hernández"/>
    <d v="2008-12-31T00:00:00"/>
    <n v="17"/>
    <x v="0"/>
    <x v="0"/>
    <d v="2023-04-20T00:00:00"/>
    <d v="2023-01-03T00:00:00"/>
    <n v="31"/>
    <x v="0"/>
    <n v="5"/>
    <n v="7"/>
    <n v="28188.68"/>
    <n v="5487.38"/>
    <n v="15489.71"/>
  </r>
  <r>
    <s v="3562"/>
    <s v="Luis López"/>
    <d v="1935-01-01T00:00:00"/>
    <n v="91"/>
    <x v="0"/>
    <x v="5"/>
    <d v="2024-10-12T00:00:00"/>
    <d v="2023-08-06T00:00:00"/>
    <n v="13"/>
    <x v="1"/>
    <n v="14"/>
    <n v="2"/>
    <n v="29955.42"/>
    <n v="5482.26"/>
    <n v="11394.04"/>
  </r>
  <r>
    <s v="3563"/>
    <s v="Elena Cruz"/>
    <d v="1992-01-01T00:00:00"/>
    <n v="34"/>
    <x v="0"/>
    <x v="3"/>
    <d v="2024-06-30T00:00:00"/>
    <d v="2024-06-21T00:00:00"/>
    <n v="24"/>
    <x v="2"/>
    <n v="0"/>
    <n v="3"/>
    <n v="12760.85"/>
    <n v="578.61"/>
    <n v="7540.07"/>
  </r>
  <r>
    <s v="3564"/>
    <s v="Elena Hernández"/>
    <d v="1984-01-01T00:00:00"/>
    <n v="42"/>
    <x v="0"/>
    <x v="1"/>
    <d v="2024-02-27T00:00:00"/>
    <d v="2023-09-15T00:00:00"/>
    <n v="1"/>
    <x v="1"/>
    <n v="11"/>
    <n v="0"/>
    <n v="19895.060000000001"/>
    <n v="2041.93"/>
    <n v="222.84"/>
  </r>
  <r>
    <s v="3565"/>
    <s v="Carmen Morales"/>
    <d v="1932-01-01T00:00:00"/>
    <n v="94"/>
    <x v="1"/>
    <x v="4"/>
    <d v="2024-01-29T00:00:00"/>
    <d v="2025-01-05T00:00:00"/>
    <n v="16"/>
    <x v="2"/>
    <n v="5"/>
    <n v="2"/>
    <n v="6003.06"/>
    <n v="10612.96"/>
    <n v="6450.01"/>
  </r>
  <r>
    <s v="3566"/>
    <s v="Miguel Morales"/>
    <d v="1936-01-01T00:00:00"/>
    <n v="90"/>
    <x v="1"/>
    <x v="3"/>
    <d v="2023-08-23T00:00:00"/>
    <d v="2024-03-29T00:00:00"/>
    <n v="26"/>
    <x v="2"/>
    <n v="0"/>
    <n v="0"/>
    <n v="14007.22"/>
    <n v="4384.8"/>
    <n v="16713.689999999999"/>
  </r>
  <r>
    <s v="3567"/>
    <s v="Elena Rodríguez"/>
    <d v="2016-01-01T00:00:00"/>
    <n v="37"/>
    <x v="1"/>
    <x v="4"/>
    <d v="2023-11-26T00:00:00"/>
    <d v="2024-02-29T00:00:00"/>
    <n v="38"/>
    <x v="0"/>
    <n v="0"/>
    <n v="9"/>
    <n v="1891.55"/>
    <n v="6631.04"/>
    <n v="14844.58"/>
  </r>
  <r>
    <s v="3568"/>
    <s v="Miguel Hernández"/>
    <d v="1977-12-31T00:00:00"/>
    <n v="27"/>
    <x v="0"/>
    <x v="4"/>
    <d v="2024-12-12T00:00:00"/>
    <d v="2023-11-21T00:00:00"/>
    <n v="0"/>
    <x v="0"/>
    <n v="10"/>
    <n v="4"/>
    <n v="389.07"/>
    <n v="11446.02"/>
    <n v="1254.32"/>
  </r>
  <r>
    <s v="3569"/>
    <s v="Ricardo Pérez"/>
    <d v="1988-12-31T00:00:00"/>
    <n v="37"/>
    <x v="0"/>
    <x v="2"/>
    <d v="2023-11-21T00:00:00"/>
    <d v="2024-05-14T00:00:00"/>
    <n v="8"/>
    <x v="0"/>
    <n v="4"/>
    <n v="0"/>
    <n v="26734.04"/>
    <n v="6671.36"/>
    <n v="16009.05"/>
  </r>
  <r>
    <s v="3570"/>
    <s v="Luis Morales"/>
    <d v="1963-01-01T00:00:00"/>
    <n v="63"/>
    <x v="2"/>
    <x v="2"/>
    <d v="2023-05-31T00:00:00"/>
    <d v="2024-08-04T00:00:00"/>
    <n v="5"/>
    <x v="2"/>
    <n v="4"/>
    <n v="8"/>
    <n v="25681.21"/>
    <n v="3384.14"/>
    <n v="3499"/>
  </r>
  <r>
    <s v="3571"/>
    <s v="José Sánchez"/>
    <d v="1957-12-31T00:00:00"/>
    <n v="68"/>
    <x v="1"/>
    <x v="5"/>
    <d v="2024-06-29T00:00:00"/>
    <d v="2023-07-17T00:00:00"/>
    <n v="36"/>
    <x v="1"/>
    <n v="6"/>
    <n v="6"/>
    <n v="9017.9699999999993"/>
    <n v="8247.36"/>
    <n v="19739.78"/>
  </r>
  <r>
    <s v="3572"/>
    <s v="Carmen Cruz"/>
    <d v="2019-01-01T00:00:00"/>
    <n v="35"/>
    <x v="1"/>
    <x v="5"/>
    <d v="2024-09-27T00:00:00"/>
    <d v="2024-05-19T00:00:00"/>
    <n v="30"/>
    <x v="2"/>
    <n v="3"/>
    <n v="7"/>
    <n v="13437.07"/>
    <n v="12018.09"/>
    <n v="17357.79"/>
  </r>
  <r>
    <s v="3573"/>
    <s v="Carmen Rodríguez"/>
    <d v="1992-12-31T00:00:00"/>
    <n v="33"/>
    <x v="1"/>
    <x v="1"/>
    <d v="2023-02-01T00:00:00"/>
    <d v="2023-09-30T00:00:00"/>
    <n v="5"/>
    <x v="0"/>
    <n v="3"/>
    <n v="8"/>
    <n v="14555.11"/>
    <n v="8994.6299999999992"/>
    <n v="18256.54"/>
  </r>
  <r>
    <s v="3574"/>
    <s v="María López"/>
    <d v="1979-01-01T00:00:00"/>
    <n v="47"/>
    <x v="1"/>
    <x v="0"/>
    <d v="2023-09-29T00:00:00"/>
    <d v="2024-11-25T00:00:00"/>
    <n v="22"/>
    <x v="2"/>
    <n v="8"/>
    <n v="9"/>
    <n v="15381.38"/>
    <n v="6302.72"/>
    <n v="15365.95"/>
  </r>
  <r>
    <s v="3575"/>
    <s v="Pedro Sánchez"/>
    <d v="1971-01-01T00:00:00"/>
    <n v="55"/>
    <x v="0"/>
    <x v="6"/>
    <d v="2024-09-27T00:00:00"/>
    <d v="2023-01-19T00:00:00"/>
    <n v="21"/>
    <x v="2"/>
    <n v="1"/>
    <n v="7"/>
    <n v="3604.42"/>
    <n v="1884.37"/>
    <n v="14186.61"/>
  </r>
  <r>
    <s v="3576"/>
    <s v="Carlos López"/>
    <d v="1951-01-01T00:00:00"/>
    <n v="75"/>
    <x v="1"/>
    <x v="0"/>
    <d v="2024-01-03T00:00:00"/>
    <d v="2023-04-18T00:00:00"/>
    <n v="23"/>
    <x v="0"/>
    <n v="2"/>
    <n v="2"/>
    <n v="23139.29"/>
    <n v="3730.7"/>
    <n v="4813.1899999999996"/>
  </r>
  <r>
    <s v="3577"/>
    <s v="Carlos Morales"/>
    <d v="1961-12-31T00:00:00"/>
    <n v="59"/>
    <x v="0"/>
    <x v="1"/>
    <d v="2024-05-06T00:00:00"/>
    <d v="2024-06-13T00:00:00"/>
    <n v="23"/>
    <x v="2"/>
    <n v="1"/>
    <n v="6"/>
    <n v="10108.379999999999"/>
    <n v="14191.78"/>
    <n v="11686.61"/>
  </r>
  <r>
    <s v="3578"/>
    <s v="María López"/>
    <d v="1996-01-01T00:00:00"/>
    <n v="30"/>
    <x v="0"/>
    <x v="3"/>
    <d v="2023-11-12T00:00:00"/>
    <d v="2023-05-06T00:00:00"/>
    <n v="14"/>
    <x v="0"/>
    <n v="8"/>
    <n v="6"/>
    <n v="466.7"/>
    <n v="11577.12"/>
    <n v="13898.14"/>
  </r>
  <r>
    <s v="3579"/>
    <s v="José Martínez"/>
    <d v="2023-01-01T00:00:00"/>
    <n v="3"/>
    <x v="1"/>
    <x v="2"/>
    <d v="2024-08-12T00:00:00"/>
    <d v="2024-04-28T00:00:00"/>
    <n v="24"/>
    <x v="0"/>
    <n v="14"/>
    <n v="6"/>
    <n v="20135.13"/>
    <n v="1313.58"/>
    <n v="5690.53"/>
  </r>
  <r>
    <s v="3580"/>
    <s v="Carlos Gómez"/>
    <d v="1976-12-31T00:00:00"/>
    <n v="49"/>
    <x v="0"/>
    <x v="0"/>
    <d v="2024-08-10T00:00:00"/>
    <d v="2024-08-17T00:00:00"/>
    <n v="26"/>
    <x v="0"/>
    <n v="3"/>
    <n v="7"/>
    <n v="24811.26"/>
    <n v="82.72"/>
    <n v="7905.99"/>
  </r>
  <r>
    <s v="3581"/>
    <s v="Sofía Pérez"/>
    <d v="1957-12-31T00:00:00"/>
    <n v="68"/>
    <x v="1"/>
    <x v="4"/>
    <d v="2024-07-25T00:00:00"/>
    <d v="2023-01-05T00:00:00"/>
    <n v="36"/>
    <x v="0"/>
    <n v="13"/>
    <n v="3"/>
    <n v="27502.87"/>
    <n v="2631.29"/>
    <n v="18935.71"/>
  </r>
  <r>
    <s v="3582"/>
    <s v="Sofía Pérez"/>
    <d v="1996-12-31T00:00:00"/>
    <n v="29"/>
    <x v="1"/>
    <x v="2"/>
    <d v="2024-08-19T00:00:00"/>
    <d v="2024-09-19T00:00:00"/>
    <n v="6"/>
    <x v="2"/>
    <n v="13"/>
    <n v="5"/>
    <n v="20069.36"/>
    <n v="14158.36"/>
    <n v="8099.95"/>
  </r>
  <r>
    <s v="3583"/>
    <s v="Laura Ramírez"/>
    <d v="1939-01-01T00:00:00"/>
    <n v="87"/>
    <x v="0"/>
    <x v="2"/>
    <d v="2024-01-03T00:00:00"/>
    <d v="2023-12-18T00:00:00"/>
    <n v="11"/>
    <x v="0"/>
    <n v="6"/>
    <n v="1"/>
    <n v="5334.01"/>
    <n v="8700.58"/>
    <n v="6239.15"/>
  </r>
  <r>
    <s v="3584"/>
    <s v="José Ramírez"/>
    <d v="1968-01-01T00:00:00"/>
    <n v="58"/>
    <x v="0"/>
    <x v="0"/>
    <d v="2023-03-21T00:00:00"/>
    <d v="2023-12-18T00:00:00"/>
    <n v="2"/>
    <x v="0"/>
    <n v="1"/>
    <n v="6"/>
    <n v="17488.310000000001"/>
    <n v="12579.9"/>
    <n v="2054.9699999999998"/>
  </r>
  <r>
    <s v="3585"/>
    <s v="Laura Rodríguez"/>
    <d v="1960-01-01T00:00:00"/>
    <n v="66"/>
    <x v="1"/>
    <x v="0"/>
    <d v="2023-06-21T00:00:00"/>
    <d v="2024-10-11T00:00:00"/>
    <n v="27"/>
    <x v="1"/>
    <n v="12"/>
    <n v="8"/>
    <n v="27308.74"/>
    <n v="6978.38"/>
    <n v="6760.96"/>
  </r>
  <r>
    <s v="3586"/>
    <s v="Ricardo Rodríguez"/>
    <d v="1952-01-01T00:00:00"/>
    <n v="22"/>
    <x v="1"/>
    <x v="4"/>
    <d v="2023-09-15T00:00:00"/>
    <d v="2025-03-10T00:00:00"/>
    <n v="25"/>
    <x v="0"/>
    <n v="1"/>
    <n v="4"/>
    <n v="10192.08"/>
    <n v="12399.54"/>
    <n v="12204.07"/>
  </r>
  <r>
    <s v="3587"/>
    <s v="Elena Pérez"/>
    <d v="1981-12-31T00:00:00"/>
    <n v="44"/>
    <x v="1"/>
    <x v="4"/>
    <d v="2023-10-06T00:00:00"/>
    <d v="2023-08-17T00:00:00"/>
    <n v="34"/>
    <x v="0"/>
    <n v="1"/>
    <n v="3"/>
    <n v="28577.200000000001"/>
    <n v="508.75"/>
    <n v="2869.42"/>
  </r>
  <r>
    <s v="3588"/>
    <s v="Ana Gómez"/>
    <d v="2023-01-01T00:00:00"/>
    <n v="3"/>
    <x v="1"/>
    <x v="5"/>
    <d v="2024-05-18T00:00:00"/>
    <d v="2023-01-17T00:00:00"/>
    <n v="5"/>
    <x v="2"/>
    <n v="11"/>
    <n v="1"/>
    <n v="2479.21"/>
    <n v="6402.29"/>
    <n v="12066.26"/>
  </r>
  <r>
    <s v="3589"/>
    <s v="Miguel Sánchez"/>
    <d v="2000-12-31T00:00:00"/>
    <n v="25"/>
    <x v="2"/>
    <x v="1"/>
    <d v="2024-07-11T00:00:00"/>
    <d v="2025-03-21T00:00:00"/>
    <n v="12"/>
    <x v="0"/>
    <n v="4"/>
    <n v="6"/>
    <n v="21705.61"/>
    <n v="5663.92"/>
    <n v="14798.03"/>
  </r>
  <r>
    <s v="3590"/>
    <s v="Carlos Ramírez"/>
    <d v="2000-01-01T00:00:00"/>
    <n v="26"/>
    <x v="0"/>
    <x v="1"/>
    <d v="2024-05-05T00:00:00"/>
    <d v="2024-03-01T00:00:00"/>
    <n v="25"/>
    <x v="0"/>
    <n v="8"/>
    <n v="1"/>
    <n v="3157.29"/>
    <n v="14723.2"/>
    <n v="15341.7"/>
  </r>
  <r>
    <s v="3591"/>
    <s v="Luisa Cruz"/>
    <d v="1980-12-31T00:00:00"/>
    <n v="45"/>
    <x v="1"/>
    <x v="4"/>
    <d v="2024-08-07T00:00:00"/>
    <d v="2024-04-09T00:00:00"/>
    <n v="33"/>
    <x v="0"/>
    <n v="1"/>
    <n v="1"/>
    <n v="23865.7"/>
    <n v="4507.1400000000003"/>
    <n v="19694.650000000001"/>
  </r>
  <r>
    <s v="3592"/>
    <s v="José Pérez"/>
    <d v="1971-01-01T00:00:00"/>
    <n v="63"/>
    <x v="0"/>
    <x v="6"/>
    <d v="2024-07-19T00:00:00"/>
    <d v="2024-12-25T00:00:00"/>
    <n v="30"/>
    <x v="2"/>
    <n v="8"/>
    <n v="8"/>
    <n v="2478.5"/>
    <n v="6253.75"/>
    <n v="8634.69"/>
  </r>
  <r>
    <s v="3593"/>
    <s v="Pedro Pérez"/>
    <d v="1936-01-01T00:00:00"/>
    <n v="90"/>
    <x v="1"/>
    <x v="4"/>
    <d v="2023-12-03T00:00:00"/>
    <d v="2023-09-04T00:00:00"/>
    <n v="3"/>
    <x v="0"/>
    <n v="10"/>
    <n v="1"/>
    <n v="9434.61"/>
    <n v="11382.01"/>
    <n v="551.9"/>
  </r>
  <r>
    <s v="3594"/>
    <s v="Carlos Martínez"/>
    <d v="1976-01-01T00:00:00"/>
    <n v="50"/>
    <x v="1"/>
    <x v="5"/>
    <d v="2024-06-04T00:00:00"/>
    <d v="2025-03-09T00:00:00"/>
    <n v="9"/>
    <x v="2"/>
    <n v="1"/>
    <n v="9"/>
    <n v="23194.28"/>
    <n v="13210.7"/>
    <n v="17079.27"/>
  </r>
  <r>
    <s v="3595"/>
    <s v="Pedro Cruz"/>
    <d v="1980-01-01T00:00:00"/>
    <n v="49"/>
    <x v="0"/>
    <x v="6"/>
    <d v="2023-11-22T00:00:00"/>
    <d v="2025-03-05T00:00:00"/>
    <n v="4"/>
    <x v="0"/>
    <n v="13"/>
    <n v="2"/>
    <n v="13535.89"/>
    <n v="13175.82"/>
    <n v="1578.64"/>
  </r>
  <r>
    <s v="3596"/>
    <s v="Laura Ramírez"/>
    <d v="2020-12-31T00:00:00"/>
    <n v="5"/>
    <x v="0"/>
    <x v="0"/>
    <d v="2023-06-21T00:00:00"/>
    <d v="2023-06-27T00:00:00"/>
    <n v="25"/>
    <x v="0"/>
    <n v="3"/>
    <n v="2"/>
    <n v="26421.94"/>
    <n v="5917.66"/>
    <n v="17219.310000000001"/>
  </r>
  <r>
    <s v="3597"/>
    <s v="Sofía Rodríguez"/>
    <d v="1968-01-01T00:00:00"/>
    <n v="58"/>
    <x v="0"/>
    <x v="1"/>
    <d v="2023-03-25T00:00:00"/>
    <d v="2024-06-27T00:00:00"/>
    <n v="4"/>
    <x v="2"/>
    <n v="3"/>
    <n v="1"/>
    <n v="11753"/>
    <n v="14228.32"/>
    <n v="19652.28"/>
  </r>
  <r>
    <s v="3598"/>
    <s v="Elena Martínez"/>
    <d v="2012-01-01T00:00:00"/>
    <n v="14"/>
    <x v="0"/>
    <x v="1"/>
    <d v="2024-06-07T00:00:00"/>
    <d v="2024-05-24T00:00:00"/>
    <n v="38"/>
    <x v="2"/>
    <n v="0"/>
    <n v="9"/>
    <n v="29846.22"/>
    <n v="9802.6299999999992"/>
    <n v="18127.14"/>
  </r>
  <r>
    <s v="3599"/>
    <s v="Miguel Sánchez"/>
    <d v="1996-12-31T00:00:00"/>
    <n v="29"/>
    <x v="0"/>
    <x v="6"/>
    <d v="2024-04-25T00:00:00"/>
    <d v="2024-07-16T00:00:00"/>
    <n v="2"/>
    <x v="0"/>
    <n v="1"/>
    <n v="2"/>
    <n v="69.58"/>
    <n v="12767.03"/>
    <n v="19276.61"/>
  </r>
  <r>
    <s v="3600"/>
    <s v="Jorge Pérez"/>
    <d v="1984-12-31T00:00:00"/>
    <n v="41"/>
    <x v="1"/>
    <x v="3"/>
    <d v="2024-06-27T00:00:00"/>
    <d v="2024-10-17T00:00:00"/>
    <n v="21"/>
    <x v="1"/>
    <n v="12"/>
    <n v="8"/>
    <n v="20729.900000000001"/>
    <n v="13894.16"/>
    <n v="369.05"/>
  </r>
  <r>
    <s v="3601"/>
    <s v="Pedro Ramírez"/>
    <d v="1989-12-31T00:00:00"/>
    <n v="36"/>
    <x v="0"/>
    <x v="5"/>
    <d v="2024-02-22T00:00:00"/>
    <d v="2024-07-18T00:00:00"/>
    <n v="16"/>
    <x v="0"/>
    <n v="11"/>
    <n v="2"/>
    <n v="27434.57"/>
    <n v="3504"/>
    <n v="128.53"/>
  </r>
  <r>
    <s v="3602"/>
    <s v="Juan Morales"/>
    <d v="1984-12-31T00:00:00"/>
    <n v="41"/>
    <x v="2"/>
    <x v="5"/>
    <d v="2023-12-05T00:00:00"/>
    <d v="2023-08-22T00:00:00"/>
    <n v="29"/>
    <x v="1"/>
    <n v="7"/>
    <n v="4"/>
    <n v="15847.59"/>
    <n v="7487.98"/>
    <n v="4126.99"/>
  </r>
  <r>
    <s v="3603"/>
    <s v="Jorge Morales"/>
    <d v="1992-01-01T00:00:00"/>
    <n v="34"/>
    <x v="1"/>
    <x v="5"/>
    <d v="2023-11-16T00:00:00"/>
    <d v="2024-11-09T00:00:00"/>
    <n v="27"/>
    <x v="0"/>
    <n v="11"/>
    <n v="6"/>
    <n v="29649.53"/>
    <n v="8816.9599999999991"/>
    <n v="15954.12"/>
  </r>
  <r>
    <s v="3604"/>
    <s v="Laura Hernández"/>
    <d v="1940-01-01T00:00:00"/>
    <n v="86"/>
    <x v="0"/>
    <x v="1"/>
    <d v="2023-10-31T00:00:00"/>
    <d v="2023-02-08T00:00:00"/>
    <n v="2"/>
    <x v="0"/>
    <n v="1"/>
    <n v="0"/>
    <n v="21094.75"/>
    <n v="12036.57"/>
    <n v="1697.23"/>
  </r>
  <r>
    <s v="3605"/>
    <s v="Juan Gómez"/>
    <d v="2020-12-31T00:00:00"/>
    <n v="5"/>
    <x v="0"/>
    <x v="2"/>
    <d v="2023-09-29T00:00:00"/>
    <d v="2024-05-06T00:00:00"/>
    <n v="29"/>
    <x v="1"/>
    <n v="11"/>
    <n v="0"/>
    <n v="12600.55"/>
    <n v="6017.49"/>
    <n v="14905.02"/>
  </r>
  <r>
    <s v="3606"/>
    <s v="Luis Gómez"/>
    <d v="1959-01-01T00:00:00"/>
    <n v="67"/>
    <x v="1"/>
    <x v="1"/>
    <d v="2024-11-20T00:00:00"/>
    <d v="2024-03-20T00:00:00"/>
    <n v="17"/>
    <x v="1"/>
    <n v="1"/>
    <n v="9"/>
    <n v="15219.01"/>
    <n v="3156.74"/>
    <n v="152.46"/>
  </r>
  <r>
    <s v="3607"/>
    <s v="Ricardo Morales"/>
    <d v="2008-12-31T00:00:00"/>
    <n v="17"/>
    <x v="0"/>
    <x v="2"/>
    <d v="2023-04-24T00:00:00"/>
    <d v="2023-01-21T00:00:00"/>
    <n v="18"/>
    <x v="0"/>
    <n v="10"/>
    <n v="1"/>
    <n v="26262.82"/>
    <n v="11148.52"/>
    <n v="14595.1"/>
  </r>
  <r>
    <s v="3608"/>
    <s v="Juan Hernández"/>
    <d v="1953-12-31T00:00:00"/>
    <n v="72"/>
    <x v="1"/>
    <x v="1"/>
    <d v="2024-02-11T00:00:00"/>
    <d v="2024-09-03T00:00:00"/>
    <n v="16"/>
    <x v="0"/>
    <n v="14"/>
    <n v="0"/>
    <n v="28706.3"/>
    <n v="8885.02"/>
    <n v="4926.3900000000003"/>
  </r>
  <r>
    <s v="3609"/>
    <s v="Pedro Sánchez"/>
    <d v="1997-12-31T00:00:00"/>
    <n v="28"/>
    <x v="0"/>
    <x v="0"/>
    <d v="2023-01-26T00:00:00"/>
    <d v="2024-12-28T00:00:00"/>
    <n v="27"/>
    <x v="0"/>
    <n v="0"/>
    <n v="0"/>
    <n v="16454.53"/>
    <n v="13474.48"/>
    <n v="8752.82"/>
  </r>
  <r>
    <s v="3610"/>
    <s v="Elena Sánchez"/>
    <d v="1949-12-31T00:00:00"/>
    <n v="76"/>
    <x v="1"/>
    <x v="1"/>
    <d v="2023-08-25T00:00:00"/>
    <d v="2024-07-10T00:00:00"/>
    <n v="25"/>
    <x v="1"/>
    <n v="6"/>
    <n v="9"/>
    <n v="8868.08"/>
    <n v="9825.4500000000007"/>
    <n v="19527.759999999998"/>
  </r>
  <r>
    <s v="3611"/>
    <s v="Carmen Hernández"/>
    <d v="1968-01-01T00:00:00"/>
    <n v="58"/>
    <x v="0"/>
    <x v="0"/>
    <d v="2023-11-06T00:00:00"/>
    <d v="2023-04-22T00:00:00"/>
    <n v="29"/>
    <x v="1"/>
    <n v="4"/>
    <n v="3"/>
    <n v="6799.42"/>
    <n v="252.41"/>
    <n v="10989.88"/>
  </r>
  <r>
    <s v="3612"/>
    <s v="Carmen Rodríguez"/>
    <d v="1980-01-01T00:00:00"/>
    <n v="46"/>
    <x v="1"/>
    <x v="2"/>
    <d v="2024-11-14T00:00:00"/>
    <d v="2024-05-02T00:00:00"/>
    <n v="27"/>
    <x v="2"/>
    <n v="12"/>
    <n v="9"/>
    <n v="14049.97"/>
    <n v="14499.77"/>
    <n v="1399.94"/>
  </r>
  <r>
    <s v="3613"/>
    <s v="Juan Gómez"/>
    <d v="2009-12-31T00:00:00"/>
    <n v="16"/>
    <x v="1"/>
    <x v="5"/>
    <d v="2023-08-21T00:00:00"/>
    <d v="2023-03-31T00:00:00"/>
    <n v="20"/>
    <x v="0"/>
    <n v="2"/>
    <n v="2"/>
    <n v="8538.33"/>
    <n v="8896.66"/>
    <n v="17449.95"/>
  </r>
  <r>
    <s v="3614"/>
    <s v="Luis Morales"/>
    <d v="2004-12-31T00:00:00"/>
    <n v="21"/>
    <x v="1"/>
    <x v="2"/>
    <d v="2024-07-02T00:00:00"/>
    <d v="2023-11-16T00:00:00"/>
    <n v="24"/>
    <x v="0"/>
    <n v="5"/>
    <n v="0"/>
    <n v="12335.52"/>
    <n v="8938.16"/>
    <n v="6405.71"/>
  </r>
  <r>
    <s v="3615"/>
    <s v="Luis Morales"/>
    <d v="1959-01-01T00:00:00"/>
    <n v="67"/>
    <x v="0"/>
    <x v="6"/>
    <d v="2023-09-22T00:00:00"/>
    <d v="2023-04-29T00:00:00"/>
    <n v="34"/>
    <x v="0"/>
    <n v="4"/>
    <n v="2"/>
    <n v="24951.24"/>
    <n v="13638.92"/>
    <n v="11665.6"/>
  </r>
  <r>
    <s v="3616"/>
    <s v="Ricardo Pérez"/>
    <d v="1957-12-31T00:00:00"/>
    <n v="68"/>
    <x v="0"/>
    <x v="5"/>
    <d v="2023-01-13T00:00:00"/>
    <d v="2024-03-10T00:00:00"/>
    <n v="23"/>
    <x v="2"/>
    <n v="7"/>
    <n v="0"/>
    <n v="13895.62"/>
    <n v="9957.1299999999992"/>
    <n v="14206.62"/>
  </r>
  <r>
    <s v="3617"/>
    <s v="Juan Cruz"/>
    <d v="1989-12-31T00:00:00"/>
    <n v="36"/>
    <x v="0"/>
    <x v="1"/>
    <d v="2024-05-10T00:00:00"/>
    <d v="2023-08-28T00:00:00"/>
    <n v="0"/>
    <x v="0"/>
    <n v="4"/>
    <n v="2"/>
    <n v="19046.810000000001"/>
    <n v="7189.82"/>
    <n v="15528.02"/>
  </r>
  <r>
    <s v="3618"/>
    <s v="María Ramírez"/>
    <d v="1977-12-31T00:00:00"/>
    <n v="48"/>
    <x v="0"/>
    <x v="1"/>
    <d v="2023-11-12T00:00:00"/>
    <d v="2023-03-14T00:00:00"/>
    <n v="28"/>
    <x v="2"/>
    <n v="0"/>
    <n v="3"/>
    <n v="2248.2600000000002"/>
    <n v="1609.28"/>
    <n v="8593.16"/>
  </r>
  <r>
    <s v="3619"/>
    <s v="Miguel López"/>
    <d v="2013-12-31T00:00:00"/>
    <n v="12"/>
    <x v="1"/>
    <x v="1"/>
    <d v="2024-09-09T00:00:00"/>
    <d v="2025-04-02T00:00:00"/>
    <n v="1"/>
    <x v="0"/>
    <n v="1"/>
    <n v="7"/>
    <n v="22744.880000000001"/>
    <n v="14432.98"/>
    <n v="15439.06"/>
  </r>
  <r>
    <s v="3620"/>
    <s v="Luisa Sánchez"/>
    <d v="1992-12-31T00:00:00"/>
    <n v="33"/>
    <x v="1"/>
    <x v="1"/>
    <d v="2024-09-29T00:00:00"/>
    <d v="2024-02-04T00:00:00"/>
    <n v="7"/>
    <x v="0"/>
    <n v="7"/>
    <n v="2"/>
    <n v="14228.58"/>
    <n v="1177.31"/>
    <n v="2249.58"/>
  </r>
  <r>
    <s v="3621"/>
    <s v="Luis Pérez"/>
    <d v="1940-12-31T00:00:00"/>
    <n v="7"/>
    <x v="0"/>
    <x v="1"/>
    <d v="2024-01-19T00:00:00"/>
    <d v="2025-03-27T00:00:00"/>
    <n v="35"/>
    <x v="2"/>
    <n v="13"/>
    <n v="2"/>
    <n v="10508.75"/>
    <n v="2554.5"/>
    <n v="10465.94"/>
  </r>
  <r>
    <s v="3622"/>
    <s v="Ana Morales"/>
    <d v="1973-12-31T00:00:00"/>
    <n v="52"/>
    <x v="1"/>
    <x v="2"/>
    <d v="2024-10-03T00:00:00"/>
    <d v="2024-02-09T00:00:00"/>
    <n v="16"/>
    <x v="0"/>
    <n v="13"/>
    <n v="8"/>
    <n v="18135.18"/>
    <n v="12293.05"/>
    <n v="339.9"/>
  </r>
  <r>
    <s v="3623"/>
    <s v="Carlos Morales"/>
    <d v="1940-01-01T00:00:00"/>
    <n v="86"/>
    <x v="2"/>
    <x v="4"/>
    <d v="2023-11-12T00:00:00"/>
    <d v="2024-11-06T00:00:00"/>
    <n v="28"/>
    <x v="2"/>
    <n v="5"/>
    <n v="8"/>
    <n v="0"/>
    <n v="7356.08"/>
    <n v="8066.05"/>
  </r>
  <r>
    <s v="3624"/>
    <s v="Laura Martínez"/>
    <d v="1976-01-01T00:00:00"/>
    <n v="50"/>
    <x v="0"/>
    <x v="0"/>
    <d v="2023-09-13T00:00:00"/>
    <d v="2023-09-09T00:00:00"/>
    <n v="26"/>
    <x v="1"/>
    <n v="4"/>
    <n v="5"/>
    <n v="12126.96"/>
    <n v="2674.03"/>
    <n v="7231.8"/>
  </r>
  <r>
    <s v="3625"/>
    <s v="Miguel Morales"/>
    <d v="2024-01-01T00:00:00"/>
    <n v="2"/>
    <x v="1"/>
    <x v="4"/>
    <d v="2024-03-16T00:00:00"/>
    <d v="2025-05-19T00:00:00"/>
    <n v="22"/>
    <x v="0"/>
    <n v="11"/>
    <n v="9"/>
    <n v="24234.66"/>
    <n v="4292.43"/>
    <n v="19560.47"/>
  </r>
  <r>
    <s v="3626"/>
    <s v="Elena Hernández"/>
    <d v="1984-12-31T00:00:00"/>
    <n v="41"/>
    <x v="1"/>
    <x v="2"/>
    <d v="2023-04-25T00:00:00"/>
    <d v="2023-07-15T00:00:00"/>
    <n v="29"/>
    <x v="1"/>
    <n v="3"/>
    <n v="3"/>
    <n v="7492.95"/>
    <n v="14910.22"/>
    <n v="7896.76"/>
  </r>
  <r>
    <s v="3627"/>
    <s v="María Ramírez"/>
    <d v="1995-01-01T00:00:00"/>
    <n v="31"/>
    <x v="0"/>
    <x v="3"/>
    <d v="2023-10-26T00:00:00"/>
    <d v="2024-07-26T00:00:00"/>
    <n v="14"/>
    <x v="2"/>
    <n v="1"/>
    <n v="9"/>
    <n v="27379.93"/>
    <n v="8760.2999999999993"/>
    <n v="18132.55"/>
  </r>
  <r>
    <s v="3628"/>
    <s v="Elena Rodríguez"/>
    <d v="1976-01-01T00:00:00"/>
    <n v="50"/>
    <x v="1"/>
    <x v="4"/>
    <d v="2023-05-04T00:00:00"/>
    <d v="2024-09-02T00:00:00"/>
    <n v="20"/>
    <x v="0"/>
    <n v="2"/>
    <n v="4"/>
    <n v="17911.13"/>
    <n v="6024.2"/>
    <n v="8649.5300000000007"/>
  </r>
  <r>
    <s v="3629"/>
    <s v="Laura Pérez"/>
    <d v="1941-12-31T00:00:00"/>
    <n v="84"/>
    <x v="1"/>
    <x v="2"/>
    <d v="2023-09-13T00:00:00"/>
    <d v="2025-05-18T00:00:00"/>
    <n v="15"/>
    <x v="2"/>
    <n v="1"/>
    <n v="8"/>
    <n v="15993.9"/>
    <n v="13143.26"/>
    <n v="10621.09"/>
  </r>
  <r>
    <s v="3630"/>
    <s v="Miguel Rodríguez"/>
    <d v="1980-12-31T00:00:00"/>
    <n v="45"/>
    <x v="1"/>
    <x v="5"/>
    <d v="2024-10-12T00:00:00"/>
    <d v="2025-05-17T00:00:00"/>
    <n v="8"/>
    <x v="2"/>
    <n v="3"/>
    <n v="0"/>
    <n v="11686.92"/>
    <n v="7195.45"/>
    <n v="6949.39"/>
  </r>
  <r>
    <s v="3631"/>
    <s v="Sofía Morales"/>
    <d v="2005-12-31T00:00:00"/>
    <n v="20"/>
    <x v="0"/>
    <x v="1"/>
    <d v="2024-12-18T00:00:00"/>
    <d v="2024-08-08T00:00:00"/>
    <n v="17"/>
    <x v="1"/>
    <n v="5"/>
    <n v="6"/>
    <n v="22130.98"/>
    <n v="4619.03"/>
    <n v="12764.31"/>
  </r>
  <r>
    <s v="3632"/>
    <s v="Carmen Hernández"/>
    <d v="1983-01-01T00:00:00"/>
    <n v="43"/>
    <x v="0"/>
    <x v="2"/>
    <d v="2023-02-16T00:00:00"/>
    <d v="2023-08-11T00:00:00"/>
    <n v="10"/>
    <x v="0"/>
    <n v="0"/>
    <n v="6"/>
    <n v="16716.259999999998"/>
    <n v="2463.34"/>
    <n v="14756.32"/>
  </r>
  <r>
    <s v="3633"/>
    <s v="Carmen Hernández"/>
    <d v="2016-01-01T00:00:00"/>
    <n v="10"/>
    <x v="1"/>
    <x v="4"/>
    <d v="2024-12-29T00:00:00"/>
    <d v="2024-09-23T00:00:00"/>
    <n v="21"/>
    <x v="0"/>
    <n v="9"/>
    <n v="9"/>
    <n v="23794.54"/>
    <n v="11167.04"/>
    <n v="15800.31"/>
  </r>
  <r>
    <s v="3634"/>
    <s v="Ana Sánchez"/>
    <d v="1959-01-01T00:00:00"/>
    <n v="67"/>
    <x v="1"/>
    <x v="0"/>
    <d v="2024-04-07T00:00:00"/>
    <d v="2023-07-02T00:00:00"/>
    <n v="17"/>
    <x v="2"/>
    <n v="10"/>
    <n v="0"/>
    <n v="9616.2099999999991"/>
    <n v="8943.35"/>
    <n v="13848.18"/>
  </r>
  <r>
    <s v="3635"/>
    <s v="Luis Ramírez"/>
    <d v="2025-12-31T00:00:00"/>
    <n v="0"/>
    <x v="1"/>
    <x v="4"/>
    <d v="2023-12-16T00:00:00"/>
    <d v="2025-06-15T00:00:00"/>
    <n v="39"/>
    <x v="1"/>
    <n v="6"/>
    <n v="0"/>
    <n v="20911.439999999999"/>
    <n v="1385.31"/>
    <n v="6531.95"/>
  </r>
  <r>
    <s v="3636"/>
    <s v="Sofía Martínez"/>
    <d v="1935-01-01T00:00:00"/>
    <n v="91"/>
    <x v="0"/>
    <x v="1"/>
    <d v="2023-05-03T00:00:00"/>
    <d v="2024-12-31T00:00:00"/>
    <n v="25"/>
    <x v="0"/>
    <n v="13"/>
    <n v="8"/>
    <n v="28275"/>
    <n v="8874.6"/>
    <n v="6544.98"/>
  </r>
  <r>
    <s v="3637"/>
    <s v="Carmen Martínez"/>
    <d v="1964-01-01T00:00:00"/>
    <n v="62"/>
    <x v="1"/>
    <x v="4"/>
    <d v="2023-01-31T00:00:00"/>
    <d v="2023-09-14T00:00:00"/>
    <n v="32"/>
    <x v="1"/>
    <n v="10"/>
    <n v="6"/>
    <n v="8037.52"/>
    <n v="2391.7600000000002"/>
    <n v="6892.95"/>
  </r>
  <r>
    <s v="3638"/>
    <s v="Ricardo López"/>
    <d v="2003-01-01T00:00:00"/>
    <n v="23"/>
    <x v="1"/>
    <x v="6"/>
    <d v="2023-02-24T00:00:00"/>
    <d v="2023-03-30T00:00:00"/>
    <n v="18"/>
    <x v="1"/>
    <n v="8"/>
    <n v="3"/>
    <n v="29420.55"/>
    <n v="14725.8"/>
    <n v="660.41"/>
  </r>
  <r>
    <s v="3639"/>
    <s v="José Gómez"/>
    <d v="2013-12-31T00:00:00"/>
    <n v="12"/>
    <x v="0"/>
    <x v="3"/>
    <d v="2023-06-02T00:00:00"/>
    <d v="2025-05-23T00:00:00"/>
    <n v="3"/>
    <x v="1"/>
    <n v="4"/>
    <n v="8"/>
    <n v="12021.08"/>
    <n v="3895.64"/>
    <n v="18855.34"/>
  </r>
  <r>
    <s v="3640"/>
    <s v="Carlos Pérez"/>
    <d v="2016-01-01T00:00:00"/>
    <n v="10"/>
    <x v="0"/>
    <x v="5"/>
    <d v="2024-03-31T00:00:00"/>
    <d v="2025-02-26T00:00:00"/>
    <n v="4"/>
    <x v="2"/>
    <n v="8"/>
    <n v="4"/>
    <n v="675.24"/>
    <n v="10440.24"/>
    <n v="3834.08"/>
  </r>
  <r>
    <s v="3641"/>
    <s v="María Gómez"/>
    <d v="1976-01-01T00:00:00"/>
    <n v="50"/>
    <x v="2"/>
    <x v="0"/>
    <d v="2023-10-13T00:00:00"/>
    <d v="2024-05-07T00:00:00"/>
    <n v="26"/>
    <x v="0"/>
    <n v="14"/>
    <n v="2"/>
    <n v="10409.89"/>
    <n v="9840.68"/>
    <n v="3100.1"/>
  </r>
  <r>
    <s v="3642"/>
    <s v="Pedro Sánchez"/>
    <d v="2009-12-31T00:00:00"/>
    <n v="16"/>
    <x v="0"/>
    <x v="3"/>
    <d v="2023-02-05T00:00:00"/>
    <d v="2023-12-03T00:00:00"/>
    <n v="20"/>
    <x v="2"/>
    <n v="12"/>
    <n v="1"/>
    <n v="4064.09"/>
    <n v="10370.27"/>
    <n v="11002.32"/>
  </r>
  <r>
    <s v="3643"/>
    <s v="María Hernández"/>
    <d v="1944-12-31T00:00:00"/>
    <n v="81"/>
    <x v="1"/>
    <x v="2"/>
    <d v="2023-09-13T00:00:00"/>
    <d v="2024-06-22T00:00:00"/>
    <n v="2"/>
    <x v="2"/>
    <n v="1"/>
    <n v="8"/>
    <n v="8780.7000000000007"/>
    <n v="6449.92"/>
    <n v="853.05"/>
  </r>
  <r>
    <s v="3644"/>
    <s v="Laura Martínez"/>
    <d v="1940-12-31T00:00:00"/>
    <n v="85"/>
    <x v="1"/>
    <x v="3"/>
    <d v="2023-06-27T00:00:00"/>
    <d v="2024-02-12T00:00:00"/>
    <n v="19"/>
    <x v="0"/>
    <n v="0"/>
    <n v="3"/>
    <n v="2427.0700000000002"/>
    <n v="1114.98"/>
    <n v="16740.650000000001"/>
  </r>
  <r>
    <s v="3645"/>
    <s v="Carlos Martínez"/>
    <d v="2003-01-01T00:00:00"/>
    <n v="23"/>
    <x v="1"/>
    <x v="1"/>
    <d v="2024-07-01T00:00:00"/>
    <d v="2024-09-25T00:00:00"/>
    <n v="6"/>
    <x v="0"/>
    <n v="6"/>
    <n v="6"/>
    <n v="4935.21"/>
    <n v="14700.11"/>
    <n v="17511.63"/>
  </r>
  <r>
    <s v="3646"/>
    <s v="Luis Martínez"/>
    <d v="2008-01-01T00:00:00"/>
    <n v="18"/>
    <x v="1"/>
    <x v="1"/>
    <d v="2023-09-11T00:00:00"/>
    <d v="2023-10-17T00:00:00"/>
    <n v="29"/>
    <x v="0"/>
    <n v="11"/>
    <n v="0"/>
    <n v="3364.32"/>
    <n v="2872.89"/>
    <n v="7895.98"/>
  </r>
  <r>
    <s v="3647"/>
    <s v="Carlos Rodríguez"/>
    <d v="1989-12-31T00:00:00"/>
    <n v="36"/>
    <x v="0"/>
    <x v="6"/>
    <d v="2024-05-22T00:00:00"/>
    <d v="2023-12-29T00:00:00"/>
    <n v="7"/>
    <x v="1"/>
    <n v="2"/>
    <n v="8"/>
    <n v="826.03"/>
    <n v="11545.8"/>
    <n v="19425.52"/>
  </r>
  <r>
    <s v="3648"/>
    <s v="Ana Ramírez"/>
    <d v="1941-12-31T00:00:00"/>
    <n v="84"/>
    <x v="0"/>
    <x v="3"/>
    <d v="2024-11-04T00:00:00"/>
    <d v="2024-03-17T00:00:00"/>
    <n v="25"/>
    <x v="0"/>
    <n v="5"/>
    <n v="8"/>
    <n v="8533.68"/>
    <n v="2063.6"/>
    <n v="6417.57"/>
  </r>
  <r>
    <s v="3649"/>
    <s v="Jorge Gómez"/>
    <d v="2019-01-01T00:00:00"/>
    <n v="7"/>
    <x v="0"/>
    <x v="4"/>
    <d v="2023-01-21T00:00:00"/>
    <d v="2023-01-31T00:00:00"/>
    <n v="8"/>
    <x v="0"/>
    <n v="5"/>
    <n v="9"/>
    <n v="28199.279999999999"/>
    <n v="4217.96"/>
    <n v="5130.75"/>
  </r>
  <r>
    <s v="3650"/>
    <s v="Miguel López"/>
    <d v="1999-01-01T00:00:00"/>
    <n v="36"/>
    <x v="1"/>
    <x v="3"/>
    <d v="2023-03-16T00:00:00"/>
    <d v="2024-12-15T00:00:00"/>
    <n v="4"/>
    <x v="2"/>
    <n v="14"/>
    <n v="5"/>
    <n v="28456.49"/>
    <n v="8398.2999999999993"/>
    <n v="19792.75"/>
  </r>
  <r>
    <s v="3651"/>
    <s v="Ana Pérez"/>
    <d v="2021-12-31T00:00:00"/>
    <n v="4"/>
    <x v="0"/>
    <x v="1"/>
    <d v="2024-12-19T00:00:00"/>
    <d v="2025-06-13T00:00:00"/>
    <n v="27"/>
    <x v="1"/>
    <n v="12"/>
    <n v="5"/>
    <n v="0"/>
    <n v="6202.04"/>
    <n v="4931.13"/>
  </r>
  <r>
    <s v="3652"/>
    <s v="Miguel Sánchez"/>
    <d v="2009-12-31T00:00:00"/>
    <n v="16"/>
    <x v="0"/>
    <x v="2"/>
    <d v="2024-04-04T00:00:00"/>
    <d v="2024-07-02T00:00:00"/>
    <n v="35"/>
    <x v="2"/>
    <n v="8"/>
    <n v="5"/>
    <n v="0"/>
    <n v="14374"/>
    <n v="8829.4699999999993"/>
  </r>
  <r>
    <s v="3653"/>
    <s v="Juan Sánchez"/>
    <d v="1991-01-01T00:00:00"/>
    <n v="35"/>
    <x v="1"/>
    <x v="2"/>
    <d v="2023-06-27T00:00:00"/>
    <d v="2024-09-29T00:00:00"/>
    <n v="31"/>
    <x v="0"/>
    <n v="7"/>
    <n v="4"/>
    <n v="357.77"/>
    <n v="12715.28"/>
    <n v="12198.55"/>
  </r>
  <r>
    <s v="3654"/>
    <s v="Luisa Cruz"/>
    <d v="2005-01-01T00:00:00"/>
    <n v="18"/>
    <x v="0"/>
    <x v="5"/>
    <d v="2024-01-17T00:00:00"/>
    <d v="2023-08-12T00:00:00"/>
    <n v="25"/>
    <x v="1"/>
    <n v="8"/>
    <n v="0"/>
    <n v="184.1"/>
    <n v="13826.86"/>
    <n v="6382.86"/>
  </r>
  <r>
    <s v="3655"/>
    <s v="Pedro Martínez"/>
    <d v="1963-01-01T00:00:00"/>
    <n v="63"/>
    <x v="1"/>
    <x v="4"/>
    <d v="2023-02-06T00:00:00"/>
    <d v="2025-01-17T00:00:00"/>
    <n v="29"/>
    <x v="2"/>
    <n v="13"/>
    <n v="3"/>
    <n v="10682.52"/>
    <n v="9610.4500000000007"/>
    <n v="7622.76"/>
  </r>
  <r>
    <s v="3656"/>
    <s v="Pedro Morales"/>
    <d v="1936-01-01T00:00:00"/>
    <n v="90"/>
    <x v="1"/>
    <x v="4"/>
    <d v="2023-04-30T00:00:00"/>
    <d v="2023-05-05T00:00:00"/>
    <n v="13"/>
    <x v="2"/>
    <n v="12"/>
    <n v="9"/>
    <n v="29397.87"/>
    <n v="3283.74"/>
    <n v="14387.26"/>
  </r>
  <r>
    <s v="3657"/>
    <s v="Jorge Rodríguez"/>
    <d v="2016-01-01T00:00:00"/>
    <n v="10"/>
    <x v="0"/>
    <x v="2"/>
    <d v="2024-09-21T00:00:00"/>
    <d v="2024-11-14T00:00:00"/>
    <n v="36"/>
    <x v="2"/>
    <n v="6"/>
    <n v="0"/>
    <n v="26853.55"/>
    <n v="7777.49"/>
    <n v="14432.8"/>
  </r>
  <r>
    <s v="3658"/>
    <s v="Laura Morales"/>
    <d v="1972-12-31T00:00:00"/>
    <n v="53"/>
    <x v="0"/>
    <x v="3"/>
    <d v="2023-01-01T00:00:00"/>
    <d v="2024-11-24T00:00:00"/>
    <n v="2"/>
    <x v="1"/>
    <n v="10"/>
    <n v="4"/>
    <n v="7141.32"/>
    <n v="11483"/>
    <n v="16052.73"/>
  </r>
  <r>
    <s v="3659"/>
    <s v="Luisa López"/>
    <d v="1981-12-31T00:00:00"/>
    <n v="44"/>
    <x v="1"/>
    <x v="6"/>
    <d v="2024-12-21T00:00:00"/>
    <d v="2023-08-04T00:00:00"/>
    <n v="31"/>
    <x v="0"/>
    <n v="11"/>
    <n v="3"/>
    <n v="0"/>
    <n v="970.77"/>
    <n v="11833.4"/>
  </r>
  <r>
    <s v="3660"/>
    <s v="Luis Cruz"/>
    <d v="1980-01-01T00:00:00"/>
    <n v="46"/>
    <x v="1"/>
    <x v="2"/>
    <d v="2023-11-07T00:00:00"/>
    <d v="2023-04-29T00:00:00"/>
    <n v="38"/>
    <x v="0"/>
    <n v="13"/>
    <n v="7"/>
    <n v="24645.07"/>
    <n v="12946.76"/>
    <n v="4593.83"/>
  </r>
  <r>
    <s v="3661"/>
    <s v="Luisa López"/>
    <d v="2015-01-01T00:00:00"/>
    <n v="11"/>
    <x v="2"/>
    <x v="4"/>
    <d v="2023-07-27T00:00:00"/>
    <d v="2023-08-16T00:00:00"/>
    <n v="20"/>
    <x v="2"/>
    <n v="6"/>
    <n v="0"/>
    <n v="22636.799999999999"/>
    <n v="9470.26"/>
    <n v="6595.5"/>
  </r>
  <r>
    <s v="3662"/>
    <s v="José Morales"/>
    <d v="2005-12-31T00:00:00"/>
    <n v="20"/>
    <x v="0"/>
    <x v="4"/>
    <d v="2023-06-03T00:00:00"/>
    <d v="2025-06-10T00:00:00"/>
    <n v="17"/>
    <x v="1"/>
    <n v="5"/>
    <n v="7"/>
    <n v="3544.85"/>
    <n v="10853.57"/>
    <n v="18004.21"/>
  </r>
  <r>
    <s v="3663"/>
    <s v="Ricardo Ramírez"/>
    <d v="2016-01-01T00:00:00"/>
    <n v="10"/>
    <x v="0"/>
    <x v="1"/>
    <d v="2024-11-13T00:00:00"/>
    <d v="2024-03-20T00:00:00"/>
    <n v="15"/>
    <x v="0"/>
    <n v="8"/>
    <n v="7"/>
    <n v="2787.19"/>
    <n v="10414.43"/>
    <n v="14647.94"/>
  </r>
  <r>
    <s v="3664"/>
    <s v="Elena Morales"/>
    <d v="1935-01-01T00:00:00"/>
    <n v="91"/>
    <x v="1"/>
    <x v="1"/>
    <d v="2023-11-11T00:00:00"/>
    <d v="2024-07-03T00:00:00"/>
    <n v="15"/>
    <x v="2"/>
    <n v="3"/>
    <n v="0"/>
    <n v="16083.48"/>
    <n v="12716.44"/>
    <n v="1669.37"/>
  </r>
  <r>
    <s v="3665"/>
    <s v="Elena Cruz"/>
    <d v="2021-12-31T00:00:00"/>
    <n v="68"/>
    <x v="1"/>
    <x v="5"/>
    <d v="2023-11-03T00:00:00"/>
    <d v="2025-04-09T00:00:00"/>
    <n v="39"/>
    <x v="1"/>
    <n v="7"/>
    <n v="8"/>
    <n v="2614.41"/>
    <n v="1312.81"/>
    <n v="15047.69"/>
  </r>
  <r>
    <s v="3666"/>
    <s v="Ana Morales"/>
    <d v="1945-12-31T00:00:00"/>
    <n v="80"/>
    <x v="1"/>
    <x v="5"/>
    <d v="2024-05-18T00:00:00"/>
    <d v="2024-08-31T00:00:00"/>
    <n v="37"/>
    <x v="0"/>
    <n v="12"/>
    <n v="8"/>
    <n v="24663.07"/>
    <n v="5655.66"/>
    <n v="6546.22"/>
  </r>
  <r>
    <s v="3667"/>
    <s v="Carlos Sánchez"/>
    <d v="1971-01-01T00:00:00"/>
    <n v="55"/>
    <x v="1"/>
    <x v="3"/>
    <d v="2024-09-10T00:00:00"/>
    <d v="2024-09-24T00:00:00"/>
    <n v="18"/>
    <x v="2"/>
    <n v="10"/>
    <n v="5"/>
    <n v="7226.46"/>
    <n v="7539.25"/>
    <n v="366.86"/>
  </r>
  <r>
    <s v="3668"/>
    <s v="Laura Pérez"/>
    <d v="2007-01-01T00:00:00"/>
    <n v="19"/>
    <x v="1"/>
    <x v="2"/>
    <d v="2024-10-16T00:00:00"/>
    <d v="2024-03-13T00:00:00"/>
    <n v="5"/>
    <x v="1"/>
    <n v="9"/>
    <n v="0"/>
    <n v="5244.06"/>
    <n v="8198.9599999999991"/>
    <n v="9623.01"/>
  </r>
  <r>
    <s v="3669"/>
    <s v="Sofía Pérez"/>
    <d v="1985-12-31T00:00:00"/>
    <n v="40"/>
    <x v="1"/>
    <x v="2"/>
    <d v="2024-06-03T00:00:00"/>
    <d v="2023-01-13T00:00:00"/>
    <n v="31"/>
    <x v="2"/>
    <n v="5"/>
    <n v="6"/>
    <n v="5162.9799999999996"/>
    <n v="14138.33"/>
    <n v="17656.259999999998"/>
  </r>
  <r>
    <s v="3670"/>
    <s v="María Sánchez"/>
    <d v="1980-12-31T00:00:00"/>
    <n v="45"/>
    <x v="0"/>
    <x v="5"/>
    <d v="2024-08-28T00:00:00"/>
    <d v="2023-05-03T00:00:00"/>
    <n v="8"/>
    <x v="1"/>
    <n v="13"/>
    <n v="6"/>
    <n v="879.56"/>
    <n v="636.96"/>
    <n v="8831.42"/>
  </r>
  <r>
    <s v="3671"/>
    <s v="Sofía Ramírez"/>
    <d v="2015-01-01T00:00:00"/>
    <n v="11"/>
    <x v="1"/>
    <x v="2"/>
    <d v="2023-04-07T00:00:00"/>
    <d v="2024-07-01T00:00:00"/>
    <n v="7"/>
    <x v="0"/>
    <n v="10"/>
    <n v="8"/>
    <n v="19075.96"/>
    <n v="12995.9"/>
    <n v="19774.88"/>
  </r>
  <r>
    <s v="3672"/>
    <s v="Carlos Ramírez"/>
    <d v="1956-12-31T00:00:00"/>
    <n v="69"/>
    <x v="0"/>
    <x v="3"/>
    <d v="2024-05-04T00:00:00"/>
    <d v="2024-05-04T00:00:00"/>
    <n v="5"/>
    <x v="0"/>
    <n v="12"/>
    <n v="0"/>
    <n v="4517.13"/>
    <n v="8278.52"/>
    <n v="3479.34"/>
  </r>
  <r>
    <s v="3673"/>
    <s v="José Gómez"/>
    <d v="2009-12-31T00:00:00"/>
    <n v="16"/>
    <x v="1"/>
    <x v="6"/>
    <d v="2023-01-07T00:00:00"/>
    <d v="2023-09-09T00:00:00"/>
    <n v="5"/>
    <x v="1"/>
    <n v="9"/>
    <n v="7"/>
    <n v="6616.81"/>
    <n v="8319.42"/>
    <n v="6953.04"/>
  </r>
  <r>
    <s v="3674"/>
    <s v="Carlos Morales"/>
    <d v="2008-01-01T00:00:00"/>
    <n v="18"/>
    <x v="1"/>
    <x v="1"/>
    <d v="2023-01-12T00:00:00"/>
    <d v="2024-08-02T00:00:00"/>
    <n v="16"/>
    <x v="0"/>
    <n v="14"/>
    <n v="7"/>
    <n v="22414.83"/>
    <n v="4804.95"/>
    <n v="234.04"/>
  </r>
  <r>
    <s v="3675"/>
    <s v="Miguel Martínez"/>
    <d v="2000-12-31T00:00:00"/>
    <n v="25"/>
    <x v="1"/>
    <x v="3"/>
    <d v="2024-05-28T00:00:00"/>
    <d v="2024-04-27T00:00:00"/>
    <n v="2"/>
    <x v="0"/>
    <n v="1"/>
    <n v="6"/>
    <n v="1253.18"/>
    <n v="9654.2999999999993"/>
    <n v="912.11"/>
  </r>
  <r>
    <s v="3676"/>
    <s v="Miguel López"/>
    <d v="1979-01-01T00:00:00"/>
    <n v="47"/>
    <x v="0"/>
    <x v="2"/>
    <d v="2023-12-15T00:00:00"/>
    <d v="2024-07-04T00:00:00"/>
    <n v="0"/>
    <x v="2"/>
    <n v="10"/>
    <n v="5"/>
    <n v="5683.73"/>
    <n v="9696.2000000000007"/>
    <n v="7021.77"/>
  </r>
  <r>
    <s v="3677"/>
    <s v="María López"/>
    <d v="1975-01-01T00:00:00"/>
    <n v="51"/>
    <x v="1"/>
    <x v="3"/>
    <d v="2023-01-07T00:00:00"/>
    <d v="2023-10-08T00:00:00"/>
    <n v="29"/>
    <x v="0"/>
    <n v="4"/>
    <n v="0"/>
    <n v="4055.13"/>
    <n v="2839.41"/>
    <n v="10520.6"/>
  </r>
  <r>
    <s v="3678"/>
    <s v="Jorge Sánchez"/>
    <d v="1956-12-31T00:00:00"/>
    <n v="84"/>
    <x v="2"/>
    <x v="1"/>
    <d v="2024-05-14T00:00:00"/>
    <d v="2025-01-12T00:00:00"/>
    <n v="13"/>
    <x v="2"/>
    <n v="1"/>
    <n v="9"/>
    <n v="352.11"/>
    <n v="10155.09"/>
    <n v="4665.59"/>
  </r>
  <r>
    <s v="3679"/>
    <s v="Luis Martínez"/>
    <d v="1972-01-01T00:00:00"/>
    <n v="54"/>
    <x v="0"/>
    <x v="0"/>
    <d v="2024-04-19T00:00:00"/>
    <d v="2023-12-04T00:00:00"/>
    <n v="27"/>
    <x v="0"/>
    <n v="4"/>
    <n v="7"/>
    <n v="15949.94"/>
    <n v="4000.59"/>
    <n v="3245.85"/>
  </r>
  <r>
    <s v="3680"/>
    <s v="Elena Morales"/>
    <d v="1952-01-01T00:00:00"/>
    <n v="20"/>
    <x v="0"/>
    <x v="4"/>
    <d v="2024-06-07T00:00:00"/>
    <d v="2023-06-18T00:00:00"/>
    <n v="25"/>
    <x v="0"/>
    <n v="11"/>
    <n v="4"/>
    <n v="5296.04"/>
    <n v="10331.799999999999"/>
    <n v="8355.5400000000009"/>
  </r>
  <r>
    <s v="3681"/>
    <s v="Carlos Sánchez"/>
    <d v="1993-12-31T00:00:00"/>
    <n v="32"/>
    <x v="1"/>
    <x v="1"/>
    <d v="2023-02-26T00:00:00"/>
    <d v="2023-11-25T00:00:00"/>
    <n v="25"/>
    <x v="2"/>
    <n v="6"/>
    <n v="3"/>
    <n v="18803.650000000001"/>
    <n v="9179.14"/>
    <n v="3330.58"/>
  </r>
  <r>
    <s v="3682"/>
    <s v="José Gómez"/>
    <d v="1964-12-31T00:00:00"/>
    <n v="61"/>
    <x v="0"/>
    <x v="4"/>
    <d v="2024-08-12T00:00:00"/>
    <d v="2023-09-04T00:00:00"/>
    <n v="13"/>
    <x v="0"/>
    <n v="7"/>
    <n v="4"/>
    <n v="14804.28"/>
    <n v="10739.28"/>
    <n v="12581.02"/>
  </r>
  <r>
    <s v="3683"/>
    <s v="María Cruz"/>
    <d v="1939-01-01T00:00:00"/>
    <n v="87"/>
    <x v="0"/>
    <x v="1"/>
    <d v="2024-08-08T00:00:00"/>
    <d v="2024-08-14T00:00:00"/>
    <n v="38"/>
    <x v="2"/>
    <n v="0"/>
    <n v="4"/>
    <n v="19870.28"/>
    <n v="295.5"/>
    <n v="19101.310000000001"/>
  </r>
  <r>
    <s v="3684"/>
    <s v="Elena Ramírez"/>
    <d v="2004-01-01T00:00:00"/>
    <n v="22"/>
    <x v="1"/>
    <x v="0"/>
    <d v="2023-08-21T00:00:00"/>
    <d v="2024-09-18T00:00:00"/>
    <n v="30"/>
    <x v="2"/>
    <n v="4"/>
    <n v="9"/>
    <n v="29437.71"/>
    <n v="1880.48"/>
    <n v="16111.52"/>
  </r>
  <r>
    <s v="3685"/>
    <s v="Miguel Cruz"/>
    <d v="2012-01-01T00:00:00"/>
    <n v="14"/>
    <x v="0"/>
    <x v="2"/>
    <d v="2023-01-30T00:00:00"/>
    <d v="2023-10-29T00:00:00"/>
    <n v="22"/>
    <x v="0"/>
    <n v="12"/>
    <n v="2"/>
    <n v="6206.16"/>
    <n v="12603.01"/>
    <n v="4225.8"/>
  </r>
  <r>
    <s v="3686"/>
    <s v="Ricardo Hernández"/>
    <d v="2000-01-01T00:00:00"/>
    <n v="26"/>
    <x v="0"/>
    <x v="2"/>
    <d v="2024-01-02T00:00:00"/>
    <d v="2024-12-30T00:00:00"/>
    <n v="15"/>
    <x v="0"/>
    <n v="1"/>
    <n v="3"/>
    <n v="19809.25"/>
    <n v="5710.85"/>
    <n v="19017.82"/>
  </r>
  <r>
    <s v="3687"/>
    <s v="Laura Martínez"/>
    <d v="1952-01-01T00:00:00"/>
    <n v="74"/>
    <x v="0"/>
    <x v="6"/>
    <d v="2024-08-29T00:00:00"/>
    <d v="2023-07-20T00:00:00"/>
    <n v="23"/>
    <x v="2"/>
    <n v="13"/>
    <n v="3"/>
    <n v="0"/>
    <n v="12550.78"/>
    <n v="14997.67"/>
  </r>
  <r>
    <s v="3688"/>
    <s v="Jorge Pérez"/>
    <d v="1963-01-01T00:00:00"/>
    <n v="63"/>
    <x v="0"/>
    <x v="1"/>
    <d v="2023-02-25T00:00:00"/>
    <d v="2025-06-12T00:00:00"/>
    <n v="3"/>
    <x v="1"/>
    <n v="12"/>
    <n v="7"/>
    <n v="28700.28"/>
    <n v="940.11"/>
    <n v="3014.94"/>
  </r>
  <r>
    <s v="3689"/>
    <s v="Jorge Hernández"/>
    <d v="2019-01-01T00:00:00"/>
    <n v="80"/>
    <x v="0"/>
    <x v="3"/>
    <d v="2023-01-10T00:00:00"/>
    <d v="2024-05-15T00:00:00"/>
    <n v="35"/>
    <x v="0"/>
    <n v="12"/>
    <n v="4"/>
    <n v="18481.2"/>
    <n v="11540.57"/>
    <n v="11546.56"/>
  </r>
  <r>
    <s v="3690"/>
    <s v="José Rodríguez"/>
    <d v="1976-01-01T00:00:00"/>
    <n v="50"/>
    <x v="0"/>
    <x v="6"/>
    <d v="2023-05-27T00:00:00"/>
    <d v="2025-05-14T00:00:00"/>
    <n v="0"/>
    <x v="0"/>
    <n v="5"/>
    <n v="5"/>
    <n v="0"/>
    <n v="1256.51"/>
    <n v="19326.22"/>
  </r>
  <r>
    <s v="3691"/>
    <s v="Carlos Rodríguez"/>
    <d v="1973-12-31T00:00:00"/>
    <n v="52"/>
    <x v="1"/>
    <x v="2"/>
    <d v="2023-12-30T00:00:00"/>
    <d v="2025-01-24T00:00:00"/>
    <n v="3"/>
    <x v="0"/>
    <n v="9"/>
    <n v="9"/>
    <n v="1142.3599999999999"/>
    <n v="7024.9"/>
    <n v="1844.84"/>
  </r>
  <r>
    <s v="3692"/>
    <s v="Carlos Ramírez"/>
    <d v="1948-12-31T00:00:00"/>
    <n v="81"/>
    <x v="0"/>
    <x v="2"/>
    <d v="2024-08-21T00:00:00"/>
    <d v="2023-01-14T00:00:00"/>
    <n v="11"/>
    <x v="1"/>
    <n v="2"/>
    <n v="1"/>
    <n v="7994.65"/>
    <n v="14063.6"/>
    <n v="5347.2"/>
  </r>
  <r>
    <s v="3693"/>
    <s v="Miguel Gómez"/>
    <d v="1936-01-01T00:00:00"/>
    <n v="90"/>
    <x v="0"/>
    <x v="5"/>
    <d v="2023-09-10T00:00:00"/>
    <d v="2024-01-02T00:00:00"/>
    <n v="15"/>
    <x v="1"/>
    <n v="12"/>
    <n v="8"/>
    <n v="27808.799999999999"/>
    <n v="1165.17"/>
    <n v="7419.24"/>
  </r>
  <r>
    <s v="3694"/>
    <s v="Miguel Morales"/>
    <d v="1944-12-31T00:00:00"/>
    <n v="81"/>
    <x v="0"/>
    <x v="6"/>
    <d v="2024-11-29T00:00:00"/>
    <d v="2024-12-20T00:00:00"/>
    <n v="13"/>
    <x v="0"/>
    <n v="13"/>
    <n v="7"/>
    <n v="15876.42"/>
    <n v="5259.93"/>
    <n v="2223.44"/>
  </r>
  <r>
    <s v="3695"/>
    <s v="María Rodríguez"/>
    <d v="1935-01-01T00:00:00"/>
    <n v="91"/>
    <x v="2"/>
    <x v="2"/>
    <d v="2023-09-10T00:00:00"/>
    <d v="2025-02-13T00:00:00"/>
    <n v="21"/>
    <x v="0"/>
    <n v="13"/>
    <n v="7"/>
    <n v="0"/>
    <n v="7775.23"/>
    <n v="5914.84"/>
  </r>
  <r>
    <s v="3696"/>
    <s v="Miguel Ramírez"/>
    <d v="1976-01-01T00:00:00"/>
    <n v="50"/>
    <x v="1"/>
    <x v="0"/>
    <d v="2024-03-18T00:00:00"/>
    <d v="2023-04-08T00:00:00"/>
    <n v="10"/>
    <x v="0"/>
    <n v="3"/>
    <n v="9"/>
    <n v="18123.38"/>
    <n v="13491.86"/>
    <n v="13815.74"/>
  </r>
  <r>
    <s v="3697"/>
    <s v="Carlos Ramírez"/>
    <d v="1980-01-01T00:00:00"/>
    <n v="46"/>
    <x v="1"/>
    <x v="4"/>
    <d v="2023-12-06T00:00:00"/>
    <d v="2023-03-13T00:00:00"/>
    <n v="2"/>
    <x v="0"/>
    <n v="8"/>
    <n v="4"/>
    <n v="9632.57"/>
    <n v="4989.1099999999997"/>
    <n v="9492.5"/>
  </r>
  <r>
    <s v="3698"/>
    <s v="Sofía Morales"/>
    <d v="2023-01-01T00:00:00"/>
    <n v="3"/>
    <x v="1"/>
    <x v="5"/>
    <d v="2024-05-30T00:00:00"/>
    <d v="2025-03-26T00:00:00"/>
    <n v="35"/>
    <x v="1"/>
    <n v="4"/>
    <n v="4"/>
    <n v="5038.5200000000004"/>
    <n v="12105.62"/>
    <n v="8363.59"/>
  </r>
  <r>
    <s v="3699"/>
    <s v="Jorge López"/>
    <d v="2020-01-01T00:00:00"/>
    <n v="6"/>
    <x v="1"/>
    <x v="3"/>
    <d v="2023-12-19T00:00:00"/>
    <d v="2025-05-11T00:00:00"/>
    <n v="11"/>
    <x v="0"/>
    <n v="9"/>
    <n v="2"/>
    <n v="28604.37"/>
    <n v="10772.6"/>
    <n v="8581.98"/>
  </r>
  <r>
    <s v="3700"/>
    <s v="Luisa Cruz"/>
    <d v="1992-01-01T00:00:00"/>
    <n v="34"/>
    <x v="1"/>
    <x v="4"/>
    <d v="2024-09-15T00:00:00"/>
    <d v="2025-01-12T00:00:00"/>
    <n v="14"/>
    <x v="0"/>
    <n v="11"/>
    <n v="1"/>
    <n v="22539.24"/>
    <n v="4606.01"/>
    <n v="15169.01"/>
  </r>
  <r>
    <s v="3701"/>
    <s v="Ricardo Sánchez"/>
    <d v="1979-01-01T00:00:00"/>
    <n v="47"/>
    <x v="0"/>
    <x v="5"/>
    <d v="2024-12-05T00:00:00"/>
    <d v="2023-12-24T00:00:00"/>
    <n v="10"/>
    <x v="0"/>
    <n v="6"/>
    <n v="8"/>
    <n v="15087.03"/>
    <n v="5112.2"/>
    <n v="19824.75"/>
  </r>
  <r>
    <s v="3702"/>
    <s v="Pedro Cruz"/>
    <d v="1953-12-31T00:00:00"/>
    <n v="35"/>
    <x v="1"/>
    <x v="1"/>
    <d v="2024-10-14T00:00:00"/>
    <d v="2025-03-23T00:00:00"/>
    <n v="10"/>
    <x v="0"/>
    <n v="0"/>
    <n v="5"/>
    <n v="10989.51"/>
    <n v="2865.18"/>
    <n v="11731.78"/>
  </r>
  <r>
    <s v="3703"/>
    <s v="Ricardo Martínez"/>
    <d v="1955-01-01T00:00:00"/>
    <n v="71"/>
    <x v="0"/>
    <x v="1"/>
    <d v="2023-11-19T00:00:00"/>
    <d v="2024-06-28T00:00:00"/>
    <n v="6"/>
    <x v="1"/>
    <n v="2"/>
    <n v="7"/>
    <n v="14224.55"/>
    <n v="10394.44"/>
    <n v="15006.16"/>
  </r>
  <r>
    <s v="3704"/>
    <s v="Ricardo Martínez"/>
    <d v="1981-12-31T00:00:00"/>
    <n v="44"/>
    <x v="0"/>
    <x v="3"/>
    <d v="2023-05-20T00:00:00"/>
    <d v="2023-09-08T00:00:00"/>
    <n v="3"/>
    <x v="1"/>
    <n v="12"/>
    <n v="3"/>
    <n v="526.79"/>
    <n v="8446.5400000000009"/>
    <n v="7388.45"/>
  </r>
  <r>
    <s v="3705"/>
    <s v="Carlos Martínez"/>
    <d v="1945-12-31T00:00:00"/>
    <n v="80"/>
    <x v="1"/>
    <x v="0"/>
    <d v="2024-03-20T00:00:00"/>
    <d v="2023-09-12T00:00:00"/>
    <n v="3"/>
    <x v="2"/>
    <n v="9"/>
    <n v="4"/>
    <n v="7048.55"/>
    <n v="2324.2800000000002"/>
    <n v="17198.87"/>
  </r>
  <r>
    <s v="3706"/>
    <s v="Pedro Martínez"/>
    <d v="1945-12-31T00:00:00"/>
    <n v="80"/>
    <x v="1"/>
    <x v="3"/>
    <d v="2023-04-05T00:00:00"/>
    <d v="2025-02-10T00:00:00"/>
    <n v="27"/>
    <x v="1"/>
    <n v="2"/>
    <n v="9"/>
    <n v="7146.53"/>
    <n v="9301.0499999999993"/>
    <n v="8348.5499999999993"/>
  </r>
  <r>
    <s v="3707"/>
    <s v="Ana Sánchez"/>
    <d v="1955-01-01T00:00:00"/>
    <n v="71"/>
    <x v="0"/>
    <x v="6"/>
    <d v="2024-07-06T00:00:00"/>
    <d v="2023-07-02T00:00:00"/>
    <n v="34"/>
    <x v="2"/>
    <n v="4"/>
    <n v="4"/>
    <n v="13083.09"/>
    <n v="7479.74"/>
    <n v="18695.97"/>
  </r>
  <r>
    <s v="3708"/>
    <s v="Luisa Hernández"/>
    <d v="2008-01-01T00:00:00"/>
    <n v="18"/>
    <x v="0"/>
    <x v="4"/>
    <d v="2024-02-24T00:00:00"/>
    <d v="2025-05-02T00:00:00"/>
    <n v="11"/>
    <x v="1"/>
    <n v="2"/>
    <n v="9"/>
    <n v="6706.21"/>
    <n v="1388.85"/>
    <n v="14844.44"/>
  </r>
  <r>
    <s v="3709"/>
    <s v="Luis Martínez"/>
    <d v="1964-01-01T00:00:00"/>
    <n v="62"/>
    <x v="0"/>
    <x v="3"/>
    <d v="2024-05-28T00:00:00"/>
    <d v="2023-06-16T00:00:00"/>
    <n v="1"/>
    <x v="1"/>
    <n v="9"/>
    <n v="3"/>
    <n v="5156.4399999999996"/>
    <n v="14305.55"/>
    <n v="14119.61"/>
  </r>
  <r>
    <s v="3710"/>
    <s v="Elena Morales"/>
    <d v="1988-12-31T00:00:00"/>
    <n v="37"/>
    <x v="0"/>
    <x v="3"/>
    <d v="2023-05-30T00:00:00"/>
    <d v="2023-01-05T00:00:00"/>
    <n v="31"/>
    <x v="2"/>
    <n v="3"/>
    <n v="1"/>
    <n v="22848.6"/>
    <n v="12521.34"/>
    <n v="5731.71"/>
  </r>
  <r>
    <s v="3711"/>
    <s v="María López"/>
    <d v="1960-01-01T00:00:00"/>
    <n v="66"/>
    <x v="2"/>
    <x v="5"/>
    <d v="2024-07-06T00:00:00"/>
    <d v="2024-04-08T00:00:00"/>
    <n v="1"/>
    <x v="2"/>
    <n v="3"/>
    <n v="5"/>
    <n v="26751.919999999998"/>
    <n v="1065.3599999999999"/>
    <n v="15902.36"/>
  </r>
  <r>
    <s v="3712"/>
    <s v="Pedro Sánchez"/>
    <d v="1968-01-01T00:00:00"/>
    <n v="58"/>
    <x v="0"/>
    <x v="0"/>
    <d v="2023-12-17T00:00:00"/>
    <d v="2023-05-26T00:00:00"/>
    <n v="14"/>
    <x v="2"/>
    <n v="6"/>
    <n v="3"/>
    <n v="1547.77"/>
    <n v="13969.02"/>
    <n v="2016.15"/>
  </r>
  <r>
    <s v="3713"/>
    <s v="Carmen Pérez"/>
    <d v="1957-12-31T00:00:00"/>
    <n v="68"/>
    <x v="0"/>
    <x v="3"/>
    <d v="2023-04-26T00:00:00"/>
    <d v="2023-06-15T00:00:00"/>
    <n v="39"/>
    <x v="0"/>
    <n v="2"/>
    <n v="3"/>
    <n v="5894.44"/>
    <n v="13750.17"/>
    <n v="10714.29"/>
  </r>
  <r>
    <s v="3714"/>
    <s v="María Martínez"/>
    <d v="2013-12-31T00:00:00"/>
    <n v="12"/>
    <x v="0"/>
    <x v="6"/>
    <d v="2024-09-23T00:00:00"/>
    <d v="2023-12-11T00:00:00"/>
    <n v="11"/>
    <x v="2"/>
    <n v="10"/>
    <n v="9"/>
    <n v="23097.45"/>
    <n v="632.75"/>
    <n v="14681.08"/>
  </r>
  <r>
    <s v="3715"/>
    <s v="Sofía Morales"/>
    <d v="1980-01-01T00:00:00"/>
    <n v="46"/>
    <x v="0"/>
    <x v="5"/>
    <d v="2023-08-25T00:00:00"/>
    <d v="2025-05-24T00:00:00"/>
    <n v="14"/>
    <x v="0"/>
    <n v="4"/>
    <n v="2"/>
    <n v="24382.959999999999"/>
    <n v="3022.18"/>
    <n v="17660.2"/>
  </r>
  <r>
    <s v="3716"/>
    <s v="Carmen Ramírez"/>
    <d v="1965-12-31T00:00:00"/>
    <n v="60"/>
    <x v="1"/>
    <x v="0"/>
    <d v="2023-09-27T00:00:00"/>
    <d v="2023-04-16T00:00:00"/>
    <n v="27"/>
    <x v="0"/>
    <n v="5"/>
    <n v="7"/>
    <n v="14754.88"/>
    <n v="10536.13"/>
    <n v="11350.04"/>
  </r>
  <r>
    <s v="3717"/>
    <s v="Miguel Martínez"/>
    <d v="1996-01-01T00:00:00"/>
    <n v="19"/>
    <x v="2"/>
    <x v="0"/>
    <d v="2023-10-18T00:00:00"/>
    <d v="2024-07-02T00:00:00"/>
    <n v="26"/>
    <x v="2"/>
    <n v="6"/>
    <n v="5"/>
    <n v="20693.93"/>
    <n v="14018.6"/>
    <n v="5092.29"/>
  </r>
  <r>
    <s v="3718"/>
    <s v="Juan Hernández"/>
    <d v="1947-01-01T00:00:00"/>
    <n v="79"/>
    <x v="1"/>
    <x v="2"/>
    <d v="2024-03-09T00:00:00"/>
    <d v="2023-11-11T00:00:00"/>
    <n v="4"/>
    <x v="2"/>
    <n v="7"/>
    <n v="8"/>
    <n v="1866.81"/>
    <n v="12346.72"/>
    <n v="16962.11"/>
  </r>
  <r>
    <s v="3719"/>
    <s v="Jorge Sánchez"/>
    <d v="2004-12-31T00:00:00"/>
    <n v="21"/>
    <x v="0"/>
    <x v="1"/>
    <d v="2023-01-09T00:00:00"/>
    <d v="2023-06-19T00:00:00"/>
    <n v="6"/>
    <x v="2"/>
    <n v="8"/>
    <n v="4"/>
    <n v="25410.63"/>
    <n v="4228.47"/>
    <n v="15336.41"/>
  </r>
  <r>
    <s v="3720"/>
    <s v="Luisa Gómez"/>
    <d v="1933-12-31T00:00:00"/>
    <n v="92"/>
    <x v="1"/>
    <x v="4"/>
    <d v="2024-09-21T00:00:00"/>
    <d v="2024-06-04T00:00:00"/>
    <n v="20"/>
    <x v="1"/>
    <n v="6"/>
    <n v="5"/>
    <n v="24898.23"/>
    <n v="501.58"/>
    <n v="2986.65"/>
  </r>
  <r>
    <s v="3721"/>
    <s v="Jorge Martínez"/>
    <d v="1940-12-31T00:00:00"/>
    <n v="85"/>
    <x v="1"/>
    <x v="6"/>
    <d v="2024-04-19T00:00:00"/>
    <d v="2024-08-21T00:00:00"/>
    <n v="33"/>
    <x v="1"/>
    <n v="12"/>
    <n v="8"/>
    <n v="20648.759999999998"/>
    <n v="7093.31"/>
    <n v="17434.990000000002"/>
  </r>
  <r>
    <s v="3722"/>
    <s v="Ricardo López"/>
    <d v="1984-01-01T00:00:00"/>
    <n v="42"/>
    <x v="1"/>
    <x v="1"/>
    <d v="2024-06-05T00:00:00"/>
    <d v="2024-03-12T00:00:00"/>
    <n v="11"/>
    <x v="2"/>
    <n v="2"/>
    <n v="3"/>
    <n v="27447.97"/>
    <n v="1379.43"/>
    <n v="19193.53"/>
  </r>
  <r>
    <s v="3723"/>
    <s v="Sofía Morales"/>
    <d v="1960-01-01T00:00:00"/>
    <n v="66"/>
    <x v="1"/>
    <x v="5"/>
    <d v="2024-06-20T00:00:00"/>
    <d v="2024-09-01T00:00:00"/>
    <n v="17"/>
    <x v="0"/>
    <n v="2"/>
    <n v="9"/>
    <n v="952.85"/>
    <n v="3679.44"/>
    <n v="10708.46"/>
  </r>
  <r>
    <s v="3724"/>
    <s v="Juan Hernández"/>
    <d v="1972-12-31T00:00:00"/>
    <n v="53"/>
    <x v="1"/>
    <x v="5"/>
    <d v="2024-11-15T00:00:00"/>
    <d v="2024-05-27T00:00:00"/>
    <n v="14"/>
    <x v="2"/>
    <n v="8"/>
    <n v="6"/>
    <n v="6544.39"/>
    <n v="9601.4599999999991"/>
    <n v="671.14"/>
  </r>
  <r>
    <s v="3725"/>
    <s v="Carlos Cruz"/>
    <d v="2016-12-31T00:00:00"/>
    <n v="9"/>
    <x v="0"/>
    <x v="6"/>
    <d v="2023-01-11T00:00:00"/>
    <d v="2024-02-14T00:00:00"/>
    <n v="29"/>
    <x v="0"/>
    <n v="9"/>
    <n v="9"/>
    <n v="10557.63"/>
    <n v="7425.28"/>
    <n v="18303.849999999999"/>
  </r>
  <r>
    <s v="3726"/>
    <s v="Luis Hernández"/>
    <d v="1984-12-31T00:00:00"/>
    <n v="41"/>
    <x v="1"/>
    <x v="0"/>
    <d v="2024-09-04T00:00:00"/>
    <d v="2024-03-12T00:00:00"/>
    <n v="22"/>
    <x v="1"/>
    <n v="13"/>
    <n v="9"/>
    <n v="4336.96"/>
    <n v="5650.79"/>
    <n v="2367.59"/>
  </r>
  <r>
    <s v="3727"/>
    <s v="Carmen Cruz"/>
    <d v="1963-01-01T00:00:00"/>
    <n v="63"/>
    <x v="1"/>
    <x v="3"/>
    <d v="2023-11-23T00:00:00"/>
    <d v="2023-11-12T00:00:00"/>
    <n v="27"/>
    <x v="1"/>
    <n v="3"/>
    <n v="5"/>
    <n v="24352.240000000002"/>
    <n v="13949.43"/>
    <n v="12625.75"/>
  </r>
  <r>
    <s v="3728"/>
    <s v="Sofía Sánchez"/>
    <d v="2005-12-31T00:00:00"/>
    <n v="20"/>
    <x v="1"/>
    <x v="6"/>
    <d v="2024-08-17T00:00:00"/>
    <d v="2024-06-26T00:00:00"/>
    <n v="24"/>
    <x v="0"/>
    <n v="1"/>
    <n v="5"/>
    <n v="0"/>
    <n v="2894.49"/>
    <n v="7958.24"/>
  </r>
  <r>
    <s v="3729"/>
    <s v="Sofía López"/>
    <d v="1947-01-01T00:00:00"/>
    <n v="79"/>
    <x v="0"/>
    <x v="5"/>
    <d v="2023-10-03T00:00:00"/>
    <d v="2024-09-05T00:00:00"/>
    <n v="24"/>
    <x v="1"/>
    <n v="13"/>
    <n v="5"/>
    <n v="23084.2"/>
    <n v="7312.17"/>
    <n v="19839.88"/>
  </r>
  <r>
    <s v="3730"/>
    <s v="José Martínez"/>
    <d v="1951-01-01T00:00:00"/>
    <n v="75"/>
    <x v="1"/>
    <x v="1"/>
    <d v="2024-01-05T00:00:00"/>
    <d v="2024-08-02T00:00:00"/>
    <n v="28"/>
    <x v="2"/>
    <n v="0"/>
    <n v="3"/>
    <n v="8384.4500000000007"/>
    <n v="8602.43"/>
    <n v="18335.009999999998"/>
  </r>
  <r>
    <s v="3731"/>
    <s v="Luis López"/>
    <d v="1960-12-31T00:00:00"/>
    <n v="65"/>
    <x v="1"/>
    <x v="4"/>
    <d v="2024-05-04T00:00:00"/>
    <d v="2025-05-11T00:00:00"/>
    <n v="23"/>
    <x v="0"/>
    <n v="0"/>
    <n v="9"/>
    <n v="22761.93"/>
    <n v="4829.13"/>
    <n v="15668.53"/>
  </r>
  <r>
    <s v="3732"/>
    <s v="María Hernández"/>
    <d v="1985-12-31T00:00:00"/>
    <n v="40"/>
    <x v="0"/>
    <x v="6"/>
    <d v="2023-12-11T00:00:00"/>
    <d v="2023-03-05T00:00:00"/>
    <n v="11"/>
    <x v="0"/>
    <n v="7"/>
    <n v="5"/>
    <n v="3253.25"/>
    <n v="10579.46"/>
    <n v="3905.47"/>
  </r>
  <r>
    <s v="3733"/>
    <s v="Sofía Pérez"/>
    <d v="2003-01-01T00:00:00"/>
    <n v="23"/>
    <x v="0"/>
    <x v="0"/>
    <d v="2024-01-03T00:00:00"/>
    <d v="2023-02-02T00:00:00"/>
    <n v="18"/>
    <x v="0"/>
    <n v="6"/>
    <n v="6"/>
    <n v="2757.41"/>
    <n v="13009.18"/>
    <n v="13953.78"/>
  </r>
  <r>
    <s v="3734"/>
    <s v="Ricardo Ramírez"/>
    <d v="1992-01-01T00:00:00"/>
    <n v="34"/>
    <x v="1"/>
    <x v="4"/>
    <d v="2023-11-07T00:00:00"/>
    <d v="2024-08-22T00:00:00"/>
    <n v="25"/>
    <x v="1"/>
    <n v="4"/>
    <n v="1"/>
    <n v="17313.75"/>
    <n v="8122.18"/>
    <n v="11400.13"/>
  </r>
  <r>
    <s v="3735"/>
    <s v="José Rodríguez"/>
    <d v="1971-01-01T00:00:00"/>
    <n v="55"/>
    <x v="1"/>
    <x v="4"/>
    <d v="2024-08-23T00:00:00"/>
    <d v="2023-07-31T00:00:00"/>
    <n v="12"/>
    <x v="0"/>
    <n v="12"/>
    <n v="8"/>
    <n v="984.39"/>
    <n v="11720.05"/>
    <n v="2620.4699999999998"/>
  </r>
  <r>
    <s v="3736"/>
    <s v="Juan López"/>
    <d v="1996-12-31T00:00:00"/>
    <n v="29"/>
    <x v="1"/>
    <x v="4"/>
    <d v="2024-04-29T00:00:00"/>
    <d v="2024-04-08T00:00:00"/>
    <n v="27"/>
    <x v="0"/>
    <n v="12"/>
    <n v="6"/>
    <n v="28128.84"/>
    <n v="914.42"/>
    <n v="15873.09"/>
  </r>
  <r>
    <s v="3737"/>
    <s v="Laura Cruz"/>
    <d v="1969-12-31T00:00:00"/>
    <n v="56"/>
    <x v="2"/>
    <x v="2"/>
    <d v="2023-01-15T00:00:00"/>
    <d v="2024-07-17T00:00:00"/>
    <n v="22"/>
    <x v="0"/>
    <n v="13"/>
    <n v="2"/>
    <n v="9529.82"/>
    <n v="2306.7399999999998"/>
    <n v="1637.77"/>
  </r>
  <r>
    <s v="3738"/>
    <s v="Laura Gómez"/>
    <d v="1932-12-31T00:00:00"/>
    <n v="93"/>
    <x v="1"/>
    <x v="4"/>
    <d v="2024-11-18T00:00:00"/>
    <d v="2024-07-29T00:00:00"/>
    <n v="8"/>
    <x v="1"/>
    <n v="12"/>
    <n v="9"/>
    <n v="14049.49"/>
    <n v="6930.38"/>
    <n v="9580.35"/>
  </r>
  <r>
    <s v="3739"/>
    <s v="Carlos Gómez"/>
    <d v="2020-01-01T00:00:00"/>
    <n v="46"/>
    <x v="0"/>
    <x v="2"/>
    <d v="2023-01-04T00:00:00"/>
    <d v="2023-03-22T00:00:00"/>
    <n v="8"/>
    <x v="0"/>
    <n v="7"/>
    <n v="9"/>
    <n v="24303.49"/>
    <n v="13815.3"/>
    <n v="8473.93"/>
  </r>
  <r>
    <s v="3740"/>
    <s v="Ricardo Gómez"/>
    <d v="1992-01-01T00:00:00"/>
    <n v="34"/>
    <x v="1"/>
    <x v="3"/>
    <d v="2024-01-11T00:00:00"/>
    <d v="2023-12-10T00:00:00"/>
    <n v="25"/>
    <x v="0"/>
    <n v="3"/>
    <n v="6"/>
    <n v="11701.61"/>
    <n v="7973.87"/>
    <n v="16104.57"/>
  </r>
  <r>
    <s v="3741"/>
    <s v="Miguel Sánchez"/>
    <d v="2008-01-01T00:00:00"/>
    <n v="77"/>
    <x v="0"/>
    <x v="3"/>
    <d v="2024-01-04T00:00:00"/>
    <d v="2023-08-21T00:00:00"/>
    <n v="2"/>
    <x v="2"/>
    <n v="12"/>
    <n v="9"/>
    <n v="12634.68"/>
    <n v="6484.53"/>
    <n v="8494.11"/>
  </r>
  <r>
    <s v="3742"/>
    <s v="Carlos Ramírez"/>
    <d v="2019-01-01T00:00:00"/>
    <n v="7"/>
    <x v="1"/>
    <x v="4"/>
    <d v="2024-04-09T00:00:00"/>
    <d v="2025-05-28T00:00:00"/>
    <n v="25"/>
    <x v="2"/>
    <n v="10"/>
    <n v="9"/>
    <n v="10112.290000000001"/>
    <n v="9001.61"/>
    <n v="13855.65"/>
  </r>
  <r>
    <s v="3743"/>
    <s v="Pedro Rodríguez"/>
    <d v="2000-12-31T00:00:00"/>
    <n v="25"/>
    <x v="1"/>
    <x v="0"/>
    <d v="2024-06-16T00:00:00"/>
    <d v="2024-09-05T00:00:00"/>
    <n v="5"/>
    <x v="0"/>
    <n v="8"/>
    <n v="4"/>
    <n v="10227.57"/>
    <n v="1866.99"/>
    <n v="9513.0400000000009"/>
  </r>
  <r>
    <s v="3744"/>
    <s v="María Sánchez"/>
    <d v="1956-01-01T00:00:00"/>
    <n v="70"/>
    <x v="1"/>
    <x v="1"/>
    <d v="2024-12-20T00:00:00"/>
    <d v="2023-05-10T00:00:00"/>
    <n v="23"/>
    <x v="0"/>
    <n v="1"/>
    <n v="8"/>
    <n v="13772.64"/>
    <n v="9805.2099999999991"/>
    <n v="11598.62"/>
  </r>
  <r>
    <s v="3745"/>
    <s v="Carlos Ramírez"/>
    <d v="1996-12-31T00:00:00"/>
    <n v="29"/>
    <x v="1"/>
    <x v="3"/>
    <d v="2023-05-17T00:00:00"/>
    <d v="2023-01-20T00:00:00"/>
    <n v="3"/>
    <x v="1"/>
    <n v="6"/>
    <n v="5"/>
    <n v="28350.82"/>
    <n v="1410.32"/>
    <n v="4744.92"/>
  </r>
  <r>
    <s v="3746"/>
    <s v="Jorge Pérez"/>
    <d v="2020-01-01T00:00:00"/>
    <n v="6"/>
    <x v="1"/>
    <x v="2"/>
    <d v="2023-12-29T00:00:00"/>
    <d v="2023-12-24T00:00:00"/>
    <n v="29"/>
    <x v="0"/>
    <n v="1"/>
    <n v="6"/>
    <n v="28048.55"/>
    <n v="8651.9"/>
    <n v="3969.31"/>
  </r>
  <r>
    <s v="3747"/>
    <s v="Ricardo Hernández"/>
    <d v="1960-01-01T00:00:00"/>
    <n v="66"/>
    <x v="0"/>
    <x v="0"/>
    <d v="2023-08-04T00:00:00"/>
    <d v="2024-02-24T00:00:00"/>
    <n v="29"/>
    <x v="0"/>
    <n v="12"/>
    <n v="3"/>
    <n v="16127.43"/>
    <n v="10715.85"/>
    <n v="14169.26"/>
  </r>
  <r>
    <s v="3748"/>
    <s v="Jorge Cruz"/>
    <d v="1961-12-31T00:00:00"/>
    <n v="64"/>
    <x v="2"/>
    <x v="4"/>
    <d v="2024-01-03T00:00:00"/>
    <d v="2024-08-29T00:00:00"/>
    <n v="9"/>
    <x v="0"/>
    <n v="7"/>
    <n v="1"/>
    <n v="13406.77"/>
    <n v="6172.61"/>
    <n v="2358.84"/>
  </r>
  <r>
    <s v="3749"/>
    <s v="Jorge Rodríguez"/>
    <d v="1991-01-01T00:00:00"/>
    <n v="34"/>
    <x v="1"/>
    <x v="0"/>
    <d v="2023-04-27T00:00:00"/>
    <d v="2023-03-23T00:00:00"/>
    <n v="3"/>
    <x v="0"/>
    <n v="9"/>
    <n v="3"/>
    <n v="24148.92"/>
    <n v="13663.54"/>
    <n v="3437.28"/>
  </r>
  <r>
    <s v="3750"/>
    <s v="Ricardo Ramírez"/>
    <d v="2001-12-31T00:00:00"/>
    <n v="24"/>
    <x v="0"/>
    <x v="0"/>
    <d v="2023-06-28T00:00:00"/>
    <d v="2024-09-07T00:00:00"/>
    <n v="10"/>
    <x v="0"/>
    <n v="1"/>
    <n v="8"/>
    <n v="20268.34"/>
    <n v="2280.48"/>
    <n v="18813.02"/>
  </r>
  <r>
    <s v="3751"/>
    <s v="Elena Hernández"/>
    <d v="1989-12-31T00:00:00"/>
    <n v="36"/>
    <x v="2"/>
    <x v="6"/>
    <d v="2023-09-03T00:00:00"/>
    <d v="2025-05-31T00:00:00"/>
    <n v="36"/>
    <x v="1"/>
    <n v="1"/>
    <n v="2"/>
    <n v="26387.68"/>
    <n v="2564.38"/>
    <n v="4991.91"/>
  </r>
  <r>
    <s v="3752"/>
    <s v="Pedro Rodríguez"/>
    <d v="2025-12-31T00:00:00"/>
    <n v="0"/>
    <x v="0"/>
    <x v="1"/>
    <d v="2023-05-08T00:00:00"/>
    <d v="2024-10-28T00:00:00"/>
    <n v="37"/>
    <x v="2"/>
    <n v="1"/>
    <n v="6"/>
    <n v="21783.66"/>
    <n v="7753.72"/>
    <n v="6398.24"/>
  </r>
  <r>
    <s v="3753"/>
    <s v="Carlos López"/>
    <d v="2012-01-01T00:00:00"/>
    <n v="14"/>
    <x v="1"/>
    <x v="4"/>
    <d v="2023-12-24T00:00:00"/>
    <d v="2025-02-20T00:00:00"/>
    <n v="31"/>
    <x v="2"/>
    <n v="1"/>
    <n v="3"/>
    <n v="28546.5"/>
    <n v="13974.83"/>
    <n v="12627.21"/>
  </r>
  <r>
    <s v="3754"/>
    <s v="Carlos Cruz"/>
    <d v="1989-12-31T00:00:00"/>
    <n v="36"/>
    <x v="0"/>
    <x v="1"/>
    <d v="2023-03-19T00:00:00"/>
    <d v="2023-04-29T00:00:00"/>
    <n v="20"/>
    <x v="0"/>
    <n v="13"/>
    <n v="2"/>
    <n v="26530.5"/>
    <n v="5860.48"/>
    <n v="8751.1200000000008"/>
  </r>
  <r>
    <s v="3755"/>
    <s v="Carmen López"/>
    <d v="2013-12-31T00:00:00"/>
    <n v="12"/>
    <x v="1"/>
    <x v="3"/>
    <d v="2023-10-20T00:00:00"/>
    <d v="2025-05-04T00:00:00"/>
    <n v="38"/>
    <x v="1"/>
    <n v="4"/>
    <n v="4"/>
    <n v="25585.1"/>
    <n v="13896"/>
    <n v="11135.91"/>
  </r>
  <r>
    <s v="3756"/>
    <s v="José Sánchez"/>
    <d v="2019-01-01T00:00:00"/>
    <n v="7"/>
    <x v="0"/>
    <x v="1"/>
    <d v="2023-03-23T00:00:00"/>
    <d v="2024-05-09T00:00:00"/>
    <n v="14"/>
    <x v="1"/>
    <n v="11"/>
    <n v="1"/>
    <n v="11442.22"/>
    <n v="10402.120000000001"/>
    <n v="2806.31"/>
  </r>
  <r>
    <s v="3757"/>
    <s v="Carmen Sánchez"/>
    <d v="2021-12-31T00:00:00"/>
    <n v="4"/>
    <x v="1"/>
    <x v="5"/>
    <d v="2023-12-08T00:00:00"/>
    <d v="2025-03-02T00:00:00"/>
    <n v="2"/>
    <x v="1"/>
    <n v="2"/>
    <n v="9"/>
    <n v="11279.48"/>
    <n v="11738.33"/>
    <n v="13415.39"/>
  </r>
  <r>
    <s v="3758"/>
    <s v="Laura Martínez"/>
    <d v="1967-01-01T00:00:00"/>
    <n v="59"/>
    <x v="1"/>
    <x v="2"/>
    <d v="2023-12-04T00:00:00"/>
    <d v="2024-05-07T00:00:00"/>
    <n v="4"/>
    <x v="0"/>
    <n v="8"/>
    <n v="3"/>
    <n v="22106.69"/>
    <n v="14068.06"/>
    <n v="3047.33"/>
  </r>
  <r>
    <s v="3759"/>
    <s v="Luis Hernández"/>
    <d v="1953-12-31T00:00:00"/>
    <n v="72"/>
    <x v="1"/>
    <x v="3"/>
    <d v="2024-07-31T00:00:00"/>
    <d v="2025-05-25T00:00:00"/>
    <n v="10"/>
    <x v="1"/>
    <n v="2"/>
    <n v="6"/>
    <n v="2054.34"/>
    <n v="8584.93"/>
    <n v="14929.28"/>
  </r>
  <r>
    <s v="3760"/>
    <s v="Miguel Ramírez"/>
    <d v="1934-01-01T00:00:00"/>
    <n v="0"/>
    <x v="1"/>
    <x v="4"/>
    <d v="2023-04-06T00:00:00"/>
    <d v="2023-08-14T00:00:00"/>
    <n v="11"/>
    <x v="2"/>
    <n v="3"/>
    <n v="1"/>
    <n v="9327.5400000000009"/>
    <n v="9624.7900000000009"/>
    <n v="10424.709999999999"/>
  </r>
  <r>
    <s v="3761"/>
    <s v="Elena Morales"/>
    <d v="1941-01-01T00:00:00"/>
    <n v="35"/>
    <x v="0"/>
    <x v="1"/>
    <d v="2023-05-25T00:00:00"/>
    <d v="2024-02-24T00:00:00"/>
    <n v="14"/>
    <x v="1"/>
    <n v="13"/>
    <n v="9"/>
    <n v="27932.83"/>
    <n v="8684.86"/>
    <n v="16305.48"/>
  </r>
  <r>
    <s v="3762"/>
    <s v="Ricardo Ramírez"/>
    <d v="1992-01-01T00:00:00"/>
    <n v="34"/>
    <x v="1"/>
    <x v="2"/>
    <d v="2024-07-30T00:00:00"/>
    <d v="2025-02-19T00:00:00"/>
    <n v="27"/>
    <x v="1"/>
    <n v="12"/>
    <n v="5"/>
    <n v="13228.09"/>
    <n v="11772.88"/>
    <n v="3370.93"/>
  </r>
  <r>
    <s v="3763"/>
    <s v="Elena López"/>
    <d v="1960-12-31T00:00:00"/>
    <n v="65"/>
    <x v="0"/>
    <x v="4"/>
    <d v="2024-06-04T00:00:00"/>
    <d v="2023-05-18T00:00:00"/>
    <n v="31"/>
    <x v="0"/>
    <n v="1"/>
    <n v="4"/>
    <n v="7731.9"/>
    <n v="4101.09"/>
    <n v="7488.55"/>
  </r>
  <r>
    <s v="3764"/>
    <s v="José Ramírez"/>
    <d v="1964-01-01T00:00:00"/>
    <n v="62"/>
    <x v="1"/>
    <x v="4"/>
    <d v="2024-02-01T00:00:00"/>
    <d v="2023-08-15T00:00:00"/>
    <n v="24"/>
    <x v="0"/>
    <n v="13"/>
    <n v="2"/>
    <n v="14031.79"/>
    <n v="11820.72"/>
    <n v="16921.32"/>
  </r>
  <r>
    <s v="3765"/>
    <s v="Luis Martínez"/>
    <d v="2004-01-01T00:00:00"/>
    <n v="22"/>
    <x v="1"/>
    <x v="3"/>
    <d v="2023-12-23T00:00:00"/>
    <d v="2023-12-01T00:00:00"/>
    <n v="22"/>
    <x v="0"/>
    <n v="14"/>
    <n v="4"/>
    <n v="8301.98"/>
    <n v="10703.18"/>
    <n v="15954.12"/>
  </r>
  <r>
    <s v="3766"/>
    <s v="María Ramírez"/>
    <d v="2017-12-31T00:00:00"/>
    <n v="8"/>
    <x v="0"/>
    <x v="5"/>
    <d v="2023-07-05T00:00:00"/>
    <d v="2023-08-18T00:00:00"/>
    <n v="32"/>
    <x v="0"/>
    <n v="10"/>
    <n v="9"/>
    <n v="22931.96"/>
    <n v="9030.99"/>
    <n v="19311.650000000001"/>
  </r>
  <r>
    <s v="3767"/>
    <s v="Jorge Hernández"/>
    <d v="1992-12-31T00:00:00"/>
    <n v="33"/>
    <x v="2"/>
    <x v="2"/>
    <d v="2024-10-31T00:00:00"/>
    <d v="2023-11-20T00:00:00"/>
    <n v="6"/>
    <x v="0"/>
    <n v="0"/>
    <n v="6"/>
    <n v="25443.46"/>
    <n v="581.88"/>
    <n v="4361.41"/>
  </r>
  <r>
    <s v="3768"/>
    <s v="Carmen Pérez"/>
    <d v="1980-12-31T00:00:00"/>
    <n v="45"/>
    <x v="1"/>
    <x v="5"/>
    <d v="2024-06-26T00:00:00"/>
    <d v="2023-04-19T00:00:00"/>
    <n v="3"/>
    <x v="0"/>
    <n v="12"/>
    <n v="2"/>
    <n v="23371.08"/>
    <n v="11618.16"/>
    <n v="10734.46"/>
  </r>
  <r>
    <s v="3769"/>
    <s v="Ana Rodríguez"/>
    <d v="1948-12-31T00:00:00"/>
    <n v="77"/>
    <x v="1"/>
    <x v="2"/>
    <d v="2023-05-31T00:00:00"/>
    <d v="2025-03-23T00:00:00"/>
    <n v="23"/>
    <x v="0"/>
    <n v="8"/>
    <n v="7"/>
    <n v="4045.94"/>
    <n v="1986.39"/>
    <n v="259.48"/>
  </r>
  <r>
    <s v="3770"/>
    <s v="Jorge Rodríguez"/>
    <d v="2023-01-01T00:00:00"/>
    <n v="3"/>
    <x v="0"/>
    <x v="6"/>
    <d v="2023-11-15T00:00:00"/>
    <d v="2024-03-21T00:00:00"/>
    <n v="35"/>
    <x v="1"/>
    <n v="14"/>
    <n v="6"/>
    <n v="9749.74"/>
    <n v="14429.58"/>
    <n v="19301.21"/>
  </r>
  <r>
    <s v="3771"/>
    <s v="Luisa Morales"/>
    <d v="1996-12-31T00:00:00"/>
    <n v="29"/>
    <x v="1"/>
    <x v="4"/>
    <d v="2024-10-29T00:00:00"/>
    <d v="2023-01-08T00:00:00"/>
    <n v="36"/>
    <x v="1"/>
    <n v="6"/>
    <n v="3"/>
    <n v="6026.12"/>
    <n v="1222.4000000000001"/>
    <n v="3420.06"/>
  </r>
  <r>
    <s v="3772"/>
    <s v="Ana Sánchez"/>
    <d v="1932-01-01T00:00:00"/>
    <n v="66"/>
    <x v="0"/>
    <x v="6"/>
    <d v="2023-02-28T00:00:00"/>
    <d v="2023-05-09T00:00:00"/>
    <n v="24"/>
    <x v="0"/>
    <n v="9"/>
    <n v="4"/>
    <n v="805.37"/>
    <n v="10804.13"/>
    <n v="18084.62"/>
  </r>
  <r>
    <s v="3773"/>
    <s v="Carmen Cruz"/>
    <d v="1952-01-01T00:00:00"/>
    <n v="74"/>
    <x v="0"/>
    <x v="2"/>
    <d v="2023-01-10T00:00:00"/>
    <d v="2023-12-20T00:00:00"/>
    <n v="37"/>
    <x v="0"/>
    <n v="5"/>
    <n v="9"/>
    <n v="22044.85"/>
    <n v="5406.39"/>
    <n v="13534.5"/>
  </r>
  <r>
    <s v="3774"/>
    <s v="Carlos Martínez"/>
    <d v="1955-01-01T00:00:00"/>
    <n v="71"/>
    <x v="1"/>
    <x v="2"/>
    <d v="2023-05-04T00:00:00"/>
    <d v="2023-09-25T00:00:00"/>
    <n v="28"/>
    <x v="0"/>
    <n v="13"/>
    <n v="3"/>
    <n v="12564.97"/>
    <n v="11035.36"/>
    <n v="18730.650000000001"/>
  </r>
  <r>
    <s v="3775"/>
    <s v="Ana Morales"/>
    <d v="2024-01-01T00:00:00"/>
    <n v="2"/>
    <x v="1"/>
    <x v="5"/>
    <d v="2023-12-22T00:00:00"/>
    <d v="2024-11-16T00:00:00"/>
    <n v="0"/>
    <x v="1"/>
    <n v="8"/>
    <n v="1"/>
    <n v="0"/>
    <n v="7784.29"/>
    <n v="4889.41"/>
  </r>
  <r>
    <s v="3776"/>
    <s v="Laura Hernández"/>
    <d v="2012-12-31T00:00:00"/>
    <n v="13"/>
    <x v="1"/>
    <x v="4"/>
    <d v="2023-12-12T00:00:00"/>
    <d v="2023-08-03T00:00:00"/>
    <n v="21"/>
    <x v="0"/>
    <n v="11"/>
    <n v="8"/>
    <n v="8879.59"/>
    <n v="9442.58"/>
    <n v="6837.8"/>
  </r>
  <r>
    <s v="3777"/>
    <s v="Carmen Morales"/>
    <d v="1967-01-01T00:00:00"/>
    <n v="59"/>
    <x v="1"/>
    <x v="1"/>
    <d v="2023-08-25T00:00:00"/>
    <d v="2023-09-05T00:00:00"/>
    <n v="12"/>
    <x v="2"/>
    <n v="2"/>
    <n v="0"/>
    <n v="3618"/>
    <n v="1131.55"/>
    <n v="3204.48"/>
  </r>
  <r>
    <s v="3778"/>
    <s v="Ana Sánchez"/>
    <d v="1949-12-31T00:00:00"/>
    <n v="79"/>
    <x v="0"/>
    <x v="4"/>
    <d v="2023-11-29T00:00:00"/>
    <d v="2024-09-10T00:00:00"/>
    <n v="3"/>
    <x v="1"/>
    <n v="0"/>
    <n v="7"/>
    <n v="24716.2"/>
    <n v="14497.19"/>
    <n v="8390.92"/>
  </r>
  <r>
    <s v="3779"/>
    <s v="Carlos Martínez"/>
    <d v="1981-12-31T00:00:00"/>
    <n v="44"/>
    <x v="0"/>
    <x v="0"/>
    <d v="2023-01-17T00:00:00"/>
    <d v="2024-08-18T00:00:00"/>
    <n v="8"/>
    <x v="2"/>
    <n v="10"/>
    <n v="3"/>
    <n v="3889.7"/>
    <n v="57.7"/>
    <n v="18944.740000000002"/>
  </r>
  <r>
    <s v="3780"/>
    <s v="Elena Pérez"/>
    <d v="1992-12-31T00:00:00"/>
    <n v="33"/>
    <x v="0"/>
    <x v="2"/>
    <d v="2024-02-28T00:00:00"/>
    <d v="2025-03-15T00:00:00"/>
    <n v="27"/>
    <x v="1"/>
    <n v="7"/>
    <n v="8"/>
    <n v="0"/>
    <n v="14117.39"/>
    <n v="11380.38"/>
  </r>
  <r>
    <s v="3781"/>
    <s v="Elena Hernández"/>
    <d v="1981-12-31T00:00:00"/>
    <n v="44"/>
    <x v="0"/>
    <x v="3"/>
    <d v="2023-11-20T00:00:00"/>
    <d v="2024-01-10T00:00:00"/>
    <n v="32"/>
    <x v="1"/>
    <n v="6"/>
    <n v="2"/>
    <n v="274.67"/>
    <n v="8523.75"/>
    <n v="8264.14"/>
  </r>
  <r>
    <s v="3782"/>
    <s v="Carmen Martínez"/>
    <d v="1965-12-31T00:00:00"/>
    <n v="60"/>
    <x v="1"/>
    <x v="3"/>
    <d v="2023-01-23T00:00:00"/>
    <d v="2024-02-26T00:00:00"/>
    <n v="35"/>
    <x v="1"/>
    <n v="14"/>
    <n v="6"/>
    <n v="12810.55"/>
    <n v="3874.05"/>
    <n v="6429.81"/>
  </r>
  <r>
    <s v="3783"/>
    <s v="Pedro Cruz"/>
    <d v="1944-01-01T00:00:00"/>
    <n v="82"/>
    <x v="0"/>
    <x v="3"/>
    <d v="2024-04-03T00:00:00"/>
    <d v="2024-12-16T00:00:00"/>
    <n v="37"/>
    <x v="0"/>
    <n v="2"/>
    <n v="2"/>
    <n v="10321.42"/>
    <n v="9565.92"/>
    <n v="11653.71"/>
  </r>
  <r>
    <s v="3784"/>
    <s v="Pedro Sánchez"/>
    <d v="2011-01-01T00:00:00"/>
    <n v="15"/>
    <x v="1"/>
    <x v="6"/>
    <d v="2024-04-04T00:00:00"/>
    <d v="2023-02-11T00:00:00"/>
    <n v="26"/>
    <x v="0"/>
    <n v="9"/>
    <n v="9"/>
    <n v="21432.61"/>
    <n v="10093.459999999999"/>
    <n v="14436.67"/>
  </r>
  <r>
    <s v="3785"/>
    <s v="Jorge Rodríguez"/>
    <d v="1960-12-31T00:00:00"/>
    <n v="65"/>
    <x v="0"/>
    <x v="1"/>
    <d v="2024-06-04T00:00:00"/>
    <d v="2024-12-18T00:00:00"/>
    <n v="20"/>
    <x v="1"/>
    <n v="3"/>
    <n v="6"/>
    <n v="21317.07"/>
    <n v="10954.97"/>
    <n v="8076.45"/>
  </r>
  <r>
    <s v="3786"/>
    <s v="Ana López"/>
    <d v="1987-01-01T00:00:00"/>
    <n v="39"/>
    <x v="1"/>
    <x v="5"/>
    <d v="2024-12-19T00:00:00"/>
    <d v="2023-12-15T00:00:00"/>
    <n v="39"/>
    <x v="1"/>
    <n v="12"/>
    <n v="1"/>
    <n v="678.25"/>
    <n v="246.57"/>
    <n v="4541.07"/>
  </r>
  <r>
    <s v="3787"/>
    <s v="Laura Martínez"/>
    <d v="2009-12-31T00:00:00"/>
    <n v="16"/>
    <x v="0"/>
    <x v="1"/>
    <d v="2024-07-10T00:00:00"/>
    <d v="2024-07-15T00:00:00"/>
    <n v="39"/>
    <x v="1"/>
    <n v="8"/>
    <n v="2"/>
    <n v="3033.85"/>
    <n v="14741.74"/>
    <n v="11658.59"/>
  </r>
  <r>
    <s v="3788"/>
    <s v="Elena Cruz"/>
    <d v="1992-12-31T00:00:00"/>
    <n v="33"/>
    <x v="0"/>
    <x v="6"/>
    <d v="2024-02-25T00:00:00"/>
    <d v="2023-05-24T00:00:00"/>
    <n v="0"/>
    <x v="1"/>
    <n v="4"/>
    <n v="7"/>
    <n v="27091.09"/>
    <n v="9268.69"/>
    <n v="7247.81"/>
  </r>
  <r>
    <s v="3789"/>
    <s v="Jorge Cruz"/>
    <d v="2011-01-01T00:00:00"/>
    <n v="15"/>
    <x v="1"/>
    <x v="1"/>
    <d v="2024-02-07T00:00:00"/>
    <d v="2023-05-22T00:00:00"/>
    <n v="23"/>
    <x v="0"/>
    <n v="11"/>
    <n v="6"/>
    <n v="23649.85"/>
    <n v="5663.04"/>
    <n v="19885.919999999998"/>
  </r>
  <r>
    <s v="3790"/>
    <s v="Miguel Pérez"/>
    <d v="1967-01-01T00:00:00"/>
    <n v="59"/>
    <x v="1"/>
    <x v="1"/>
    <d v="2023-11-27T00:00:00"/>
    <d v="2024-07-19T00:00:00"/>
    <n v="11"/>
    <x v="0"/>
    <n v="2"/>
    <n v="2"/>
    <n v="11379.29"/>
    <n v="8559.76"/>
    <n v="8765"/>
  </r>
  <r>
    <s v="3791"/>
    <s v="Ricardo Sánchez"/>
    <d v="1960-12-31T00:00:00"/>
    <n v="65"/>
    <x v="0"/>
    <x v="4"/>
    <d v="2024-04-01T00:00:00"/>
    <d v="2023-04-18T00:00:00"/>
    <n v="16"/>
    <x v="0"/>
    <n v="0"/>
    <n v="7"/>
    <n v="4574.42"/>
    <n v="2676.33"/>
    <n v="8633.23"/>
  </r>
  <r>
    <s v="3792"/>
    <s v="Ricardo Pérez"/>
    <d v="1960-12-31T00:00:00"/>
    <n v="65"/>
    <x v="1"/>
    <x v="3"/>
    <d v="2024-04-27T00:00:00"/>
    <d v="2023-02-03T00:00:00"/>
    <n v="18"/>
    <x v="0"/>
    <n v="3"/>
    <n v="8"/>
    <n v="7453.83"/>
    <n v="3709"/>
    <n v="16773.29"/>
  </r>
  <r>
    <s v="3793"/>
    <s v="María Ramírez"/>
    <d v="1936-12-31T00:00:00"/>
    <n v="89"/>
    <x v="0"/>
    <x v="2"/>
    <d v="2024-05-12T00:00:00"/>
    <d v="2023-07-20T00:00:00"/>
    <n v="18"/>
    <x v="2"/>
    <n v="9"/>
    <n v="1"/>
    <n v="19569.810000000001"/>
    <n v="1286.69"/>
    <n v="4945.4799999999996"/>
  </r>
  <r>
    <s v="3794"/>
    <s v="Laura Sánchez"/>
    <d v="2013-12-31T00:00:00"/>
    <n v="12"/>
    <x v="0"/>
    <x v="3"/>
    <d v="2023-01-27T00:00:00"/>
    <d v="2023-04-30T00:00:00"/>
    <n v="6"/>
    <x v="1"/>
    <n v="1"/>
    <n v="1"/>
    <n v="28337.54"/>
    <n v="13188.5"/>
    <n v="1226.3399999999999"/>
  </r>
  <r>
    <s v="3795"/>
    <s v="Juan Rodríguez"/>
    <d v="1971-01-01T00:00:00"/>
    <n v="55"/>
    <x v="0"/>
    <x v="1"/>
    <d v="2024-02-01T00:00:00"/>
    <d v="2025-03-11T00:00:00"/>
    <n v="10"/>
    <x v="0"/>
    <n v="5"/>
    <n v="6"/>
    <n v="18280.009999999998"/>
    <n v="3774"/>
    <n v="17061.759999999998"/>
  </r>
  <r>
    <s v="3796"/>
    <s v="Luisa Cruz"/>
    <d v="1996-01-01T00:00:00"/>
    <n v="30"/>
    <x v="1"/>
    <x v="2"/>
    <d v="2023-07-07T00:00:00"/>
    <d v="2023-08-18T00:00:00"/>
    <n v="38"/>
    <x v="0"/>
    <n v="7"/>
    <n v="7"/>
    <n v="306.58999999999997"/>
    <n v="11095.66"/>
    <n v="11739.71"/>
  </r>
  <r>
    <s v="3797"/>
    <s v="Pedro Sánchez"/>
    <d v="1992-12-31T00:00:00"/>
    <n v="33"/>
    <x v="0"/>
    <x v="4"/>
    <d v="2023-05-20T00:00:00"/>
    <d v="2024-09-22T00:00:00"/>
    <n v="34"/>
    <x v="0"/>
    <n v="1"/>
    <n v="4"/>
    <n v="19346.900000000001"/>
    <n v="4112.9799999999996"/>
    <n v="5129.1499999999996"/>
  </r>
  <r>
    <s v="3798"/>
    <s v="Laura Cruz"/>
    <d v="1988-01-01T00:00:00"/>
    <n v="38"/>
    <x v="1"/>
    <x v="5"/>
    <d v="2024-06-04T00:00:00"/>
    <d v="2024-11-19T00:00:00"/>
    <n v="35"/>
    <x v="1"/>
    <n v="4"/>
    <n v="1"/>
    <n v="28314.93"/>
    <n v="2189.83"/>
    <n v="6789.45"/>
  </r>
  <r>
    <s v="3799"/>
    <s v="Miguel Rodríguez"/>
    <d v="1954-01-01T00:00:00"/>
    <n v="66"/>
    <x v="1"/>
    <x v="0"/>
    <d v="2023-04-02T00:00:00"/>
    <d v="2023-07-05T00:00:00"/>
    <n v="21"/>
    <x v="1"/>
    <n v="7"/>
    <n v="9"/>
    <n v="10438.549999999999"/>
    <n v="1622.02"/>
    <n v="8455.57"/>
  </r>
  <r>
    <s v="3800"/>
    <s v="Pedro Pérez"/>
    <d v="2019-01-01T00:00:00"/>
    <n v="7"/>
    <x v="0"/>
    <x v="2"/>
    <d v="2023-03-18T00:00:00"/>
    <d v="2025-04-10T00:00:00"/>
    <n v="35"/>
    <x v="2"/>
    <n v="9"/>
    <n v="4"/>
    <n v="0"/>
    <n v="12903.67"/>
    <n v="13575.86"/>
  </r>
  <r>
    <s v="3801"/>
    <s v="Pedro Ramírez"/>
    <d v="1940-01-01T00:00:00"/>
    <n v="86"/>
    <x v="0"/>
    <x v="6"/>
    <d v="2023-09-01T00:00:00"/>
    <d v="2025-04-30T00:00:00"/>
    <n v="8"/>
    <x v="0"/>
    <n v="2"/>
    <n v="2"/>
    <n v="19953.900000000001"/>
    <n v="1796.05"/>
    <n v="9310.4599999999991"/>
  </r>
  <r>
    <s v="3802"/>
    <s v="Elena Sánchez"/>
    <d v="1948-12-31T00:00:00"/>
    <n v="77"/>
    <x v="1"/>
    <x v="3"/>
    <d v="2024-10-28T00:00:00"/>
    <d v="2023-08-04T00:00:00"/>
    <n v="26"/>
    <x v="2"/>
    <n v="4"/>
    <n v="8"/>
    <n v="5289.98"/>
    <n v="1307.24"/>
    <n v="7855.97"/>
  </r>
  <r>
    <s v="3803"/>
    <s v="Juan Hernández"/>
    <d v="1972-01-01T00:00:00"/>
    <n v="54"/>
    <x v="1"/>
    <x v="4"/>
    <d v="2024-12-30T00:00:00"/>
    <d v="2025-01-03T00:00:00"/>
    <n v="35"/>
    <x v="1"/>
    <n v="12"/>
    <n v="1"/>
    <n v="3931.82"/>
    <n v="140.32"/>
    <n v="15587.38"/>
  </r>
  <r>
    <s v="3804"/>
    <s v="Luisa Martínez"/>
    <d v="2000-01-01T00:00:00"/>
    <n v="26"/>
    <x v="0"/>
    <x v="4"/>
    <d v="2024-10-23T00:00:00"/>
    <d v="2023-05-11T00:00:00"/>
    <n v="38"/>
    <x v="2"/>
    <n v="13"/>
    <n v="8"/>
    <n v="4877.1400000000003"/>
    <n v="5496.6"/>
    <n v="1344.16"/>
  </r>
  <r>
    <s v="3805"/>
    <s v="Ricardo Martínez"/>
    <d v="1933-12-31T00:00:00"/>
    <n v="92"/>
    <x v="0"/>
    <x v="3"/>
    <d v="2023-03-29T00:00:00"/>
    <d v="2025-04-25T00:00:00"/>
    <n v="14"/>
    <x v="0"/>
    <n v="1"/>
    <n v="1"/>
    <n v="20826.349999999999"/>
    <n v="14140.31"/>
    <n v="13015.99"/>
  </r>
  <r>
    <s v="3806"/>
    <s v="Luisa Rodríguez"/>
    <d v="1973-12-31T00:00:00"/>
    <n v="52"/>
    <x v="0"/>
    <x v="1"/>
    <d v="2024-09-09T00:00:00"/>
    <d v="2023-09-30T00:00:00"/>
    <n v="23"/>
    <x v="2"/>
    <n v="7"/>
    <n v="0"/>
    <n v="17480.400000000001"/>
    <n v="13629.75"/>
    <n v="8923.36"/>
  </r>
  <r>
    <s v="3807"/>
    <s v="José Ramírez"/>
    <d v="1988-01-01T00:00:00"/>
    <n v="38"/>
    <x v="1"/>
    <x v="1"/>
    <d v="2023-10-21T00:00:00"/>
    <d v="2025-01-28T00:00:00"/>
    <n v="23"/>
    <x v="0"/>
    <n v="5"/>
    <n v="9"/>
    <n v="13394.08"/>
    <n v="1725.79"/>
    <n v="6630.56"/>
  </r>
  <r>
    <s v="3808"/>
    <s v="Juan Gómez"/>
    <d v="1961-12-31T00:00:00"/>
    <n v="64"/>
    <x v="0"/>
    <x v="1"/>
    <d v="2023-04-05T00:00:00"/>
    <d v="2024-09-27T00:00:00"/>
    <n v="9"/>
    <x v="2"/>
    <n v="5"/>
    <n v="5"/>
    <n v="7532.32"/>
    <n v="187.42"/>
    <n v="18544.27"/>
  </r>
  <r>
    <s v="3809"/>
    <s v="Jorge López"/>
    <d v="2009-12-31T00:00:00"/>
    <n v="16"/>
    <x v="0"/>
    <x v="4"/>
    <d v="2023-09-10T00:00:00"/>
    <d v="2023-01-09T00:00:00"/>
    <n v="15"/>
    <x v="0"/>
    <n v="2"/>
    <n v="5"/>
    <n v="27170.55"/>
    <n v="11265.11"/>
    <n v="15536.38"/>
  </r>
  <r>
    <s v="3810"/>
    <s v="Elena Sánchez"/>
    <d v="1996-12-31T00:00:00"/>
    <n v="29"/>
    <x v="0"/>
    <x v="1"/>
    <d v="2024-07-04T00:00:00"/>
    <d v="2024-02-08T00:00:00"/>
    <n v="6"/>
    <x v="2"/>
    <n v="4"/>
    <n v="3"/>
    <n v="6019.18"/>
    <n v="4597.16"/>
    <n v="4307.1000000000004"/>
  </r>
  <r>
    <s v="3811"/>
    <s v="Carmen Morales"/>
    <d v="1973-12-31T00:00:00"/>
    <n v="52"/>
    <x v="0"/>
    <x v="3"/>
    <d v="2024-02-03T00:00:00"/>
    <d v="2024-08-02T00:00:00"/>
    <n v="0"/>
    <x v="0"/>
    <n v="9"/>
    <n v="1"/>
    <n v="8149.99"/>
    <n v="12520.15"/>
    <n v="13011.96"/>
  </r>
  <r>
    <s v="3812"/>
    <s v="José Pérez"/>
    <d v="2013-12-31T00:00:00"/>
    <n v="12"/>
    <x v="1"/>
    <x v="2"/>
    <d v="2023-02-23T00:00:00"/>
    <d v="2024-09-19T00:00:00"/>
    <n v="7"/>
    <x v="2"/>
    <n v="9"/>
    <n v="9"/>
    <n v="1175"/>
    <n v="3231.44"/>
    <n v="16427.96"/>
  </r>
  <r>
    <s v="3813"/>
    <s v="Miguel Martínez"/>
    <d v="2005-12-31T00:00:00"/>
    <n v="20"/>
    <x v="2"/>
    <x v="5"/>
    <d v="2023-08-31T00:00:00"/>
    <d v="2024-01-05T00:00:00"/>
    <n v="1"/>
    <x v="1"/>
    <n v="6"/>
    <n v="2"/>
    <n v="7897.42"/>
    <n v="7383.13"/>
    <n v="19785.73"/>
  </r>
  <r>
    <s v="3814"/>
    <s v="Luisa Hernández"/>
    <d v="2008-01-01T00:00:00"/>
    <n v="18"/>
    <x v="1"/>
    <x v="2"/>
    <d v="2023-04-20T00:00:00"/>
    <d v="2025-03-11T00:00:00"/>
    <n v="5"/>
    <x v="1"/>
    <n v="13"/>
    <n v="5"/>
    <n v="27648.38"/>
    <n v="494.19"/>
    <n v="13938.34"/>
  </r>
  <r>
    <s v="3815"/>
    <s v="Elena Cruz"/>
    <d v="1973-12-31T00:00:00"/>
    <n v="52"/>
    <x v="1"/>
    <x v="6"/>
    <d v="2024-09-15T00:00:00"/>
    <d v="2024-09-09T00:00:00"/>
    <n v="15"/>
    <x v="0"/>
    <n v="14"/>
    <n v="3"/>
    <n v="5221.92"/>
    <n v="13420.72"/>
    <n v="13782.89"/>
  </r>
  <r>
    <s v="3816"/>
    <s v="Pedro López"/>
    <d v="2008-01-01T00:00:00"/>
    <n v="18"/>
    <x v="0"/>
    <x v="3"/>
    <d v="2024-11-16T00:00:00"/>
    <d v="2024-06-21T00:00:00"/>
    <n v="36"/>
    <x v="1"/>
    <n v="4"/>
    <n v="4"/>
    <n v="5720.87"/>
    <n v="2669.64"/>
    <n v="12227.17"/>
  </r>
  <r>
    <s v="3817"/>
    <s v="Elena Martínez"/>
    <d v="1969-12-31T00:00:00"/>
    <n v="56"/>
    <x v="0"/>
    <x v="2"/>
    <d v="2024-12-01T00:00:00"/>
    <d v="2023-02-23T00:00:00"/>
    <n v="28"/>
    <x v="0"/>
    <n v="4"/>
    <n v="8"/>
    <n v="17799.310000000001"/>
    <n v="4420.55"/>
    <n v="704.05"/>
  </r>
  <r>
    <s v="3818"/>
    <s v="Luisa Sánchez"/>
    <d v="2001-12-31T00:00:00"/>
    <n v="24"/>
    <x v="0"/>
    <x v="3"/>
    <d v="2023-08-09T00:00:00"/>
    <d v="2023-09-05T00:00:00"/>
    <n v="11"/>
    <x v="0"/>
    <n v="2"/>
    <n v="4"/>
    <n v="16792.080000000002"/>
    <n v="7195.51"/>
    <n v="11659.63"/>
  </r>
  <r>
    <s v="3819"/>
    <s v="Luis Cruz"/>
    <d v="1940-12-31T00:00:00"/>
    <n v="3"/>
    <x v="0"/>
    <x v="4"/>
    <d v="2024-07-17T00:00:00"/>
    <d v="2023-12-04T00:00:00"/>
    <n v="36"/>
    <x v="1"/>
    <n v="6"/>
    <n v="9"/>
    <n v="4866.74"/>
    <n v="4069.03"/>
    <n v="16081.46"/>
  </r>
  <r>
    <s v="3820"/>
    <s v="Ricardo Morales"/>
    <d v="1996-01-01T00:00:00"/>
    <n v="30"/>
    <x v="1"/>
    <x v="6"/>
    <d v="2023-06-11T00:00:00"/>
    <d v="2023-10-09T00:00:00"/>
    <n v="30"/>
    <x v="1"/>
    <n v="12"/>
    <n v="7"/>
    <n v="4205.08"/>
    <n v="602.45000000000005"/>
    <n v="7847.91"/>
  </r>
  <r>
    <s v="3821"/>
    <s v="Jorge López"/>
    <d v="1945-12-31T00:00:00"/>
    <n v="80"/>
    <x v="0"/>
    <x v="4"/>
    <d v="2023-02-04T00:00:00"/>
    <d v="2023-02-03T00:00:00"/>
    <n v="26"/>
    <x v="0"/>
    <n v="8"/>
    <n v="1"/>
    <n v="3067.8"/>
    <n v="436.29"/>
    <n v="11698.28"/>
  </r>
  <r>
    <s v="3822"/>
    <s v="Ana Sánchez"/>
    <d v="1972-01-01T00:00:00"/>
    <n v="54"/>
    <x v="1"/>
    <x v="0"/>
    <d v="2023-02-06T00:00:00"/>
    <d v="2025-03-10T00:00:00"/>
    <n v="30"/>
    <x v="0"/>
    <n v="6"/>
    <n v="5"/>
    <n v="25763.11"/>
    <n v="14328.2"/>
    <n v="18522.41"/>
  </r>
  <r>
    <s v="3823"/>
    <s v="Juan Sánchez"/>
    <d v="2004-01-01T00:00:00"/>
    <n v="22"/>
    <x v="0"/>
    <x v="0"/>
    <d v="2024-09-14T00:00:00"/>
    <d v="2024-07-02T00:00:00"/>
    <n v="32"/>
    <x v="0"/>
    <n v="7"/>
    <n v="5"/>
    <n v="19460.27"/>
    <n v="4882.4399999999996"/>
    <n v="3357.89"/>
  </r>
  <r>
    <s v="3824"/>
    <s v="Luis Pérez"/>
    <d v="1995-01-01T00:00:00"/>
    <n v="31"/>
    <x v="1"/>
    <x v="0"/>
    <d v="2024-01-05T00:00:00"/>
    <d v="2023-12-10T00:00:00"/>
    <n v="1"/>
    <x v="2"/>
    <n v="4"/>
    <n v="4"/>
    <n v="28580.09"/>
    <n v="5015.87"/>
    <n v="5537.56"/>
  </r>
  <r>
    <s v="3825"/>
    <s v="Ana Gómez"/>
    <d v="1964-12-31T00:00:00"/>
    <n v="61"/>
    <x v="0"/>
    <x v="3"/>
    <d v="2023-06-26T00:00:00"/>
    <d v="2025-06-10T00:00:00"/>
    <n v="32"/>
    <x v="0"/>
    <n v="0"/>
    <n v="5"/>
    <n v="4557.92"/>
    <n v="13843.5"/>
    <n v="2117.38"/>
  </r>
  <r>
    <s v="3826"/>
    <s v="Ana Sánchez"/>
    <d v="1952-12-31T00:00:00"/>
    <n v="73"/>
    <x v="1"/>
    <x v="2"/>
    <d v="2024-06-04T00:00:00"/>
    <d v="2023-08-28T00:00:00"/>
    <n v="29"/>
    <x v="0"/>
    <n v="14"/>
    <n v="4"/>
    <n v="13548.41"/>
    <n v="12542.31"/>
    <n v="9954.92"/>
  </r>
  <r>
    <s v="3827"/>
    <s v="Luis Pérez"/>
    <d v="2016-12-31T00:00:00"/>
    <n v="9"/>
    <x v="0"/>
    <x v="3"/>
    <d v="2023-10-02T00:00:00"/>
    <d v="2024-05-07T00:00:00"/>
    <n v="33"/>
    <x v="0"/>
    <n v="2"/>
    <n v="1"/>
    <n v="22162.92"/>
    <n v="10304.120000000001"/>
    <n v="16776.95"/>
  </r>
  <r>
    <s v="3828"/>
    <s v="Luisa Pérez"/>
    <d v="1955-01-01T00:00:00"/>
    <n v="71"/>
    <x v="0"/>
    <x v="4"/>
    <d v="2024-09-24T00:00:00"/>
    <d v="2024-12-30T00:00:00"/>
    <n v="20"/>
    <x v="0"/>
    <n v="2"/>
    <n v="4"/>
    <n v="6013.22"/>
    <n v="9877.59"/>
    <n v="8647.86"/>
  </r>
  <r>
    <s v="3829"/>
    <s v="Sofía Rodríguez"/>
    <d v="1972-12-31T00:00:00"/>
    <n v="53"/>
    <x v="1"/>
    <x v="5"/>
    <d v="2023-04-15T00:00:00"/>
    <d v="2023-06-27T00:00:00"/>
    <n v="2"/>
    <x v="1"/>
    <n v="11"/>
    <n v="0"/>
    <n v="20382.64"/>
    <n v="12016.29"/>
    <n v="1303.78"/>
  </r>
  <r>
    <s v="3830"/>
    <s v="Jorge Rodríguez"/>
    <d v="1975-01-01T00:00:00"/>
    <n v="51"/>
    <x v="0"/>
    <x v="4"/>
    <d v="2023-06-05T00:00:00"/>
    <d v="2023-02-14T00:00:00"/>
    <n v="13"/>
    <x v="1"/>
    <n v="6"/>
    <n v="2"/>
    <n v="13951"/>
    <n v="2533.13"/>
    <n v="5197.1099999999997"/>
  </r>
  <r>
    <s v="3831"/>
    <s v="Laura Hernández"/>
    <d v="2007-01-01T00:00:00"/>
    <n v="19"/>
    <x v="0"/>
    <x v="2"/>
    <d v="2023-12-02T00:00:00"/>
    <d v="2023-11-01T00:00:00"/>
    <n v="37"/>
    <x v="1"/>
    <n v="3"/>
    <n v="6"/>
    <n v="12640.28"/>
    <n v="9964.1200000000008"/>
    <n v="17783.099999999999"/>
  </r>
  <r>
    <s v="3832"/>
    <s v="Miguel Hernández"/>
    <d v="1995-01-01T00:00:00"/>
    <n v="82"/>
    <x v="0"/>
    <x v="4"/>
    <d v="2023-01-26T00:00:00"/>
    <d v="2024-11-01T00:00:00"/>
    <n v="21"/>
    <x v="0"/>
    <n v="2"/>
    <n v="3"/>
    <n v="19172.43"/>
    <n v="1475.98"/>
    <n v="11106.23"/>
  </r>
  <r>
    <s v="3833"/>
    <s v="Elena Hernández"/>
    <d v="2012-12-31T00:00:00"/>
    <n v="13"/>
    <x v="0"/>
    <x v="4"/>
    <d v="2023-10-23T00:00:00"/>
    <d v="2023-09-27T00:00:00"/>
    <n v="37"/>
    <x v="2"/>
    <n v="6"/>
    <n v="7"/>
    <n v="13764.68"/>
    <n v="1897.69"/>
    <n v="18272.830000000002"/>
  </r>
  <r>
    <s v="3834"/>
    <s v="Elena Pérez"/>
    <d v="1976-12-31T00:00:00"/>
    <n v="49"/>
    <x v="1"/>
    <x v="6"/>
    <d v="2024-06-20T00:00:00"/>
    <d v="2024-11-14T00:00:00"/>
    <n v="25"/>
    <x v="2"/>
    <n v="11"/>
    <n v="2"/>
    <n v="24510.400000000001"/>
    <n v="3641.34"/>
    <n v="16672.21"/>
  </r>
  <r>
    <s v="3835"/>
    <s v="Luis Hernández"/>
    <d v="1999-01-01T00:00:00"/>
    <n v="27"/>
    <x v="1"/>
    <x v="1"/>
    <d v="2023-12-21T00:00:00"/>
    <d v="2025-01-03T00:00:00"/>
    <n v="22"/>
    <x v="0"/>
    <n v="1"/>
    <n v="6"/>
    <n v="27880.9"/>
    <n v="10647.06"/>
    <n v="8227.26"/>
  </r>
  <r>
    <s v="3836"/>
    <s v="Pedro Pérez"/>
    <d v="1973-12-31T00:00:00"/>
    <n v="52"/>
    <x v="1"/>
    <x v="0"/>
    <d v="2023-03-10T00:00:00"/>
    <d v="2024-02-05T00:00:00"/>
    <n v="4"/>
    <x v="0"/>
    <n v="0"/>
    <n v="1"/>
    <n v="17460.189999999999"/>
    <n v="13388.18"/>
    <n v="12634.23"/>
  </r>
  <r>
    <s v="3837"/>
    <s v="Luis Rodríguez"/>
    <d v="2003-01-01T00:00:00"/>
    <n v="33"/>
    <x v="1"/>
    <x v="2"/>
    <d v="2023-11-23T00:00:00"/>
    <d v="2025-01-12T00:00:00"/>
    <n v="35"/>
    <x v="0"/>
    <n v="2"/>
    <n v="7"/>
    <n v="8668.1299999999992"/>
    <n v="10361.790000000001"/>
    <n v="13254.95"/>
  </r>
  <r>
    <s v="3838"/>
    <s v="María Sánchez"/>
    <d v="1948-01-01T00:00:00"/>
    <n v="78"/>
    <x v="1"/>
    <x v="2"/>
    <d v="2023-05-31T00:00:00"/>
    <d v="2024-08-26T00:00:00"/>
    <n v="4"/>
    <x v="0"/>
    <n v="9"/>
    <n v="2"/>
    <n v="23205.279999999999"/>
    <n v="6249.35"/>
    <n v="14910.63"/>
  </r>
  <r>
    <s v="3839"/>
    <s v="Luisa Morales"/>
    <d v="2004-12-31T00:00:00"/>
    <n v="21"/>
    <x v="0"/>
    <x v="0"/>
    <d v="2024-07-30T00:00:00"/>
    <d v="2024-03-07T00:00:00"/>
    <n v="19"/>
    <x v="2"/>
    <n v="1"/>
    <n v="5"/>
    <n v="4699.9399999999996"/>
    <n v="7704.92"/>
    <n v="6592.63"/>
  </r>
  <r>
    <s v="3840"/>
    <s v="Luisa Martínez"/>
    <d v="1996-12-31T00:00:00"/>
    <n v="29"/>
    <x v="1"/>
    <x v="4"/>
    <d v="2024-10-23T00:00:00"/>
    <d v="2024-02-26T00:00:00"/>
    <n v="19"/>
    <x v="1"/>
    <n v="14"/>
    <n v="1"/>
    <n v="2397.2199999999998"/>
    <n v="10684.89"/>
    <n v="5708.69"/>
  </r>
  <r>
    <s v="3841"/>
    <s v="Jorge Cruz"/>
    <d v="1964-01-01T00:00:00"/>
    <n v="62"/>
    <x v="1"/>
    <x v="6"/>
    <d v="2023-11-16T00:00:00"/>
    <d v="2023-05-12T00:00:00"/>
    <n v="24"/>
    <x v="0"/>
    <n v="1"/>
    <n v="6"/>
    <n v="15321.31"/>
    <n v="9199.23"/>
    <n v="13660.23"/>
  </r>
  <r>
    <s v="3842"/>
    <s v="Luis Gómez"/>
    <d v="2023-01-01T00:00:00"/>
    <n v="3"/>
    <x v="1"/>
    <x v="3"/>
    <d v="2024-03-27T00:00:00"/>
    <d v="2024-02-15T00:00:00"/>
    <n v="30"/>
    <x v="2"/>
    <n v="3"/>
    <n v="3"/>
    <n v="19225.439999999999"/>
    <n v="7942.01"/>
    <n v="16356.96"/>
  </r>
  <r>
    <s v="3843"/>
    <s v="Carlos López"/>
    <d v="1949-12-31T00:00:00"/>
    <n v="76"/>
    <x v="0"/>
    <x v="3"/>
    <d v="2024-07-23T00:00:00"/>
    <d v="2025-01-08T00:00:00"/>
    <n v="29"/>
    <x v="2"/>
    <n v="11"/>
    <n v="5"/>
    <n v="24967.439999999999"/>
    <n v="3551.89"/>
    <n v="8226.36"/>
  </r>
  <r>
    <s v="3844"/>
    <s v="Laura Martínez"/>
    <d v="1968-01-01T00:00:00"/>
    <n v="58"/>
    <x v="0"/>
    <x v="4"/>
    <d v="2024-10-29T00:00:00"/>
    <d v="2023-08-14T00:00:00"/>
    <n v="36"/>
    <x v="2"/>
    <n v="9"/>
    <n v="1"/>
    <n v="28633.98"/>
    <n v="9254.41"/>
    <n v="6353.48"/>
  </r>
  <r>
    <s v="3845"/>
    <s v="Elena Rodríguez"/>
    <d v="1940-01-01T00:00:00"/>
    <n v="86"/>
    <x v="1"/>
    <x v="4"/>
    <d v="2023-04-22T00:00:00"/>
    <d v="2023-05-24T00:00:00"/>
    <n v="29"/>
    <x v="1"/>
    <n v="1"/>
    <n v="2"/>
    <n v="0"/>
    <n v="280.02"/>
    <n v="16493.29"/>
  </r>
  <r>
    <s v="3846"/>
    <s v="Jorge Ramírez"/>
    <d v="2019-01-01T00:00:00"/>
    <n v="7"/>
    <x v="0"/>
    <x v="1"/>
    <d v="2024-09-26T00:00:00"/>
    <d v="2024-08-01T00:00:00"/>
    <n v="2"/>
    <x v="2"/>
    <n v="12"/>
    <n v="2"/>
    <n v="29655.34"/>
    <n v="8400.81"/>
    <n v="13707.71"/>
  </r>
  <r>
    <s v="3847"/>
    <s v="Luis Martínez"/>
    <d v="1944-12-31T00:00:00"/>
    <n v="38"/>
    <x v="1"/>
    <x v="2"/>
    <d v="2024-04-06T00:00:00"/>
    <d v="2024-06-24T00:00:00"/>
    <n v="7"/>
    <x v="0"/>
    <n v="2"/>
    <n v="3"/>
    <n v="14008.85"/>
    <n v="12311.18"/>
    <n v="6805.36"/>
  </r>
  <r>
    <s v="3848"/>
    <s v="José Ramírez"/>
    <d v="2015-01-01T00:00:00"/>
    <n v="11"/>
    <x v="2"/>
    <x v="0"/>
    <d v="2023-12-28T00:00:00"/>
    <d v="2023-05-06T00:00:00"/>
    <n v="1"/>
    <x v="2"/>
    <n v="6"/>
    <n v="0"/>
    <n v="9154.4"/>
    <n v="2696.26"/>
    <n v="10546.29"/>
  </r>
  <r>
    <s v="3849"/>
    <s v="Miguel Morales"/>
    <d v="1996-01-01T00:00:00"/>
    <n v="30"/>
    <x v="0"/>
    <x v="4"/>
    <d v="2023-07-22T00:00:00"/>
    <d v="2023-08-01T00:00:00"/>
    <n v="26"/>
    <x v="2"/>
    <n v="12"/>
    <n v="5"/>
    <n v="0"/>
    <n v="1713.16"/>
    <n v="19213.34"/>
  </r>
  <r>
    <s v="3850"/>
    <s v="Pedro Cruz"/>
    <d v="1948-12-31T00:00:00"/>
    <n v="77"/>
    <x v="1"/>
    <x v="4"/>
    <d v="2024-05-01T00:00:00"/>
    <d v="2024-03-04T00:00:00"/>
    <n v="4"/>
    <x v="0"/>
    <n v="6"/>
    <n v="5"/>
    <n v="19145.98"/>
    <n v="14553.53"/>
    <n v="14972.41"/>
  </r>
  <r>
    <s v="3851"/>
    <s v="Carmen López"/>
    <d v="1992-12-31T00:00:00"/>
    <n v="33"/>
    <x v="0"/>
    <x v="5"/>
    <d v="2024-04-24T00:00:00"/>
    <d v="2024-03-13T00:00:00"/>
    <n v="35"/>
    <x v="0"/>
    <n v="0"/>
    <n v="3"/>
    <n v="14971.33"/>
    <n v="12651.95"/>
    <n v="4355.46"/>
  </r>
  <r>
    <s v="3852"/>
    <s v="Luis Martínez"/>
    <d v="1944-12-31T00:00:00"/>
    <n v="81"/>
    <x v="0"/>
    <x v="6"/>
    <d v="2023-01-04T00:00:00"/>
    <d v="2024-08-15T00:00:00"/>
    <n v="3"/>
    <x v="0"/>
    <n v="13"/>
    <n v="7"/>
    <n v="18840.650000000001"/>
    <n v="4530.0200000000004"/>
    <n v="5830.13"/>
  </r>
  <r>
    <s v="3853"/>
    <s v="Pedro Cruz"/>
    <d v="1952-01-01T00:00:00"/>
    <n v="74"/>
    <x v="1"/>
    <x v="3"/>
    <d v="2023-05-09T00:00:00"/>
    <d v="2023-08-27T00:00:00"/>
    <n v="8"/>
    <x v="2"/>
    <n v="11"/>
    <n v="4"/>
    <n v="26545.040000000001"/>
    <n v="3128.59"/>
    <n v="5230.9399999999996"/>
  </r>
  <r>
    <s v="3854"/>
    <s v="Luisa Martínez"/>
    <d v="1951-01-01T00:00:00"/>
    <n v="75"/>
    <x v="0"/>
    <x v="6"/>
    <d v="2023-01-26T00:00:00"/>
    <d v="2024-10-06T00:00:00"/>
    <n v="6"/>
    <x v="2"/>
    <n v="1"/>
    <n v="9"/>
    <n v="4557.26"/>
    <n v="5010.59"/>
    <n v="16951.810000000001"/>
  </r>
  <r>
    <s v="3855"/>
    <s v="Carlos Pérez"/>
    <d v="1977-12-31T00:00:00"/>
    <n v="48"/>
    <x v="1"/>
    <x v="6"/>
    <d v="2023-01-27T00:00:00"/>
    <d v="2023-11-25T00:00:00"/>
    <n v="27"/>
    <x v="0"/>
    <n v="12"/>
    <n v="3"/>
    <n v="3168.05"/>
    <n v="6468.37"/>
    <n v="12792.53"/>
  </r>
  <r>
    <s v="3856"/>
    <s v="Carmen Cruz"/>
    <d v="1948-01-01T00:00:00"/>
    <n v="78"/>
    <x v="1"/>
    <x v="1"/>
    <d v="2023-02-11T00:00:00"/>
    <d v="2025-03-23T00:00:00"/>
    <n v="19"/>
    <x v="1"/>
    <n v="11"/>
    <n v="6"/>
    <n v="14704.82"/>
    <n v="12316.24"/>
    <n v="18793.95"/>
  </r>
  <r>
    <s v="3857"/>
    <s v="Luis Cruz"/>
    <d v="1969-12-31T00:00:00"/>
    <n v="56"/>
    <x v="1"/>
    <x v="6"/>
    <d v="2024-08-05T00:00:00"/>
    <d v="2023-04-30T00:00:00"/>
    <n v="36"/>
    <x v="2"/>
    <n v="1"/>
    <n v="9"/>
    <n v="29443.93"/>
    <n v="3588.06"/>
    <n v="1727.78"/>
  </r>
  <r>
    <s v="3858"/>
    <s v="Miguel López"/>
    <d v="1932-01-01T00:00:00"/>
    <n v="94"/>
    <x v="1"/>
    <x v="0"/>
    <d v="2023-03-05T00:00:00"/>
    <d v="2023-02-16T00:00:00"/>
    <n v="6"/>
    <x v="1"/>
    <n v="1"/>
    <n v="9"/>
    <n v="1300.83"/>
    <n v="10812.68"/>
    <n v="945.28"/>
  </r>
  <r>
    <s v="3859"/>
    <s v="Luis López"/>
    <d v="1933-12-31T00:00:00"/>
    <n v="29"/>
    <x v="1"/>
    <x v="1"/>
    <d v="2023-01-25T00:00:00"/>
    <d v="2023-03-26T00:00:00"/>
    <n v="35"/>
    <x v="2"/>
    <n v="11"/>
    <n v="7"/>
    <n v="29590"/>
    <n v="13939.36"/>
    <n v="13491.66"/>
  </r>
  <r>
    <s v="3860"/>
    <s v="María Pérez"/>
    <d v="2000-12-31T00:00:00"/>
    <n v="25"/>
    <x v="0"/>
    <x v="4"/>
    <d v="2023-03-13T00:00:00"/>
    <d v="2025-03-05T00:00:00"/>
    <n v="30"/>
    <x v="1"/>
    <n v="13"/>
    <n v="1"/>
    <n v="29015.05"/>
    <n v="5692.68"/>
    <n v="5259.14"/>
  </r>
  <r>
    <s v="3861"/>
    <s v="Pedro López"/>
    <d v="2008-12-31T00:00:00"/>
    <n v="17"/>
    <x v="1"/>
    <x v="0"/>
    <d v="2024-04-26T00:00:00"/>
    <d v="2023-12-19T00:00:00"/>
    <n v="23"/>
    <x v="0"/>
    <n v="14"/>
    <n v="0"/>
    <n v="8424.2900000000009"/>
    <n v="390.7"/>
    <n v="13551.35"/>
  </r>
  <r>
    <s v="3862"/>
    <s v="Luis Hernández"/>
    <d v="1940-12-31T00:00:00"/>
    <n v="85"/>
    <x v="1"/>
    <x v="1"/>
    <d v="2023-09-25T00:00:00"/>
    <d v="2023-01-14T00:00:00"/>
    <n v="13"/>
    <x v="2"/>
    <n v="12"/>
    <n v="5"/>
    <n v="26675.62"/>
    <n v="12414.25"/>
    <n v="14441.75"/>
  </r>
  <r>
    <s v="3863"/>
    <s v="Ricardo Sánchez"/>
    <d v="1988-12-31T00:00:00"/>
    <n v="37"/>
    <x v="0"/>
    <x v="0"/>
    <d v="2023-04-05T00:00:00"/>
    <d v="2024-09-29T00:00:00"/>
    <n v="6"/>
    <x v="0"/>
    <n v="9"/>
    <n v="1"/>
    <n v="0"/>
    <n v="10626.21"/>
    <n v="6020.07"/>
  </r>
  <r>
    <s v="3864"/>
    <s v="Carmen Sánchez"/>
    <d v="1945-12-31T00:00:00"/>
    <n v="80"/>
    <x v="0"/>
    <x v="1"/>
    <d v="2024-01-30T00:00:00"/>
    <d v="2025-04-17T00:00:00"/>
    <n v="20"/>
    <x v="1"/>
    <n v="1"/>
    <n v="7"/>
    <n v="13348.86"/>
    <n v="2236.0500000000002"/>
    <n v="19048.63"/>
  </r>
  <r>
    <s v="3865"/>
    <s v="Luisa López"/>
    <d v="1940-01-01T00:00:00"/>
    <n v="86"/>
    <x v="2"/>
    <x v="1"/>
    <d v="2023-12-30T00:00:00"/>
    <d v="2023-06-22T00:00:00"/>
    <n v="12"/>
    <x v="0"/>
    <n v="6"/>
    <n v="4"/>
    <n v="11764.77"/>
    <n v="8953.58"/>
    <n v="15472.29"/>
  </r>
  <r>
    <s v="3866"/>
    <s v="José López"/>
    <d v="1939-01-01T00:00:00"/>
    <n v="87"/>
    <x v="0"/>
    <x v="2"/>
    <d v="2023-11-11T00:00:00"/>
    <d v="2023-08-23T00:00:00"/>
    <n v="16"/>
    <x v="0"/>
    <n v="4"/>
    <n v="1"/>
    <n v="27031.07"/>
    <n v="12372.25"/>
    <n v="7283.84"/>
  </r>
  <r>
    <s v="3867"/>
    <s v="Laura Ramírez"/>
    <d v="1976-12-31T00:00:00"/>
    <n v="49"/>
    <x v="2"/>
    <x v="0"/>
    <d v="2023-04-27T00:00:00"/>
    <d v="2023-07-01T00:00:00"/>
    <n v="39"/>
    <x v="0"/>
    <n v="13"/>
    <n v="4"/>
    <n v="13905.03"/>
    <n v="2715.48"/>
    <n v="8183.59"/>
  </r>
  <r>
    <s v="3868"/>
    <s v="Jorge Pérez"/>
    <d v="2019-01-01T00:00:00"/>
    <n v="7"/>
    <x v="0"/>
    <x v="2"/>
    <d v="2023-06-13T00:00:00"/>
    <d v="2023-02-21T00:00:00"/>
    <n v="13"/>
    <x v="2"/>
    <n v="3"/>
    <n v="1"/>
    <n v="12247.13"/>
    <n v="3343.53"/>
    <n v="14289.02"/>
  </r>
  <r>
    <s v="3869"/>
    <s v="Luis Morales"/>
    <d v="1985-12-31T00:00:00"/>
    <n v="40"/>
    <x v="2"/>
    <x v="4"/>
    <d v="2024-07-30T00:00:00"/>
    <d v="2025-02-20T00:00:00"/>
    <n v="22"/>
    <x v="0"/>
    <n v="8"/>
    <n v="5"/>
    <n v="19007.64"/>
    <n v="3026.72"/>
    <n v="6011.14"/>
  </r>
  <r>
    <s v="3870"/>
    <s v="Jorge Morales"/>
    <d v="2020-12-31T00:00:00"/>
    <n v="5"/>
    <x v="0"/>
    <x v="1"/>
    <d v="2023-11-02T00:00:00"/>
    <d v="2024-11-12T00:00:00"/>
    <n v="32"/>
    <x v="1"/>
    <n v="10"/>
    <n v="7"/>
    <n v="10961.88"/>
    <n v="14962.52"/>
    <n v="5837.04"/>
  </r>
  <r>
    <s v="3871"/>
    <s v="Laura López"/>
    <d v="1957-12-31T00:00:00"/>
    <n v="68"/>
    <x v="1"/>
    <x v="3"/>
    <d v="2023-07-19T00:00:00"/>
    <d v="2024-01-31T00:00:00"/>
    <n v="10"/>
    <x v="1"/>
    <n v="13"/>
    <n v="1"/>
    <n v="15865.07"/>
    <n v="3442.82"/>
    <n v="12460.68"/>
  </r>
  <r>
    <s v="3872"/>
    <s v="Carmen Ramírez"/>
    <d v="1983-01-01T00:00:00"/>
    <n v="43"/>
    <x v="1"/>
    <x v="1"/>
    <d v="2023-06-29T00:00:00"/>
    <d v="2025-04-08T00:00:00"/>
    <n v="4"/>
    <x v="0"/>
    <n v="7"/>
    <n v="5"/>
    <n v="28644.78"/>
    <n v="4003.78"/>
    <n v="2609.37"/>
  </r>
  <r>
    <s v="3873"/>
    <s v="Elena Cruz"/>
    <d v="1963-01-01T00:00:00"/>
    <n v="63"/>
    <x v="0"/>
    <x v="3"/>
    <d v="2023-12-24T00:00:00"/>
    <d v="2025-03-11T00:00:00"/>
    <n v="31"/>
    <x v="1"/>
    <n v="12"/>
    <n v="5"/>
    <n v="5679.83"/>
    <n v="718.89"/>
    <n v="19866.189999999999"/>
  </r>
  <r>
    <s v="3874"/>
    <s v="Luis López"/>
    <d v="1997-12-31T00:00:00"/>
    <n v="28"/>
    <x v="1"/>
    <x v="3"/>
    <d v="2023-09-09T00:00:00"/>
    <d v="2024-03-05T00:00:00"/>
    <n v="11"/>
    <x v="0"/>
    <n v="5"/>
    <n v="0"/>
    <n v="13496.84"/>
    <n v="14749.18"/>
    <n v="5673.47"/>
  </r>
  <r>
    <s v="3875"/>
    <s v="Laura Cruz"/>
    <d v="1999-01-01T00:00:00"/>
    <n v="27"/>
    <x v="1"/>
    <x v="3"/>
    <d v="2023-10-26T00:00:00"/>
    <d v="2023-10-02T00:00:00"/>
    <n v="20"/>
    <x v="0"/>
    <n v="4"/>
    <n v="8"/>
    <n v="30.99"/>
    <n v="3701.31"/>
    <n v="7592.56"/>
  </r>
  <r>
    <s v="3876"/>
    <s v="Luis Cruz"/>
    <d v="2016-01-01T00:00:00"/>
    <n v="10"/>
    <x v="0"/>
    <x v="3"/>
    <d v="2024-03-05T00:00:00"/>
    <d v="2025-05-11T00:00:00"/>
    <n v="20"/>
    <x v="1"/>
    <n v="3"/>
    <n v="7"/>
    <n v="25188.23"/>
    <n v="10878.5"/>
    <n v="4407.7299999999996"/>
  </r>
  <r>
    <s v="3877"/>
    <s v="Pedro López"/>
    <d v="1961-12-31T00:00:00"/>
    <n v="64"/>
    <x v="0"/>
    <x v="0"/>
    <d v="2023-01-04T00:00:00"/>
    <d v="2023-07-27T00:00:00"/>
    <n v="14"/>
    <x v="0"/>
    <n v="3"/>
    <n v="3"/>
    <n v="2306.5300000000002"/>
    <n v="395.53"/>
    <n v="12834.27"/>
  </r>
  <r>
    <s v="3878"/>
    <s v="Carmen Ramírez"/>
    <d v="2008-01-01T00:00:00"/>
    <n v="18"/>
    <x v="1"/>
    <x v="5"/>
    <d v="2024-10-14T00:00:00"/>
    <d v="2023-05-29T00:00:00"/>
    <n v="10"/>
    <x v="1"/>
    <n v="8"/>
    <n v="6"/>
    <n v="2390.25"/>
    <n v="11751.04"/>
    <n v="1115.82"/>
  </r>
  <r>
    <s v="3879"/>
    <s v="Luis Morales"/>
    <d v="2017-12-31T00:00:00"/>
    <n v="8"/>
    <x v="0"/>
    <x v="0"/>
    <d v="2024-11-08T00:00:00"/>
    <d v="2023-10-28T00:00:00"/>
    <n v="24"/>
    <x v="0"/>
    <n v="7"/>
    <n v="3"/>
    <n v="26426.6"/>
    <n v="11259.16"/>
    <n v="18548.95"/>
  </r>
  <r>
    <s v="3880"/>
    <s v="Ana Martínez"/>
    <d v="2000-01-01T00:00:00"/>
    <n v="26"/>
    <x v="0"/>
    <x v="4"/>
    <d v="2023-09-11T00:00:00"/>
    <d v="2024-03-29T00:00:00"/>
    <n v="1"/>
    <x v="2"/>
    <n v="11"/>
    <n v="7"/>
    <n v="11983.53"/>
    <n v="1262.29"/>
    <n v="6010.11"/>
  </r>
  <r>
    <s v="3881"/>
    <s v="Luis Cruz"/>
    <d v="1992-12-31T00:00:00"/>
    <n v="33"/>
    <x v="2"/>
    <x v="5"/>
    <d v="2024-10-26T00:00:00"/>
    <d v="2024-07-03T00:00:00"/>
    <n v="34"/>
    <x v="0"/>
    <n v="8"/>
    <n v="9"/>
    <n v="20462.509999999998"/>
    <n v="1839.03"/>
    <n v="18540.240000000002"/>
  </r>
  <r>
    <s v="3882"/>
    <s v="Jorge Cruz"/>
    <d v="1983-01-01T00:00:00"/>
    <n v="43"/>
    <x v="0"/>
    <x v="0"/>
    <d v="2024-08-01T00:00:00"/>
    <d v="2024-11-04T00:00:00"/>
    <n v="27"/>
    <x v="1"/>
    <n v="4"/>
    <n v="1"/>
    <n v="25664.31"/>
    <n v="4426.6400000000003"/>
    <n v="4996.1400000000003"/>
  </r>
  <r>
    <s v="3883"/>
    <s v="José López"/>
    <d v="1959-01-01T00:00:00"/>
    <n v="67"/>
    <x v="0"/>
    <x v="4"/>
    <d v="2024-07-20T00:00:00"/>
    <d v="2024-01-19T00:00:00"/>
    <n v="1"/>
    <x v="0"/>
    <n v="10"/>
    <n v="1"/>
    <n v="10921.57"/>
    <n v="5320.02"/>
    <n v="10227.14"/>
  </r>
  <r>
    <s v="3884"/>
    <s v="Laura Gómez"/>
    <d v="1968-01-01T00:00:00"/>
    <n v="81"/>
    <x v="0"/>
    <x v="3"/>
    <d v="2023-04-06T00:00:00"/>
    <d v="2025-02-26T00:00:00"/>
    <n v="27"/>
    <x v="1"/>
    <n v="9"/>
    <n v="2"/>
    <n v="7477.2"/>
    <n v="11752.5"/>
    <n v="13872.95"/>
  </r>
  <r>
    <s v="3885"/>
    <s v="Ricardo Rodríguez"/>
    <d v="2012-01-01T00:00:00"/>
    <n v="14"/>
    <x v="1"/>
    <x v="6"/>
    <d v="2023-06-16T00:00:00"/>
    <d v="2025-03-11T00:00:00"/>
    <n v="0"/>
    <x v="0"/>
    <n v="2"/>
    <n v="3"/>
    <n v="4670.3"/>
    <n v="917.83"/>
    <n v="12213.8"/>
  </r>
  <r>
    <s v="3886"/>
    <s v="María Martínez"/>
    <d v="1976-01-01T00:00:00"/>
    <n v="50"/>
    <x v="0"/>
    <x v="1"/>
    <d v="2023-11-27T00:00:00"/>
    <d v="2024-09-10T00:00:00"/>
    <n v="11"/>
    <x v="0"/>
    <n v="2"/>
    <n v="5"/>
    <n v="18017.14"/>
    <n v="9753.59"/>
    <n v="10201.1"/>
  </r>
  <r>
    <s v="3887"/>
    <s v="José Martínez"/>
    <d v="2013-12-31T00:00:00"/>
    <n v="12"/>
    <x v="0"/>
    <x v="5"/>
    <d v="2023-03-03T00:00:00"/>
    <d v="2024-06-18T00:00:00"/>
    <n v="8"/>
    <x v="2"/>
    <n v="10"/>
    <n v="4"/>
    <n v="7194.31"/>
    <n v="3428.01"/>
    <n v="15749.51"/>
  </r>
  <r>
    <s v="3888"/>
    <s v="María Martínez"/>
    <d v="1944-01-01T00:00:00"/>
    <n v="82"/>
    <x v="0"/>
    <x v="6"/>
    <d v="2023-06-23T00:00:00"/>
    <d v="2023-08-22T00:00:00"/>
    <n v="37"/>
    <x v="0"/>
    <n v="2"/>
    <n v="9"/>
    <n v="18845.78"/>
    <n v="5737.04"/>
    <n v="9356.93"/>
  </r>
  <r>
    <s v="3889"/>
    <s v="Sofía López"/>
    <d v="1977-12-31T00:00:00"/>
    <n v="48"/>
    <x v="0"/>
    <x v="3"/>
    <d v="2023-09-10T00:00:00"/>
    <d v="2024-09-26T00:00:00"/>
    <n v="20"/>
    <x v="2"/>
    <n v="9"/>
    <n v="9"/>
    <n v="0"/>
    <n v="33.06"/>
    <n v="6596.81"/>
  </r>
  <r>
    <s v="3890"/>
    <s v="Jorge Morales"/>
    <d v="1956-12-31T00:00:00"/>
    <n v="69"/>
    <x v="1"/>
    <x v="5"/>
    <d v="2024-04-05T00:00:00"/>
    <d v="2023-05-10T00:00:00"/>
    <n v="38"/>
    <x v="0"/>
    <n v="4"/>
    <n v="6"/>
    <n v="10107.19"/>
    <n v="4366.8500000000004"/>
    <n v="14343.72"/>
  </r>
  <r>
    <s v="3891"/>
    <s v="María Rodríguez"/>
    <d v="1971-01-01T00:00:00"/>
    <n v="55"/>
    <x v="0"/>
    <x v="6"/>
    <d v="2024-09-15T00:00:00"/>
    <d v="2025-04-02T00:00:00"/>
    <n v="29"/>
    <x v="0"/>
    <n v="1"/>
    <n v="5"/>
    <n v="7097.99"/>
    <n v="2570.0700000000002"/>
    <n v="18739.16"/>
  </r>
  <r>
    <s v="3892"/>
    <s v="Carlos Cruz"/>
    <d v="1951-01-01T00:00:00"/>
    <n v="75"/>
    <x v="1"/>
    <x v="0"/>
    <d v="2023-08-03T00:00:00"/>
    <d v="2024-12-30T00:00:00"/>
    <n v="0"/>
    <x v="0"/>
    <n v="7"/>
    <n v="3"/>
    <n v="12263.28"/>
    <n v="7559.58"/>
    <n v="11987.85"/>
  </r>
  <r>
    <s v="3893"/>
    <s v="Ana Pérez"/>
    <d v="1976-01-01T00:00:00"/>
    <n v="50"/>
    <x v="1"/>
    <x v="4"/>
    <d v="2023-08-27T00:00:00"/>
    <d v="2024-10-22T00:00:00"/>
    <n v="39"/>
    <x v="2"/>
    <n v="12"/>
    <n v="9"/>
    <n v="4444.96"/>
    <n v="2372.89"/>
    <n v="5522.16"/>
  </r>
  <r>
    <s v="3894"/>
    <s v="Juan Ramírez"/>
    <d v="1989-12-31T00:00:00"/>
    <n v="36"/>
    <x v="1"/>
    <x v="3"/>
    <d v="2024-02-19T00:00:00"/>
    <d v="2024-07-24T00:00:00"/>
    <n v="2"/>
    <x v="2"/>
    <n v="0"/>
    <n v="8"/>
    <n v="9251.0499999999993"/>
    <n v="12537.26"/>
    <n v="15232.46"/>
  </r>
  <r>
    <s v="3895"/>
    <s v="Luisa Gómez"/>
    <d v="2009-12-31T00:00:00"/>
    <n v="16"/>
    <x v="1"/>
    <x v="0"/>
    <d v="2024-11-05T00:00:00"/>
    <d v="2023-08-26T00:00:00"/>
    <n v="6"/>
    <x v="0"/>
    <n v="0"/>
    <n v="6"/>
    <n v="23225.35"/>
    <n v="13243.59"/>
    <n v="15214.69"/>
  </r>
  <r>
    <s v="3896"/>
    <s v="Sofía Cruz"/>
    <d v="1968-12-31T00:00:00"/>
    <n v="57"/>
    <x v="0"/>
    <x v="0"/>
    <d v="2023-05-06T00:00:00"/>
    <d v="2024-08-05T00:00:00"/>
    <n v="6"/>
    <x v="0"/>
    <n v="3"/>
    <n v="0"/>
    <n v="6076.38"/>
    <n v="12679.34"/>
    <n v="5263.97"/>
  </r>
  <r>
    <s v="3897"/>
    <s v="Luis Rodríguez"/>
    <d v="1940-01-01T00:00:00"/>
    <n v="86"/>
    <x v="1"/>
    <x v="3"/>
    <d v="2023-09-10T00:00:00"/>
    <d v="2024-12-02T00:00:00"/>
    <n v="9"/>
    <x v="0"/>
    <n v="14"/>
    <n v="7"/>
    <n v="0"/>
    <n v="14727.04"/>
    <n v="7631.07"/>
  </r>
  <r>
    <s v="3898"/>
    <s v="Carlos Rodríguez"/>
    <d v="1936-12-31T00:00:00"/>
    <n v="89"/>
    <x v="1"/>
    <x v="5"/>
    <d v="2024-12-11T00:00:00"/>
    <d v="2025-01-24T00:00:00"/>
    <n v="2"/>
    <x v="2"/>
    <n v="10"/>
    <n v="3"/>
    <n v="14534.11"/>
    <n v="13719.7"/>
    <n v="2732.99"/>
  </r>
  <r>
    <s v="3899"/>
    <s v="José López"/>
    <d v="1997-12-31T00:00:00"/>
    <n v="28"/>
    <x v="0"/>
    <x v="1"/>
    <d v="2023-07-16T00:00:00"/>
    <d v="2024-07-29T00:00:00"/>
    <n v="13"/>
    <x v="1"/>
    <n v="10"/>
    <n v="6"/>
    <n v="2761.06"/>
    <n v="4196.82"/>
    <n v="1501.32"/>
  </r>
  <r>
    <s v="3900"/>
    <s v="Pedro Martínez"/>
    <d v="1993-12-31T00:00:00"/>
    <n v="32"/>
    <x v="1"/>
    <x v="2"/>
    <d v="2024-09-25T00:00:00"/>
    <d v="2024-04-30T00:00:00"/>
    <n v="27"/>
    <x v="0"/>
    <n v="9"/>
    <n v="1"/>
    <n v="28263.37"/>
    <n v="4716.92"/>
    <n v="16127.99"/>
  </r>
  <r>
    <s v="3901"/>
    <s v="Juan Cruz"/>
    <d v="1967-01-01T00:00:00"/>
    <n v="59"/>
    <x v="1"/>
    <x v="2"/>
    <d v="2024-02-17T00:00:00"/>
    <d v="2023-08-30T00:00:00"/>
    <n v="5"/>
    <x v="0"/>
    <n v="2"/>
    <n v="2"/>
    <n v="13428.69"/>
    <n v="7989.89"/>
    <n v="7388.78"/>
  </r>
  <r>
    <s v="3902"/>
    <s v="Juan Hernández"/>
    <d v="1936-01-01T00:00:00"/>
    <n v="74"/>
    <x v="1"/>
    <x v="1"/>
    <d v="2024-03-31T00:00:00"/>
    <d v="2024-11-28T00:00:00"/>
    <n v="7"/>
    <x v="2"/>
    <n v="1"/>
    <n v="0"/>
    <n v="16487.439999999999"/>
    <n v="5774.36"/>
    <n v="5554.37"/>
  </r>
  <r>
    <s v="3903"/>
    <s v="Juan Rodríguez"/>
    <d v="1937-12-31T00:00:00"/>
    <n v="88"/>
    <x v="1"/>
    <x v="3"/>
    <d v="2023-02-23T00:00:00"/>
    <d v="2025-02-10T00:00:00"/>
    <n v="30"/>
    <x v="0"/>
    <n v="3"/>
    <n v="1"/>
    <n v="5148.4399999999996"/>
    <n v="14548.67"/>
    <n v="5047.4399999999996"/>
  </r>
  <r>
    <s v="3904"/>
    <s v="Laura Morales"/>
    <d v="1972-01-01T00:00:00"/>
    <n v="54"/>
    <x v="1"/>
    <x v="2"/>
    <d v="2024-10-08T00:00:00"/>
    <d v="2025-01-11T00:00:00"/>
    <n v="35"/>
    <x v="0"/>
    <n v="5"/>
    <n v="4"/>
    <n v="9665.92"/>
    <n v="5092.97"/>
    <n v="1403.59"/>
  </r>
  <r>
    <s v="3905"/>
    <s v="Luis Morales"/>
    <d v="2016-12-31T00:00:00"/>
    <n v="9"/>
    <x v="1"/>
    <x v="1"/>
    <d v="2023-12-05T00:00:00"/>
    <d v="2023-08-12T00:00:00"/>
    <n v="38"/>
    <x v="0"/>
    <n v="8"/>
    <n v="1"/>
    <n v="20960.96"/>
    <n v="11101.24"/>
    <n v="19695.740000000002"/>
  </r>
  <r>
    <s v="3906"/>
    <s v="Luisa Morales"/>
    <d v="1980-01-01T00:00:00"/>
    <n v="46"/>
    <x v="0"/>
    <x v="6"/>
    <d v="2023-12-25T00:00:00"/>
    <d v="2023-04-10T00:00:00"/>
    <n v="19"/>
    <x v="0"/>
    <n v="0"/>
    <n v="5"/>
    <n v="3281.07"/>
    <n v="8630.43"/>
    <n v="7277.62"/>
  </r>
  <r>
    <s v="3907"/>
    <s v="Pedro Cruz"/>
    <d v="2004-01-01T00:00:00"/>
    <n v="22"/>
    <x v="1"/>
    <x v="1"/>
    <d v="2023-05-31T00:00:00"/>
    <d v="2025-01-29T00:00:00"/>
    <n v="13"/>
    <x v="0"/>
    <n v="11"/>
    <n v="5"/>
    <n v="16898.990000000002"/>
    <n v="14347.21"/>
    <n v="3201.41"/>
  </r>
  <r>
    <s v="3908"/>
    <s v="José Cruz"/>
    <d v="1941-12-31T00:00:00"/>
    <n v="84"/>
    <x v="1"/>
    <x v="5"/>
    <d v="2023-04-10T00:00:00"/>
    <d v="2024-07-11T00:00:00"/>
    <n v="16"/>
    <x v="0"/>
    <n v="14"/>
    <n v="5"/>
    <n v="20652.439999999999"/>
    <n v="11167.76"/>
    <n v="17269.22"/>
  </r>
  <r>
    <s v="3909"/>
    <s v="Pedro Cruz"/>
    <d v="2005-12-31T00:00:00"/>
    <n v="25"/>
    <x v="0"/>
    <x v="4"/>
    <d v="2023-08-22T00:00:00"/>
    <d v="2023-10-01T00:00:00"/>
    <n v="8"/>
    <x v="2"/>
    <n v="11"/>
    <n v="2"/>
    <n v="443.98"/>
    <n v="4554.6899999999996"/>
    <n v="14434.71"/>
  </r>
  <r>
    <s v="3910"/>
    <s v="Miguel López"/>
    <d v="2013-12-31T00:00:00"/>
    <n v="12"/>
    <x v="1"/>
    <x v="1"/>
    <d v="2024-06-27T00:00:00"/>
    <d v="2024-02-04T00:00:00"/>
    <n v="8"/>
    <x v="0"/>
    <n v="4"/>
    <n v="2"/>
    <n v="25046.080000000002"/>
    <n v="2956.03"/>
    <n v="13218.68"/>
  </r>
  <r>
    <s v="3911"/>
    <s v="Sofía Ramírez"/>
    <d v="1958-01-01T00:00:00"/>
    <n v="32"/>
    <x v="0"/>
    <x v="0"/>
    <d v="2023-03-03T00:00:00"/>
    <d v="2024-06-01T00:00:00"/>
    <n v="11"/>
    <x v="0"/>
    <n v="2"/>
    <n v="9"/>
    <n v="1218.17"/>
    <n v="12819.27"/>
    <n v="5874.02"/>
  </r>
  <r>
    <s v="3912"/>
    <s v="Luis Martínez"/>
    <d v="2003-01-01T00:00:00"/>
    <n v="23"/>
    <x v="0"/>
    <x v="0"/>
    <d v="2023-07-15T00:00:00"/>
    <d v="2024-03-06T00:00:00"/>
    <n v="36"/>
    <x v="0"/>
    <n v="0"/>
    <n v="6"/>
    <n v="7031.07"/>
    <n v="13665.22"/>
    <n v="8250.7199999999993"/>
  </r>
  <r>
    <s v="3913"/>
    <s v="Juan Gómez"/>
    <d v="2016-01-01T00:00:00"/>
    <n v="10"/>
    <x v="1"/>
    <x v="4"/>
    <d v="2024-06-25T00:00:00"/>
    <d v="2024-06-07T00:00:00"/>
    <n v="23"/>
    <x v="0"/>
    <n v="1"/>
    <n v="3"/>
    <n v="28888.12"/>
    <n v="12466.41"/>
    <n v="16805.86"/>
  </r>
  <r>
    <s v="3914"/>
    <s v="Miguel Rodríguez"/>
    <d v="2009-12-31T00:00:00"/>
    <n v="16"/>
    <x v="0"/>
    <x v="3"/>
    <d v="2023-04-16T00:00:00"/>
    <d v="2023-12-15T00:00:00"/>
    <n v="17"/>
    <x v="0"/>
    <n v="6"/>
    <n v="5"/>
    <n v="1971.74"/>
    <n v="11061.74"/>
    <n v="12761.93"/>
  </r>
  <r>
    <s v="3915"/>
    <s v="Ricardo Sánchez"/>
    <d v="1959-01-01T00:00:00"/>
    <n v="67"/>
    <x v="1"/>
    <x v="0"/>
    <d v="2023-10-22T00:00:00"/>
    <d v="2024-07-05T00:00:00"/>
    <n v="17"/>
    <x v="0"/>
    <n v="3"/>
    <n v="7"/>
    <n v="24691.19"/>
    <n v="4825.95"/>
    <n v="6847.61"/>
  </r>
  <r>
    <s v="3916"/>
    <s v="José Morales"/>
    <d v="1980-01-01T00:00:00"/>
    <n v="49"/>
    <x v="1"/>
    <x v="6"/>
    <d v="2024-10-06T00:00:00"/>
    <d v="2024-03-27T00:00:00"/>
    <n v="2"/>
    <x v="0"/>
    <n v="8"/>
    <n v="2"/>
    <n v="19385.95"/>
    <n v="7580.6"/>
    <n v="2096.52"/>
  </r>
  <r>
    <s v="3917"/>
    <s v="Carmen Martínez"/>
    <d v="2001-12-31T00:00:00"/>
    <n v="24"/>
    <x v="0"/>
    <x v="1"/>
    <d v="2024-03-26T00:00:00"/>
    <d v="2023-02-12T00:00:00"/>
    <n v="2"/>
    <x v="1"/>
    <n v="14"/>
    <n v="8"/>
    <n v="17750.55"/>
    <n v="13735.54"/>
    <n v="17995.439999999999"/>
  </r>
  <r>
    <s v="3918"/>
    <s v="Elena Pérez"/>
    <d v="1932-12-31T00:00:00"/>
    <n v="93"/>
    <x v="0"/>
    <x v="4"/>
    <d v="2024-06-17T00:00:00"/>
    <d v="2024-12-16T00:00:00"/>
    <n v="8"/>
    <x v="0"/>
    <n v="0"/>
    <n v="8"/>
    <n v="17241.310000000001"/>
    <n v="2023.46"/>
    <n v="19106.3"/>
  </r>
  <r>
    <s v="3919"/>
    <s v="Jorge Cruz"/>
    <d v="1953-12-31T00:00:00"/>
    <n v="72"/>
    <x v="0"/>
    <x v="6"/>
    <d v="2023-06-05T00:00:00"/>
    <d v="2023-04-05T00:00:00"/>
    <n v="7"/>
    <x v="2"/>
    <n v="6"/>
    <n v="2"/>
    <n v="4576.99"/>
    <n v="7423.79"/>
    <n v="14347.78"/>
  </r>
  <r>
    <s v="3920"/>
    <s v="Carlos Rodríguez"/>
    <d v="2005-12-31T00:00:00"/>
    <n v="20"/>
    <x v="0"/>
    <x v="3"/>
    <d v="2024-02-10T00:00:00"/>
    <d v="2024-05-01T00:00:00"/>
    <n v="25"/>
    <x v="2"/>
    <n v="1"/>
    <n v="5"/>
    <n v="19899.07"/>
    <n v="5332.64"/>
    <n v="13796.98"/>
  </r>
  <r>
    <s v="3921"/>
    <s v="María López"/>
    <d v="1943-01-01T00:00:00"/>
    <n v="83"/>
    <x v="1"/>
    <x v="0"/>
    <d v="2024-12-26T00:00:00"/>
    <d v="2024-06-01T00:00:00"/>
    <n v="31"/>
    <x v="2"/>
    <n v="5"/>
    <n v="4"/>
    <n v="28524.77"/>
    <n v="10162.34"/>
    <n v="10707.97"/>
  </r>
  <r>
    <s v="3922"/>
    <s v="Jorge Gómez"/>
    <d v="1944-01-01T00:00:00"/>
    <n v="63"/>
    <x v="0"/>
    <x v="4"/>
    <d v="2024-11-13T00:00:00"/>
    <d v="2024-07-18T00:00:00"/>
    <n v="10"/>
    <x v="1"/>
    <n v="0"/>
    <n v="3"/>
    <n v="1849.55"/>
    <n v="9511.0499999999993"/>
    <n v="19427.36"/>
  </r>
  <r>
    <s v="3923"/>
    <s v="Elena Cruz"/>
    <d v="1944-01-01T00:00:00"/>
    <n v="82"/>
    <x v="0"/>
    <x v="2"/>
    <d v="2024-07-07T00:00:00"/>
    <d v="2023-05-31T00:00:00"/>
    <n v="22"/>
    <x v="1"/>
    <n v="11"/>
    <n v="7"/>
    <n v="9638.58"/>
    <n v="8400.86"/>
    <n v="13852.42"/>
  </r>
  <r>
    <s v="3924"/>
    <s v="Jorge Morales"/>
    <d v="2015-01-01T00:00:00"/>
    <n v="11"/>
    <x v="2"/>
    <x v="1"/>
    <d v="2024-07-25T00:00:00"/>
    <d v="2024-12-18T00:00:00"/>
    <n v="20"/>
    <x v="2"/>
    <n v="5"/>
    <n v="9"/>
    <n v="13903.68"/>
    <n v="4194.2299999999996"/>
    <n v="1442.36"/>
  </r>
  <r>
    <s v="3925"/>
    <s v="Luisa Sánchez"/>
    <d v="2012-01-01T00:00:00"/>
    <n v="36"/>
    <x v="0"/>
    <x v="2"/>
    <d v="2024-01-10T00:00:00"/>
    <d v="2025-03-23T00:00:00"/>
    <n v="33"/>
    <x v="2"/>
    <n v="13"/>
    <n v="8"/>
    <n v="6584.88"/>
    <n v="2393.25"/>
    <n v="1743.76"/>
  </r>
  <r>
    <s v="3926"/>
    <s v="Carlos Hernández"/>
    <d v="1984-12-31T00:00:00"/>
    <n v="41"/>
    <x v="0"/>
    <x v="5"/>
    <d v="2024-08-11T00:00:00"/>
    <d v="2024-05-14T00:00:00"/>
    <n v="9"/>
    <x v="2"/>
    <n v="2"/>
    <n v="8"/>
    <n v="22097.18"/>
    <n v="11765.08"/>
    <n v="19267.810000000001"/>
  </r>
  <r>
    <s v="3927"/>
    <s v="Laura Morales"/>
    <d v="2009-12-31T00:00:00"/>
    <n v="16"/>
    <x v="1"/>
    <x v="3"/>
    <d v="2024-03-30T00:00:00"/>
    <d v="2024-01-07T00:00:00"/>
    <n v="1"/>
    <x v="0"/>
    <n v="14"/>
    <n v="4"/>
    <n v="20503"/>
    <n v="14876.24"/>
    <n v="18859.919999999998"/>
  </r>
  <r>
    <s v="3928"/>
    <s v="José Pérez"/>
    <d v="1979-01-01T00:00:00"/>
    <n v="47"/>
    <x v="0"/>
    <x v="5"/>
    <d v="2023-07-21T00:00:00"/>
    <d v="2024-11-30T00:00:00"/>
    <n v="17"/>
    <x v="0"/>
    <n v="14"/>
    <n v="4"/>
    <n v="3092.2"/>
    <n v="2536.41"/>
    <n v="11112.5"/>
  </r>
  <r>
    <s v="3929"/>
    <s v="José Rodríguez"/>
    <d v="1999-01-01T00:00:00"/>
    <n v="27"/>
    <x v="1"/>
    <x v="2"/>
    <d v="2024-03-27T00:00:00"/>
    <d v="2024-04-30T00:00:00"/>
    <n v="13"/>
    <x v="1"/>
    <n v="8"/>
    <n v="2"/>
    <n v="16868.599999999999"/>
    <n v="1136.8800000000001"/>
    <n v="4204.2299999999996"/>
  </r>
  <r>
    <s v="3930"/>
    <s v="Carmen Rodríguez"/>
    <d v="1985-12-31T00:00:00"/>
    <n v="40"/>
    <x v="1"/>
    <x v="2"/>
    <d v="2023-07-06T00:00:00"/>
    <d v="2024-10-27T00:00:00"/>
    <n v="11"/>
    <x v="1"/>
    <n v="1"/>
    <n v="8"/>
    <n v="10750.63"/>
    <n v="11185.96"/>
    <n v="11628.47"/>
  </r>
  <r>
    <s v="3931"/>
    <s v="Carlos Morales"/>
    <d v="1980-01-01T00:00:00"/>
    <n v="46"/>
    <x v="0"/>
    <x v="2"/>
    <d v="2024-08-30T00:00:00"/>
    <d v="2024-01-19T00:00:00"/>
    <n v="1"/>
    <x v="0"/>
    <n v="3"/>
    <n v="0"/>
    <n v="6465.65"/>
    <n v="5157.84"/>
    <n v="15247.23"/>
  </r>
  <r>
    <s v="3932"/>
    <s v="Carmen Morales"/>
    <d v="2008-12-31T00:00:00"/>
    <n v="17"/>
    <x v="1"/>
    <x v="5"/>
    <d v="2024-12-24T00:00:00"/>
    <d v="2024-09-20T00:00:00"/>
    <n v="13"/>
    <x v="1"/>
    <n v="10"/>
    <n v="2"/>
    <n v="25372.959999999999"/>
    <n v="3195.05"/>
    <n v="66.47"/>
  </r>
  <r>
    <s v="3933"/>
    <s v="Carmen Sánchez"/>
    <d v="1948-12-31T00:00:00"/>
    <n v="77"/>
    <x v="2"/>
    <x v="4"/>
    <d v="2024-01-03T00:00:00"/>
    <d v="2024-10-23T00:00:00"/>
    <n v="1"/>
    <x v="2"/>
    <n v="12"/>
    <n v="6"/>
    <n v="1167.56"/>
    <n v="7876.88"/>
    <n v="16438.53"/>
  </r>
  <r>
    <s v="3934"/>
    <s v="Elena Martínez"/>
    <d v="1956-01-01T00:00:00"/>
    <n v="70"/>
    <x v="1"/>
    <x v="3"/>
    <d v="2023-12-06T00:00:00"/>
    <d v="2025-01-02T00:00:00"/>
    <n v="10"/>
    <x v="1"/>
    <n v="10"/>
    <n v="6"/>
    <n v="13755.4"/>
    <n v="10128.219999999999"/>
    <n v="9242.42"/>
  </r>
  <r>
    <s v="3935"/>
    <s v="Ana Cruz"/>
    <d v="2013-12-31T00:00:00"/>
    <n v="12"/>
    <x v="0"/>
    <x v="1"/>
    <d v="2023-09-19T00:00:00"/>
    <d v="2023-07-12T00:00:00"/>
    <n v="35"/>
    <x v="0"/>
    <n v="11"/>
    <n v="4"/>
    <n v="13997"/>
    <n v="3222.74"/>
    <n v="9209.6"/>
  </r>
  <r>
    <s v="3936"/>
    <s v="Sofía Pérez"/>
    <d v="1944-12-31T00:00:00"/>
    <n v="81"/>
    <x v="1"/>
    <x v="4"/>
    <d v="2024-08-11T00:00:00"/>
    <d v="2025-01-15T00:00:00"/>
    <n v="2"/>
    <x v="0"/>
    <n v="12"/>
    <n v="5"/>
    <n v="16888.73"/>
    <n v="14917.55"/>
    <n v="8629.57"/>
  </r>
  <r>
    <s v="3937"/>
    <s v="María Sánchez"/>
    <d v="1940-01-01T00:00:00"/>
    <n v="12"/>
    <x v="1"/>
    <x v="1"/>
    <d v="2024-06-26T00:00:00"/>
    <d v="2025-04-16T00:00:00"/>
    <n v="6"/>
    <x v="2"/>
    <n v="2"/>
    <n v="3"/>
    <n v="5526.62"/>
    <n v="4923.3599999999997"/>
    <n v="13806.11"/>
  </r>
  <r>
    <s v="3938"/>
    <s v="Luis Ramírez"/>
    <d v="1996-01-01T00:00:00"/>
    <n v="30"/>
    <x v="1"/>
    <x v="6"/>
    <d v="2024-07-04T00:00:00"/>
    <d v="2023-08-10T00:00:00"/>
    <n v="18"/>
    <x v="1"/>
    <n v="6"/>
    <n v="7"/>
    <n v="26071.63"/>
    <n v="4724.3"/>
    <n v="4110.18"/>
  </r>
  <r>
    <s v="3939"/>
    <s v="Juan Morales"/>
    <d v="2024-12-31T00:00:00"/>
    <n v="1"/>
    <x v="0"/>
    <x v="6"/>
    <d v="2023-11-02T00:00:00"/>
    <d v="2023-02-17T00:00:00"/>
    <n v="15"/>
    <x v="2"/>
    <n v="1"/>
    <n v="3"/>
    <n v="28941.73"/>
    <n v="6345.01"/>
    <n v="12093.87"/>
  </r>
  <r>
    <s v="3940"/>
    <s v="Jorge Martínez"/>
    <d v="2011-01-01T00:00:00"/>
    <n v="15"/>
    <x v="1"/>
    <x v="2"/>
    <d v="2024-12-26T00:00:00"/>
    <d v="2023-05-08T00:00:00"/>
    <n v="29"/>
    <x v="0"/>
    <n v="0"/>
    <n v="9"/>
    <n v="0"/>
    <n v="11175.44"/>
    <n v="786.35"/>
  </r>
  <r>
    <s v="3941"/>
    <s v="Carmen Rodríguez"/>
    <d v="2017-12-31T00:00:00"/>
    <n v="8"/>
    <x v="0"/>
    <x v="3"/>
    <d v="2024-09-29T00:00:00"/>
    <d v="2025-03-14T00:00:00"/>
    <n v="31"/>
    <x v="1"/>
    <n v="3"/>
    <n v="5"/>
    <n v="7311.82"/>
    <n v="13098.86"/>
    <n v="16208.12"/>
  </r>
  <r>
    <s v="3942"/>
    <s v="Miguel Gómez"/>
    <d v="1953-12-31T00:00:00"/>
    <n v="72"/>
    <x v="1"/>
    <x v="3"/>
    <d v="2023-06-14T00:00:00"/>
    <d v="2024-12-28T00:00:00"/>
    <n v="17"/>
    <x v="2"/>
    <n v="8"/>
    <n v="4"/>
    <n v="26243.21"/>
    <n v="4859.79"/>
    <n v="16290.41"/>
  </r>
  <r>
    <s v="3943"/>
    <s v="María Cruz"/>
    <d v="1988-12-31T00:00:00"/>
    <n v="37"/>
    <x v="1"/>
    <x v="0"/>
    <d v="2024-09-12T00:00:00"/>
    <d v="2023-01-08T00:00:00"/>
    <n v="1"/>
    <x v="0"/>
    <n v="8"/>
    <n v="9"/>
    <n v="29639.27"/>
    <n v="1781.21"/>
    <n v="6168.79"/>
  </r>
  <r>
    <s v="3944"/>
    <s v="Elena López"/>
    <d v="1952-01-01T00:00:00"/>
    <n v="74"/>
    <x v="1"/>
    <x v="0"/>
    <d v="2023-03-29T00:00:00"/>
    <d v="2024-11-27T00:00:00"/>
    <n v="1"/>
    <x v="0"/>
    <n v="10"/>
    <n v="5"/>
    <n v="22127.32"/>
    <n v="3841.96"/>
    <n v="2018.93"/>
  </r>
  <r>
    <s v="3945"/>
    <s v="Ana Ramírez"/>
    <d v="1972-12-31T00:00:00"/>
    <n v="53"/>
    <x v="1"/>
    <x v="4"/>
    <d v="2023-07-19T00:00:00"/>
    <d v="2023-04-27T00:00:00"/>
    <n v="35"/>
    <x v="0"/>
    <n v="11"/>
    <n v="2"/>
    <n v="9677.99"/>
    <n v="1264.19"/>
    <n v="14929.75"/>
  </r>
  <r>
    <s v="3946"/>
    <s v="Miguel Morales"/>
    <d v="1971-01-01T00:00:00"/>
    <n v="55"/>
    <x v="0"/>
    <x v="5"/>
    <d v="2023-09-28T00:00:00"/>
    <d v="2024-07-18T00:00:00"/>
    <n v="4"/>
    <x v="0"/>
    <n v="0"/>
    <n v="2"/>
    <n v="6698.62"/>
    <n v="9455.17"/>
    <n v="9351.31"/>
  </r>
  <r>
    <s v="3947"/>
    <s v="Elena Gómez"/>
    <d v="1940-12-31T00:00:00"/>
    <n v="85"/>
    <x v="0"/>
    <x v="0"/>
    <d v="2023-02-20T00:00:00"/>
    <d v="2024-01-02T00:00:00"/>
    <n v="19"/>
    <x v="0"/>
    <n v="9"/>
    <n v="9"/>
    <n v="0"/>
    <n v="11110.44"/>
    <n v="18491.84"/>
  </r>
  <r>
    <s v="3948"/>
    <s v="Carlos Rodríguez"/>
    <d v="1942-01-01T00:00:00"/>
    <n v="86"/>
    <x v="1"/>
    <x v="4"/>
    <d v="2024-05-03T00:00:00"/>
    <d v="2023-02-16T00:00:00"/>
    <n v="17"/>
    <x v="1"/>
    <n v="14"/>
    <n v="6"/>
    <n v="6665.64"/>
    <n v="6439"/>
    <n v="7005.04"/>
  </r>
  <r>
    <s v="3949"/>
    <s v="José Rodríguez"/>
    <d v="1981-12-31T00:00:00"/>
    <n v="44"/>
    <x v="0"/>
    <x v="1"/>
    <d v="2023-07-17T00:00:00"/>
    <d v="2024-01-29T00:00:00"/>
    <n v="32"/>
    <x v="0"/>
    <n v="1"/>
    <n v="0"/>
    <n v="6434.17"/>
    <n v="14291.93"/>
    <n v="16814.330000000002"/>
  </r>
  <r>
    <s v="3950"/>
    <s v="Carmen Martínez"/>
    <d v="1992-12-31T00:00:00"/>
    <n v="33"/>
    <x v="0"/>
    <x v="1"/>
    <d v="2023-01-23T00:00:00"/>
    <d v="2023-01-24T00:00:00"/>
    <n v="1"/>
    <x v="1"/>
    <n v="4"/>
    <n v="0"/>
    <n v="29006.28"/>
    <n v="10912.86"/>
    <n v="408.99"/>
  </r>
  <r>
    <s v="3951"/>
    <s v="Ana Rodríguez"/>
    <d v="2017-12-31T00:00:00"/>
    <n v="8"/>
    <x v="1"/>
    <x v="4"/>
    <d v="2024-10-26T00:00:00"/>
    <d v="2023-05-12T00:00:00"/>
    <n v="17"/>
    <x v="2"/>
    <n v="10"/>
    <n v="0"/>
    <n v="19118.77"/>
    <n v="5694.88"/>
    <n v="15433.16"/>
  </r>
  <r>
    <s v="3952"/>
    <s v="Pedro Morales"/>
    <d v="1939-01-01T00:00:00"/>
    <n v="87"/>
    <x v="1"/>
    <x v="5"/>
    <d v="2023-08-11T00:00:00"/>
    <d v="2023-05-08T00:00:00"/>
    <n v="32"/>
    <x v="0"/>
    <n v="11"/>
    <n v="5"/>
    <n v="0"/>
    <n v="1533.21"/>
    <n v="13532.82"/>
  </r>
  <r>
    <s v="3953"/>
    <s v="Carlos Hernández"/>
    <d v="2019-01-01T00:00:00"/>
    <n v="7"/>
    <x v="0"/>
    <x v="6"/>
    <d v="2023-08-09T00:00:00"/>
    <d v="2024-03-21T00:00:00"/>
    <n v="30"/>
    <x v="2"/>
    <n v="11"/>
    <n v="3"/>
    <n v="14385.26"/>
    <n v="7405.56"/>
    <n v="10477.98"/>
  </r>
  <r>
    <s v="3954"/>
    <s v="Elena Ramírez"/>
    <d v="2020-01-01T00:00:00"/>
    <n v="6"/>
    <x v="1"/>
    <x v="2"/>
    <d v="2024-10-24T00:00:00"/>
    <d v="2025-02-16T00:00:00"/>
    <n v="18"/>
    <x v="0"/>
    <n v="10"/>
    <n v="5"/>
    <n v="5131.3900000000003"/>
    <n v="7557.53"/>
    <n v="18199.560000000001"/>
  </r>
  <r>
    <s v="3955"/>
    <s v="Luisa Gómez"/>
    <d v="1991-01-01T00:00:00"/>
    <n v="35"/>
    <x v="1"/>
    <x v="3"/>
    <d v="2023-09-23T00:00:00"/>
    <d v="2023-11-06T00:00:00"/>
    <n v="11"/>
    <x v="0"/>
    <n v="8"/>
    <n v="0"/>
    <n v="17983.509999999998"/>
    <n v="8258.7999999999993"/>
    <n v="18834.419999999998"/>
  </r>
  <r>
    <s v="3956"/>
    <s v="Ricardo Rodríguez"/>
    <d v="2008-12-31T00:00:00"/>
    <n v="17"/>
    <x v="1"/>
    <x v="6"/>
    <d v="2023-03-14T00:00:00"/>
    <d v="2024-12-09T00:00:00"/>
    <n v="28"/>
    <x v="2"/>
    <n v="2"/>
    <n v="3"/>
    <n v="9912.89"/>
    <n v="10236.74"/>
    <n v="18586.669999999998"/>
  </r>
  <r>
    <s v="3957"/>
    <s v="Jorge Morales"/>
    <d v="2024-01-01T00:00:00"/>
    <n v="2"/>
    <x v="0"/>
    <x v="4"/>
    <d v="2023-03-18T00:00:00"/>
    <d v="2024-03-09T00:00:00"/>
    <n v="19"/>
    <x v="2"/>
    <n v="13"/>
    <n v="3"/>
    <n v="5465.58"/>
    <n v="3965.74"/>
    <n v="11915.84"/>
  </r>
  <r>
    <s v="3958"/>
    <s v="Miguel López"/>
    <d v="1999-01-01T00:00:00"/>
    <n v="27"/>
    <x v="1"/>
    <x v="1"/>
    <d v="2024-06-27T00:00:00"/>
    <d v="2024-04-18T00:00:00"/>
    <n v="27"/>
    <x v="0"/>
    <n v="14"/>
    <n v="1"/>
    <n v="6905.13"/>
    <n v="37.270000000000003"/>
    <n v="10339.870000000001"/>
  </r>
  <r>
    <s v="3959"/>
    <s v="Luisa Gómez"/>
    <d v="1956-12-31T00:00:00"/>
    <n v="69"/>
    <x v="1"/>
    <x v="6"/>
    <d v="2024-03-10T00:00:00"/>
    <d v="2023-02-18T00:00:00"/>
    <n v="26"/>
    <x v="2"/>
    <n v="3"/>
    <n v="0"/>
    <n v="20090.509999999998"/>
    <n v="12192.67"/>
    <n v="5306.34"/>
  </r>
  <r>
    <s v="3960"/>
    <s v="Carlos Ramírez"/>
    <d v="1983-01-01T00:00:00"/>
    <n v="43"/>
    <x v="1"/>
    <x v="5"/>
    <d v="2023-03-06T00:00:00"/>
    <d v="2025-06-10T00:00:00"/>
    <n v="33"/>
    <x v="1"/>
    <n v="1"/>
    <n v="7"/>
    <n v="0"/>
    <n v="12353.05"/>
    <n v="3157.61"/>
  </r>
  <r>
    <s v="3961"/>
    <s v="Luisa Morales"/>
    <d v="2005-12-31T00:00:00"/>
    <n v="20"/>
    <x v="1"/>
    <x v="2"/>
    <d v="2023-12-23T00:00:00"/>
    <d v="2023-03-24T00:00:00"/>
    <n v="39"/>
    <x v="0"/>
    <n v="13"/>
    <n v="5"/>
    <n v="15151.35"/>
    <n v="13674.33"/>
    <n v="11097.6"/>
  </r>
  <r>
    <s v="3962"/>
    <s v="Carlos Pérez"/>
    <d v="1999-01-01T00:00:00"/>
    <n v="27"/>
    <x v="1"/>
    <x v="1"/>
    <d v="2023-01-18T00:00:00"/>
    <d v="2023-04-20T00:00:00"/>
    <n v="26"/>
    <x v="0"/>
    <n v="8"/>
    <n v="3"/>
    <n v="24550.84"/>
    <n v="14535.55"/>
    <n v="2884.78"/>
  </r>
  <r>
    <s v="3963"/>
    <s v="Jorge Rodríguez"/>
    <d v="1972-12-31T00:00:00"/>
    <n v="53"/>
    <x v="0"/>
    <x v="5"/>
    <d v="2024-11-06T00:00:00"/>
    <d v="2023-09-21T00:00:00"/>
    <n v="4"/>
    <x v="1"/>
    <n v="14"/>
    <n v="1"/>
    <n v="19490.349999999999"/>
    <n v="2387.5700000000002"/>
    <n v="3359.52"/>
  </r>
  <r>
    <s v="3964"/>
    <s v="Luis Ramírez"/>
    <d v="1972-12-31T00:00:00"/>
    <n v="53"/>
    <x v="1"/>
    <x v="4"/>
    <d v="2024-07-19T00:00:00"/>
    <d v="2025-05-17T00:00:00"/>
    <n v="29"/>
    <x v="1"/>
    <n v="4"/>
    <n v="4"/>
    <n v="13603.61"/>
    <n v="5308.08"/>
    <n v="7070.53"/>
  </r>
  <r>
    <s v="3965"/>
    <s v="Ana Pérez"/>
    <d v="1961-12-31T00:00:00"/>
    <n v="46"/>
    <x v="0"/>
    <x v="6"/>
    <d v="2024-07-28T00:00:00"/>
    <d v="2023-02-01T00:00:00"/>
    <n v="10"/>
    <x v="0"/>
    <n v="2"/>
    <n v="8"/>
    <n v="28598.73"/>
    <n v="12770.39"/>
    <n v="3653.62"/>
  </r>
  <r>
    <s v="3966"/>
    <s v="José Gómez"/>
    <d v="2005-12-31T00:00:00"/>
    <n v="20"/>
    <x v="1"/>
    <x v="3"/>
    <d v="2024-03-11T00:00:00"/>
    <d v="2023-12-25T00:00:00"/>
    <n v="10"/>
    <x v="2"/>
    <n v="11"/>
    <n v="6"/>
    <n v="6042.41"/>
    <n v="14009.99"/>
    <n v="9984.74"/>
  </r>
  <r>
    <s v="3967"/>
    <s v="Jorge Rodríguez"/>
    <d v="2013-12-31T00:00:00"/>
    <n v="12"/>
    <x v="0"/>
    <x v="0"/>
    <d v="2024-03-16T00:00:00"/>
    <d v="2024-07-22T00:00:00"/>
    <n v="11"/>
    <x v="0"/>
    <n v="4"/>
    <n v="3"/>
    <n v="8314.26"/>
    <n v="217.94"/>
    <n v="13241.36"/>
  </r>
  <r>
    <s v="3968"/>
    <s v="Ana Hernández"/>
    <d v="1969-12-31T00:00:00"/>
    <n v="56"/>
    <x v="0"/>
    <x v="5"/>
    <d v="2023-01-09T00:00:00"/>
    <d v="2024-04-25T00:00:00"/>
    <n v="3"/>
    <x v="1"/>
    <n v="11"/>
    <n v="4"/>
    <n v="27298.66"/>
    <n v="5813.01"/>
    <n v="13927.8"/>
  </r>
  <r>
    <s v="3969"/>
    <s v="José Ramírez"/>
    <d v="1977-12-31T00:00:00"/>
    <n v="48"/>
    <x v="1"/>
    <x v="1"/>
    <d v="2024-04-14T00:00:00"/>
    <d v="2025-05-17T00:00:00"/>
    <n v="13"/>
    <x v="2"/>
    <n v="3"/>
    <n v="7"/>
    <n v="25523.37"/>
    <n v="1700.79"/>
    <n v="10608.84"/>
  </r>
  <r>
    <s v="3970"/>
    <s v="Luis Ramírez"/>
    <d v="1972-12-31T00:00:00"/>
    <n v="53"/>
    <x v="0"/>
    <x v="6"/>
    <d v="2024-09-23T00:00:00"/>
    <d v="2023-07-09T00:00:00"/>
    <n v="38"/>
    <x v="0"/>
    <n v="9"/>
    <n v="4"/>
    <n v="3466.75"/>
    <n v="11826.87"/>
    <n v="10388.16"/>
  </r>
  <r>
    <s v="3971"/>
    <s v="María Pérez"/>
    <d v="2016-12-31T00:00:00"/>
    <n v="9"/>
    <x v="0"/>
    <x v="0"/>
    <d v="2023-12-14T00:00:00"/>
    <d v="2023-01-06T00:00:00"/>
    <n v="18"/>
    <x v="0"/>
    <n v="0"/>
    <n v="5"/>
    <n v="27863.39"/>
    <n v="11206.96"/>
    <n v="9443.7000000000007"/>
  </r>
  <r>
    <s v="3972"/>
    <s v="Jorge Morales"/>
    <d v="1973-12-31T00:00:00"/>
    <n v="52"/>
    <x v="0"/>
    <x v="0"/>
    <d v="2024-08-24T00:00:00"/>
    <d v="2023-10-14T00:00:00"/>
    <n v="13"/>
    <x v="0"/>
    <n v="2"/>
    <n v="9"/>
    <n v="189.85"/>
    <n v="11314.54"/>
    <n v="4829.83"/>
  </r>
  <r>
    <s v="3973"/>
    <s v="Pedro Pérez"/>
    <d v="1983-01-01T00:00:00"/>
    <n v="43"/>
    <x v="1"/>
    <x v="6"/>
    <d v="2024-01-07T00:00:00"/>
    <d v="2025-03-01T00:00:00"/>
    <n v="2"/>
    <x v="0"/>
    <n v="0"/>
    <n v="5"/>
    <n v="24583.84"/>
    <n v="5853.53"/>
    <n v="13050.28"/>
  </r>
  <r>
    <s v="3974"/>
    <s v="Jorge Gómez"/>
    <d v="1980-01-01T00:00:00"/>
    <n v="46"/>
    <x v="2"/>
    <x v="2"/>
    <d v="2023-06-24T00:00:00"/>
    <d v="2024-10-19T00:00:00"/>
    <n v="21"/>
    <x v="0"/>
    <n v="3"/>
    <n v="7"/>
    <n v="8003.47"/>
    <n v="6093.71"/>
    <n v="13106.29"/>
  </r>
  <r>
    <s v="3975"/>
    <s v="Carmen Morales"/>
    <d v="1973-12-31T00:00:00"/>
    <n v="52"/>
    <x v="0"/>
    <x v="6"/>
    <d v="2024-05-29T00:00:00"/>
    <d v="2024-01-30T00:00:00"/>
    <n v="2"/>
    <x v="0"/>
    <n v="1"/>
    <n v="4"/>
    <n v="5254.04"/>
    <n v="3927.97"/>
    <n v="5041.68"/>
  </r>
  <r>
    <s v="3976"/>
    <s v="José Pérez"/>
    <d v="1952-12-31T00:00:00"/>
    <n v="73"/>
    <x v="2"/>
    <x v="1"/>
    <d v="2023-05-10T00:00:00"/>
    <d v="2024-03-31T00:00:00"/>
    <n v="7"/>
    <x v="0"/>
    <n v="4"/>
    <n v="0"/>
    <n v="13185.64"/>
    <n v="5413.4"/>
    <n v="13981.44"/>
  </r>
  <r>
    <s v="3977"/>
    <s v="Miguel Rodríguez"/>
    <d v="1980-12-31T00:00:00"/>
    <n v="45"/>
    <x v="0"/>
    <x v="4"/>
    <d v="2024-07-19T00:00:00"/>
    <d v="2024-12-09T00:00:00"/>
    <n v="32"/>
    <x v="1"/>
    <n v="13"/>
    <n v="3"/>
    <n v="26861.03"/>
    <n v="14746.22"/>
    <n v="17145.91"/>
  </r>
  <r>
    <s v="3978"/>
    <s v="Luisa Sánchez"/>
    <d v="2013-12-31T00:00:00"/>
    <n v="12"/>
    <x v="1"/>
    <x v="3"/>
    <d v="2023-10-20T00:00:00"/>
    <d v="2024-03-02T00:00:00"/>
    <n v="28"/>
    <x v="2"/>
    <n v="9"/>
    <n v="2"/>
    <n v="23469.89"/>
    <n v="698.53"/>
    <n v="11853.66"/>
  </r>
  <r>
    <s v="3979"/>
    <s v="Ana Rodríguez"/>
    <d v="1989-12-31T00:00:00"/>
    <n v="36"/>
    <x v="0"/>
    <x v="1"/>
    <d v="2024-11-26T00:00:00"/>
    <d v="2023-01-28T00:00:00"/>
    <n v="12"/>
    <x v="1"/>
    <n v="3"/>
    <n v="1"/>
    <n v="28995.599999999999"/>
    <n v="4860.1099999999997"/>
    <n v="2262.5500000000002"/>
  </r>
  <r>
    <s v="3980"/>
    <s v="Juan Cruz"/>
    <d v="2003-01-01T00:00:00"/>
    <n v="23"/>
    <x v="0"/>
    <x v="4"/>
    <d v="2023-12-19T00:00:00"/>
    <d v="2023-05-08T00:00:00"/>
    <n v="8"/>
    <x v="0"/>
    <n v="0"/>
    <n v="6"/>
    <n v="16000.46"/>
    <n v="11848.84"/>
    <n v="6477.94"/>
  </r>
  <r>
    <s v="3981"/>
    <s v="Miguel Hernández"/>
    <d v="2024-12-31T00:00:00"/>
    <n v="1"/>
    <x v="2"/>
    <x v="0"/>
    <d v="2023-08-12T00:00:00"/>
    <d v="2023-05-16T00:00:00"/>
    <n v="6"/>
    <x v="1"/>
    <n v="12"/>
    <n v="6"/>
    <n v="15072.08"/>
    <n v="5735.19"/>
    <n v="1765.04"/>
  </r>
  <r>
    <s v="3982"/>
    <s v="José Cruz"/>
    <d v="1940-12-31T00:00:00"/>
    <n v="85"/>
    <x v="1"/>
    <x v="3"/>
    <d v="2024-06-07T00:00:00"/>
    <d v="2024-06-19T00:00:00"/>
    <n v="1"/>
    <x v="0"/>
    <n v="8"/>
    <n v="7"/>
    <n v="102.52"/>
    <n v="14249.77"/>
    <n v="5970.83"/>
  </r>
  <r>
    <s v="3983"/>
    <s v="Juan Hernández"/>
    <d v="1945-12-31T00:00:00"/>
    <n v="80"/>
    <x v="0"/>
    <x v="5"/>
    <d v="2024-12-07T00:00:00"/>
    <d v="2023-11-28T00:00:00"/>
    <n v="27"/>
    <x v="0"/>
    <n v="9"/>
    <n v="9"/>
    <n v="5008.53"/>
    <n v="4982.16"/>
    <n v="4160.08"/>
  </r>
  <r>
    <s v="3984"/>
    <s v="Jorge Martínez"/>
    <d v="2012-12-31T00:00:00"/>
    <n v="12"/>
    <x v="1"/>
    <x v="0"/>
    <d v="2024-05-23T00:00:00"/>
    <d v="2024-09-21T00:00:00"/>
    <n v="13"/>
    <x v="2"/>
    <n v="6"/>
    <n v="4"/>
    <n v="14677.42"/>
    <n v="12746.38"/>
    <n v="11048.04"/>
  </r>
  <r>
    <s v="3985"/>
    <s v="Elena Hernández"/>
    <d v="2016-12-31T00:00:00"/>
    <n v="9"/>
    <x v="0"/>
    <x v="2"/>
    <d v="2024-01-03T00:00:00"/>
    <d v="2024-01-28T00:00:00"/>
    <n v="2"/>
    <x v="0"/>
    <n v="4"/>
    <n v="0"/>
    <n v="22453.29"/>
    <n v="12226.42"/>
    <n v="8413.24"/>
  </r>
  <r>
    <s v="3986"/>
    <s v="Ricardo Sánchez"/>
    <d v="1992-01-01T00:00:00"/>
    <n v="34"/>
    <x v="1"/>
    <x v="6"/>
    <d v="2024-10-27T00:00:00"/>
    <d v="2023-01-09T00:00:00"/>
    <n v="3"/>
    <x v="0"/>
    <n v="7"/>
    <n v="5"/>
    <n v="24589.38"/>
    <n v="138.11000000000001"/>
    <n v="14425.95"/>
  </r>
  <r>
    <s v="3987"/>
    <s v="Luis Gómez"/>
    <d v="2001-12-31T00:00:00"/>
    <n v="24"/>
    <x v="1"/>
    <x v="5"/>
    <d v="2024-08-12T00:00:00"/>
    <d v="2024-09-05T00:00:00"/>
    <n v="8"/>
    <x v="2"/>
    <n v="1"/>
    <n v="5"/>
    <n v="8139.62"/>
    <n v="6044.84"/>
    <n v="7197.15"/>
  </r>
  <r>
    <s v="3988"/>
    <s v="Jorge Gómez"/>
    <d v="2024-01-01T00:00:00"/>
    <n v="2"/>
    <x v="0"/>
    <x v="1"/>
    <d v="2024-10-13T00:00:00"/>
    <d v="2023-09-19T00:00:00"/>
    <n v="30"/>
    <x v="2"/>
    <n v="14"/>
    <n v="7"/>
    <n v="21229.95"/>
    <n v="4209.5600000000004"/>
    <n v="3009.89"/>
  </r>
  <r>
    <s v="3989"/>
    <s v="Miguel Martínez"/>
    <d v="2009-12-31T00:00:00"/>
    <n v="16"/>
    <x v="1"/>
    <x v="3"/>
    <d v="2024-05-14T00:00:00"/>
    <d v="2023-07-19T00:00:00"/>
    <n v="14"/>
    <x v="0"/>
    <n v="12"/>
    <n v="9"/>
    <n v="24770.15"/>
    <n v="7194.13"/>
    <n v="4644.1000000000004"/>
  </r>
  <r>
    <s v="3990"/>
    <s v="Carlos Morales"/>
    <d v="2015-01-01T00:00:00"/>
    <n v="11"/>
    <x v="0"/>
    <x v="5"/>
    <d v="2023-03-31T00:00:00"/>
    <d v="2024-08-21T00:00:00"/>
    <n v="31"/>
    <x v="0"/>
    <n v="14"/>
    <n v="1"/>
    <n v="10931.53"/>
    <n v="6941.57"/>
    <n v="10870.24"/>
  </r>
  <r>
    <s v="3991"/>
    <s v="Carlos Sánchez"/>
    <d v="1972-12-31T00:00:00"/>
    <n v="53"/>
    <x v="0"/>
    <x v="2"/>
    <d v="2024-10-17T00:00:00"/>
    <d v="2025-01-10T00:00:00"/>
    <n v="37"/>
    <x v="0"/>
    <n v="9"/>
    <n v="8"/>
    <n v="20714.45"/>
    <n v="13582.94"/>
    <n v="8942.08"/>
  </r>
  <r>
    <s v="3992"/>
    <s v="Luisa Pérez"/>
    <d v="2003-01-01T00:00:00"/>
    <n v="23"/>
    <x v="1"/>
    <x v="6"/>
    <d v="2023-03-13T00:00:00"/>
    <d v="2024-01-22T00:00:00"/>
    <n v="22"/>
    <x v="2"/>
    <n v="2"/>
    <n v="5"/>
    <n v="12837.07"/>
    <n v="2753.72"/>
    <n v="756.43"/>
  </r>
  <r>
    <s v="3993"/>
    <s v="Jorge Martínez"/>
    <d v="1997-12-31T00:00:00"/>
    <n v="28"/>
    <x v="1"/>
    <x v="5"/>
    <d v="2024-03-08T00:00:00"/>
    <d v="2024-04-17T00:00:00"/>
    <n v="19"/>
    <x v="2"/>
    <n v="9"/>
    <n v="0"/>
    <n v="29562.39"/>
    <n v="2732.87"/>
    <n v="4119.8999999999996"/>
  </r>
  <r>
    <s v="3994"/>
    <s v="Sofía López"/>
    <d v="2020-01-01T00:00:00"/>
    <n v="42"/>
    <x v="0"/>
    <x v="1"/>
    <d v="2024-11-19T00:00:00"/>
    <d v="2023-06-29T00:00:00"/>
    <n v="23"/>
    <x v="2"/>
    <n v="6"/>
    <n v="8"/>
    <n v="296.64"/>
    <n v="1621"/>
    <n v="5864.4"/>
  </r>
  <r>
    <s v="3995"/>
    <s v="Juan Sánchez"/>
    <d v="2001-12-31T00:00:00"/>
    <n v="24"/>
    <x v="1"/>
    <x v="3"/>
    <d v="2023-12-14T00:00:00"/>
    <d v="2024-03-26T00:00:00"/>
    <n v="24"/>
    <x v="0"/>
    <n v="14"/>
    <n v="7"/>
    <n v="12137.52"/>
    <n v="11079.77"/>
    <n v="14479.73"/>
  </r>
  <r>
    <s v="3996"/>
    <s v="Luis Gómez"/>
    <d v="1967-01-01T00:00:00"/>
    <n v="59"/>
    <x v="0"/>
    <x v="5"/>
    <d v="2023-09-20T00:00:00"/>
    <d v="2023-08-29T00:00:00"/>
    <n v="35"/>
    <x v="2"/>
    <n v="5"/>
    <n v="9"/>
    <n v="7543.35"/>
    <n v="13767.9"/>
    <n v="14581.58"/>
  </r>
  <r>
    <s v="3997"/>
    <s v="Laura Pérez"/>
    <d v="1936-12-31T00:00:00"/>
    <n v="89"/>
    <x v="2"/>
    <x v="6"/>
    <d v="2023-09-28T00:00:00"/>
    <d v="2024-06-08T00:00:00"/>
    <n v="6"/>
    <x v="1"/>
    <n v="6"/>
    <n v="0"/>
    <n v="25416.959999999999"/>
    <n v="5527.56"/>
    <n v="13929.55"/>
  </r>
  <r>
    <s v="3998"/>
    <s v="Ricardo Rodríguez"/>
    <d v="1961-12-31T00:00:00"/>
    <n v="64"/>
    <x v="1"/>
    <x v="1"/>
    <d v="2024-05-23T00:00:00"/>
    <d v="2025-03-26T00:00:00"/>
    <n v="34"/>
    <x v="1"/>
    <n v="7"/>
    <n v="7"/>
    <n v="8257.34"/>
    <n v="927.34"/>
    <n v="16351.08"/>
  </r>
  <r>
    <s v="3999"/>
    <s v="Sofía Pérez"/>
    <d v="1943-01-01T00:00:00"/>
    <n v="83"/>
    <x v="1"/>
    <x v="5"/>
    <d v="2024-05-22T00:00:00"/>
    <d v="2025-01-16T00:00:00"/>
    <n v="2"/>
    <x v="2"/>
    <n v="12"/>
    <n v="6"/>
    <n v="16087.29"/>
    <n v="2340.3200000000002"/>
    <n v="17464.98"/>
  </r>
  <r>
    <s v="4000"/>
    <s v="Ana Sánchez"/>
    <d v="1999-01-01T00:00:00"/>
    <n v="27"/>
    <x v="1"/>
    <x v="3"/>
    <d v="2024-09-08T00:00:00"/>
    <d v="2023-07-03T00:00:00"/>
    <n v="15"/>
    <x v="1"/>
    <n v="6"/>
    <n v="4"/>
    <n v="22078.22"/>
    <n v="1535.76"/>
    <n v="1329.28"/>
  </r>
  <r>
    <s v="4001"/>
    <s v="Pedro Morales"/>
    <d v="2011-01-01T00:00:00"/>
    <n v="15"/>
    <x v="0"/>
    <x v="6"/>
    <d v="2024-02-24T00:00:00"/>
    <d v="2025-03-05T00:00:00"/>
    <n v="19"/>
    <x v="1"/>
    <n v="6"/>
    <n v="5"/>
    <n v="14665.52"/>
    <n v="8885.1"/>
    <n v="9810.4500000000007"/>
  </r>
  <r>
    <s v="4002"/>
    <s v="Jorge Sánchez"/>
    <d v="1980-01-01T00:00:00"/>
    <n v="46"/>
    <x v="1"/>
    <x v="2"/>
    <d v="2023-03-13T00:00:00"/>
    <d v="2023-12-25T00:00:00"/>
    <n v="9"/>
    <x v="0"/>
    <n v="14"/>
    <n v="3"/>
    <n v="12017.28"/>
    <n v="4234.47"/>
    <n v="2894.08"/>
  </r>
  <r>
    <s v="4003"/>
    <s v="Miguel Sánchez"/>
    <d v="1945-12-31T00:00:00"/>
    <n v="80"/>
    <x v="1"/>
    <x v="2"/>
    <d v="2023-03-15T00:00:00"/>
    <d v="2024-01-12T00:00:00"/>
    <n v="19"/>
    <x v="2"/>
    <n v="4"/>
    <n v="8"/>
    <n v="796.8"/>
    <n v="13461.71"/>
    <n v="7016.61"/>
  </r>
  <r>
    <s v="4004"/>
    <s v="Ana Sánchez"/>
    <d v="1935-01-01T00:00:00"/>
    <n v="91"/>
    <x v="0"/>
    <x v="0"/>
    <d v="2024-10-16T00:00:00"/>
    <d v="2024-12-03T00:00:00"/>
    <n v="3"/>
    <x v="0"/>
    <n v="9"/>
    <n v="8"/>
    <n v="199.43"/>
    <n v="2434.2399999999998"/>
    <n v="13230.26"/>
  </r>
  <r>
    <s v="4005"/>
    <s v="Sofía Ramírez"/>
    <d v="1968-12-31T00:00:00"/>
    <n v="57"/>
    <x v="0"/>
    <x v="5"/>
    <d v="2024-05-17T00:00:00"/>
    <d v="2025-04-18T00:00:00"/>
    <n v="33"/>
    <x v="2"/>
    <n v="0"/>
    <n v="9"/>
    <n v="28698.33"/>
    <n v="13952.34"/>
    <n v="11993.34"/>
  </r>
  <r>
    <s v="4006"/>
    <s v="Ricardo Gómez"/>
    <d v="1951-01-01T00:00:00"/>
    <n v="75"/>
    <x v="1"/>
    <x v="3"/>
    <d v="2024-07-27T00:00:00"/>
    <d v="2024-12-28T00:00:00"/>
    <n v="24"/>
    <x v="0"/>
    <n v="10"/>
    <n v="0"/>
    <n v="19118.939999999999"/>
    <n v="4991.08"/>
    <n v="2484.0500000000002"/>
  </r>
  <r>
    <s v="4007"/>
    <s v="Sofía Sánchez"/>
    <d v="2000-01-01T00:00:00"/>
    <n v="27"/>
    <x v="1"/>
    <x v="5"/>
    <d v="2023-05-26T00:00:00"/>
    <d v="2025-02-09T00:00:00"/>
    <n v="12"/>
    <x v="1"/>
    <n v="5"/>
    <n v="8"/>
    <n v="24670.240000000002"/>
    <n v="13009.59"/>
    <n v="15117.34"/>
  </r>
  <r>
    <s v="4008"/>
    <s v="Elena Martínez"/>
    <d v="1973-12-31T00:00:00"/>
    <n v="52"/>
    <x v="2"/>
    <x v="6"/>
    <d v="2023-02-15T00:00:00"/>
    <d v="2024-06-22T00:00:00"/>
    <n v="14"/>
    <x v="0"/>
    <n v="2"/>
    <n v="2"/>
    <n v="14153.37"/>
    <n v="14234.94"/>
    <n v="15719.04"/>
  </r>
  <r>
    <s v="4009"/>
    <s v="Laura Rodríguez"/>
    <d v="1984-12-31T00:00:00"/>
    <n v="43"/>
    <x v="0"/>
    <x v="0"/>
    <d v="2023-04-15T00:00:00"/>
    <d v="2025-02-21T00:00:00"/>
    <n v="0"/>
    <x v="0"/>
    <n v="1"/>
    <n v="1"/>
    <n v="7478.22"/>
    <n v="14795.45"/>
    <n v="2697.6"/>
  </r>
  <r>
    <s v="4010"/>
    <s v="Luisa Gómez"/>
    <d v="1968-01-01T00:00:00"/>
    <n v="58"/>
    <x v="0"/>
    <x v="3"/>
    <d v="2023-04-19T00:00:00"/>
    <d v="2023-03-24T00:00:00"/>
    <n v="7"/>
    <x v="0"/>
    <n v="2"/>
    <n v="3"/>
    <n v="8483.4"/>
    <n v="12053.9"/>
    <n v="12274.75"/>
  </r>
  <r>
    <s v="4011"/>
    <s v="Elena Rodríguez"/>
    <d v="1980-01-01T00:00:00"/>
    <n v="27"/>
    <x v="0"/>
    <x v="5"/>
    <d v="2023-11-13T00:00:00"/>
    <d v="2023-12-25T00:00:00"/>
    <n v="22"/>
    <x v="0"/>
    <n v="2"/>
    <n v="3"/>
    <n v="826.49"/>
    <n v="1525.3"/>
    <n v="18899.11"/>
  </r>
  <r>
    <s v="4012"/>
    <s v="Jorge Cruz"/>
    <d v="1932-12-31T00:00:00"/>
    <n v="93"/>
    <x v="2"/>
    <x v="3"/>
    <d v="2023-05-01T00:00:00"/>
    <d v="2023-07-05T00:00:00"/>
    <n v="18"/>
    <x v="1"/>
    <n v="1"/>
    <n v="8"/>
    <n v="23621.95"/>
    <n v="830.68"/>
    <n v="1788.21"/>
  </r>
  <r>
    <s v="4013"/>
    <s v="Ana López"/>
    <d v="1992-12-31T00:00:00"/>
    <n v="33"/>
    <x v="0"/>
    <x v="6"/>
    <d v="2024-05-13T00:00:00"/>
    <d v="2023-10-16T00:00:00"/>
    <n v="37"/>
    <x v="1"/>
    <n v="7"/>
    <n v="3"/>
    <n v="17237.91"/>
    <n v="11095.94"/>
    <n v="3208.6"/>
  </r>
  <r>
    <s v="4014"/>
    <s v="Carlos Martínez"/>
    <d v="1989-12-31T00:00:00"/>
    <n v="36"/>
    <x v="0"/>
    <x v="0"/>
    <d v="2023-02-12T00:00:00"/>
    <d v="2023-03-04T00:00:00"/>
    <n v="6"/>
    <x v="2"/>
    <n v="12"/>
    <n v="4"/>
    <n v="14164.45"/>
    <n v="13455.6"/>
    <n v="15287.04"/>
  </r>
  <r>
    <s v="4015"/>
    <s v="Carlos Cruz"/>
    <d v="2020-12-31T00:00:00"/>
    <n v="5"/>
    <x v="0"/>
    <x v="3"/>
    <d v="2023-04-09T00:00:00"/>
    <d v="2025-06-02T00:00:00"/>
    <n v="21"/>
    <x v="2"/>
    <n v="1"/>
    <n v="5"/>
    <n v="25495.06"/>
    <n v="2490.85"/>
    <n v="6672.21"/>
  </r>
  <r>
    <s v="4016"/>
    <s v="Laura Rodríguez"/>
    <d v="2020-01-01T00:00:00"/>
    <n v="6"/>
    <x v="0"/>
    <x v="6"/>
    <d v="2024-12-06T00:00:00"/>
    <d v="2024-05-22T00:00:00"/>
    <n v="29"/>
    <x v="0"/>
    <n v="0"/>
    <n v="3"/>
    <n v="13067.77"/>
    <n v="14116.01"/>
    <n v="19106.990000000002"/>
  </r>
  <r>
    <s v="4017"/>
    <s v="María Martínez"/>
    <d v="2001-12-31T00:00:00"/>
    <n v="24"/>
    <x v="1"/>
    <x v="2"/>
    <d v="2023-11-07T00:00:00"/>
    <d v="2024-04-07T00:00:00"/>
    <n v="0"/>
    <x v="1"/>
    <n v="11"/>
    <n v="0"/>
    <n v="28411.87"/>
    <n v="9153.42"/>
    <n v="12449.7"/>
  </r>
  <r>
    <s v="4018"/>
    <s v="José Pérez"/>
    <d v="1993-12-31T00:00:00"/>
    <n v="32"/>
    <x v="1"/>
    <x v="3"/>
    <d v="2023-08-02T00:00:00"/>
    <d v="2023-01-31T00:00:00"/>
    <n v="30"/>
    <x v="1"/>
    <n v="1"/>
    <n v="1"/>
    <n v="96.29"/>
    <n v="1860.14"/>
    <n v="9612.33"/>
  </r>
  <r>
    <s v="4019"/>
    <s v="Ricardo Hernández"/>
    <d v="1972-01-01T00:00:00"/>
    <n v="54"/>
    <x v="0"/>
    <x v="0"/>
    <d v="2024-04-07T00:00:00"/>
    <d v="2023-02-01T00:00:00"/>
    <n v="9"/>
    <x v="0"/>
    <n v="9"/>
    <n v="2"/>
    <n v="29530.799999999999"/>
    <n v="2505.5"/>
    <n v="6687.04"/>
  </r>
  <r>
    <s v="4020"/>
    <s v="Miguel Rodríguez"/>
    <d v="1968-12-31T00:00:00"/>
    <n v="9"/>
    <x v="1"/>
    <x v="4"/>
    <d v="2024-02-27T00:00:00"/>
    <d v="2023-10-21T00:00:00"/>
    <n v="26"/>
    <x v="0"/>
    <n v="1"/>
    <n v="3"/>
    <n v="24384.45"/>
    <n v="989.33"/>
    <n v="4706.41"/>
  </r>
  <r>
    <s v="4021"/>
    <s v="Ana Hernández"/>
    <d v="2020-01-01T00:00:00"/>
    <n v="6"/>
    <x v="0"/>
    <x v="1"/>
    <d v="2024-01-24T00:00:00"/>
    <d v="2023-06-23T00:00:00"/>
    <n v="18"/>
    <x v="0"/>
    <n v="3"/>
    <n v="4"/>
    <n v="10325.65"/>
    <n v="2148.23"/>
    <n v="12965.42"/>
  </r>
  <r>
    <s v="4022"/>
    <s v="Pedro Cruz"/>
    <d v="1969-12-31T00:00:00"/>
    <n v="56"/>
    <x v="1"/>
    <x v="1"/>
    <d v="2024-11-27T00:00:00"/>
    <d v="2024-09-06T00:00:00"/>
    <n v="36"/>
    <x v="0"/>
    <n v="10"/>
    <n v="9"/>
    <n v="0"/>
    <n v="10981.86"/>
    <n v="11799.78"/>
  </r>
  <r>
    <s v="4023"/>
    <s v="José Ramírez"/>
    <d v="2015-01-01T00:00:00"/>
    <n v="11"/>
    <x v="0"/>
    <x v="3"/>
    <d v="2023-04-22T00:00:00"/>
    <d v="2023-05-09T00:00:00"/>
    <n v="31"/>
    <x v="0"/>
    <n v="10"/>
    <n v="9"/>
    <n v="25870.45"/>
    <n v="3281.5"/>
    <n v="7094.05"/>
  </r>
  <r>
    <s v="4024"/>
    <s v="Laura Martínez"/>
    <d v="2011-01-01T00:00:00"/>
    <n v="15"/>
    <x v="1"/>
    <x v="3"/>
    <d v="2023-09-29T00:00:00"/>
    <d v="2023-03-28T00:00:00"/>
    <n v="30"/>
    <x v="2"/>
    <n v="3"/>
    <n v="2"/>
    <n v="14188.75"/>
    <n v="8424.81"/>
    <n v="18347.310000000001"/>
  </r>
  <r>
    <s v="4025"/>
    <s v="Ricardo Cruz"/>
    <d v="1947-01-01T00:00:00"/>
    <n v="79"/>
    <x v="0"/>
    <x v="6"/>
    <d v="2023-04-12T00:00:00"/>
    <d v="2023-11-12T00:00:00"/>
    <n v="29"/>
    <x v="0"/>
    <n v="10"/>
    <n v="0"/>
    <n v="1057.02"/>
    <n v="10816.22"/>
    <n v="15212.26"/>
  </r>
  <r>
    <s v="4026"/>
    <s v="Ana Morales"/>
    <d v="1984-01-01T00:00:00"/>
    <n v="42"/>
    <x v="0"/>
    <x v="5"/>
    <d v="2023-07-29T00:00:00"/>
    <d v="2023-01-29T00:00:00"/>
    <n v="17"/>
    <x v="0"/>
    <n v="7"/>
    <n v="7"/>
    <n v="27062.73"/>
    <n v="13429.17"/>
    <n v="5127.3500000000004"/>
  </r>
  <r>
    <s v="4027"/>
    <s v="Carmen Hernández"/>
    <d v="1949-12-31T00:00:00"/>
    <n v="76"/>
    <x v="1"/>
    <x v="1"/>
    <d v="2023-01-22T00:00:00"/>
    <d v="2023-05-03T00:00:00"/>
    <n v="0"/>
    <x v="0"/>
    <n v="2"/>
    <n v="7"/>
    <n v="15269"/>
    <n v="8848.9"/>
    <n v="18861.66"/>
  </r>
  <r>
    <s v="4028"/>
    <s v="Luis Pérez"/>
    <d v="2020-01-01T00:00:00"/>
    <n v="6"/>
    <x v="0"/>
    <x v="5"/>
    <d v="2023-06-08T00:00:00"/>
    <d v="2023-09-09T00:00:00"/>
    <n v="1"/>
    <x v="0"/>
    <n v="3"/>
    <n v="3"/>
    <n v="16127.3"/>
    <n v="8545.76"/>
    <n v="15086.34"/>
  </r>
  <r>
    <s v="4029"/>
    <s v="Luis Martínez"/>
    <d v="1976-01-01T00:00:00"/>
    <n v="50"/>
    <x v="1"/>
    <x v="1"/>
    <d v="2023-12-09T00:00:00"/>
    <d v="2024-07-27T00:00:00"/>
    <n v="14"/>
    <x v="0"/>
    <n v="11"/>
    <n v="6"/>
    <n v="81.599999999999994"/>
    <n v="13692.35"/>
    <n v="17931.849999999999"/>
  </r>
  <r>
    <s v="4030"/>
    <s v="Ricardo Cruz"/>
    <d v="1953-12-31T00:00:00"/>
    <n v="72"/>
    <x v="1"/>
    <x v="3"/>
    <d v="2024-02-04T00:00:00"/>
    <d v="2024-02-08T00:00:00"/>
    <n v="14"/>
    <x v="0"/>
    <n v="4"/>
    <n v="3"/>
    <n v="2552.02"/>
    <n v="4423.57"/>
    <n v="2638.02"/>
  </r>
  <r>
    <s v="4031"/>
    <s v="Juan Martínez"/>
    <d v="1995-01-01T00:00:00"/>
    <n v="31"/>
    <x v="1"/>
    <x v="0"/>
    <d v="2024-03-29T00:00:00"/>
    <d v="2024-11-14T00:00:00"/>
    <n v="16"/>
    <x v="1"/>
    <n v="11"/>
    <n v="2"/>
    <n v="23210.63"/>
    <n v="3055.52"/>
    <n v="563.23"/>
  </r>
  <r>
    <s v="4032"/>
    <s v="Laura Ramírez"/>
    <d v="1952-01-01T00:00:00"/>
    <n v="74"/>
    <x v="1"/>
    <x v="0"/>
    <d v="2024-11-29T00:00:00"/>
    <d v="2024-03-19T00:00:00"/>
    <n v="1"/>
    <x v="1"/>
    <n v="8"/>
    <n v="6"/>
    <n v="12765.96"/>
    <n v="13091.94"/>
    <n v="9807.66"/>
  </r>
  <r>
    <s v="4033"/>
    <s v="Carmen Hernández"/>
    <d v="2019-01-01T00:00:00"/>
    <n v="7"/>
    <x v="2"/>
    <x v="4"/>
    <d v="2023-05-23T00:00:00"/>
    <d v="2023-09-30T00:00:00"/>
    <n v="26"/>
    <x v="1"/>
    <n v="5"/>
    <n v="5"/>
    <n v="29940.78"/>
    <n v="1117.8399999999999"/>
    <n v="8907.8700000000008"/>
  </r>
  <r>
    <s v="4034"/>
    <s v="José Ramírez"/>
    <d v="1940-01-01T00:00:00"/>
    <n v="86"/>
    <x v="1"/>
    <x v="1"/>
    <d v="2024-02-01T00:00:00"/>
    <d v="2025-04-17T00:00:00"/>
    <n v="14"/>
    <x v="0"/>
    <n v="7"/>
    <n v="0"/>
    <n v="20718.169999999998"/>
    <n v="2845.23"/>
    <n v="17383.060000000001"/>
  </r>
  <r>
    <s v="4035"/>
    <s v="José Martínez"/>
    <d v="1937-12-31T00:00:00"/>
    <n v="88"/>
    <x v="0"/>
    <x v="1"/>
    <d v="2024-06-19T00:00:00"/>
    <d v="2025-03-23T00:00:00"/>
    <n v="19"/>
    <x v="1"/>
    <n v="11"/>
    <n v="8"/>
    <n v="28462.83"/>
    <n v="6168.8"/>
    <n v="3360.12"/>
  </r>
  <r>
    <s v="4036"/>
    <s v="Miguel Martínez"/>
    <d v="1955-01-01T00:00:00"/>
    <n v="71"/>
    <x v="1"/>
    <x v="6"/>
    <d v="2023-05-21T00:00:00"/>
    <d v="2023-04-24T00:00:00"/>
    <n v="1"/>
    <x v="2"/>
    <n v="4"/>
    <n v="1"/>
    <n v="8020.24"/>
    <n v="5418.76"/>
    <n v="374"/>
  </r>
  <r>
    <s v="4037"/>
    <s v="Sofía Sánchez"/>
    <d v="1981-12-31T00:00:00"/>
    <n v="44"/>
    <x v="0"/>
    <x v="3"/>
    <d v="2023-08-28T00:00:00"/>
    <d v="2024-12-07T00:00:00"/>
    <n v="39"/>
    <x v="1"/>
    <n v="1"/>
    <n v="2"/>
    <n v="4872.68"/>
    <n v="10591.38"/>
    <n v="10537.88"/>
  </r>
  <r>
    <s v="4038"/>
    <s v="Ricardo Morales"/>
    <d v="1940-12-31T00:00:00"/>
    <n v="85"/>
    <x v="1"/>
    <x v="3"/>
    <d v="2023-10-19T00:00:00"/>
    <d v="2024-01-30T00:00:00"/>
    <n v="9"/>
    <x v="0"/>
    <n v="6"/>
    <n v="4"/>
    <n v="10985.98"/>
    <n v="1377.1"/>
    <n v="3469.08"/>
  </r>
  <r>
    <s v="4039"/>
    <s v="Ricardo López"/>
    <d v="1968-01-01T00:00:00"/>
    <n v="58"/>
    <x v="0"/>
    <x v="4"/>
    <d v="2023-03-23T00:00:00"/>
    <d v="2023-01-20T00:00:00"/>
    <n v="8"/>
    <x v="1"/>
    <n v="12"/>
    <n v="2"/>
    <n v="7575.44"/>
    <n v="7157.37"/>
    <n v="895.13"/>
  </r>
  <r>
    <s v="4040"/>
    <s v="Ana Morales"/>
    <d v="2023-01-01T00:00:00"/>
    <n v="3"/>
    <x v="0"/>
    <x v="5"/>
    <d v="2024-07-13T00:00:00"/>
    <d v="2025-05-02T00:00:00"/>
    <n v="37"/>
    <x v="1"/>
    <n v="0"/>
    <n v="2"/>
    <n v="18207.650000000001"/>
    <n v="12128.32"/>
    <n v="346.35"/>
  </r>
  <r>
    <s v="4041"/>
    <s v="Luis Rodríguez"/>
    <d v="1960-01-01T00:00:00"/>
    <n v="66"/>
    <x v="0"/>
    <x v="6"/>
    <d v="2023-06-20T00:00:00"/>
    <d v="2024-08-28T00:00:00"/>
    <n v="26"/>
    <x v="1"/>
    <n v="14"/>
    <n v="7"/>
    <n v="22205.48"/>
    <n v="10250.15"/>
    <n v="2762.92"/>
  </r>
  <r>
    <s v="4042"/>
    <s v="Laura Sánchez"/>
    <d v="1997-12-31T00:00:00"/>
    <n v="28"/>
    <x v="1"/>
    <x v="2"/>
    <d v="2024-08-02T00:00:00"/>
    <d v="2024-12-30T00:00:00"/>
    <n v="17"/>
    <x v="2"/>
    <n v="7"/>
    <n v="3"/>
    <n v="11763.97"/>
    <n v="9474.74"/>
    <n v="7454.72"/>
  </r>
  <r>
    <s v="4043"/>
    <s v="Luisa Martínez"/>
    <d v="1997-12-31T00:00:00"/>
    <n v="28"/>
    <x v="0"/>
    <x v="0"/>
    <d v="2024-06-09T00:00:00"/>
    <d v="2024-04-10T00:00:00"/>
    <n v="2"/>
    <x v="2"/>
    <n v="9"/>
    <n v="9"/>
    <n v="2240.3000000000002"/>
    <n v="3590.4"/>
    <n v="17667.759999999998"/>
  </r>
  <r>
    <s v="4044"/>
    <s v="Miguel Rodríguez"/>
    <d v="1935-01-01T00:00:00"/>
    <n v="27"/>
    <x v="1"/>
    <x v="0"/>
    <d v="2024-06-25T00:00:00"/>
    <d v="2024-11-22T00:00:00"/>
    <n v="22"/>
    <x v="0"/>
    <n v="5"/>
    <n v="1"/>
    <n v="303.12"/>
    <n v="5904.49"/>
    <n v="15187.55"/>
  </r>
  <r>
    <s v="4045"/>
    <s v="Laura Martínez"/>
    <d v="1949-12-31T00:00:00"/>
    <n v="76"/>
    <x v="1"/>
    <x v="3"/>
    <d v="2023-04-20T00:00:00"/>
    <d v="2023-07-11T00:00:00"/>
    <n v="31"/>
    <x v="0"/>
    <n v="5"/>
    <n v="4"/>
    <n v="6149.85"/>
    <n v="2710.85"/>
    <n v="10556.38"/>
  </r>
  <r>
    <s v="4046"/>
    <s v="Carlos Morales"/>
    <d v="1948-01-01T00:00:00"/>
    <n v="78"/>
    <x v="1"/>
    <x v="4"/>
    <d v="2023-07-31T00:00:00"/>
    <d v="2024-05-08T00:00:00"/>
    <n v="9"/>
    <x v="2"/>
    <n v="8"/>
    <n v="1"/>
    <n v="21840.87"/>
    <n v="7633.88"/>
    <n v="8549.93"/>
  </r>
  <r>
    <s v="4047"/>
    <s v="Luis Pérez"/>
    <d v="1940-01-01T00:00:00"/>
    <n v="86"/>
    <x v="1"/>
    <x v="6"/>
    <d v="2024-03-13T00:00:00"/>
    <d v="2023-06-13T00:00:00"/>
    <n v="25"/>
    <x v="2"/>
    <n v="8"/>
    <n v="9"/>
    <n v="6257.35"/>
    <n v="8762.52"/>
    <n v="9061.56"/>
  </r>
  <r>
    <s v="4048"/>
    <s v="José Morales"/>
    <d v="1983-01-01T00:00:00"/>
    <n v="43"/>
    <x v="1"/>
    <x v="2"/>
    <d v="2023-11-18T00:00:00"/>
    <d v="2024-09-04T00:00:00"/>
    <n v="31"/>
    <x v="2"/>
    <n v="10"/>
    <n v="7"/>
    <n v="27284.71"/>
    <n v="9467.7199999999993"/>
    <n v="17681.349999999999"/>
  </r>
  <r>
    <s v="4049"/>
    <s v="Ana López"/>
    <d v="1936-12-31T00:00:00"/>
    <n v="89"/>
    <x v="0"/>
    <x v="0"/>
    <d v="2024-12-14T00:00:00"/>
    <d v="2024-11-30T00:00:00"/>
    <n v="3"/>
    <x v="0"/>
    <n v="3"/>
    <n v="2"/>
    <n v="19375.13"/>
    <n v="13139.34"/>
    <n v="14465.09"/>
  </r>
  <r>
    <s v="4050"/>
    <s v="Pedro Gómez"/>
    <d v="2023-01-01T00:00:00"/>
    <n v="3"/>
    <x v="1"/>
    <x v="6"/>
    <d v="2023-03-25T00:00:00"/>
    <d v="2023-10-23T00:00:00"/>
    <n v="16"/>
    <x v="0"/>
    <n v="6"/>
    <n v="1"/>
    <n v="25793.73"/>
    <n v="927.45"/>
    <n v="3357.45"/>
  </r>
  <r>
    <s v="4051"/>
    <s v="Ana Gómez"/>
    <d v="1936-12-31T00:00:00"/>
    <n v="89"/>
    <x v="1"/>
    <x v="2"/>
    <d v="2024-01-11T00:00:00"/>
    <d v="2024-08-02T00:00:00"/>
    <n v="9"/>
    <x v="0"/>
    <n v="8"/>
    <n v="2"/>
    <n v="11267.35"/>
    <n v="5824.69"/>
    <n v="18788.61"/>
  </r>
  <r>
    <s v="4052"/>
    <s v="Juan Morales"/>
    <d v="1933-01-01T00:00:00"/>
    <n v="8"/>
    <x v="1"/>
    <x v="1"/>
    <d v="2023-02-22T00:00:00"/>
    <d v="2023-03-15T00:00:00"/>
    <n v="22"/>
    <x v="1"/>
    <n v="13"/>
    <n v="2"/>
    <n v="29498.27"/>
    <n v="8864.56"/>
    <n v="15435.59"/>
  </r>
  <r>
    <s v="4053"/>
    <s v="Elena Rodríguez"/>
    <d v="2021-12-31T00:00:00"/>
    <n v="4"/>
    <x v="0"/>
    <x v="3"/>
    <d v="2024-05-10T00:00:00"/>
    <d v="2025-01-14T00:00:00"/>
    <n v="10"/>
    <x v="0"/>
    <n v="1"/>
    <n v="0"/>
    <n v="0"/>
    <n v="8551.84"/>
    <n v="586.54"/>
  </r>
  <r>
    <s v="4054"/>
    <s v="Jorge Sánchez"/>
    <d v="1971-01-01T00:00:00"/>
    <n v="55"/>
    <x v="0"/>
    <x v="5"/>
    <d v="2023-09-13T00:00:00"/>
    <d v="2024-12-02T00:00:00"/>
    <n v="14"/>
    <x v="1"/>
    <n v="1"/>
    <n v="2"/>
    <n v="10387.280000000001"/>
    <n v="325.56"/>
    <n v="9995.3700000000008"/>
  </r>
  <r>
    <s v="4055"/>
    <s v="José Ramírez"/>
    <d v="1943-01-01T00:00:00"/>
    <n v="83"/>
    <x v="1"/>
    <x v="0"/>
    <d v="2024-08-08T00:00:00"/>
    <d v="2024-07-16T00:00:00"/>
    <n v="9"/>
    <x v="2"/>
    <n v="7"/>
    <n v="2"/>
    <n v="5982.44"/>
    <n v="2839.64"/>
    <n v="13020.91"/>
  </r>
  <r>
    <s v="4056"/>
    <s v="María Hernández"/>
    <d v="1976-12-31T00:00:00"/>
    <n v="49"/>
    <x v="0"/>
    <x v="0"/>
    <d v="2023-08-08T00:00:00"/>
    <d v="2023-11-06T00:00:00"/>
    <n v="0"/>
    <x v="0"/>
    <n v="13"/>
    <n v="3"/>
    <n v="25929.21"/>
    <n v="12686.17"/>
    <n v="1125.8800000000001"/>
  </r>
  <r>
    <s v="4057"/>
    <s v="Ricardo Sánchez"/>
    <d v="1952-01-01T00:00:00"/>
    <n v="74"/>
    <x v="0"/>
    <x v="2"/>
    <d v="2024-10-16T00:00:00"/>
    <d v="2023-10-30T00:00:00"/>
    <n v="21"/>
    <x v="1"/>
    <n v="1"/>
    <n v="7"/>
    <n v="9202"/>
    <n v="7730.88"/>
    <n v="6996.51"/>
  </r>
  <r>
    <s v="4058"/>
    <s v="Pedro López"/>
    <d v="2012-01-01T00:00:00"/>
    <n v="14"/>
    <x v="1"/>
    <x v="5"/>
    <d v="2023-04-10T00:00:00"/>
    <d v="2023-11-05T00:00:00"/>
    <n v="5"/>
    <x v="0"/>
    <n v="9"/>
    <n v="8"/>
    <n v="853.11"/>
    <n v="6203.38"/>
    <n v="12930.88"/>
  </r>
  <r>
    <s v="4059"/>
    <s v="José Martínez"/>
    <d v="1995-01-01T00:00:00"/>
    <n v="31"/>
    <x v="0"/>
    <x v="1"/>
    <d v="2023-05-09T00:00:00"/>
    <d v="2023-05-05T00:00:00"/>
    <n v="33"/>
    <x v="1"/>
    <n v="6"/>
    <n v="0"/>
    <n v="7999.09"/>
    <n v="13502.63"/>
    <n v="16303.36"/>
  </r>
  <r>
    <s v="4060"/>
    <s v="Sofía Sánchez"/>
    <d v="1999-01-01T00:00:00"/>
    <n v="27"/>
    <x v="0"/>
    <x v="6"/>
    <d v="2023-08-07T00:00:00"/>
    <d v="2024-10-31T00:00:00"/>
    <n v="23"/>
    <x v="1"/>
    <n v="4"/>
    <n v="0"/>
    <n v="0"/>
    <n v="1124.28"/>
    <n v="19540.47"/>
  </r>
  <r>
    <s v="4061"/>
    <s v="María Ramírez"/>
    <d v="2004-12-31T00:00:00"/>
    <n v="21"/>
    <x v="0"/>
    <x v="3"/>
    <d v="2024-04-21T00:00:00"/>
    <d v="2023-09-19T00:00:00"/>
    <n v="5"/>
    <x v="2"/>
    <n v="10"/>
    <n v="5"/>
    <n v="9251.7999999999993"/>
    <n v="13834.66"/>
    <n v="2344.77"/>
  </r>
  <r>
    <s v="4062"/>
    <s v="Luisa Pérez"/>
    <d v="2009-12-31T00:00:00"/>
    <n v="33"/>
    <x v="1"/>
    <x v="6"/>
    <d v="2024-04-02T00:00:00"/>
    <d v="2023-07-15T00:00:00"/>
    <n v="29"/>
    <x v="1"/>
    <n v="13"/>
    <n v="0"/>
    <n v="18204.62"/>
    <n v="416.75"/>
    <n v="12611.29"/>
  </r>
  <r>
    <s v="4063"/>
    <s v="Juan López"/>
    <d v="1968-01-01T00:00:00"/>
    <n v="58"/>
    <x v="1"/>
    <x v="2"/>
    <d v="2023-01-22T00:00:00"/>
    <d v="2025-04-22T00:00:00"/>
    <n v="29"/>
    <x v="1"/>
    <n v="11"/>
    <n v="4"/>
    <n v="14763.17"/>
    <n v="8440.0499999999993"/>
    <n v="17845.07"/>
  </r>
  <r>
    <s v="4064"/>
    <s v="Luis López"/>
    <d v="1936-12-31T00:00:00"/>
    <n v="89"/>
    <x v="1"/>
    <x v="0"/>
    <d v="2024-11-20T00:00:00"/>
    <d v="2023-12-18T00:00:00"/>
    <n v="2"/>
    <x v="2"/>
    <n v="14"/>
    <n v="0"/>
    <n v="21180.94"/>
    <n v="8326.3700000000008"/>
    <n v="14310.05"/>
  </r>
  <r>
    <s v="4065"/>
    <s v="Luisa Rodríguez"/>
    <d v="1956-01-01T00:00:00"/>
    <n v="70"/>
    <x v="0"/>
    <x v="1"/>
    <d v="2024-07-13T00:00:00"/>
    <d v="2025-04-23T00:00:00"/>
    <n v="0"/>
    <x v="0"/>
    <n v="13"/>
    <n v="7"/>
    <n v="9681.8799999999992"/>
    <n v="9586.02"/>
    <n v="12611.23"/>
  </r>
  <r>
    <s v="4066"/>
    <s v="Luisa Sánchez"/>
    <d v="1969-12-31T00:00:00"/>
    <n v="56"/>
    <x v="0"/>
    <x v="0"/>
    <d v="2024-09-20T00:00:00"/>
    <d v="2025-02-07T00:00:00"/>
    <n v="2"/>
    <x v="2"/>
    <n v="8"/>
    <n v="4"/>
    <n v="3154.16"/>
    <n v="444.39"/>
    <n v="4209.88"/>
  </r>
  <r>
    <s v="4067"/>
    <s v="José Hernández"/>
    <d v="1950-01-01T00:00:00"/>
    <n v="25"/>
    <x v="1"/>
    <x v="6"/>
    <d v="2023-11-25T00:00:00"/>
    <d v="2024-05-04T00:00:00"/>
    <n v="12"/>
    <x v="1"/>
    <n v="3"/>
    <n v="5"/>
    <n v="4388.17"/>
    <n v="7957.78"/>
    <n v="16287.48"/>
  </r>
  <r>
    <s v="4068"/>
    <s v="Pedro Sánchez"/>
    <d v="2001-12-31T00:00:00"/>
    <n v="24"/>
    <x v="1"/>
    <x v="1"/>
    <d v="2024-11-21T00:00:00"/>
    <d v="2023-07-20T00:00:00"/>
    <n v="17"/>
    <x v="0"/>
    <n v="10"/>
    <n v="3"/>
    <n v="23817.119999999999"/>
    <n v="1704.21"/>
    <n v="11206.08"/>
  </r>
  <r>
    <s v="4069"/>
    <s v="Luisa Hernández"/>
    <d v="2016-12-31T00:00:00"/>
    <n v="9"/>
    <x v="0"/>
    <x v="4"/>
    <d v="2024-04-24T00:00:00"/>
    <d v="2025-06-03T00:00:00"/>
    <n v="0"/>
    <x v="2"/>
    <n v="4"/>
    <n v="7"/>
    <n v="2488.7199999999998"/>
    <n v="2339.69"/>
    <n v="2139.4699999999998"/>
  </r>
  <r>
    <s v="4070"/>
    <s v="José Morales"/>
    <d v="1981-12-31T00:00:00"/>
    <n v="44"/>
    <x v="0"/>
    <x v="3"/>
    <d v="2023-12-05T00:00:00"/>
    <d v="2024-05-23T00:00:00"/>
    <n v="12"/>
    <x v="2"/>
    <n v="9"/>
    <n v="8"/>
    <n v="23842.85"/>
    <n v="3230.32"/>
    <n v="18705.599999999999"/>
  </r>
  <r>
    <s v="4071"/>
    <s v="Carmen Hernández"/>
    <d v="1944-01-01T00:00:00"/>
    <n v="82"/>
    <x v="0"/>
    <x v="2"/>
    <d v="2023-06-28T00:00:00"/>
    <d v="2025-06-17T00:00:00"/>
    <n v="34"/>
    <x v="1"/>
    <n v="3"/>
    <n v="8"/>
    <n v="5985.2"/>
    <n v="9197.66"/>
    <n v="19766.650000000001"/>
  </r>
  <r>
    <s v="4072"/>
    <s v="Pedro Pérez"/>
    <d v="2016-01-01T00:00:00"/>
    <n v="10"/>
    <x v="0"/>
    <x v="3"/>
    <d v="2024-02-25T00:00:00"/>
    <d v="2024-08-03T00:00:00"/>
    <n v="18"/>
    <x v="0"/>
    <n v="13"/>
    <n v="0"/>
    <n v="20191.34"/>
    <n v="5851.33"/>
    <n v="10707.22"/>
  </r>
  <r>
    <s v="4073"/>
    <s v="Luis Rodríguez"/>
    <d v="1949-12-31T00:00:00"/>
    <n v="76"/>
    <x v="0"/>
    <x v="2"/>
    <d v="2024-04-26T00:00:00"/>
    <d v="2024-03-22T00:00:00"/>
    <n v="39"/>
    <x v="0"/>
    <n v="7"/>
    <n v="6"/>
    <n v="18504.439999999999"/>
    <n v="1280.06"/>
    <n v="15507.23"/>
  </r>
  <r>
    <s v="4074"/>
    <s v="Jorge Sánchez"/>
    <d v="1973-12-31T00:00:00"/>
    <n v="52"/>
    <x v="1"/>
    <x v="3"/>
    <d v="2023-02-18T00:00:00"/>
    <d v="2023-03-22T00:00:00"/>
    <n v="36"/>
    <x v="0"/>
    <n v="0"/>
    <n v="3"/>
    <n v="2496.94"/>
    <n v="4335.2"/>
    <n v="11624.59"/>
  </r>
  <r>
    <s v="4075"/>
    <s v="Carmen Hernández"/>
    <d v="1955-01-01T00:00:00"/>
    <n v="71"/>
    <x v="1"/>
    <x v="4"/>
    <d v="2023-01-30T00:00:00"/>
    <d v="2025-01-15T00:00:00"/>
    <n v="20"/>
    <x v="2"/>
    <n v="8"/>
    <n v="9"/>
    <n v="19808.84"/>
    <n v="1149.32"/>
    <n v="8386.34"/>
  </r>
  <r>
    <s v="4076"/>
    <s v="Ricardo Gómez"/>
    <d v="1959-01-01T00:00:00"/>
    <n v="76"/>
    <x v="1"/>
    <x v="6"/>
    <d v="2023-03-26T00:00:00"/>
    <d v="2024-11-29T00:00:00"/>
    <n v="37"/>
    <x v="0"/>
    <n v="4"/>
    <n v="7"/>
    <n v="13148.98"/>
    <n v="9961.91"/>
    <n v="8123.07"/>
  </r>
  <r>
    <s v="4077"/>
    <s v="Laura Ramírez"/>
    <d v="1932-01-01T00:00:00"/>
    <n v="94"/>
    <x v="0"/>
    <x v="5"/>
    <d v="2024-05-16T00:00:00"/>
    <d v="2024-09-09T00:00:00"/>
    <n v="32"/>
    <x v="0"/>
    <n v="10"/>
    <n v="6"/>
    <n v="21068.44"/>
    <n v="8361.98"/>
    <n v="19282.72"/>
  </r>
  <r>
    <s v="4078"/>
    <s v="Luisa Martínez"/>
    <d v="1999-01-01T00:00:00"/>
    <n v="27"/>
    <x v="1"/>
    <x v="1"/>
    <d v="2024-06-29T00:00:00"/>
    <d v="2024-04-14T00:00:00"/>
    <n v="15"/>
    <x v="0"/>
    <n v="2"/>
    <n v="0"/>
    <n v="0"/>
    <n v="6115.29"/>
    <n v="7312.61"/>
  </r>
  <r>
    <s v="4079"/>
    <s v="Pedro Martínez"/>
    <d v="1952-01-01T00:00:00"/>
    <n v="74"/>
    <x v="0"/>
    <x v="2"/>
    <d v="2023-11-25T00:00:00"/>
    <d v="2025-04-17T00:00:00"/>
    <n v="14"/>
    <x v="0"/>
    <n v="14"/>
    <n v="0"/>
    <n v="704.73"/>
    <n v="13915.15"/>
    <n v="9758.1299999999992"/>
  </r>
  <r>
    <s v="4080"/>
    <s v="Juan Cruz"/>
    <d v="1961-12-31T00:00:00"/>
    <n v="64"/>
    <x v="1"/>
    <x v="6"/>
    <d v="2024-09-01T00:00:00"/>
    <d v="2024-03-18T00:00:00"/>
    <n v="28"/>
    <x v="0"/>
    <n v="1"/>
    <n v="0"/>
    <n v="19262.87"/>
    <n v="7780.88"/>
    <n v="4894.66"/>
  </r>
  <r>
    <s v="4081"/>
    <s v="Ana Gómez"/>
    <d v="1977-12-31T00:00:00"/>
    <n v="48"/>
    <x v="1"/>
    <x v="0"/>
    <d v="2024-03-09T00:00:00"/>
    <d v="2024-10-16T00:00:00"/>
    <n v="23"/>
    <x v="2"/>
    <n v="10"/>
    <n v="1"/>
    <n v="2701.21"/>
    <n v="13313.03"/>
    <n v="4990.97"/>
  </r>
  <r>
    <s v="4082"/>
    <s v="Ana Cruz"/>
    <d v="1980-01-01T00:00:00"/>
    <n v="46"/>
    <x v="0"/>
    <x v="0"/>
    <d v="2024-08-10T00:00:00"/>
    <d v="2023-09-30T00:00:00"/>
    <n v="19"/>
    <x v="1"/>
    <n v="3"/>
    <n v="9"/>
    <n v="11055.71"/>
    <n v="8686.2800000000007"/>
    <n v="7060.16"/>
  </r>
  <r>
    <s v="4083"/>
    <s v="María López"/>
    <d v="1975-01-01T00:00:00"/>
    <n v="51"/>
    <x v="1"/>
    <x v="3"/>
    <d v="2024-11-17T00:00:00"/>
    <d v="2023-12-10T00:00:00"/>
    <n v="33"/>
    <x v="1"/>
    <n v="0"/>
    <n v="1"/>
    <n v="113.31"/>
    <n v="5651.89"/>
    <n v="18488.03"/>
  </r>
  <r>
    <s v="4084"/>
    <s v="María Martínez"/>
    <d v="1939-01-01T00:00:00"/>
    <n v="87"/>
    <x v="1"/>
    <x v="0"/>
    <d v="2023-09-06T00:00:00"/>
    <d v="2023-05-05T00:00:00"/>
    <n v="32"/>
    <x v="0"/>
    <n v="1"/>
    <n v="8"/>
    <n v="9523.64"/>
    <n v="8084.95"/>
    <n v="7870.41"/>
  </r>
  <r>
    <s v="4085"/>
    <s v="Carlos Morales"/>
    <d v="1972-12-31T00:00:00"/>
    <n v="53"/>
    <x v="0"/>
    <x v="5"/>
    <d v="2023-05-14T00:00:00"/>
    <d v="2023-08-12T00:00:00"/>
    <n v="8"/>
    <x v="2"/>
    <n v="5"/>
    <n v="4"/>
    <n v="4665.32"/>
    <n v="2277.94"/>
    <n v="11001.02"/>
  </r>
  <r>
    <s v="4086"/>
    <s v="María Cruz"/>
    <d v="1967-01-01T00:00:00"/>
    <n v="59"/>
    <x v="1"/>
    <x v="2"/>
    <d v="2024-11-20T00:00:00"/>
    <d v="2024-05-05T00:00:00"/>
    <n v="24"/>
    <x v="2"/>
    <n v="10"/>
    <n v="0"/>
    <n v="16466.060000000001"/>
    <n v="10121.299999999999"/>
    <n v="10869.64"/>
  </r>
  <r>
    <s v="4087"/>
    <s v="Luis Morales"/>
    <d v="1940-01-01T00:00:00"/>
    <n v="56"/>
    <x v="0"/>
    <x v="3"/>
    <d v="2023-12-31T00:00:00"/>
    <d v="2024-11-17T00:00:00"/>
    <n v="31"/>
    <x v="2"/>
    <n v="1"/>
    <n v="6"/>
    <n v="15124.28"/>
    <n v="14732"/>
    <n v="11621.34"/>
  </r>
  <r>
    <s v="4088"/>
    <s v="Luis Pérez"/>
    <d v="1980-01-01T00:00:00"/>
    <n v="58"/>
    <x v="0"/>
    <x v="2"/>
    <d v="2024-07-28T00:00:00"/>
    <d v="2024-12-04T00:00:00"/>
    <n v="15"/>
    <x v="1"/>
    <n v="0"/>
    <n v="9"/>
    <n v="23694.87"/>
    <n v="3711.57"/>
    <n v="16382.87"/>
  </r>
  <r>
    <s v="4089"/>
    <s v="José Ramírez"/>
    <d v="1996-01-01T00:00:00"/>
    <n v="30"/>
    <x v="0"/>
    <x v="2"/>
    <d v="2024-02-29T00:00:00"/>
    <d v="2024-10-14T00:00:00"/>
    <n v="24"/>
    <x v="2"/>
    <n v="1"/>
    <n v="1"/>
    <n v="19018.82"/>
    <n v="4847.96"/>
    <n v="18014.150000000001"/>
  </r>
  <r>
    <s v="4090"/>
    <s v="Juan Cruz"/>
    <d v="1980-12-31T00:00:00"/>
    <n v="45"/>
    <x v="0"/>
    <x v="4"/>
    <d v="2024-02-19T00:00:00"/>
    <d v="2023-10-25T00:00:00"/>
    <n v="1"/>
    <x v="0"/>
    <n v="8"/>
    <n v="2"/>
    <n v="21296.09"/>
    <n v="6091.37"/>
    <n v="4095.81"/>
  </r>
  <r>
    <s v="4091"/>
    <s v="Pedro Sánchez"/>
    <d v="2000-12-31T00:00:00"/>
    <n v="25"/>
    <x v="1"/>
    <x v="6"/>
    <d v="2024-10-17T00:00:00"/>
    <d v="2023-04-30T00:00:00"/>
    <n v="14"/>
    <x v="1"/>
    <n v="11"/>
    <n v="3"/>
    <n v="2320.64"/>
    <n v="7252.24"/>
    <n v="17194.990000000002"/>
  </r>
  <r>
    <s v="4092"/>
    <s v="Luisa Martínez"/>
    <d v="2021-12-31T00:00:00"/>
    <n v="4"/>
    <x v="0"/>
    <x v="0"/>
    <d v="2024-05-26T00:00:00"/>
    <d v="2025-02-26T00:00:00"/>
    <n v="3"/>
    <x v="2"/>
    <n v="12"/>
    <n v="2"/>
    <n v="346.83"/>
    <n v="10786.55"/>
    <n v="10908.91"/>
  </r>
  <r>
    <s v="4093"/>
    <s v="Carlos Cruz"/>
    <d v="1943-01-01T00:00:00"/>
    <n v="83"/>
    <x v="1"/>
    <x v="1"/>
    <d v="2024-01-20T00:00:00"/>
    <d v="2023-03-18T00:00:00"/>
    <n v="39"/>
    <x v="0"/>
    <n v="10"/>
    <n v="2"/>
    <n v="29071.02"/>
    <n v="2050.1"/>
    <n v="18481.84"/>
  </r>
  <r>
    <s v="4094"/>
    <s v="Ricardo Ramírez"/>
    <d v="1975-01-01T00:00:00"/>
    <n v="51"/>
    <x v="1"/>
    <x v="2"/>
    <d v="2024-01-23T00:00:00"/>
    <d v="2024-09-13T00:00:00"/>
    <n v="8"/>
    <x v="1"/>
    <n v="12"/>
    <n v="8"/>
    <n v="12524.49"/>
    <n v="4536.9799999999996"/>
    <n v="18314.75"/>
  </r>
  <r>
    <s v="4095"/>
    <s v="Carmen Morales"/>
    <d v="1952-01-01T00:00:00"/>
    <n v="74"/>
    <x v="1"/>
    <x v="5"/>
    <d v="2024-03-24T00:00:00"/>
    <d v="2024-09-23T00:00:00"/>
    <n v="2"/>
    <x v="2"/>
    <n v="5"/>
    <n v="3"/>
    <n v="0"/>
    <n v="8080.06"/>
    <n v="7727.61"/>
  </r>
  <r>
    <s v="4096"/>
    <s v="Miguel Sánchez"/>
    <d v="1972-12-31T00:00:00"/>
    <n v="53"/>
    <x v="1"/>
    <x v="4"/>
    <d v="2024-07-17T00:00:00"/>
    <d v="2025-05-31T00:00:00"/>
    <n v="15"/>
    <x v="0"/>
    <n v="2"/>
    <n v="7"/>
    <n v="567.88"/>
    <n v="8843.66"/>
    <n v="13002.72"/>
  </r>
  <r>
    <s v="4097"/>
    <s v="Ricardo Hernández"/>
    <d v="1993-12-31T00:00:00"/>
    <n v="32"/>
    <x v="0"/>
    <x v="5"/>
    <d v="2023-10-30T00:00:00"/>
    <d v="2023-09-16T00:00:00"/>
    <n v="22"/>
    <x v="0"/>
    <n v="10"/>
    <n v="0"/>
    <n v="3126.78"/>
    <n v="8049.45"/>
    <n v="17415.36"/>
  </r>
  <r>
    <s v="4098"/>
    <s v="Jorge Martínez"/>
    <d v="1976-12-31T00:00:00"/>
    <n v="49"/>
    <x v="1"/>
    <x v="1"/>
    <d v="2023-04-09T00:00:00"/>
    <d v="2024-06-16T00:00:00"/>
    <n v="7"/>
    <x v="0"/>
    <n v="6"/>
    <n v="5"/>
    <n v="28184.45"/>
    <n v="6532.33"/>
    <n v="7632.65"/>
  </r>
  <r>
    <s v="4099"/>
    <s v="Laura Sánchez"/>
    <d v="1988-12-31T00:00:00"/>
    <n v="37"/>
    <x v="0"/>
    <x v="0"/>
    <d v="2023-11-02T00:00:00"/>
    <d v="2024-09-23T00:00:00"/>
    <n v="38"/>
    <x v="1"/>
    <n v="6"/>
    <n v="0"/>
    <n v="0"/>
    <n v="10672.13"/>
    <n v="780.89"/>
  </r>
  <r>
    <s v="4100"/>
    <s v="Carlos Ramírez"/>
    <d v="1999-01-01T00:00:00"/>
    <n v="26"/>
    <x v="1"/>
    <x v="0"/>
    <d v="2024-07-10T00:00:00"/>
    <d v="2023-12-18T00:00:00"/>
    <n v="13"/>
    <x v="2"/>
    <n v="13"/>
    <n v="4"/>
    <n v="0"/>
    <n v="3067.12"/>
    <n v="7132.14"/>
  </r>
  <r>
    <s v="4101"/>
    <s v="María Rodríguez"/>
    <d v="2012-01-01T00:00:00"/>
    <n v="14"/>
    <x v="1"/>
    <x v="3"/>
    <d v="2023-02-11T00:00:00"/>
    <d v="2024-10-11T00:00:00"/>
    <n v="7"/>
    <x v="0"/>
    <n v="1"/>
    <n v="6"/>
    <n v="27086.77"/>
    <n v="4240.92"/>
    <n v="7244.62"/>
  </r>
  <r>
    <s v="4102"/>
    <s v="Laura Gómez"/>
    <d v="1965-12-31T00:00:00"/>
    <n v="60"/>
    <x v="2"/>
    <x v="3"/>
    <d v="2024-04-12T00:00:00"/>
    <d v="2023-10-05T00:00:00"/>
    <n v="7"/>
    <x v="0"/>
    <n v="3"/>
    <n v="0"/>
    <n v="17491.73"/>
    <n v="6667.25"/>
    <n v="16115.59"/>
  </r>
  <r>
    <s v="4103"/>
    <s v="Luis Ramírez"/>
    <d v="2005-12-31T00:00:00"/>
    <n v="20"/>
    <x v="1"/>
    <x v="3"/>
    <d v="2024-03-15T00:00:00"/>
    <d v="2023-09-13T00:00:00"/>
    <n v="33"/>
    <x v="0"/>
    <n v="14"/>
    <n v="8"/>
    <n v="22267.279999999999"/>
    <n v="10432.540000000001"/>
    <n v="6123.43"/>
  </r>
  <r>
    <s v="4104"/>
    <s v="Carmen Morales"/>
    <d v="1937-01-01T00:00:00"/>
    <n v="45"/>
    <x v="0"/>
    <x v="0"/>
    <d v="2023-11-23T00:00:00"/>
    <d v="2023-09-22T00:00:00"/>
    <n v="18"/>
    <x v="0"/>
    <n v="1"/>
    <n v="8"/>
    <n v="12663.79"/>
    <n v="1235.26"/>
    <n v="17869.07"/>
  </r>
  <r>
    <s v="4105"/>
    <s v="Carmen Morales"/>
    <d v="1957-12-31T00:00:00"/>
    <n v="68"/>
    <x v="1"/>
    <x v="2"/>
    <d v="2024-07-22T00:00:00"/>
    <d v="2024-11-10T00:00:00"/>
    <n v="11"/>
    <x v="2"/>
    <n v="13"/>
    <n v="5"/>
    <n v="12661.61"/>
    <n v="1735.06"/>
    <n v="10927.69"/>
  </r>
  <r>
    <s v="4106"/>
    <s v="Laura Pérez"/>
    <d v="2020-12-31T00:00:00"/>
    <n v="5"/>
    <x v="1"/>
    <x v="6"/>
    <d v="2023-02-02T00:00:00"/>
    <d v="2024-11-08T00:00:00"/>
    <n v="5"/>
    <x v="2"/>
    <n v="11"/>
    <n v="1"/>
    <n v="1584.69"/>
    <n v="11736.13"/>
    <n v="11681.7"/>
  </r>
  <r>
    <s v="4107"/>
    <s v="Elena Morales"/>
    <d v="1988-12-31T00:00:00"/>
    <n v="37"/>
    <x v="0"/>
    <x v="1"/>
    <d v="2024-02-16T00:00:00"/>
    <d v="2023-01-30T00:00:00"/>
    <n v="2"/>
    <x v="2"/>
    <n v="11"/>
    <n v="1"/>
    <n v="21886.18"/>
    <n v="3914.32"/>
    <n v="16120.85"/>
  </r>
  <r>
    <s v="4108"/>
    <s v="Sofía Pérez"/>
    <d v="1964-12-31T00:00:00"/>
    <n v="61"/>
    <x v="0"/>
    <x v="4"/>
    <d v="2024-09-17T00:00:00"/>
    <d v="2024-04-12T00:00:00"/>
    <n v="13"/>
    <x v="0"/>
    <n v="5"/>
    <n v="8"/>
    <n v="2523.08"/>
    <n v="14452.3"/>
    <n v="2604.96"/>
  </r>
  <r>
    <s v="4109"/>
    <s v="Juan Morales"/>
    <d v="1940-12-31T00:00:00"/>
    <n v="85"/>
    <x v="1"/>
    <x v="1"/>
    <d v="2023-04-24T00:00:00"/>
    <d v="2023-02-05T00:00:00"/>
    <n v="23"/>
    <x v="1"/>
    <n v="11"/>
    <n v="3"/>
    <n v="22810.16"/>
    <n v="14421.07"/>
    <n v="260.63"/>
  </r>
  <r>
    <s v="4110"/>
    <s v="Pedro Hernández"/>
    <d v="1964-12-31T00:00:00"/>
    <n v="61"/>
    <x v="1"/>
    <x v="1"/>
    <d v="2024-05-22T00:00:00"/>
    <d v="2025-01-19T00:00:00"/>
    <n v="39"/>
    <x v="0"/>
    <n v="2"/>
    <n v="5"/>
    <n v="5321.17"/>
    <n v="10289.17"/>
    <n v="1037.95"/>
  </r>
  <r>
    <s v="4111"/>
    <s v="José Cruz"/>
    <d v="1944-12-31T00:00:00"/>
    <n v="81"/>
    <x v="1"/>
    <x v="3"/>
    <d v="2023-02-25T00:00:00"/>
    <d v="2023-10-22T00:00:00"/>
    <n v="3"/>
    <x v="1"/>
    <n v="14"/>
    <n v="9"/>
    <n v="7044.7"/>
    <n v="10753.1"/>
    <n v="516.34"/>
  </r>
  <r>
    <s v="4112"/>
    <s v="Laura López"/>
    <d v="1948-12-31T00:00:00"/>
    <n v="77"/>
    <x v="0"/>
    <x v="6"/>
    <d v="2024-07-09T00:00:00"/>
    <d v="2024-08-25T00:00:00"/>
    <n v="36"/>
    <x v="0"/>
    <n v="13"/>
    <n v="1"/>
    <n v="27495.64"/>
    <n v="9765"/>
    <n v="13967.89"/>
  </r>
  <r>
    <s v="4113"/>
    <s v="Pedro López"/>
    <d v="1952-12-31T00:00:00"/>
    <n v="73"/>
    <x v="0"/>
    <x v="5"/>
    <d v="2024-12-24T00:00:00"/>
    <d v="2023-07-23T00:00:00"/>
    <n v="1"/>
    <x v="2"/>
    <n v="10"/>
    <n v="3"/>
    <n v="13882.81"/>
    <n v="2659.96"/>
    <n v="4823.92"/>
  </r>
  <r>
    <s v="4114"/>
    <s v="Ricardo Gómez"/>
    <d v="1980-12-31T00:00:00"/>
    <n v="45"/>
    <x v="0"/>
    <x v="0"/>
    <d v="2023-12-18T00:00:00"/>
    <d v="2025-01-10T00:00:00"/>
    <n v="6"/>
    <x v="2"/>
    <n v="6"/>
    <n v="1"/>
    <n v="3319.9"/>
    <n v="7506.83"/>
    <n v="17134.18"/>
  </r>
  <r>
    <s v="4115"/>
    <s v="Carmen Sánchez"/>
    <d v="2013-12-31T00:00:00"/>
    <n v="12"/>
    <x v="1"/>
    <x v="5"/>
    <d v="2023-11-25T00:00:00"/>
    <d v="2023-03-10T00:00:00"/>
    <n v="2"/>
    <x v="2"/>
    <n v="14"/>
    <n v="2"/>
    <n v="27104.99"/>
    <n v="11895.24"/>
    <n v="17645.79"/>
  </r>
  <r>
    <s v="4116"/>
    <s v="Jorge Ramírez"/>
    <d v="1932-01-01T00:00:00"/>
    <n v="76"/>
    <x v="0"/>
    <x v="3"/>
    <d v="2024-06-29T00:00:00"/>
    <d v="2023-05-12T00:00:00"/>
    <n v="37"/>
    <x v="0"/>
    <n v="10"/>
    <n v="1"/>
    <n v="13298.11"/>
    <n v="11620.17"/>
    <n v="7057.35"/>
  </r>
  <r>
    <s v="4117"/>
    <s v="Ana Cruz"/>
    <d v="1932-12-31T00:00:00"/>
    <n v="93"/>
    <x v="0"/>
    <x v="2"/>
    <d v="2023-09-27T00:00:00"/>
    <d v="2025-05-27T00:00:00"/>
    <n v="2"/>
    <x v="0"/>
    <n v="6"/>
    <n v="7"/>
    <n v="3481.82"/>
    <n v="13481.56"/>
    <n v="3815.99"/>
  </r>
  <r>
    <s v="4118"/>
    <s v="Laura Cruz"/>
    <d v="2024-01-01T00:00:00"/>
    <n v="2"/>
    <x v="0"/>
    <x v="4"/>
    <d v="2023-07-15T00:00:00"/>
    <d v="2023-04-22T00:00:00"/>
    <n v="5"/>
    <x v="0"/>
    <n v="7"/>
    <n v="4"/>
    <n v="11420.1"/>
    <n v="13511.97"/>
    <n v="9926.1200000000008"/>
  </r>
  <r>
    <s v="4119"/>
    <s v="Pedro Pérez"/>
    <d v="1932-12-31T00:00:00"/>
    <n v="93"/>
    <x v="0"/>
    <x v="4"/>
    <d v="2024-02-17T00:00:00"/>
    <d v="2024-06-08T00:00:00"/>
    <n v="2"/>
    <x v="1"/>
    <n v="9"/>
    <n v="4"/>
    <n v="17474.54"/>
    <n v="3922.28"/>
    <n v="16297.75"/>
  </r>
  <r>
    <s v="4120"/>
    <s v="Luisa Martínez"/>
    <d v="2020-12-31T00:00:00"/>
    <n v="5"/>
    <x v="0"/>
    <x v="3"/>
    <d v="2024-09-28T00:00:00"/>
    <d v="2023-10-16T00:00:00"/>
    <n v="2"/>
    <x v="0"/>
    <n v="4"/>
    <n v="7"/>
    <n v="10551.43"/>
    <n v="10825.81"/>
    <n v="13666.33"/>
  </r>
  <r>
    <s v="4121"/>
    <s v="Luisa Cruz"/>
    <d v="1933-12-31T00:00:00"/>
    <n v="92"/>
    <x v="1"/>
    <x v="6"/>
    <d v="2023-03-20T00:00:00"/>
    <d v="2024-11-18T00:00:00"/>
    <n v="14"/>
    <x v="1"/>
    <n v="5"/>
    <n v="7"/>
    <n v="27691.96"/>
    <n v="9770.1"/>
    <n v="417.42"/>
  </r>
  <r>
    <s v="4122"/>
    <s v="María López"/>
    <d v="2019-01-01T00:00:00"/>
    <n v="7"/>
    <x v="0"/>
    <x v="4"/>
    <d v="2024-10-18T00:00:00"/>
    <d v="2025-04-11T00:00:00"/>
    <n v="6"/>
    <x v="0"/>
    <n v="13"/>
    <n v="6"/>
    <n v="7725.36"/>
    <n v="13287.45"/>
    <n v="43.73"/>
  </r>
  <r>
    <s v="4123"/>
    <s v="Ana Gómez"/>
    <d v="1983-01-01T00:00:00"/>
    <n v="43"/>
    <x v="0"/>
    <x v="3"/>
    <d v="2023-03-24T00:00:00"/>
    <d v="2024-10-28T00:00:00"/>
    <n v="31"/>
    <x v="0"/>
    <n v="5"/>
    <n v="4"/>
    <n v="4862.68"/>
    <n v="2752.12"/>
    <n v="2187.4499999999998"/>
  </r>
  <r>
    <s v="4124"/>
    <s v="Carlos Sánchez"/>
    <d v="1993-12-31T00:00:00"/>
    <n v="32"/>
    <x v="1"/>
    <x v="1"/>
    <d v="2023-05-17T00:00:00"/>
    <d v="2023-02-13T00:00:00"/>
    <n v="30"/>
    <x v="0"/>
    <n v="3"/>
    <n v="6"/>
    <n v="6239.01"/>
    <n v="11096.89"/>
    <n v="6669.15"/>
  </r>
  <r>
    <s v="4125"/>
    <s v="Jorge Cruz"/>
    <d v="1945-12-31T00:00:00"/>
    <n v="80"/>
    <x v="1"/>
    <x v="2"/>
    <d v="2024-06-22T00:00:00"/>
    <d v="2025-05-25T00:00:00"/>
    <n v="19"/>
    <x v="2"/>
    <n v="5"/>
    <n v="0"/>
    <n v="2054.37"/>
    <n v="6349.98"/>
    <n v="10691.33"/>
  </r>
  <r>
    <s v="4126"/>
    <s v="José Morales"/>
    <d v="1952-01-01T00:00:00"/>
    <n v="74"/>
    <x v="0"/>
    <x v="2"/>
    <d v="2024-11-19T00:00:00"/>
    <d v="2024-12-18T00:00:00"/>
    <n v="18"/>
    <x v="0"/>
    <n v="13"/>
    <n v="2"/>
    <n v="13295.03"/>
    <n v="5917.28"/>
    <n v="16333.46"/>
  </r>
  <r>
    <s v="4127"/>
    <s v="María Gómez"/>
    <d v="1949-12-31T00:00:00"/>
    <n v="76"/>
    <x v="1"/>
    <x v="0"/>
    <d v="2024-12-19T00:00:00"/>
    <d v="2024-11-15T00:00:00"/>
    <n v="12"/>
    <x v="0"/>
    <n v="7"/>
    <n v="2"/>
    <n v="26289.18"/>
    <n v="536.86"/>
    <n v="2770.13"/>
  </r>
  <r>
    <s v="4128"/>
    <s v="Luisa Sánchez"/>
    <d v="1976-12-31T00:00:00"/>
    <n v="49"/>
    <x v="0"/>
    <x v="0"/>
    <d v="2023-11-02T00:00:00"/>
    <d v="2023-10-22T00:00:00"/>
    <n v="2"/>
    <x v="0"/>
    <n v="10"/>
    <n v="1"/>
    <n v="8812.86"/>
    <n v="14421.91"/>
    <n v="2964.83"/>
  </r>
  <r>
    <s v="4129"/>
    <s v="Pedro Hernández"/>
    <d v="2016-01-01T00:00:00"/>
    <n v="10"/>
    <x v="1"/>
    <x v="1"/>
    <d v="2023-11-07T00:00:00"/>
    <d v="2023-10-13T00:00:00"/>
    <n v="4"/>
    <x v="2"/>
    <n v="12"/>
    <n v="5"/>
    <n v="7379.3"/>
    <n v="10136.530000000001"/>
    <n v="17258.97"/>
  </r>
  <r>
    <s v="4130"/>
    <s v="Miguel Sánchez"/>
    <d v="1932-01-01T00:00:00"/>
    <n v="94"/>
    <x v="1"/>
    <x v="2"/>
    <d v="2024-01-23T00:00:00"/>
    <d v="2025-04-03T00:00:00"/>
    <n v="20"/>
    <x v="0"/>
    <n v="10"/>
    <n v="2"/>
    <n v="25040.23"/>
    <n v="8860.5300000000007"/>
    <n v="18472.900000000001"/>
  </r>
  <r>
    <s v="4131"/>
    <s v="Ricardo Pérez"/>
    <d v="1999-01-01T00:00:00"/>
    <n v="27"/>
    <x v="1"/>
    <x v="1"/>
    <d v="2024-12-25T00:00:00"/>
    <d v="2024-07-18T00:00:00"/>
    <n v="3"/>
    <x v="1"/>
    <n v="9"/>
    <n v="3"/>
    <n v="8832.84"/>
    <n v="3767.49"/>
    <n v="10980.92"/>
  </r>
  <r>
    <s v="4132"/>
    <s v="Sofía Pérez"/>
    <d v="1956-12-31T00:00:00"/>
    <n v="69"/>
    <x v="1"/>
    <x v="2"/>
    <d v="2024-07-02T00:00:00"/>
    <d v="2024-09-19T00:00:00"/>
    <n v="17"/>
    <x v="0"/>
    <n v="2"/>
    <n v="2"/>
    <n v="14045.21"/>
    <n v="9876.68"/>
    <n v="15676.34"/>
  </r>
  <r>
    <s v="4133"/>
    <s v="Elena Rodríguez"/>
    <d v="1985-12-31T00:00:00"/>
    <n v="40"/>
    <x v="1"/>
    <x v="6"/>
    <d v="2024-05-20T00:00:00"/>
    <d v="2023-01-20T00:00:00"/>
    <n v="23"/>
    <x v="2"/>
    <n v="11"/>
    <n v="6"/>
    <n v="452.76"/>
    <n v="14184.04"/>
    <n v="6787.69"/>
  </r>
  <r>
    <s v="4134"/>
    <s v="Jorge Cruz"/>
    <d v="2011-01-01T00:00:00"/>
    <n v="15"/>
    <x v="0"/>
    <x v="3"/>
    <d v="2024-01-23T00:00:00"/>
    <d v="2024-05-22T00:00:00"/>
    <n v="39"/>
    <x v="0"/>
    <n v="0"/>
    <n v="3"/>
    <n v="8255.69"/>
    <n v="2449.3200000000002"/>
    <n v="18919.96"/>
  </r>
  <r>
    <s v="4135"/>
    <s v="Laura Martínez"/>
    <d v="1959-01-01T00:00:00"/>
    <n v="67"/>
    <x v="0"/>
    <x v="0"/>
    <d v="2023-10-20T00:00:00"/>
    <d v="2024-07-01T00:00:00"/>
    <n v="9"/>
    <x v="0"/>
    <n v="6"/>
    <n v="4"/>
    <n v="3482.08"/>
    <n v="14757.13"/>
    <n v="18088.099999999999"/>
  </r>
  <r>
    <s v="4136"/>
    <s v="Sofía Cruz"/>
    <d v="1979-01-01T00:00:00"/>
    <n v="47"/>
    <x v="2"/>
    <x v="6"/>
    <d v="2023-06-28T00:00:00"/>
    <d v="2023-02-18T00:00:00"/>
    <n v="10"/>
    <x v="0"/>
    <n v="5"/>
    <n v="6"/>
    <n v="2728.31"/>
    <n v="6411.44"/>
    <n v="16977.060000000001"/>
  </r>
  <r>
    <s v="4137"/>
    <s v="José Pérez"/>
    <d v="1971-01-01T00:00:00"/>
    <n v="55"/>
    <x v="1"/>
    <x v="4"/>
    <d v="2024-11-02T00:00:00"/>
    <d v="2025-01-15T00:00:00"/>
    <n v="10"/>
    <x v="1"/>
    <n v="4"/>
    <n v="3"/>
    <n v="12658.23"/>
    <n v="14673.44"/>
    <n v="160.93"/>
  </r>
  <r>
    <s v="4138"/>
    <s v="Miguel Ramírez"/>
    <d v="1963-01-01T00:00:00"/>
    <n v="63"/>
    <x v="0"/>
    <x v="3"/>
    <d v="2024-03-04T00:00:00"/>
    <d v="2023-08-08T00:00:00"/>
    <n v="1"/>
    <x v="1"/>
    <n v="5"/>
    <n v="5"/>
    <n v="7958.64"/>
    <n v="9508.01"/>
    <n v="10418.290000000001"/>
  </r>
  <r>
    <s v="4139"/>
    <s v="Ricardo Hernández"/>
    <d v="1968-01-01T00:00:00"/>
    <n v="58"/>
    <x v="0"/>
    <x v="0"/>
    <d v="2024-06-07T00:00:00"/>
    <d v="2024-09-14T00:00:00"/>
    <n v="29"/>
    <x v="1"/>
    <n v="10"/>
    <n v="8"/>
    <n v="4576.63"/>
    <n v="4861.6000000000004"/>
    <n v="435.9"/>
  </r>
  <r>
    <s v="4140"/>
    <s v="Sofía Ramírez"/>
    <d v="1936-12-31T00:00:00"/>
    <n v="89"/>
    <x v="0"/>
    <x v="4"/>
    <d v="2024-11-11T00:00:00"/>
    <d v="2025-02-05T00:00:00"/>
    <n v="28"/>
    <x v="1"/>
    <n v="14"/>
    <n v="5"/>
    <n v="15100.3"/>
    <n v="5616.66"/>
    <n v="13516.66"/>
  </r>
  <r>
    <s v="4141"/>
    <s v="Ricardo López"/>
    <d v="1964-12-31T00:00:00"/>
    <n v="61"/>
    <x v="0"/>
    <x v="1"/>
    <d v="2023-11-08T00:00:00"/>
    <d v="2023-07-08T00:00:00"/>
    <n v="8"/>
    <x v="0"/>
    <n v="1"/>
    <n v="4"/>
    <n v="23413.34"/>
    <n v="4358.32"/>
    <n v="3587.22"/>
  </r>
  <r>
    <s v="4142"/>
    <s v="Luisa Gómez"/>
    <d v="1951-01-01T00:00:00"/>
    <n v="75"/>
    <x v="1"/>
    <x v="4"/>
    <d v="2023-03-21T00:00:00"/>
    <d v="2023-02-01T00:00:00"/>
    <n v="34"/>
    <x v="0"/>
    <n v="4"/>
    <n v="0"/>
    <n v="21913.200000000001"/>
    <n v="5021.66"/>
    <n v="12753.55"/>
  </r>
  <r>
    <s v="4143"/>
    <s v="José Hernández"/>
    <d v="2016-01-01T00:00:00"/>
    <n v="10"/>
    <x v="1"/>
    <x v="6"/>
    <d v="2023-01-14T00:00:00"/>
    <d v="2023-09-17T00:00:00"/>
    <n v="1"/>
    <x v="1"/>
    <n v="8"/>
    <n v="7"/>
    <n v="7148.27"/>
    <n v="9698.0400000000009"/>
    <n v="1868.97"/>
  </r>
  <r>
    <s v="4144"/>
    <s v="María López"/>
    <d v="1937-12-31T00:00:00"/>
    <n v="88"/>
    <x v="1"/>
    <x v="5"/>
    <d v="2023-02-23T00:00:00"/>
    <d v="2024-11-06T00:00:00"/>
    <n v="31"/>
    <x v="0"/>
    <n v="12"/>
    <n v="4"/>
    <n v="7525.61"/>
    <n v="249.08"/>
    <n v="15107.98"/>
  </r>
  <r>
    <s v="4145"/>
    <s v="Pedro Sánchez"/>
    <d v="2008-12-31T00:00:00"/>
    <n v="17"/>
    <x v="1"/>
    <x v="4"/>
    <d v="2024-03-22T00:00:00"/>
    <d v="2023-12-11T00:00:00"/>
    <n v="13"/>
    <x v="0"/>
    <n v="14"/>
    <n v="4"/>
    <n v="21823.01"/>
    <n v="14514.47"/>
    <n v="14501.6"/>
  </r>
  <r>
    <s v="4146"/>
    <s v="Elena Sánchez"/>
    <d v="2008-01-01T00:00:00"/>
    <n v="18"/>
    <x v="0"/>
    <x v="5"/>
    <d v="2023-03-06T00:00:00"/>
    <d v="2023-11-05T00:00:00"/>
    <n v="28"/>
    <x v="0"/>
    <n v="14"/>
    <n v="2"/>
    <n v="16493.64"/>
    <n v="11527.92"/>
    <n v="7.34"/>
  </r>
  <r>
    <s v="4147"/>
    <s v="Pedro Pérez"/>
    <d v="1940-01-01T00:00:00"/>
    <n v="86"/>
    <x v="1"/>
    <x v="0"/>
    <d v="2024-01-07T00:00:00"/>
    <d v="2023-03-13T00:00:00"/>
    <n v="22"/>
    <x v="1"/>
    <n v="5"/>
    <n v="9"/>
    <n v="22143.7"/>
    <n v="14115.14"/>
    <n v="15820.27"/>
  </r>
  <r>
    <s v="4148"/>
    <s v="María López"/>
    <d v="1972-01-01T00:00:00"/>
    <n v="54"/>
    <x v="0"/>
    <x v="6"/>
    <d v="2024-05-17T00:00:00"/>
    <d v="2023-11-04T00:00:00"/>
    <n v="36"/>
    <x v="1"/>
    <n v="5"/>
    <n v="1"/>
    <n v="458.36"/>
    <n v="10763.15"/>
    <n v="3192.13"/>
  </r>
  <r>
    <s v="4149"/>
    <s v="Jorge Cruz"/>
    <d v="1944-12-31T00:00:00"/>
    <n v="81"/>
    <x v="0"/>
    <x v="4"/>
    <d v="2024-07-23T00:00:00"/>
    <d v="2024-07-22T00:00:00"/>
    <n v="5"/>
    <x v="0"/>
    <n v="11"/>
    <n v="0"/>
    <n v="2157.71"/>
    <n v="7215.5"/>
    <n v="2096.73"/>
  </r>
  <r>
    <s v="4150"/>
    <s v="Carlos Hernández"/>
    <d v="2000-12-31T00:00:00"/>
    <n v="25"/>
    <x v="2"/>
    <x v="3"/>
    <d v="2023-04-06T00:00:00"/>
    <d v="2023-04-10T00:00:00"/>
    <n v="5"/>
    <x v="0"/>
    <n v="11"/>
    <n v="8"/>
    <n v="23960.09"/>
    <n v="2845.91"/>
    <n v="9954.9699999999993"/>
  </r>
  <r>
    <s v="4151"/>
    <s v="Luisa Sánchez"/>
    <d v="2020-12-31T00:00:00"/>
    <n v="5"/>
    <x v="0"/>
    <x v="4"/>
    <d v="2024-06-16T00:00:00"/>
    <d v="2023-01-22T00:00:00"/>
    <n v="31"/>
    <x v="0"/>
    <n v="3"/>
    <n v="4"/>
    <n v="25459.119999999999"/>
    <n v="7744.82"/>
    <n v="11760.83"/>
  </r>
  <r>
    <s v="4152"/>
    <s v="Elena Ramírez"/>
    <d v="2023-01-01T00:00:00"/>
    <n v="3"/>
    <x v="1"/>
    <x v="3"/>
    <d v="2023-09-17T00:00:00"/>
    <d v="2025-06-16T00:00:00"/>
    <n v="12"/>
    <x v="0"/>
    <n v="1"/>
    <n v="9"/>
    <n v="9974.93"/>
    <n v="10675.43"/>
    <n v="1972.43"/>
  </r>
  <r>
    <s v="4153"/>
    <s v="Carlos Hernández"/>
    <d v="1997-12-31T00:00:00"/>
    <n v="28"/>
    <x v="0"/>
    <x v="6"/>
    <d v="2024-08-07T00:00:00"/>
    <d v="2024-09-12T00:00:00"/>
    <n v="2"/>
    <x v="0"/>
    <n v="0"/>
    <n v="3"/>
    <n v="0"/>
    <n v="12812.74"/>
    <n v="6025.45"/>
  </r>
  <r>
    <s v="4154"/>
    <s v="Luis Morales"/>
    <d v="1968-01-01T00:00:00"/>
    <n v="58"/>
    <x v="1"/>
    <x v="5"/>
    <d v="2023-09-05T00:00:00"/>
    <d v="2024-07-19T00:00:00"/>
    <n v="16"/>
    <x v="2"/>
    <n v="11"/>
    <n v="6"/>
    <n v="8697.8700000000008"/>
    <n v="4861.97"/>
    <n v="8096.68"/>
  </r>
  <r>
    <s v="4155"/>
    <s v="Ana Pérez"/>
    <d v="2009-12-31T00:00:00"/>
    <n v="16"/>
    <x v="0"/>
    <x v="6"/>
    <d v="2023-05-07T00:00:00"/>
    <d v="2023-01-07T00:00:00"/>
    <n v="7"/>
    <x v="2"/>
    <n v="5"/>
    <n v="3"/>
    <n v="26653.64"/>
    <n v="7657.21"/>
    <n v="18866.68"/>
  </r>
  <r>
    <s v="4156"/>
    <s v="Ricardo Ramírez"/>
    <d v="1984-01-01T00:00:00"/>
    <n v="42"/>
    <x v="0"/>
    <x v="5"/>
    <d v="2024-05-13T00:00:00"/>
    <d v="2023-08-20T00:00:00"/>
    <n v="6"/>
    <x v="1"/>
    <n v="2"/>
    <n v="1"/>
    <n v="12362.13"/>
    <n v="9299.7099999999991"/>
    <n v="4951.58"/>
  </r>
  <r>
    <s v="4157"/>
    <s v="Pedro Gómez"/>
    <d v="1947-01-01T00:00:00"/>
    <n v="79"/>
    <x v="0"/>
    <x v="5"/>
    <d v="2023-02-15T00:00:00"/>
    <d v="2023-03-24T00:00:00"/>
    <n v="26"/>
    <x v="0"/>
    <n v="0"/>
    <n v="8"/>
    <n v="16635.16"/>
    <n v="8828.89"/>
    <n v="5135.8100000000004"/>
  </r>
  <r>
    <s v="4158"/>
    <s v="Luisa Hernández"/>
    <d v="1960-12-31T00:00:00"/>
    <n v="65"/>
    <x v="1"/>
    <x v="1"/>
    <d v="2023-09-25T00:00:00"/>
    <d v="2023-08-06T00:00:00"/>
    <n v="37"/>
    <x v="2"/>
    <n v="11"/>
    <n v="7"/>
    <n v="19119.8"/>
    <n v="785.59"/>
    <n v="13153.84"/>
  </r>
  <r>
    <s v="4159"/>
    <s v="Luis López"/>
    <d v="1992-12-31T00:00:00"/>
    <n v="33"/>
    <x v="0"/>
    <x v="1"/>
    <d v="2024-10-01T00:00:00"/>
    <d v="2023-12-02T00:00:00"/>
    <n v="34"/>
    <x v="0"/>
    <n v="6"/>
    <n v="3"/>
    <n v="3559.8"/>
    <n v="7250.91"/>
    <n v="14515.77"/>
  </r>
  <r>
    <s v="4160"/>
    <s v="María Morales"/>
    <d v="2019-01-01T00:00:00"/>
    <n v="7"/>
    <x v="1"/>
    <x v="3"/>
    <d v="2024-06-25T00:00:00"/>
    <d v="2024-07-13T00:00:00"/>
    <n v="16"/>
    <x v="0"/>
    <n v="0"/>
    <n v="7"/>
    <n v="631.9"/>
    <n v="12135.47"/>
    <n v="117.53"/>
  </r>
  <r>
    <s v="4161"/>
    <s v="José Martínez"/>
    <d v="2013-12-31T00:00:00"/>
    <n v="12"/>
    <x v="1"/>
    <x v="0"/>
    <d v="2023-04-04T00:00:00"/>
    <d v="2025-05-14T00:00:00"/>
    <n v="10"/>
    <x v="1"/>
    <n v="4"/>
    <n v="8"/>
    <n v="12517.41"/>
    <n v="12034.56"/>
    <n v="2594.02"/>
  </r>
  <r>
    <s v="4162"/>
    <s v="María Morales"/>
    <d v="2019-01-01T00:00:00"/>
    <n v="7"/>
    <x v="0"/>
    <x v="2"/>
    <d v="2023-11-12T00:00:00"/>
    <d v="2025-05-24T00:00:00"/>
    <n v="37"/>
    <x v="1"/>
    <n v="2"/>
    <n v="1"/>
    <n v="4390.87"/>
    <n v="7607.13"/>
    <n v="7089.59"/>
  </r>
  <r>
    <s v="4163"/>
    <s v="Luisa Hernández"/>
    <d v="1932-12-31T00:00:00"/>
    <n v="93"/>
    <x v="1"/>
    <x v="6"/>
    <d v="2024-09-03T00:00:00"/>
    <d v="2025-01-23T00:00:00"/>
    <n v="13"/>
    <x v="2"/>
    <n v="7"/>
    <n v="3"/>
    <n v="16242.48"/>
    <n v="14285.35"/>
    <n v="12603.42"/>
  </r>
  <r>
    <s v="4164"/>
    <s v="Jorge Cruz"/>
    <d v="1932-12-31T00:00:00"/>
    <n v="93"/>
    <x v="2"/>
    <x v="5"/>
    <d v="2023-03-12T00:00:00"/>
    <d v="2024-11-21T00:00:00"/>
    <n v="27"/>
    <x v="0"/>
    <n v="3"/>
    <n v="5"/>
    <n v="13336.08"/>
    <n v="12393.45"/>
    <n v="2595.79"/>
  </r>
  <r>
    <s v="4165"/>
    <s v="Carmen Morales"/>
    <d v="1961-12-31T00:00:00"/>
    <n v="64"/>
    <x v="1"/>
    <x v="6"/>
    <d v="2024-08-15T00:00:00"/>
    <d v="2024-08-17T00:00:00"/>
    <n v="2"/>
    <x v="1"/>
    <n v="14"/>
    <n v="6"/>
    <n v="3223.98"/>
    <n v="11059.9"/>
    <n v="7074.68"/>
  </r>
  <r>
    <s v="4166"/>
    <s v="Luis Cruz"/>
    <d v="1984-01-01T00:00:00"/>
    <n v="42"/>
    <x v="0"/>
    <x v="0"/>
    <d v="2024-03-24T00:00:00"/>
    <d v="2025-03-10T00:00:00"/>
    <n v="30"/>
    <x v="1"/>
    <n v="2"/>
    <n v="4"/>
    <n v="19806.439999999999"/>
    <n v="7734.01"/>
    <n v="1512.07"/>
  </r>
  <r>
    <s v="4167"/>
    <s v="Sofía Pérez"/>
    <d v="1988-01-01T00:00:00"/>
    <n v="38"/>
    <x v="1"/>
    <x v="0"/>
    <d v="2024-01-02T00:00:00"/>
    <d v="2024-12-05T00:00:00"/>
    <n v="16"/>
    <x v="0"/>
    <n v="6"/>
    <n v="9"/>
    <n v="125.09"/>
    <n v="8860.15"/>
    <n v="11379.39"/>
  </r>
  <r>
    <s v="4168"/>
    <s v="Luis Cruz"/>
    <d v="1977-01-01T00:00:00"/>
    <n v="80"/>
    <x v="0"/>
    <x v="2"/>
    <d v="2024-09-11T00:00:00"/>
    <d v="2024-10-17T00:00:00"/>
    <n v="16"/>
    <x v="2"/>
    <n v="1"/>
    <n v="9"/>
    <n v="3354.69"/>
    <n v="3348.53"/>
    <n v="8469.94"/>
  </r>
  <r>
    <s v="4169"/>
    <s v="Luisa Hernández"/>
    <d v="1968-01-01T00:00:00"/>
    <n v="58"/>
    <x v="0"/>
    <x v="4"/>
    <d v="2024-09-05T00:00:00"/>
    <d v="2025-04-06T00:00:00"/>
    <n v="14"/>
    <x v="1"/>
    <n v="12"/>
    <n v="6"/>
    <n v="20855.009999999998"/>
    <n v="7986.1"/>
    <n v="15740.43"/>
  </r>
  <r>
    <s v="4170"/>
    <s v="José Ramírez"/>
    <d v="1943-01-01T00:00:00"/>
    <n v="83"/>
    <x v="0"/>
    <x v="2"/>
    <d v="2024-02-14T00:00:00"/>
    <d v="2025-03-02T00:00:00"/>
    <n v="21"/>
    <x v="2"/>
    <n v="11"/>
    <n v="3"/>
    <n v="15599.59"/>
    <n v="7890.33"/>
    <n v="11435.16"/>
  </r>
  <r>
    <s v="4171"/>
    <s v="Juan López"/>
    <d v="1939-01-01T00:00:00"/>
    <n v="7"/>
    <x v="1"/>
    <x v="5"/>
    <d v="2023-04-01T00:00:00"/>
    <d v="2024-07-07T00:00:00"/>
    <n v="25"/>
    <x v="0"/>
    <n v="7"/>
    <n v="7"/>
    <n v="8098.96"/>
    <n v="3041.44"/>
    <n v="13148.06"/>
  </r>
  <r>
    <s v="4172"/>
    <s v="Elena Pérez"/>
    <d v="1940-12-31T00:00:00"/>
    <n v="85"/>
    <x v="0"/>
    <x v="1"/>
    <d v="2024-05-23T00:00:00"/>
    <d v="2024-04-04T00:00:00"/>
    <n v="39"/>
    <x v="2"/>
    <n v="6"/>
    <n v="2"/>
    <n v="4997.51"/>
    <n v="14267.22"/>
    <n v="13390.28"/>
  </r>
  <r>
    <s v="4173"/>
    <s v="José López"/>
    <d v="1933-12-31T00:00:00"/>
    <n v="92"/>
    <x v="1"/>
    <x v="4"/>
    <d v="2024-06-11T00:00:00"/>
    <d v="2025-02-22T00:00:00"/>
    <n v="34"/>
    <x v="1"/>
    <n v="12"/>
    <n v="2"/>
    <n v="19089.650000000001"/>
    <n v="3671.28"/>
    <n v="11751.13"/>
  </r>
  <r>
    <s v="4174"/>
    <s v="Juan Cruz"/>
    <d v="1940-12-31T00:00:00"/>
    <n v="85"/>
    <x v="1"/>
    <x v="2"/>
    <d v="2023-04-20T00:00:00"/>
    <d v="2023-03-29T00:00:00"/>
    <n v="19"/>
    <x v="0"/>
    <n v="10"/>
    <n v="4"/>
    <n v="5770.7"/>
    <n v="1563.34"/>
    <n v="223.45"/>
  </r>
  <r>
    <s v="4175"/>
    <s v="Jorge López"/>
    <d v="1983-01-01T00:00:00"/>
    <n v="43"/>
    <x v="1"/>
    <x v="1"/>
    <d v="2024-11-02T00:00:00"/>
    <d v="2024-05-30T00:00:00"/>
    <n v="36"/>
    <x v="2"/>
    <n v="12"/>
    <n v="5"/>
    <n v="29530.639999999999"/>
    <n v="7005.14"/>
    <n v="16624.39"/>
  </r>
  <r>
    <s v="4176"/>
    <s v="Jorge Hernández"/>
    <d v="2017-12-31T00:00:00"/>
    <n v="8"/>
    <x v="0"/>
    <x v="4"/>
    <d v="2023-03-30T00:00:00"/>
    <d v="2024-12-24T00:00:00"/>
    <n v="13"/>
    <x v="2"/>
    <n v="10"/>
    <n v="2"/>
    <n v="26013.99"/>
    <n v="10291.1"/>
    <n v="18325.66"/>
  </r>
  <r>
    <s v="4177"/>
    <s v="Elena Ramírez"/>
    <d v="1971-01-01T00:00:00"/>
    <n v="36"/>
    <x v="1"/>
    <x v="1"/>
    <d v="2024-08-29T00:00:00"/>
    <d v="2024-05-28T00:00:00"/>
    <n v="32"/>
    <x v="0"/>
    <n v="6"/>
    <n v="9"/>
    <n v="3530.82"/>
    <n v="2927.28"/>
    <n v="10638.23"/>
  </r>
  <r>
    <s v="4178"/>
    <s v="Pedro Cruz"/>
    <d v="1952-12-31T00:00:00"/>
    <n v="73"/>
    <x v="0"/>
    <x v="5"/>
    <d v="2023-09-29T00:00:00"/>
    <d v="2024-08-10T00:00:00"/>
    <n v="24"/>
    <x v="0"/>
    <n v="8"/>
    <n v="1"/>
    <n v="25704.15"/>
    <n v="2743.37"/>
    <n v="2154.38"/>
  </r>
  <r>
    <s v="4179"/>
    <s v="Sofía Sánchez"/>
    <d v="1991-01-01T00:00:00"/>
    <n v="35"/>
    <x v="0"/>
    <x v="3"/>
    <d v="2023-09-04T00:00:00"/>
    <d v="2024-04-23T00:00:00"/>
    <n v="9"/>
    <x v="2"/>
    <n v="3"/>
    <n v="4"/>
    <n v="10023.799999999999"/>
    <n v="3922.05"/>
    <n v="13059.5"/>
  </r>
  <r>
    <s v="4180"/>
    <s v="Miguel Rodríguez"/>
    <d v="1935-01-01T00:00:00"/>
    <n v="91"/>
    <x v="1"/>
    <x v="1"/>
    <d v="2023-12-27T00:00:00"/>
    <d v="2024-05-13T00:00:00"/>
    <n v="25"/>
    <x v="0"/>
    <n v="1"/>
    <n v="9"/>
    <n v="14444.45"/>
    <n v="4540.76"/>
    <n v="7210.98"/>
  </r>
  <r>
    <s v="4181"/>
    <s v="Jorge Gómez"/>
    <d v="1999-01-01T00:00:00"/>
    <n v="27"/>
    <x v="0"/>
    <x v="5"/>
    <d v="2024-01-13T00:00:00"/>
    <d v="2025-01-13T00:00:00"/>
    <n v="2"/>
    <x v="1"/>
    <n v="9"/>
    <n v="5"/>
    <n v="3856.14"/>
    <n v="3693"/>
    <n v="1372.93"/>
  </r>
  <r>
    <s v="4182"/>
    <s v="Luis Pérez"/>
    <d v="1984-12-31T00:00:00"/>
    <n v="41"/>
    <x v="1"/>
    <x v="2"/>
    <d v="2023-07-25T00:00:00"/>
    <d v="2024-03-25T00:00:00"/>
    <n v="36"/>
    <x v="0"/>
    <n v="8"/>
    <n v="2"/>
    <n v="3116.45"/>
    <n v="7060.48"/>
    <n v="17069.560000000001"/>
  </r>
  <r>
    <s v="4183"/>
    <s v="Carlos Pérez"/>
    <d v="1984-01-01T00:00:00"/>
    <n v="42"/>
    <x v="0"/>
    <x v="6"/>
    <d v="2023-12-11T00:00:00"/>
    <d v="2024-08-11T00:00:00"/>
    <n v="15"/>
    <x v="1"/>
    <n v="11"/>
    <n v="6"/>
    <n v="25897.54"/>
    <n v="273.95"/>
    <n v="14205.44"/>
  </r>
  <r>
    <s v="4184"/>
    <s v="Elena Rodríguez"/>
    <d v="1941-12-31T00:00:00"/>
    <n v="84"/>
    <x v="1"/>
    <x v="2"/>
    <d v="2024-03-30T00:00:00"/>
    <d v="2023-09-18T00:00:00"/>
    <n v="20"/>
    <x v="0"/>
    <n v="7"/>
    <n v="2"/>
    <n v="18712.02"/>
    <n v="1312.75"/>
    <n v="16076.98"/>
  </r>
  <r>
    <s v="4185"/>
    <s v="Elena López"/>
    <d v="1939-01-01T00:00:00"/>
    <n v="87"/>
    <x v="0"/>
    <x v="0"/>
    <d v="2023-03-08T00:00:00"/>
    <d v="2024-06-21T00:00:00"/>
    <n v="19"/>
    <x v="0"/>
    <n v="0"/>
    <n v="1"/>
    <n v="0"/>
    <n v="10940.47"/>
    <n v="15902.15"/>
  </r>
  <r>
    <s v="4186"/>
    <s v="Luisa Martínez"/>
    <d v="1984-12-31T00:00:00"/>
    <n v="41"/>
    <x v="1"/>
    <x v="2"/>
    <d v="2024-07-11T00:00:00"/>
    <d v="2023-07-20T00:00:00"/>
    <n v="1"/>
    <x v="0"/>
    <n v="1"/>
    <n v="9"/>
    <n v="603"/>
    <n v="6185.1"/>
    <n v="7089.33"/>
  </r>
  <r>
    <s v="4187"/>
    <s v="Luis Pérez"/>
    <d v="1960-12-31T00:00:00"/>
    <n v="65"/>
    <x v="1"/>
    <x v="3"/>
    <d v="2023-02-12T00:00:00"/>
    <d v="2024-04-08T00:00:00"/>
    <n v="8"/>
    <x v="1"/>
    <n v="4"/>
    <n v="3"/>
    <n v="27619.84"/>
    <n v="5404.76"/>
    <n v="9592.48"/>
  </r>
  <r>
    <s v="4188"/>
    <s v="Pedro López"/>
    <d v="1972-01-01T00:00:00"/>
    <n v="54"/>
    <x v="1"/>
    <x v="5"/>
    <d v="2023-08-17T00:00:00"/>
    <d v="2023-04-05T00:00:00"/>
    <n v="15"/>
    <x v="2"/>
    <n v="1"/>
    <n v="2"/>
    <n v="10970.69"/>
    <n v="156.66999999999999"/>
    <n v="4596.45"/>
  </r>
  <r>
    <s v="4189"/>
    <s v="Miguel Martínez"/>
    <d v="1955-01-01T00:00:00"/>
    <n v="71"/>
    <x v="1"/>
    <x v="1"/>
    <d v="2024-03-19T00:00:00"/>
    <d v="2023-12-19T00:00:00"/>
    <n v="4"/>
    <x v="1"/>
    <n v="14"/>
    <n v="6"/>
    <n v="12207.8"/>
    <n v="4473.2700000000004"/>
    <n v="15073.42"/>
  </r>
  <r>
    <s v="4190"/>
    <s v="María Pérez"/>
    <d v="1979-01-01T00:00:00"/>
    <n v="47"/>
    <x v="1"/>
    <x v="0"/>
    <d v="2023-08-22T00:00:00"/>
    <d v="2023-04-19T00:00:00"/>
    <n v="18"/>
    <x v="0"/>
    <n v="8"/>
    <n v="7"/>
    <n v="8339.19"/>
    <n v="12317.8"/>
    <n v="10431.629999999999"/>
  </r>
  <r>
    <s v="4191"/>
    <s v="Sofía Gómez"/>
    <d v="1936-01-01T00:00:00"/>
    <n v="90"/>
    <x v="1"/>
    <x v="5"/>
    <d v="2023-07-18T00:00:00"/>
    <d v="2023-12-22T00:00:00"/>
    <n v="32"/>
    <x v="0"/>
    <n v="8"/>
    <n v="2"/>
    <n v="26684.35"/>
    <n v="5105.51"/>
    <n v="12965.11"/>
  </r>
  <r>
    <s v="4192"/>
    <s v="José Pérez"/>
    <d v="2004-12-31T00:00:00"/>
    <n v="21"/>
    <x v="0"/>
    <x v="5"/>
    <d v="2024-05-11T00:00:00"/>
    <d v="2024-04-14T00:00:00"/>
    <n v="34"/>
    <x v="1"/>
    <n v="11"/>
    <n v="5"/>
    <n v="10009.84"/>
    <n v="14455.4"/>
    <n v="7068.11"/>
  </r>
  <r>
    <s v="4193"/>
    <s v="Juan Cruz"/>
    <d v="2000-01-01T00:00:00"/>
    <n v="26"/>
    <x v="0"/>
    <x v="1"/>
    <d v="2023-02-01T00:00:00"/>
    <d v="2023-04-06T00:00:00"/>
    <n v="27"/>
    <x v="0"/>
    <n v="8"/>
    <n v="0"/>
    <n v="4814.6000000000004"/>
    <n v="5849.38"/>
    <n v="13551.57"/>
  </r>
  <r>
    <s v="4194"/>
    <s v="Ana Cruz"/>
    <d v="1933-12-31T00:00:00"/>
    <n v="92"/>
    <x v="0"/>
    <x v="4"/>
    <d v="2023-09-21T00:00:00"/>
    <d v="2025-05-18T00:00:00"/>
    <n v="14"/>
    <x v="0"/>
    <n v="13"/>
    <n v="4"/>
    <n v="14766.99"/>
    <n v="6961.93"/>
    <n v="13391.21"/>
  </r>
  <r>
    <s v="4195"/>
    <s v="Carmen Martínez"/>
    <d v="1960-01-01T00:00:00"/>
    <n v="66"/>
    <x v="0"/>
    <x v="2"/>
    <d v="2023-04-23T00:00:00"/>
    <d v="2023-04-02T00:00:00"/>
    <n v="30"/>
    <x v="0"/>
    <n v="5"/>
    <n v="1"/>
    <n v="23335.53"/>
    <n v="12028.64"/>
    <n v="15380.19"/>
  </r>
  <r>
    <s v="4196"/>
    <s v="Luisa Pérez"/>
    <d v="2013-12-31T00:00:00"/>
    <n v="12"/>
    <x v="0"/>
    <x v="6"/>
    <d v="2024-04-03T00:00:00"/>
    <d v="2023-02-14T00:00:00"/>
    <n v="13"/>
    <x v="0"/>
    <n v="12"/>
    <n v="0"/>
    <n v="10825.82"/>
    <n v="14745.36"/>
    <n v="3024.29"/>
  </r>
  <r>
    <s v="4197"/>
    <s v="José Sánchez"/>
    <d v="1981-12-31T00:00:00"/>
    <n v="44"/>
    <x v="0"/>
    <x v="4"/>
    <d v="2023-10-03T00:00:00"/>
    <d v="2024-04-01T00:00:00"/>
    <n v="12"/>
    <x v="2"/>
    <n v="5"/>
    <n v="6"/>
    <n v="19387.41"/>
    <n v="5573.95"/>
    <n v="12435.73"/>
  </r>
  <r>
    <s v="4198"/>
    <s v="Ricardo Pérez"/>
    <d v="2016-12-31T00:00:00"/>
    <n v="9"/>
    <x v="0"/>
    <x v="0"/>
    <d v="2023-05-26T00:00:00"/>
    <d v="2024-01-20T00:00:00"/>
    <n v="10"/>
    <x v="2"/>
    <n v="11"/>
    <n v="9"/>
    <n v="8778.84"/>
    <n v="1799.04"/>
    <n v="17577.47"/>
  </r>
  <r>
    <s v="4199"/>
    <s v="Sofía Rodríguez"/>
    <d v="2017-12-31T00:00:00"/>
    <n v="8"/>
    <x v="1"/>
    <x v="1"/>
    <d v="2023-12-23T00:00:00"/>
    <d v="2023-01-24T00:00:00"/>
    <n v="36"/>
    <x v="2"/>
    <n v="1"/>
    <n v="3"/>
    <n v="21452.75"/>
    <n v="7845.86"/>
    <n v="1792.64"/>
  </r>
  <r>
    <s v="4200"/>
    <s v="Juan Pérez"/>
    <d v="1972-12-31T00:00:00"/>
    <n v="53"/>
    <x v="0"/>
    <x v="3"/>
    <d v="2023-01-06T00:00:00"/>
    <d v="2024-12-03T00:00:00"/>
    <n v="0"/>
    <x v="0"/>
    <n v="8"/>
    <n v="4"/>
    <n v="19896.080000000002"/>
    <n v="8876.41"/>
    <n v="19211.009999999998"/>
  </r>
  <r>
    <s v="4201"/>
    <s v="Elena Hernández"/>
    <d v="2000-01-01T00:00:00"/>
    <n v="26"/>
    <x v="1"/>
    <x v="3"/>
    <d v="2023-12-06T00:00:00"/>
    <d v="2023-01-24T00:00:00"/>
    <n v="21"/>
    <x v="2"/>
    <n v="11"/>
    <n v="1"/>
    <n v="20263.02"/>
    <n v="14391.85"/>
    <n v="4076.44"/>
  </r>
  <r>
    <s v="4202"/>
    <s v="Carmen Hernández"/>
    <d v="1992-12-31T00:00:00"/>
    <n v="33"/>
    <x v="0"/>
    <x v="6"/>
    <d v="2024-05-08T00:00:00"/>
    <d v="2023-08-23T00:00:00"/>
    <n v="20"/>
    <x v="0"/>
    <n v="3"/>
    <n v="7"/>
    <n v="19200.18"/>
    <n v="6208.84"/>
    <n v="18724.580000000002"/>
  </r>
  <r>
    <s v="4203"/>
    <s v="Juan Rodríguez"/>
    <d v="2025-12-31T00:00:00"/>
    <n v="0"/>
    <x v="0"/>
    <x v="6"/>
    <d v="2023-04-18T00:00:00"/>
    <d v="2024-11-29T00:00:00"/>
    <n v="2"/>
    <x v="0"/>
    <n v="1"/>
    <n v="9"/>
    <n v="4267.53"/>
    <n v="1362.16"/>
    <n v="17347.2"/>
  </r>
  <r>
    <s v="4204"/>
    <s v="Luisa Morales"/>
    <d v="1995-01-01T00:00:00"/>
    <n v="31"/>
    <x v="1"/>
    <x v="2"/>
    <d v="2023-03-12T00:00:00"/>
    <d v="2023-11-08T00:00:00"/>
    <n v="29"/>
    <x v="1"/>
    <n v="11"/>
    <n v="2"/>
    <n v="26583.73"/>
    <n v="9764.02"/>
    <n v="15380.78"/>
  </r>
  <r>
    <s v="4205"/>
    <s v="Carlos Rodríguez"/>
    <d v="1937-12-31T00:00:00"/>
    <n v="88"/>
    <x v="0"/>
    <x v="3"/>
    <d v="2023-12-06T00:00:00"/>
    <d v="2024-02-22T00:00:00"/>
    <n v="30"/>
    <x v="2"/>
    <n v="11"/>
    <n v="6"/>
    <n v="17365.46"/>
    <n v="316.68"/>
    <n v="4109.63"/>
  </r>
  <r>
    <s v="4206"/>
    <s v="Carlos Ramírez"/>
    <d v="1933-12-31T00:00:00"/>
    <n v="92"/>
    <x v="1"/>
    <x v="0"/>
    <d v="2024-11-04T00:00:00"/>
    <d v="2023-11-30T00:00:00"/>
    <n v="27"/>
    <x v="1"/>
    <n v="9"/>
    <n v="0"/>
    <n v="11162.81"/>
    <n v="6381.27"/>
    <n v="4250.3999999999996"/>
  </r>
  <r>
    <s v="4207"/>
    <s v="Ana López"/>
    <d v="1956-01-01T00:00:00"/>
    <n v="70"/>
    <x v="1"/>
    <x v="1"/>
    <d v="2023-04-10T00:00:00"/>
    <d v="2024-07-29T00:00:00"/>
    <n v="1"/>
    <x v="1"/>
    <n v="10"/>
    <n v="9"/>
    <n v="4756.2299999999996"/>
    <n v="6144.7"/>
    <n v="5112.03"/>
  </r>
  <r>
    <s v="4208"/>
    <s v="Carlos Morales"/>
    <d v="1960-01-01T00:00:00"/>
    <n v="66"/>
    <x v="1"/>
    <x v="6"/>
    <d v="2023-11-23T00:00:00"/>
    <d v="2023-04-14T00:00:00"/>
    <n v="15"/>
    <x v="2"/>
    <n v="12"/>
    <n v="0"/>
    <n v="23399.22"/>
    <n v="3822.29"/>
    <n v="16190.17"/>
  </r>
  <r>
    <s v="4209"/>
    <s v="Carmen Cruz"/>
    <d v="1943-01-01T00:00:00"/>
    <n v="83"/>
    <x v="0"/>
    <x v="6"/>
    <d v="2023-02-02T00:00:00"/>
    <d v="2024-05-15T00:00:00"/>
    <n v="27"/>
    <x v="0"/>
    <n v="0"/>
    <n v="6"/>
    <n v="15025.97"/>
    <n v="14464.64"/>
    <n v="3672.55"/>
  </r>
  <r>
    <s v="4210"/>
    <s v="María López"/>
    <d v="2007-01-01T00:00:00"/>
    <n v="19"/>
    <x v="0"/>
    <x v="6"/>
    <d v="2023-05-23T00:00:00"/>
    <d v="2025-04-08T00:00:00"/>
    <n v="15"/>
    <x v="0"/>
    <n v="14"/>
    <n v="0"/>
    <n v="3992.44"/>
    <n v="6051.13"/>
    <n v="11574.9"/>
  </r>
  <r>
    <s v="4211"/>
    <s v="Pedro Hernández"/>
    <d v="1932-12-31T00:00:00"/>
    <n v="93"/>
    <x v="0"/>
    <x v="1"/>
    <d v="2023-09-01T00:00:00"/>
    <d v="2024-04-28T00:00:00"/>
    <n v="2"/>
    <x v="0"/>
    <n v="9"/>
    <n v="8"/>
    <n v="27603.34"/>
    <n v="13420.61"/>
    <n v="15528.33"/>
  </r>
  <r>
    <s v="4212"/>
    <s v="Ricardo Ramírez"/>
    <d v="1992-01-01T00:00:00"/>
    <n v="34"/>
    <x v="1"/>
    <x v="0"/>
    <d v="2024-12-26T00:00:00"/>
    <d v="2023-07-09T00:00:00"/>
    <n v="2"/>
    <x v="2"/>
    <n v="13"/>
    <n v="8"/>
    <n v="2735.51"/>
    <n v="7726.66"/>
    <n v="9158.66"/>
  </r>
  <r>
    <s v="4213"/>
    <s v="Elena Ramírez"/>
    <d v="1936-01-01T00:00:00"/>
    <n v="90"/>
    <x v="0"/>
    <x v="3"/>
    <d v="2024-09-23T00:00:00"/>
    <d v="2025-04-28T00:00:00"/>
    <n v="5"/>
    <x v="0"/>
    <n v="3"/>
    <n v="7"/>
    <n v="15488.75"/>
    <n v="12308.04"/>
    <n v="16799"/>
  </r>
  <r>
    <s v="4214"/>
    <s v="María López"/>
    <d v="1936-12-31T00:00:00"/>
    <n v="89"/>
    <x v="0"/>
    <x v="4"/>
    <d v="2024-11-10T00:00:00"/>
    <d v="2024-04-05T00:00:00"/>
    <n v="6"/>
    <x v="1"/>
    <n v="3"/>
    <n v="7"/>
    <n v="18122.73"/>
    <n v="6770.93"/>
    <n v="11198.27"/>
  </r>
  <r>
    <s v="4215"/>
    <s v="Miguel Morales"/>
    <d v="1948-12-31T00:00:00"/>
    <n v="77"/>
    <x v="1"/>
    <x v="0"/>
    <d v="2023-08-05T00:00:00"/>
    <d v="2023-07-09T00:00:00"/>
    <n v="29"/>
    <x v="0"/>
    <n v="0"/>
    <n v="3"/>
    <n v="29969.03"/>
    <n v="14873.06"/>
    <n v="11862.02"/>
  </r>
  <r>
    <s v="4216"/>
    <s v="José Rodríguez"/>
    <d v="2009-12-31T00:00:00"/>
    <n v="16"/>
    <x v="0"/>
    <x v="1"/>
    <d v="2024-03-09T00:00:00"/>
    <d v="2023-12-18T00:00:00"/>
    <n v="11"/>
    <x v="2"/>
    <n v="4"/>
    <n v="3"/>
    <n v="3797.93"/>
    <n v="9600.44"/>
    <n v="13503.34"/>
  </r>
  <r>
    <s v="4217"/>
    <s v="Sofía López"/>
    <d v="2008-12-31T00:00:00"/>
    <n v="17"/>
    <x v="1"/>
    <x v="0"/>
    <d v="2024-12-29T00:00:00"/>
    <d v="2024-08-04T00:00:00"/>
    <n v="10"/>
    <x v="0"/>
    <n v="5"/>
    <n v="4"/>
    <n v="18213.59"/>
    <n v="2339.21"/>
    <n v="16904.18"/>
  </r>
  <r>
    <s v="4218"/>
    <s v="Miguel Gómez"/>
    <d v="1981-12-31T00:00:00"/>
    <n v="44"/>
    <x v="1"/>
    <x v="2"/>
    <d v="2023-02-23T00:00:00"/>
    <d v="2023-04-25T00:00:00"/>
    <n v="15"/>
    <x v="1"/>
    <n v="1"/>
    <n v="8"/>
    <n v="14039.83"/>
    <n v="96.46"/>
    <n v="6.86"/>
  </r>
  <r>
    <s v="4219"/>
    <s v="José Pérez"/>
    <d v="1933-12-31T00:00:00"/>
    <n v="92"/>
    <x v="1"/>
    <x v="4"/>
    <d v="2024-12-20T00:00:00"/>
    <d v="2023-04-15T00:00:00"/>
    <n v="1"/>
    <x v="0"/>
    <n v="1"/>
    <n v="2"/>
    <n v="7341.99"/>
    <n v="13933.51"/>
    <n v="7790.36"/>
  </r>
  <r>
    <s v="4220"/>
    <s v="José Morales"/>
    <d v="1943-01-01T00:00:00"/>
    <n v="83"/>
    <x v="0"/>
    <x v="1"/>
    <d v="2024-08-14T00:00:00"/>
    <d v="2024-09-12T00:00:00"/>
    <n v="19"/>
    <x v="1"/>
    <n v="2"/>
    <n v="3"/>
    <n v="28237.41"/>
    <n v="10302.01"/>
    <n v="19256.13"/>
  </r>
  <r>
    <s v="4221"/>
    <s v="Juan Sánchez"/>
    <d v="1973-12-31T00:00:00"/>
    <n v="52"/>
    <x v="1"/>
    <x v="4"/>
    <d v="2023-05-31T00:00:00"/>
    <d v="2024-05-23T00:00:00"/>
    <n v="17"/>
    <x v="0"/>
    <n v="0"/>
    <n v="9"/>
    <n v="23620.73"/>
    <n v="1594.36"/>
    <n v="1883.3"/>
  </r>
  <r>
    <s v="4222"/>
    <s v="Luis Hernández"/>
    <d v="1936-01-01T00:00:00"/>
    <n v="90"/>
    <x v="1"/>
    <x v="4"/>
    <d v="2023-02-24T00:00:00"/>
    <d v="2023-12-12T00:00:00"/>
    <n v="12"/>
    <x v="0"/>
    <n v="8"/>
    <n v="4"/>
    <n v="23200.26"/>
    <n v="11152.3"/>
    <n v="4592.32"/>
  </r>
  <r>
    <s v="4223"/>
    <s v="María Gómez"/>
    <d v="1944-12-31T00:00:00"/>
    <n v="81"/>
    <x v="1"/>
    <x v="6"/>
    <d v="2024-05-31T00:00:00"/>
    <d v="2023-01-22T00:00:00"/>
    <n v="4"/>
    <x v="0"/>
    <n v="9"/>
    <n v="6"/>
    <n v="26925.17"/>
    <n v="3407.23"/>
    <n v="11375.71"/>
  </r>
  <r>
    <s v="4224"/>
    <s v="Jorge Cruz"/>
    <d v="1959-01-01T00:00:00"/>
    <n v="67"/>
    <x v="1"/>
    <x v="3"/>
    <d v="2024-03-23T00:00:00"/>
    <d v="2024-01-23T00:00:00"/>
    <n v="10"/>
    <x v="0"/>
    <n v="3"/>
    <n v="4"/>
    <n v="21613.84"/>
    <n v="12138.46"/>
    <n v="17143.38"/>
  </r>
  <r>
    <s v="4225"/>
    <s v="Carlos Hernández"/>
    <d v="1961-12-31T00:00:00"/>
    <n v="64"/>
    <x v="1"/>
    <x v="4"/>
    <d v="2023-02-04T00:00:00"/>
    <d v="2025-02-17T00:00:00"/>
    <n v="31"/>
    <x v="1"/>
    <n v="11"/>
    <n v="8"/>
    <n v="14955.55"/>
    <n v="9148.84"/>
    <n v="1853.79"/>
  </r>
  <r>
    <s v="4226"/>
    <s v="Miguel Martínez"/>
    <d v="2025-12-31T00:00:00"/>
    <n v="0"/>
    <x v="1"/>
    <x v="2"/>
    <d v="2023-04-29T00:00:00"/>
    <d v="2025-05-05T00:00:00"/>
    <n v="38"/>
    <x v="1"/>
    <n v="14"/>
    <n v="5"/>
    <n v="11441.86"/>
    <n v="1854.9"/>
    <n v="18.989999999999998"/>
  </r>
  <r>
    <s v="4227"/>
    <s v="Ricardo López"/>
    <d v="1968-12-31T00:00:00"/>
    <n v="57"/>
    <x v="0"/>
    <x v="2"/>
    <d v="2023-07-16T00:00:00"/>
    <d v="2023-07-29T00:00:00"/>
    <n v="27"/>
    <x v="1"/>
    <n v="14"/>
    <n v="2"/>
    <n v="20976.07"/>
    <n v="1064.24"/>
    <n v="13709.14"/>
  </r>
  <r>
    <s v="4228"/>
    <s v="Miguel Gómez"/>
    <d v="2000-12-31T00:00:00"/>
    <n v="25"/>
    <x v="1"/>
    <x v="1"/>
    <d v="2024-07-19T00:00:00"/>
    <d v="2024-11-13T00:00:00"/>
    <n v="2"/>
    <x v="2"/>
    <n v="2"/>
    <n v="5"/>
    <n v="17885.759999999998"/>
    <n v="6991.77"/>
    <n v="11905.77"/>
  </r>
  <r>
    <s v="4229"/>
    <s v="Pedro Morales"/>
    <d v="2007-01-01T00:00:00"/>
    <n v="19"/>
    <x v="0"/>
    <x v="5"/>
    <d v="2024-05-28T00:00:00"/>
    <d v="2024-04-28T00:00:00"/>
    <n v="2"/>
    <x v="1"/>
    <n v="9"/>
    <n v="5"/>
    <n v="16057.73"/>
    <n v="14053.4"/>
    <n v="5348.32"/>
  </r>
  <r>
    <s v="4230"/>
    <s v="Luisa Gómez"/>
    <d v="1940-01-01T00:00:00"/>
    <n v="86"/>
    <x v="0"/>
    <x v="6"/>
    <d v="2024-08-16T00:00:00"/>
    <d v="2024-04-18T00:00:00"/>
    <n v="28"/>
    <x v="2"/>
    <n v="0"/>
    <n v="9"/>
    <n v="17466.240000000002"/>
    <n v="8469.49"/>
    <n v="19148.060000000001"/>
  </r>
  <r>
    <s v="4231"/>
    <s v="José Sánchez"/>
    <d v="2016-12-31T00:00:00"/>
    <n v="9"/>
    <x v="1"/>
    <x v="3"/>
    <d v="2024-02-26T00:00:00"/>
    <d v="2024-12-07T00:00:00"/>
    <n v="17"/>
    <x v="1"/>
    <n v="13"/>
    <n v="0"/>
    <n v="19488.099999999999"/>
    <n v="11386.63"/>
    <n v="11138.91"/>
  </r>
  <r>
    <s v="4232"/>
    <s v="Luisa Pérez"/>
    <d v="1968-01-01T00:00:00"/>
    <n v="58"/>
    <x v="1"/>
    <x v="3"/>
    <d v="2024-05-31T00:00:00"/>
    <d v="2025-05-09T00:00:00"/>
    <n v="16"/>
    <x v="2"/>
    <n v="9"/>
    <n v="6"/>
    <n v="29045.48"/>
    <n v="7042.1"/>
    <n v="13234.61"/>
  </r>
  <r>
    <s v="4233"/>
    <s v="Luis Gómez"/>
    <d v="1952-01-01T00:00:00"/>
    <n v="74"/>
    <x v="0"/>
    <x v="3"/>
    <d v="2024-11-16T00:00:00"/>
    <d v="2024-01-29T00:00:00"/>
    <n v="26"/>
    <x v="0"/>
    <n v="1"/>
    <n v="2"/>
    <n v="22471.32"/>
    <n v="5761.21"/>
    <n v="7513.52"/>
  </r>
  <r>
    <s v="4234"/>
    <s v="José Ramírez"/>
    <d v="1985-12-31T00:00:00"/>
    <n v="40"/>
    <x v="1"/>
    <x v="1"/>
    <d v="2023-05-19T00:00:00"/>
    <d v="2024-09-27T00:00:00"/>
    <n v="35"/>
    <x v="0"/>
    <n v="6"/>
    <n v="0"/>
    <n v="4881.2"/>
    <n v="12333.11"/>
    <n v="18423.919999999998"/>
  </r>
  <r>
    <s v="4235"/>
    <s v="Ricardo Ramírez"/>
    <d v="2021-12-31T00:00:00"/>
    <n v="4"/>
    <x v="1"/>
    <x v="6"/>
    <d v="2024-12-05T00:00:00"/>
    <d v="2024-11-20T00:00:00"/>
    <n v="7"/>
    <x v="1"/>
    <n v="0"/>
    <n v="0"/>
    <n v="13736.45"/>
    <n v="6950.8"/>
    <n v="5449.14"/>
  </r>
  <r>
    <s v="4236"/>
    <s v="Carlos Ramírez"/>
    <d v="1961-12-31T00:00:00"/>
    <n v="64"/>
    <x v="1"/>
    <x v="4"/>
    <d v="2024-10-11T00:00:00"/>
    <d v="2024-05-31T00:00:00"/>
    <n v="26"/>
    <x v="2"/>
    <n v="2"/>
    <n v="4"/>
    <n v="20186.37"/>
    <n v="2123.14"/>
    <n v="14950.63"/>
  </r>
  <r>
    <s v="4237"/>
    <s v="Laura Martínez"/>
    <d v="2009-12-31T00:00:00"/>
    <n v="16"/>
    <x v="0"/>
    <x v="4"/>
    <d v="2024-09-19T00:00:00"/>
    <d v="2023-07-08T00:00:00"/>
    <n v="28"/>
    <x v="0"/>
    <n v="10"/>
    <n v="9"/>
    <n v="4857.4399999999996"/>
    <n v="4117.8100000000004"/>
    <n v="2244.9899999999998"/>
  </r>
  <r>
    <s v="4238"/>
    <s v="Pedro Sánchez"/>
    <d v="2004-12-31T00:00:00"/>
    <n v="21"/>
    <x v="0"/>
    <x v="1"/>
    <d v="2023-02-13T00:00:00"/>
    <d v="2023-12-13T00:00:00"/>
    <n v="8"/>
    <x v="0"/>
    <n v="14"/>
    <n v="9"/>
    <n v="27947.55"/>
    <n v="8420.75"/>
    <n v="10709.51"/>
  </r>
  <r>
    <s v="4239"/>
    <s v="Luisa Hernández"/>
    <d v="1985-12-31T00:00:00"/>
    <n v="40"/>
    <x v="2"/>
    <x v="3"/>
    <d v="2023-08-07T00:00:00"/>
    <d v="2023-12-19T00:00:00"/>
    <n v="20"/>
    <x v="0"/>
    <n v="8"/>
    <n v="1"/>
    <n v="1849.27"/>
    <n v="6038.66"/>
    <n v="11513.57"/>
  </r>
  <r>
    <s v="4240"/>
    <s v="María Hernández"/>
    <d v="1933-12-31T00:00:00"/>
    <n v="92"/>
    <x v="0"/>
    <x v="4"/>
    <d v="2024-07-21T00:00:00"/>
    <d v="2024-06-25T00:00:00"/>
    <n v="27"/>
    <x v="0"/>
    <n v="3"/>
    <n v="1"/>
    <n v="18134.990000000002"/>
    <n v="5495.89"/>
    <n v="3685.91"/>
  </r>
  <r>
    <s v="4241"/>
    <s v="Elena Cruz"/>
    <d v="1959-01-01T00:00:00"/>
    <n v="67"/>
    <x v="1"/>
    <x v="0"/>
    <d v="2023-09-15T00:00:00"/>
    <d v="2024-08-21T00:00:00"/>
    <n v="22"/>
    <x v="0"/>
    <n v="0"/>
    <n v="3"/>
    <n v="29266.03"/>
    <n v="10031.459999999999"/>
    <n v="6407.91"/>
  </r>
  <r>
    <s v="4242"/>
    <s v="Laura Gómez"/>
    <d v="1957-12-31T00:00:00"/>
    <n v="68"/>
    <x v="1"/>
    <x v="0"/>
    <d v="2024-05-27T00:00:00"/>
    <d v="2023-02-17T00:00:00"/>
    <n v="13"/>
    <x v="2"/>
    <n v="8"/>
    <n v="9"/>
    <n v="21699.98"/>
    <n v="9544.81"/>
    <n v="3491.81"/>
  </r>
  <r>
    <s v="4243"/>
    <s v="Juan Martínez"/>
    <d v="2016-01-01T00:00:00"/>
    <n v="10"/>
    <x v="1"/>
    <x v="6"/>
    <d v="2024-01-12T00:00:00"/>
    <d v="2023-03-19T00:00:00"/>
    <n v="20"/>
    <x v="1"/>
    <n v="7"/>
    <n v="6"/>
    <n v="20156.37"/>
    <n v="4710.3900000000003"/>
    <n v="16885.02"/>
  </r>
  <r>
    <s v="4244"/>
    <s v="Carmen Hernández"/>
    <d v="1971-01-01T00:00:00"/>
    <n v="55"/>
    <x v="1"/>
    <x v="3"/>
    <d v="2023-10-16T00:00:00"/>
    <d v="2023-12-10T00:00:00"/>
    <n v="30"/>
    <x v="0"/>
    <n v="0"/>
    <n v="7"/>
    <n v="29921.32"/>
    <n v="5391.4"/>
    <n v="13109.5"/>
  </r>
  <r>
    <s v="4245"/>
    <s v="Carlos Sánchez"/>
    <d v="1976-01-01T00:00:00"/>
    <n v="50"/>
    <x v="1"/>
    <x v="1"/>
    <d v="2024-04-14T00:00:00"/>
    <d v="2023-07-11T00:00:00"/>
    <n v="34"/>
    <x v="1"/>
    <n v="4"/>
    <n v="9"/>
    <n v="23649.82"/>
    <n v="11281"/>
    <n v="8873.33"/>
  </r>
  <r>
    <s v="4246"/>
    <s v="Luisa Gómez"/>
    <d v="2005-12-31T00:00:00"/>
    <n v="44"/>
    <x v="1"/>
    <x v="5"/>
    <d v="2023-04-13T00:00:00"/>
    <d v="2024-06-27T00:00:00"/>
    <n v="25"/>
    <x v="0"/>
    <n v="5"/>
    <n v="6"/>
    <n v="29093.95"/>
    <n v="13819.31"/>
    <n v="11075.2"/>
  </r>
  <r>
    <s v="4247"/>
    <s v="Jorge Ramírez"/>
    <d v="1951-01-01T00:00:00"/>
    <n v="75"/>
    <x v="1"/>
    <x v="5"/>
    <d v="2023-05-29T00:00:00"/>
    <d v="2025-03-30T00:00:00"/>
    <n v="24"/>
    <x v="0"/>
    <n v="4"/>
    <n v="8"/>
    <n v="20816.21"/>
    <n v="4863.22"/>
    <n v="6815.24"/>
  </r>
  <r>
    <s v="4248"/>
    <s v="Laura Pérez"/>
    <d v="2000-12-31T00:00:00"/>
    <n v="25"/>
    <x v="1"/>
    <x v="5"/>
    <d v="2023-03-25T00:00:00"/>
    <d v="2024-11-12T00:00:00"/>
    <n v="3"/>
    <x v="1"/>
    <n v="9"/>
    <n v="6"/>
    <n v="19796.490000000002"/>
    <n v="4378.16"/>
    <n v="8517.66"/>
  </r>
  <r>
    <s v="4249"/>
    <s v="Sofía Ramírez"/>
    <d v="2008-01-01T00:00:00"/>
    <n v="18"/>
    <x v="1"/>
    <x v="0"/>
    <d v="2023-01-26T00:00:00"/>
    <d v="2023-02-06T00:00:00"/>
    <n v="35"/>
    <x v="2"/>
    <n v="9"/>
    <n v="3"/>
    <n v="22758.31"/>
    <n v="3979.2"/>
    <n v="12349.37"/>
  </r>
  <r>
    <s v="4250"/>
    <s v="José Gómez"/>
    <d v="1967-01-01T00:00:00"/>
    <n v="59"/>
    <x v="2"/>
    <x v="1"/>
    <d v="2023-06-24T00:00:00"/>
    <d v="2025-01-27T00:00:00"/>
    <n v="34"/>
    <x v="0"/>
    <n v="13"/>
    <n v="8"/>
    <n v="5257"/>
    <n v="2122.6"/>
    <n v="4150.72"/>
  </r>
  <r>
    <s v="4251"/>
    <s v="Carlos Pérez"/>
    <d v="1956-01-01T00:00:00"/>
    <n v="70"/>
    <x v="0"/>
    <x v="5"/>
    <d v="2024-10-02T00:00:00"/>
    <d v="2024-02-29T00:00:00"/>
    <n v="3"/>
    <x v="2"/>
    <n v="10"/>
    <n v="8"/>
    <n v="24076.44"/>
    <n v="5657.61"/>
    <n v="2595.34"/>
  </r>
  <r>
    <s v="4252"/>
    <s v="Laura Morales"/>
    <d v="1980-01-01T00:00:00"/>
    <n v="46"/>
    <x v="2"/>
    <x v="3"/>
    <d v="2024-02-26T00:00:00"/>
    <d v="2023-12-18T00:00:00"/>
    <n v="22"/>
    <x v="0"/>
    <n v="11"/>
    <n v="2"/>
    <n v="29089.279999999999"/>
    <n v="7740.09"/>
    <n v="18883.62"/>
  </r>
  <r>
    <s v="4253"/>
    <s v="Elena Martínez"/>
    <d v="1956-01-01T00:00:00"/>
    <n v="70"/>
    <x v="1"/>
    <x v="3"/>
    <d v="2024-10-15T00:00:00"/>
    <d v="2023-07-08T00:00:00"/>
    <n v="10"/>
    <x v="0"/>
    <n v="2"/>
    <n v="9"/>
    <n v="18155.12"/>
    <n v="8061.5"/>
    <n v="4660.7700000000004"/>
  </r>
  <r>
    <s v="4254"/>
    <s v="Sofía Hernández"/>
    <d v="2000-12-31T00:00:00"/>
    <n v="25"/>
    <x v="1"/>
    <x v="5"/>
    <d v="2023-12-12T00:00:00"/>
    <d v="2024-06-11T00:00:00"/>
    <n v="30"/>
    <x v="0"/>
    <n v="1"/>
    <n v="7"/>
    <n v="123.16"/>
    <n v="10365.459999999999"/>
    <n v="9854.01"/>
  </r>
  <r>
    <s v="4255"/>
    <s v="Luis Rodríguez"/>
    <d v="1949-01-01T00:00:00"/>
    <n v="92"/>
    <x v="1"/>
    <x v="2"/>
    <d v="2023-10-29T00:00:00"/>
    <d v="2023-12-01T00:00:00"/>
    <n v="30"/>
    <x v="2"/>
    <n v="0"/>
    <n v="0"/>
    <n v="1698.82"/>
    <n v="788.28"/>
    <n v="15206.6"/>
  </r>
  <r>
    <s v="4256"/>
    <s v="Luis Sánchez"/>
    <d v="2021-12-31T00:00:00"/>
    <n v="4"/>
    <x v="1"/>
    <x v="5"/>
    <d v="2023-10-25T00:00:00"/>
    <d v="2024-04-28T00:00:00"/>
    <n v="22"/>
    <x v="0"/>
    <n v="13"/>
    <n v="1"/>
    <n v="6658.57"/>
    <n v="8421.1299999999992"/>
    <n v="11077.28"/>
  </r>
  <r>
    <s v="4257"/>
    <s v="Jorge Gómez"/>
    <d v="2005-12-31T00:00:00"/>
    <n v="20"/>
    <x v="1"/>
    <x v="2"/>
    <d v="2023-05-15T00:00:00"/>
    <d v="2023-08-05T00:00:00"/>
    <n v="11"/>
    <x v="0"/>
    <n v="10"/>
    <n v="7"/>
    <n v="14478.48"/>
    <n v="3824.83"/>
    <n v="12660.98"/>
  </r>
  <r>
    <s v="4258"/>
    <s v="Luis Hernández"/>
    <d v="1948-12-31T00:00:00"/>
    <n v="77"/>
    <x v="0"/>
    <x v="6"/>
    <d v="2023-02-24T00:00:00"/>
    <d v="2023-06-08T00:00:00"/>
    <n v="37"/>
    <x v="0"/>
    <n v="8"/>
    <n v="7"/>
    <n v="12119.55"/>
    <n v="3586.85"/>
    <n v="3185"/>
  </r>
  <r>
    <s v="4259"/>
    <s v="Miguel Sánchez"/>
    <d v="2023-01-01T00:00:00"/>
    <n v="3"/>
    <x v="2"/>
    <x v="6"/>
    <d v="2023-02-25T00:00:00"/>
    <d v="2024-10-29T00:00:00"/>
    <n v="38"/>
    <x v="0"/>
    <n v="10"/>
    <n v="5"/>
    <n v="29365.97"/>
    <n v="11845.89"/>
    <n v="7838.06"/>
  </r>
  <r>
    <s v="4260"/>
    <s v="Pedro Martínez"/>
    <d v="2004-01-01T00:00:00"/>
    <n v="22"/>
    <x v="1"/>
    <x v="3"/>
    <d v="2024-01-09T00:00:00"/>
    <d v="2023-08-30T00:00:00"/>
    <n v="39"/>
    <x v="0"/>
    <n v="8"/>
    <n v="7"/>
    <n v="28340.42"/>
    <n v="2302.16"/>
    <n v="13773.76"/>
  </r>
  <r>
    <s v="4261"/>
    <s v="Sofía López"/>
    <d v="1943-01-01T00:00:00"/>
    <n v="83"/>
    <x v="1"/>
    <x v="1"/>
    <d v="2024-08-10T00:00:00"/>
    <d v="2023-10-24T00:00:00"/>
    <n v="35"/>
    <x v="1"/>
    <n v="10"/>
    <n v="7"/>
    <n v="11478.04"/>
    <n v="4936.5"/>
    <n v="4116.7"/>
  </r>
  <r>
    <s v="4262"/>
    <s v="Jorge Cruz"/>
    <d v="2012-01-01T00:00:00"/>
    <n v="14"/>
    <x v="1"/>
    <x v="0"/>
    <d v="2023-12-05T00:00:00"/>
    <d v="2024-04-07T00:00:00"/>
    <n v="6"/>
    <x v="1"/>
    <n v="12"/>
    <n v="1"/>
    <n v="23726.65"/>
    <n v="9564.58"/>
    <n v="9619.49"/>
  </r>
  <r>
    <s v="4263"/>
    <s v="Carmen Ramírez"/>
    <d v="1933-12-31T00:00:00"/>
    <n v="92"/>
    <x v="1"/>
    <x v="1"/>
    <d v="2024-04-01T00:00:00"/>
    <d v="2023-02-15T00:00:00"/>
    <n v="15"/>
    <x v="2"/>
    <n v="4"/>
    <n v="2"/>
    <n v="18909.080000000002"/>
    <n v="9643.1"/>
    <n v="11743.92"/>
  </r>
  <r>
    <s v="4264"/>
    <s v="José López"/>
    <d v="2019-01-01T00:00:00"/>
    <n v="7"/>
    <x v="1"/>
    <x v="3"/>
    <d v="2023-12-21T00:00:00"/>
    <d v="2024-05-10T00:00:00"/>
    <n v="12"/>
    <x v="2"/>
    <n v="6"/>
    <n v="6"/>
    <n v="6915.64"/>
    <n v="721.32"/>
    <n v="15765.59"/>
  </r>
  <r>
    <s v="4265"/>
    <s v="María Sánchez"/>
    <d v="1985-12-31T00:00:00"/>
    <n v="40"/>
    <x v="1"/>
    <x v="3"/>
    <d v="2023-05-12T00:00:00"/>
    <d v="2023-06-25T00:00:00"/>
    <n v="1"/>
    <x v="0"/>
    <n v="12"/>
    <n v="2"/>
    <n v="27900.91"/>
    <n v="1088.3800000000001"/>
    <n v="4248.4799999999996"/>
  </r>
  <r>
    <s v="4266"/>
    <s v="José Rodríguez"/>
    <d v="2008-01-01T00:00:00"/>
    <n v="18"/>
    <x v="1"/>
    <x v="1"/>
    <d v="2024-05-07T00:00:00"/>
    <d v="2023-12-13T00:00:00"/>
    <n v="31"/>
    <x v="0"/>
    <n v="13"/>
    <n v="1"/>
    <n v="7415.29"/>
    <n v="9830.4500000000007"/>
    <n v="19559.650000000001"/>
  </r>
  <r>
    <s v="4267"/>
    <s v="Luisa Morales"/>
    <d v="1980-12-31T00:00:00"/>
    <n v="44"/>
    <x v="1"/>
    <x v="0"/>
    <d v="2024-07-07T00:00:00"/>
    <d v="2023-02-26T00:00:00"/>
    <n v="35"/>
    <x v="0"/>
    <n v="1"/>
    <n v="5"/>
    <n v="26045.47"/>
    <n v="14297.27"/>
    <n v="19345.27"/>
  </r>
  <r>
    <s v="4268"/>
    <s v="Luisa Hernández"/>
    <d v="1999-01-01T00:00:00"/>
    <n v="27"/>
    <x v="1"/>
    <x v="3"/>
    <d v="2023-04-20T00:00:00"/>
    <d v="2024-07-20T00:00:00"/>
    <n v="14"/>
    <x v="1"/>
    <n v="5"/>
    <n v="1"/>
    <n v="18948.04"/>
    <n v="14977.55"/>
    <n v="147.1"/>
  </r>
  <r>
    <s v="4269"/>
    <s v="María Sánchez"/>
    <d v="2007-01-01T00:00:00"/>
    <n v="83"/>
    <x v="1"/>
    <x v="4"/>
    <d v="2024-08-04T00:00:00"/>
    <d v="2023-12-08T00:00:00"/>
    <n v="4"/>
    <x v="1"/>
    <n v="13"/>
    <n v="1"/>
    <n v="18444.38"/>
    <n v="14806.65"/>
    <n v="7296.35"/>
  </r>
  <r>
    <s v="4270"/>
    <s v="Juan Pérez"/>
    <d v="1959-01-01T00:00:00"/>
    <n v="67"/>
    <x v="1"/>
    <x v="4"/>
    <d v="2023-05-06T00:00:00"/>
    <d v="2025-02-16T00:00:00"/>
    <n v="29"/>
    <x v="0"/>
    <n v="7"/>
    <n v="1"/>
    <n v="25071.5"/>
    <n v="5273.7"/>
    <n v="1263.57"/>
  </r>
  <r>
    <s v="4271"/>
    <s v="José Martínez"/>
    <d v="2012-01-01T00:00:00"/>
    <n v="14"/>
    <x v="2"/>
    <x v="0"/>
    <d v="2023-10-23T00:00:00"/>
    <d v="2025-06-05T00:00:00"/>
    <n v="20"/>
    <x v="0"/>
    <n v="2"/>
    <n v="3"/>
    <n v="14576.46"/>
    <n v="3627.15"/>
    <n v="6276.66"/>
  </r>
  <r>
    <s v="4272"/>
    <s v="Sofía Ramírez"/>
    <d v="1989-12-31T00:00:00"/>
    <n v="36"/>
    <x v="1"/>
    <x v="3"/>
    <d v="2023-06-28T00:00:00"/>
    <d v="2025-01-21T00:00:00"/>
    <n v="17"/>
    <x v="2"/>
    <n v="9"/>
    <n v="6"/>
    <n v="0"/>
    <n v="1479.74"/>
    <n v="12101.96"/>
  </r>
  <r>
    <s v="4273"/>
    <s v="María Ramírez"/>
    <d v="2025-12-31T00:00:00"/>
    <n v="0"/>
    <x v="0"/>
    <x v="4"/>
    <d v="2023-07-16T00:00:00"/>
    <d v="2025-04-13T00:00:00"/>
    <n v="1"/>
    <x v="0"/>
    <n v="5"/>
    <n v="5"/>
    <n v="16281.97"/>
    <n v="4887.3999999999996"/>
    <n v="12135.6"/>
  </r>
  <r>
    <s v="4274"/>
    <s v="Laura Rodríguez"/>
    <d v="1960-01-01T00:00:00"/>
    <n v="66"/>
    <x v="0"/>
    <x v="6"/>
    <d v="2023-04-11T00:00:00"/>
    <d v="2023-04-19T00:00:00"/>
    <n v="18"/>
    <x v="0"/>
    <n v="5"/>
    <n v="4"/>
    <n v="29531.759999999998"/>
    <n v="4152.8"/>
    <n v="1842.94"/>
  </r>
  <r>
    <s v="4275"/>
    <s v="Juan Sánchez"/>
    <d v="2003-01-01T00:00:00"/>
    <n v="23"/>
    <x v="0"/>
    <x v="2"/>
    <d v="2024-07-26T00:00:00"/>
    <d v="2024-12-11T00:00:00"/>
    <n v="9"/>
    <x v="0"/>
    <n v="11"/>
    <n v="3"/>
    <n v="19627.87"/>
    <n v="8651.94"/>
    <n v="13510.08"/>
  </r>
  <r>
    <s v="4276"/>
    <s v="Ricardo Rodríguez"/>
    <d v="2000-01-01T00:00:00"/>
    <n v="26"/>
    <x v="0"/>
    <x v="3"/>
    <d v="2023-07-02T00:00:00"/>
    <d v="2025-06-16T00:00:00"/>
    <n v="39"/>
    <x v="0"/>
    <n v="10"/>
    <n v="1"/>
    <n v="10908.85"/>
    <n v="5531.78"/>
    <n v="16911.41"/>
  </r>
  <r>
    <s v="4277"/>
    <s v="Carmen Sánchez"/>
    <d v="1987-01-01T00:00:00"/>
    <n v="39"/>
    <x v="0"/>
    <x v="2"/>
    <d v="2023-01-09T00:00:00"/>
    <d v="2023-08-03T00:00:00"/>
    <n v="24"/>
    <x v="1"/>
    <n v="8"/>
    <n v="7"/>
    <n v="22782.6"/>
    <n v="3472.95"/>
    <n v="12586.41"/>
  </r>
  <r>
    <s v="4278"/>
    <s v="Luisa Gómez"/>
    <d v="1964-01-01T00:00:00"/>
    <n v="62"/>
    <x v="0"/>
    <x v="5"/>
    <d v="2024-02-17T00:00:00"/>
    <d v="2024-05-14T00:00:00"/>
    <n v="7"/>
    <x v="1"/>
    <n v="7"/>
    <n v="1"/>
    <n v="15051.87"/>
    <n v="9188.17"/>
    <n v="6130.32"/>
  </r>
  <r>
    <s v="4279"/>
    <s v="Elena Pérez"/>
    <d v="1965-12-31T00:00:00"/>
    <n v="60"/>
    <x v="1"/>
    <x v="4"/>
    <d v="2024-12-18T00:00:00"/>
    <d v="2025-01-28T00:00:00"/>
    <n v="5"/>
    <x v="2"/>
    <n v="1"/>
    <n v="7"/>
    <n v="24083.759999999998"/>
    <n v="4846.01"/>
    <n v="49.85"/>
  </r>
  <r>
    <s v="4280"/>
    <s v="Luisa Pérez"/>
    <d v="1991-01-01T00:00:00"/>
    <n v="35"/>
    <x v="1"/>
    <x v="3"/>
    <d v="2024-07-19T00:00:00"/>
    <d v="2024-02-02T00:00:00"/>
    <n v="18"/>
    <x v="2"/>
    <n v="9"/>
    <n v="9"/>
    <n v="24920.61"/>
    <n v="5304.6"/>
    <n v="12933.01"/>
  </r>
  <r>
    <s v="4281"/>
    <s v="José Morales"/>
    <d v="1933-12-31T00:00:00"/>
    <n v="92"/>
    <x v="2"/>
    <x v="6"/>
    <d v="2024-11-22T00:00:00"/>
    <d v="2024-07-04T00:00:00"/>
    <n v="19"/>
    <x v="0"/>
    <n v="1"/>
    <n v="3"/>
    <n v="18315.849999999999"/>
    <n v="8976.61"/>
    <n v="13522.86"/>
  </r>
  <r>
    <s v="4282"/>
    <s v="Carmen Morales"/>
    <d v="2003-01-01T00:00:00"/>
    <n v="23"/>
    <x v="0"/>
    <x v="0"/>
    <d v="2023-04-14T00:00:00"/>
    <d v="2024-05-12T00:00:00"/>
    <n v="10"/>
    <x v="2"/>
    <n v="6"/>
    <n v="4"/>
    <n v="26101.75"/>
    <n v="1773.28"/>
    <n v="14145.86"/>
  </r>
  <r>
    <s v="4283"/>
    <s v="Pedro Ramírez"/>
    <d v="2003-01-01T00:00:00"/>
    <n v="23"/>
    <x v="2"/>
    <x v="6"/>
    <d v="2023-05-06T00:00:00"/>
    <d v="2023-06-23T00:00:00"/>
    <n v="37"/>
    <x v="0"/>
    <n v="2"/>
    <n v="0"/>
    <n v="11804.52"/>
    <n v="11613.74"/>
    <n v="689.14"/>
  </r>
  <r>
    <s v="4284"/>
    <s v="Ana Pérez"/>
    <d v="1971-01-01T00:00:00"/>
    <n v="3"/>
    <x v="0"/>
    <x v="2"/>
    <d v="2024-06-29T00:00:00"/>
    <d v="2023-04-16T00:00:00"/>
    <n v="9"/>
    <x v="0"/>
    <n v="0"/>
    <n v="1"/>
    <n v="1250"/>
    <n v="14481.52"/>
    <n v="10280.6"/>
  </r>
  <r>
    <s v="4285"/>
    <s v="Juan López"/>
    <d v="1960-01-01T00:00:00"/>
    <n v="66"/>
    <x v="0"/>
    <x v="0"/>
    <d v="2024-11-07T00:00:00"/>
    <d v="2024-07-06T00:00:00"/>
    <n v="14"/>
    <x v="0"/>
    <n v="3"/>
    <n v="7"/>
    <n v="19710.77"/>
    <n v="7362.4"/>
    <n v="8209.9699999999993"/>
  </r>
  <r>
    <s v="4286"/>
    <s v="Luis Ramírez"/>
    <d v="1992-12-31T00:00:00"/>
    <n v="33"/>
    <x v="0"/>
    <x v="6"/>
    <d v="2023-09-27T00:00:00"/>
    <d v="2024-04-24T00:00:00"/>
    <n v="6"/>
    <x v="1"/>
    <n v="2"/>
    <n v="0"/>
    <n v="22815.78"/>
    <n v="8397.8799999999992"/>
    <n v="15323.7"/>
  </r>
  <r>
    <s v="4287"/>
    <s v="Ricardo López"/>
    <d v="1969-12-31T00:00:00"/>
    <n v="56"/>
    <x v="0"/>
    <x v="6"/>
    <d v="2024-04-10T00:00:00"/>
    <d v="2024-02-04T00:00:00"/>
    <n v="37"/>
    <x v="0"/>
    <n v="1"/>
    <n v="2"/>
    <n v="1720.45"/>
    <n v="5769.64"/>
    <n v="14426.05"/>
  </r>
  <r>
    <s v="4288"/>
    <s v="Miguel Pérez"/>
    <d v="1977-12-31T00:00:00"/>
    <n v="48"/>
    <x v="0"/>
    <x v="6"/>
    <d v="2023-04-28T00:00:00"/>
    <d v="2024-03-10T00:00:00"/>
    <n v="9"/>
    <x v="0"/>
    <n v="14"/>
    <n v="1"/>
    <n v="0"/>
    <n v="14350.77"/>
    <n v="19008.28"/>
  </r>
  <r>
    <s v="4289"/>
    <s v="Carmen Morales"/>
    <d v="1940-01-01T00:00:00"/>
    <n v="86"/>
    <x v="0"/>
    <x v="1"/>
    <d v="2023-04-02T00:00:00"/>
    <d v="2024-10-04T00:00:00"/>
    <n v="6"/>
    <x v="0"/>
    <n v="10"/>
    <n v="9"/>
    <n v="0"/>
    <n v="1994.17"/>
    <n v="17939.95"/>
  </r>
  <r>
    <s v="4290"/>
    <s v="Luisa Gómez"/>
    <d v="1973-12-31T00:00:00"/>
    <n v="52"/>
    <x v="0"/>
    <x v="0"/>
    <d v="2024-09-03T00:00:00"/>
    <d v="2024-11-24T00:00:00"/>
    <n v="27"/>
    <x v="1"/>
    <n v="5"/>
    <n v="4"/>
    <n v="3050.54"/>
    <n v="12202.83"/>
    <n v="11115.94"/>
  </r>
  <r>
    <s v="4291"/>
    <s v="Elena Gómez"/>
    <d v="2004-01-01T00:00:00"/>
    <n v="22"/>
    <x v="0"/>
    <x v="6"/>
    <d v="2024-04-29T00:00:00"/>
    <d v="2023-07-14T00:00:00"/>
    <n v="3"/>
    <x v="2"/>
    <n v="2"/>
    <n v="3"/>
    <n v="15968.17"/>
    <n v="9756.39"/>
    <n v="19607.53"/>
  </r>
  <r>
    <s v="4292"/>
    <s v="Pedro Morales"/>
    <d v="1980-01-01T00:00:00"/>
    <n v="68"/>
    <x v="0"/>
    <x v="4"/>
    <d v="2023-03-28T00:00:00"/>
    <d v="2025-04-23T00:00:00"/>
    <n v="22"/>
    <x v="0"/>
    <n v="6"/>
    <n v="3"/>
    <n v="2816.63"/>
    <n v="11872.44"/>
    <n v="2919.28"/>
  </r>
  <r>
    <s v="4293"/>
    <s v="Miguel Morales"/>
    <d v="1932-01-01T00:00:00"/>
    <n v="94"/>
    <x v="1"/>
    <x v="4"/>
    <d v="2023-08-22T00:00:00"/>
    <d v="2025-03-12T00:00:00"/>
    <n v="25"/>
    <x v="1"/>
    <n v="7"/>
    <n v="3"/>
    <n v="9309.3700000000008"/>
    <n v="14256.89"/>
    <n v="43.89"/>
  </r>
  <r>
    <s v="4294"/>
    <s v="Luis Morales"/>
    <d v="1973-12-31T00:00:00"/>
    <n v="52"/>
    <x v="1"/>
    <x v="6"/>
    <d v="2023-05-04T00:00:00"/>
    <d v="2024-04-11T00:00:00"/>
    <n v="7"/>
    <x v="0"/>
    <n v="14"/>
    <n v="3"/>
    <n v="24021.54"/>
    <n v="7442.28"/>
    <n v="2067.44"/>
  </r>
  <r>
    <s v="4295"/>
    <s v="María Martínez"/>
    <d v="1964-12-31T00:00:00"/>
    <n v="61"/>
    <x v="0"/>
    <x v="2"/>
    <d v="2023-07-22T00:00:00"/>
    <d v="2023-12-08T00:00:00"/>
    <n v="38"/>
    <x v="0"/>
    <n v="6"/>
    <n v="3"/>
    <n v="2574.0700000000002"/>
    <n v="4324.96"/>
    <n v="7037.75"/>
  </r>
  <r>
    <s v="4296"/>
    <s v="Pedro Hernández"/>
    <d v="1985-12-31T00:00:00"/>
    <n v="40"/>
    <x v="0"/>
    <x v="6"/>
    <d v="2023-02-01T00:00:00"/>
    <d v="2023-03-01T00:00:00"/>
    <n v="25"/>
    <x v="1"/>
    <n v="1"/>
    <n v="5"/>
    <n v="13511.33"/>
    <n v="11692.67"/>
    <n v="15080.71"/>
  </r>
  <r>
    <s v="4297"/>
    <s v="Carlos Sánchez"/>
    <d v="1969-12-31T00:00:00"/>
    <n v="56"/>
    <x v="1"/>
    <x v="4"/>
    <d v="2023-12-23T00:00:00"/>
    <d v="2025-05-13T00:00:00"/>
    <n v="26"/>
    <x v="0"/>
    <n v="6"/>
    <n v="1"/>
    <n v="17974.25"/>
    <n v="12668.56"/>
    <n v="7599.64"/>
  </r>
  <r>
    <s v="4298"/>
    <s v="Laura Cruz"/>
    <d v="1967-01-01T00:00:00"/>
    <n v="59"/>
    <x v="1"/>
    <x v="6"/>
    <d v="2024-04-07T00:00:00"/>
    <d v="2024-06-22T00:00:00"/>
    <n v="33"/>
    <x v="2"/>
    <n v="3"/>
    <n v="3"/>
    <n v="28185.599999999999"/>
    <n v="10293.83"/>
    <n v="15590.1"/>
  </r>
  <r>
    <s v="4299"/>
    <s v="Luis Gómez"/>
    <d v="1972-12-31T00:00:00"/>
    <n v="53"/>
    <x v="0"/>
    <x v="5"/>
    <d v="2024-07-04T00:00:00"/>
    <d v="2024-04-23T00:00:00"/>
    <n v="8"/>
    <x v="1"/>
    <n v="1"/>
    <n v="6"/>
    <n v="0"/>
    <n v="12735.02"/>
    <n v="14829.96"/>
  </r>
  <r>
    <s v="4300"/>
    <s v="María Ramírez"/>
    <d v="1956-12-31T00:00:00"/>
    <n v="69"/>
    <x v="0"/>
    <x v="0"/>
    <d v="2023-04-04T00:00:00"/>
    <d v="2023-04-14T00:00:00"/>
    <n v="18"/>
    <x v="2"/>
    <n v="7"/>
    <n v="6"/>
    <n v="3747.04"/>
    <n v="10954.91"/>
    <n v="15866.43"/>
  </r>
  <r>
    <s v="4301"/>
    <s v="Juan Morales"/>
    <d v="1943-01-01T00:00:00"/>
    <n v="56"/>
    <x v="0"/>
    <x v="5"/>
    <d v="2024-06-05T00:00:00"/>
    <d v="2024-06-17T00:00:00"/>
    <n v="35"/>
    <x v="0"/>
    <n v="7"/>
    <n v="0"/>
    <n v="29050.49"/>
    <n v="14362.1"/>
    <n v="3664.17"/>
  </r>
  <r>
    <s v="4302"/>
    <s v="Jorge Gómez"/>
    <d v="2016-12-31T00:00:00"/>
    <n v="9"/>
    <x v="0"/>
    <x v="1"/>
    <d v="2024-12-27T00:00:00"/>
    <d v="2024-08-15T00:00:00"/>
    <n v="23"/>
    <x v="2"/>
    <n v="5"/>
    <n v="9"/>
    <n v="14077.71"/>
    <n v="8560.2199999999993"/>
    <n v="10272.27"/>
  </r>
  <r>
    <s v="4303"/>
    <s v="Miguel López"/>
    <d v="1987-01-01T00:00:00"/>
    <n v="39"/>
    <x v="1"/>
    <x v="2"/>
    <d v="2024-02-12T00:00:00"/>
    <d v="2025-04-19T00:00:00"/>
    <n v="15"/>
    <x v="2"/>
    <n v="13"/>
    <n v="8"/>
    <n v="10776.38"/>
    <n v="5707.1"/>
    <n v="14225.1"/>
  </r>
  <r>
    <s v="4304"/>
    <s v="Juan López"/>
    <d v="2020-01-01T00:00:00"/>
    <n v="6"/>
    <x v="1"/>
    <x v="5"/>
    <d v="2023-04-10T00:00:00"/>
    <d v="2024-12-12T00:00:00"/>
    <n v="1"/>
    <x v="2"/>
    <n v="5"/>
    <n v="6"/>
    <n v="0"/>
    <n v="10207.81"/>
    <n v="5611.91"/>
  </r>
  <r>
    <s v="4305"/>
    <s v="Elena Morales"/>
    <d v="1988-12-31T00:00:00"/>
    <n v="37"/>
    <x v="1"/>
    <x v="1"/>
    <d v="2023-09-01T00:00:00"/>
    <d v="2023-11-19T00:00:00"/>
    <n v="38"/>
    <x v="2"/>
    <n v="9"/>
    <n v="5"/>
    <n v="27971.21"/>
    <n v="1036.72"/>
    <n v="16744.330000000002"/>
  </r>
  <r>
    <s v="4306"/>
    <s v="Laura Martínez"/>
    <d v="1941-12-31T00:00:00"/>
    <n v="84"/>
    <x v="0"/>
    <x v="3"/>
    <d v="2023-02-27T00:00:00"/>
    <d v="2024-07-03T00:00:00"/>
    <n v="12"/>
    <x v="1"/>
    <n v="1"/>
    <n v="1"/>
    <n v="17379.28"/>
    <n v="7475.86"/>
    <n v="15564.17"/>
  </r>
  <r>
    <s v="4307"/>
    <s v="Sofía Pérez"/>
    <d v="1965-12-31T00:00:00"/>
    <n v="60"/>
    <x v="1"/>
    <x v="0"/>
    <d v="2023-12-23T00:00:00"/>
    <d v="2023-01-15T00:00:00"/>
    <n v="20"/>
    <x v="0"/>
    <n v="7"/>
    <n v="5"/>
    <n v="29633.62"/>
    <n v="11601.01"/>
    <n v="2309.52"/>
  </r>
  <r>
    <s v="4308"/>
    <s v="Jorge Martínez"/>
    <d v="1943-01-01T00:00:00"/>
    <n v="83"/>
    <x v="0"/>
    <x v="6"/>
    <d v="2024-05-05T00:00:00"/>
    <d v="2024-04-01T00:00:00"/>
    <n v="38"/>
    <x v="0"/>
    <n v="1"/>
    <n v="4"/>
    <n v="4802.91"/>
    <n v="2534.46"/>
    <n v="4279.55"/>
  </r>
  <r>
    <s v="4309"/>
    <s v="María Cruz"/>
    <d v="2024-01-01T00:00:00"/>
    <n v="2"/>
    <x v="0"/>
    <x v="5"/>
    <d v="2023-11-16T00:00:00"/>
    <d v="2023-08-10T00:00:00"/>
    <n v="3"/>
    <x v="0"/>
    <n v="11"/>
    <n v="8"/>
    <n v="16147.99"/>
    <n v="6006.11"/>
    <n v="4671.21"/>
  </r>
  <r>
    <s v="4310"/>
    <s v="José Gómez"/>
    <d v="1976-01-01T00:00:00"/>
    <n v="50"/>
    <x v="0"/>
    <x v="5"/>
    <d v="2023-01-19T00:00:00"/>
    <d v="2025-05-26T00:00:00"/>
    <n v="4"/>
    <x v="2"/>
    <n v="13"/>
    <n v="0"/>
    <n v="2851.53"/>
    <n v="5254.3"/>
    <n v="17557.38"/>
  </r>
  <r>
    <s v="4311"/>
    <s v="Ricardo Rodríguez"/>
    <d v="1940-12-31T00:00:00"/>
    <n v="85"/>
    <x v="0"/>
    <x v="6"/>
    <d v="2023-12-23T00:00:00"/>
    <d v="2024-01-27T00:00:00"/>
    <n v="12"/>
    <x v="2"/>
    <n v="10"/>
    <n v="4"/>
    <n v="15490.41"/>
    <n v="5024.54"/>
    <n v="3653.21"/>
  </r>
  <r>
    <s v="4312"/>
    <s v="Ricardo Sánchez"/>
    <d v="1980-01-01T00:00:00"/>
    <n v="46"/>
    <x v="1"/>
    <x v="6"/>
    <d v="2023-04-27T00:00:00"/>
    <d v="2024-11-09T00:00:00"/>
    <n v="6"/>
    <x v="0"/>
    <n v="5"/>
    <n v="2"/>
    <n v="26638.65"/>
    <n v="9759.4"/>
    <n v="12404.14"/>
  </r>
  <r>
    <s v="4313"/>
    <s v="Juan Rodríguez"/>
    <d v="1959-01-01T00:00:00"/>
    <n v="67"/>
    <x v="0"/>
    <x v="2"/>
    <d v="2023-05-16T00:00:00"/>
    <d v="2023-06-23T00:00:00"/>
    <n v="27"/>
    <x v="0"/>
    <n v="7"/>
    <n v="8"/>
    <n v="2834.29"/>
    <n v="7462.44"/>
    <n v="1204.73"/>
  </r>
  <r>
    <s v="4314"/>
    <s v="Elena Morales"/>
    <d v="1935-01-01T00:00:00"/>
    <n v="91"/>
    <x v="1"/>
    <x v="5"/>
    <d v="2023-10-23T00:00:00"/>
    <d v="2024-10-24T00:00:00"/>
    <n v="25"/>
    <x v="2"/>
    <n v="7"/>
    <n v="0"/>
    <n v="7724.29"/>
    <n v="11959.73"/>
    <n v="11005.36"/>
  </r>
  <r>
    <s v="4315"/>
    <s v="Juan Sánchez"/>
    <d v="1951-01-01T00:00:00"/>
    <n v="75"/>
    <x v="1"/>
    <x v="5"/>
    <d v="2024-06-08T00:00:00"/>
    <d v="2024-11-15T00:00:00"/>
    <n v="27"/>
    <x v="0"/>
    <n v="14"/>
    <n v="5"/>
    <n v="20313.259999999998"/>
    <n v="867.74"/>
    <n v="2739.17"/>
  </r>
  <r>
    <s v="4316"/>
    <s v="Juan Martínez"/>
    <d v="1988-12-31T00:00:00"/>
    <n v="37"/>
    <x v="1"/>
    <x v="4"/>
    <d v="2023-04-11T00:00:00"/>
    <d v="2023-03-23T00:00:00"/>
    <n v="5"/>
    <x v="0"/>
    <n v="3"/>
    <n v="2"/>
    <n v="1826.75"/>
    <n v="6808.64"/>
    <n v="11467.46"/>
  </r>
  <r>
    <s v="4317"/>
    <s v="Ana Ramírez"/>
    <d v="1991-01-01T00:00:00"/>
    <n v="35"/>
    <x v="1"/>
    <x v="3"/>
    <d v="2024-01-15T00:00:00"/>
    <d v="2023-12-03T00:00:00"/>
    <n v="32"/>
    <x v="2"/>
    <n v="10"/>
    <n v="0"/>
    <n v="13346.54"/>
    <n v="209.98"/>
    <n v="7292.69"/>
  </r>
  <r>
    <s v="4318"/>
    <s v="Ricardo Martínez"/>
    <d v="1985-12-31T00:00:00"/>
    <n v="40"/>
    <x v="0"/>
    <x v="4"/>
    <d v="2023-06-04T00:00:00"/>
    <d v="2023-08-14T00:00:00"/>
    <n v="32"/>
    <x v="0"/>
    <n v="11"/>
    <n v="2"/>
    <n v="9658.3799999999992"/>
    <n v="3312.9"/>
    <n v="12074.22"/>
  </r>
  <r>
    <s v="4319"/>
    <s v="Pedro Pérez"/>
    <d v="1957-12-31T00:00:00"/>
    <n v="68"/>
    <x v="0"/>
    <x v="1"/>
    <d v="2024-08-16T00:00:00"/>
    <d v="2025-05-21T00:00:00"/>
    <n v="23"/>
    <x v="1"/>
    <n v="14"/>
    <n v="1"/>
    <n v="25063.52"/>
    <n v="11630.64"/>
    <n v="7828.31"/>
  </r>
  <r>
    <s v="4320"/>
    <s v="Luis López"/>
    <d v="2013-12-31T00:00:00"/>
    <n v="12"/>
    <x v="1"/>
    <x v="3"/>
    <d v="2024-08-22T00:00:00"/>
    <d v="2023-02-05T00:00:00"/>
    <n v="27"/>
    <x v="0"/>
    <n v="4"/>
    <n v="9"/>
    <n v="996.82"/>
    <n v="1590.76"/>
    <n v="17071.330000000002"/>
  </r>
  <r>
    <s v="4321"/>
    <s v="Carlos Martínez"/>
    <d v="1940-01-01T00:00:00"/>
    <n v="86"/>
    <x v="1"/>
    <x v="4"/>
    <d v="2023-04-15T00:00:00"/>
    <d v="2025-05-20T00:00:00"/>
    <n v="32"/>
    <x v="0"/>
    <n v="0"/>
    <n v="7"/>
    <n v="25833.56"/>
    <n v="1583.69"/>
    <n v="15115.25"/>
  </r>
  <r>
    <s v="4322"/>
    <s v="Miguel Rodríguez"/>
    <d v="1968-12-31T00:00:00"/>
    <n v="57"/>
    <x v="0"/>
    <x v="5"/>
    <d v="2024-10-03T00:00:00"/>
    <d v="2023-07-08T00:00:00"/>
    <n v="35"/>
    <x v="0"/>
    <n v="0"/>
    <n v="2"/>
    <n v="20960.78"/>
    <n v="6021.58"/>
    <n v="16878.509999999998"/>
  </r>
  <r>
    <s v="4323"/>
    <s v="Pedro Rodríguez"/>
    <d v="1976-12-31T00:00:00"/>
    <n v="49"/>
    <x v="0"/>
    <x v="3"/>
    <d v="2024-06-09T00:00:00"/>
    <d v="2023-08-13T00:00:00"/>
    <n v="8"/>
    <x v="1"/>
    <n v="8"/>
    <n v="6"/>
    <n v="8564.31"/>
    <n v="11654.12"/>
    <n v="4363.25"/>
  </r>
  <r>
    <s v="4324"/>
    <s v="Juan Cruz"/>
    <d v="1996-12-31T00:00:00"/>
    <n v="29"/>
    <x v="1"/>
    <x v="5"/>
    <d v="2023-05-08T00:00:00"/>
    <d v="2024-10-05T00:00:00"/>
    <n v="17"/>
    <x v="0"/>
    <n v="7"/>
    <n v="9"/>
    <n v="5531.94"/>
    <n v="9570.34"/>
    <n v="2891.2"/>
  </r>
  <r>
    <s v="4325"/>
    <s v="Laura Cruz"/>
    <d v="1964-12-31T00:00:00"/>
    <n v="26"/>
    <x v="0"/>
    <x v="0"/>
    <d v="2024-02-05T00:00:00"/>
    <d v="2025-06-05T00:00:00"/>
    <n v="28"/>
    <x v="0"/>
    <n v="11"/>
    <n v="5"/>
    <n v="28480.38"/>
    <n v="11726.33"/>
    <n v="11102.43"/>
  </r>
  <r>
    <s v="4326"/>
    <s v="José Morales"/>
    <d v="2001-12-31T00:00:00"/>
    <n v="24"/>
    <x v="0"/>
    <x v="2"/>
    <d v="2024-07-25T00:00:00"/>
    <d v="2024-05-09T00:00:00"/>
    <n v="31"/>
    <x v="1"/>
    <n v="1"/>
    <n v="6"/>
    <n v="16394.189999999999"/>
    <n v="743.23"/>
    <n v="17443.95"/>
  </r>
  <r>
    <s v="4327"/>
    <s v="Juan Sánchez"/>
    <d v="2000-01-01T00:00:00"/>
    <n v="26"/>
    <x v="0"/>
    <x v="3"/>
    <d v="2024-06-12T00:00:00"/>
    <d v="2025-05-13T00:00:00"/>
    <n v="9"/>
    <x v="2"/>
    <n v="8"/>
    <n v="6"/>
    <n v="10015.719999999999"/>
    <n v="8455.89"/>
    <n v="2123.54"/>
  </r>
  <r>
    <s v="4328"/>
    <s v="María Cruz"/>
    <d v="1976-01-01T00:00:00"/>
    <n v="50"/>
    <x v="1"/>
    <x v="5"/>
    <d v="2024-07-10T00:00:00"/>
    <d v="2023-11-08T00:00:00"/>
    <n v="25"/>
    <x v="0"/>
    <n v="10"/>
    <n v="9"/>
    <n v="0"/>
    <n v="6799.39"/>
    <n v="4601.1499999999996"/>
  </r>
  <r>
    <s v="4329"/>
    <s v="Ricardo Sánchez"/>
    <d v="1948-12-31T00:00:00"/>
    <n v="77"/>
    <x v="0"/>
    <x v="3"/>
    <d v="2024-07-03T00:00:00"/>
    <d v="2024-06-05T00:00:00"/>
    <n v="0"/>
    <x v="0"/>
    <n v="10"/>
    <n v="0"/>
    <n v="4556.42"/>
    <n v="13440.32"/>
    <n v="14894.56"/>
  </r>
  <r>
    <s v="4330"/>
    <s v="Carlos Martínez"/>
    <d v="1969-12-31T00:00:00"/>
    <n v="56"/>
    <x v="0"/>
    <x v="1"/>
    <d v="2023-05-04T00:00:00"/>
    <d v="2024-08-04T00:00:00"/>
    <n v="39"/>
    <x v="0"/>
    <n v="12"/>
    <n v="3"/>
    <n v="17744.03"/>
    <n v="11060.09"/>
    <n v="9253.76"/>
  </r>
  <r>
    <s v="4331"/>
    <s v="Sofía Pérez"/>
    <d v="1980-01-01T00:00:00"/>
    <n v="46"/>
    <x v="0"/>
    <x v="2"/>
    <d v="2023-12-26T00:00:00"/>
    <d v="2024-06-24T00:00:00"/>
    <n v="2"/>
    <x v="0"/>
    <n v="3"/>
    <n v="3"/>
    <n v="15149.84"/>
    <n v="6365.12"/>
    <n v="12029.61"/>
  </r>
  <r>
    <s v="4332"/>
    <s v="Sofía López"/>
    <d v="1988-01-01T00:00:00"/>
    <n v="38"/>
    <x v="0"/>
    <x v="0"/>
    <d v="2023-03-05T00:00:00"/>
    <d v="2024-01-05T00:00:00"/>
    <n v="10"/>
    <x v="0"/>
    <n v="12"/>
    <n v="4"/>
    <n v="22607.11"/>
    <n v="8307.74"/>
    <n v="11794.26"/>
  </r>
  <r>
    <s v="4333"/>
    <s v="Ana López"/>
    <d v="2011-01-01T00:00:00"/>
    <n v="15"/>
    <x v="2"/>
    <x v="6"/>
    <d v="2024-09-15T00:00:00"/>
    <d v="2024-04-20T00:00:00"/>
    <n v="9"/>
    <x v="0"/>
    <n v="5"/>
    <n v="9"/>
    <n v="24962.55"/>
    <n v="6372.5"/>
    <n v="8188.33"/>
  </r>
  <r>
    <s v="4334"/>
    <s v="Miguel Cruz"/>
    <d v="2004-12-31T00:00:00"/>
    <n v="21"/>
    <x v="1"/>
    <x v="6"/>
    <d v="2023-04-12T00:00:00"/>
    <d v="2025-01-16T00:00:00"/>
    <n v="2"/>
    <x v="0"/>
    <n v="10"/>
    <n v="4"/>
    <n v="11613.83"/>
    <n v="6617.2"/>
    <n v="14084.62"/>
  </r>
  <r>
    <s v="4335"/>
    <s v="Ricardo Hernández"/>
    <d v="1941-12-31T00:00:00"/>
    <n v="84"/>
    <x v="0"/>
    <x v="3"/>
    <d v="2024-07-14T00:00:00"/>
    <d v="2023-02-01T00:00:00"/>
    <n v="16"/>
    <x v="1"/>
    <n v="8"/>
    <n v="7"/>
    <n v="2578.36"/>
    <n v="9511.24"/>
    <n v="17030.61"/>
  </r>
  <r>
    <s v="4336"/>
    <s v="Carmen Sánchez"/>
    <d v="1986-01-01T00:00:00"/>
    <n v="53"/>
    <x v="0"/>
    <x v="5"/>
    <d v="2023-10-04T00:00:00"/>
    <d v="2025-04-07T00:00:00"/>
    <n v="26"/>
    <x v="0"/>
    <n v="4"/>
    <n v="3"/>
    <n v="23641.66"/>
    <n v="3248.02"/>
    <n v="18145.919999999998"/>
  </r>
  <r>
    <s v="4337"/>
    <s v="Jorge López"/>
    <d v="1970-01-01T00:00:00"/>
    <n v="20"/>
    <x v="0"/>
    <x v="1"/>
    <d v="2023-08-15T00:00:00"/>
    <d v="2023-08-21T00:00:00"/>
    <n v="36"/>
    <x v="0"/>
    <n v="4"/>
    <n v="0"/>
    <n v="16389.07"/>
    <n v="4997.76"/>
    <n v="832.87"/>
  </r>
  <r>
    <s v="4338"/>
    <s v="Carlos Pérez"/>
    <d v="1955-01-01T00:00:00"/>
    <n v="71"/>
    <x v="1"/>
    <x v="2"/>
    <d v="2023-01-23T00:00:00"/>
    <d v="2025-04-30T00:00:00"/>
    <n v="39"/>
    <x v="2"/>
    <n v="4"/>
    <n v="4"/>
    <n v="29383.65"/>
    <n v="4187.38"/>
    <n v="11027.48"/>
  </r>
  <r>
    <s v="4339"/>
    <s v="Miguel Ramírez"/>
    <d v="2011-01-01T00:00:00"/>
    <n v="15"/>
    <x v="1"/>
    <x v="0"/>
    <d v="2024-11-27T00:00:00"/>
    <d v="2024-05-12T00:00:00"/>
    <n v="22"/>
    <x v="2"/>
    <n v="11"/>
    <n v="0"/>
    <n v="23788.67"/>
    <n v="12012.04"/>
    <n v="711.47"/>
  </r>
  <r>
    <s v="4340"/>
    <s v="Ana Sánchez"/>
    <d v="1968-01-01T00:00:00"/>
    <n v="58"/>
    <x v="0"/>
    <x v="0"/>
    <d v="2023-03-05T00:00:00"/>
    <d v="2024-07-20T00:00:00"/>
    <n v="13"/>
    <x v="1"/>
    <n v="6"/>
    <n v="2"/>
    <n v="9536.7199999999993"/>
    <n v="14129.15"/>
    <n v="18008.7"/>
  </r>
  <r>
    <s v="4341"/>
    <s v="Ricardo Rodríguez"/>
    <d v="1996-01-01T00:00:00"/>
    <n v="46"/>
    <x v="0"/>
    <x v="4"/>
    <d v="2023-06-06T00:00:00"/>
    <d v="2023-06-25T00:00:00"/>
    <n v="14"/>
    <x v="0"/>
    <n v="5"/>
    <n v="7"/>
    <n v="12568.95"/>
    <n v="6214.51"/>
    <n v="8528.24"/>
  </r>
  <r>
    <s v="4342"/>
    <s v="Juan Martínez"/>
    <d v="1984-12-31T00:00:00"/>
    <n v="41"/>
    <x v="1"/>
    <x v="0"/>
    <d v="2024-01-25T00:00:00"/>
    <d v="2023-10-26T00:00:00"/>
    <n v="25"/>
    <x v="0"/>
    <n v="3"/>
    <n v="9"/>
    <n v="0"/>
    <n v="1156.52"/>
    <n v="18000.560000000001"/>
  </r>
  <r>
    <s v="4343"/>
    <s v="Ricardo Gómez"/>
    <d v="1952-12-31T00:00:00"/>
    <n v="73"/>
    <x v="0"/>
    <x v="6"/>
    <d v="2023-05-29T00:00:00"/>
    <d v="2025-03-02T00:00:00"/>
    <n v="36"/>
    <x v="1"/>
    <n v="8"/>
    <n v="4"/>
    <n v="15115.95"/>
    <n v="1403.26"/>
    <n v="3672.44"/>
  </r>
  <r>
    <s v="4344"/>
    <s v="Carlos Hernández"/>
    <d v="1995-01-01T00:00:00"/>
    <n v="31"/>
    <x v="1"/>
    <x v="2"/>
    <d v="2023-12-29T00:00:00"/>
    <d v="2024-01-01T00:00:00"/>
    <n v="2"/>
    <x v="1"/>
    <n v="0"/>
    <n v="6"/>
    <n v="21177.11"/>
    <n v="5993.83"/>
    <n v="3163.66"/>
  </r>
  <r>
    <s v="4345"/>
    <s v="Carlos Rodríguez"/>
    <d v="1968-01-01T00:00:00"/>
    <n v="58"/>
    <x v="2"/>
    <x v="4"/>
    <d v="2024-11-11T00:00:00"/>
    <d v="2023-03-28T00:00:00"/>
    <n v="2"/>
    <x v="1"/>
    <n v="8"/>
    <n v="0"/>
    <n v="18180.91"/>
    <n v="5924.77"/>
    <n v="18157.32"/>
  </r>
  <r>
    <s v="4346"/>
    <s v="Jorge Hernández"/>
    <d v="1992-12-31T00:00:00"/>
    <n v="33"/>
    <x v="0"/>
    <x v="6"/>
    <d v="2024-04-08T00:00:00"/>
    <d v="2024-07-31T00:00:00"/>
    <n v="0"/>
    <x v="0"/>
    <n v="4"/>
    <n v="5"/>
    <n v="9933.5499999999993"/>
    <n v="2192.35"/>
    <n v="18761.349999999999"/>
  </r>
  <r>
    <s v="4347"/>
    <s v="Luis Morales"/>
    <d v="2017-12-31T00:00:00"/>
    <n v="8"/>
    <x v="1"/>
    <x v="3"/>
    <d v="2024-10-06T00:00:00"/>
    <d v="2023-03-31T00:00:00"/>
    <n v="21"/>
    <x v="0"/>
    <n v="14"/>
    <n v="7"/>
    <n v="24610.65"/>
    <n v="12106.85"/>
    <n v="15312.47"/>
  </r>
  <r>
    <s v="4348"/>
    <s v="Sofía Pérez"/>
    <d v="1945-12-31T00:00:00"/>
    <n v="80"/>
    <x v="0"/>
    <x v="0"/>
    <d v="2024-02-03T00:00:00"/>
    <d v="2023-02-24T00:00:00"/>
    <n v="26"/>
    <x v="1"/>
    <n v="8"/>
    <n v="5"/>
    <n v="2704.29"/>
    <n v="7502.02"/>
    <n v="4362.71"/>
  </r>
  <r>
    <s v="4349"/>
    <s v="Elena Rodríguez"/>
    <d v="2016-01-01T00:00:00"/>
    <n v="69"/>
    <x v="0"/>
    <x v="2"/>
    <d v="2024-02-09T00:00:00"/>
    <d v="2024-09-22T00:00:00"/>
    <n v="12"/>
    <x v="2"/>
    <n v="13"/>
    <n v="3"/>
    <n v="0"/>
    <n v="1635.9"/>
    <n v="3356.91"/>
  </r>
  <r>
    <s v="4350"/>
    <s v="Carlos Hernández"/>
    <d v="1976-01-01T00:00:00"/>
    <n v="9"/>
    <x v="1"/>
    <x v="0"/>
    <d v="2023-05-12T00:00:00"/>
    <d v="2023-12-28T00:00:00"/>
    <n v="1"/>
    <x v="0"/>
    <n v="3"/>
    <n v="7"/>
    <n v="11826.87"/>
    <n v="1480.8"/>
    <n v="14935.06"/>
  </r>
  <r>
    <s v="4351"/>
    <s v="Pedro Rodríguez"/>
    <d v="1941-01-01T00:00:00"/>
    <n v="85"/>
    <x v="0"/>
    <x v="6"/>
    <d v="2023-07-16T00:00:00"/>
    <d v="2024-04-21T00:00:00"/>
    <n v="2"/>
    <x v="0"/>
    <n v="2"/>
    <n v="7"/>
    <n v="20918.419999999998"/>
    <n v="6689.47"/>
    <n v="12658.97"/>
  </r>
  <r>
    <s v="4352"/>
    <s v="Carlos Hernández"/>
    <d v="2009-12-31T00:00:00"/>
    <n v="16"/>
    <x v="1"/>
    <x v="6"/>
    <d v="2024-10-08T00:00:00"/>
    <d v="2023-08-18T00:00:00"/>
    <n v="12"/>
    <x v="0"/>
    <n v="8"/>
    <n v="5"/>
    <n v="20672.66"/>
    <n v="1752.55"/>
    <n v="17428.740000000002"/>
  </r>
  <r>
    <s v="4353"/>
    <s v="Pedro Hernández"/>
    <d v="1959-01-01T00:00:00"/>
    <n v="67"/>
    <x v="0"/>
    <x v="6"/>
    <d v="2023-02-04T00:00:00"/>
    <d v="2025-02-18T00:00:00"/>
    <n v="21"/>
    <x v="0"/>
    <n v="9"/>
    <n v="7"/>
    <n v="10678.97"/>
    <n v="8417.94"/>
    <n v="5463.91"/>
  </r>
  <r>
    <s v="4354"/>
    <s v="Elena Morales"/>
    <d v="1979-01-01T00:00:00"/>
    <n v="47"/>
    <x v="1"/>
    <x v="0"/>
    <d v="2024-02-24T00:00:00"/>
    <d v="2025-04-11T00:00:00"/>
    <n v="28"/>
    <x v="1"/>
    <n v="3"/>
    <n v="5"/>
    <n v="20746.54"/>
    <n v="5775.23"/>
    <n v="5836.68"/>
  </r>
  <r>
    <s v="4355"/>
    <s v="Carlos López"/>
    <d v="1975-01-01T00:00:00"/>
    <n v="51"/>
    <x v="1"/>
    <x v="2"/>
    <d v="2024-01-12T00:00:00"/>
    <d v="2024-06-18T00:00:00"/>
    <n v="17"/>
    <x v="0"/>
    <n v="7"/>
    <n v="3"/>
    <n v="1347.87"/>
    <n v="13795.12"/>
    <n v="14605.99"/>
  </r>
  <r>
    <s v="4356"/>
    <s v="Juan Sánchez"/>
    <d v="2001-12-31T00:00:00"/>
    <n v="24"/>
    <x v="1"/>
    <x v="2"/>
    <d v="2024-02-03T00:00:00"/>
    <d v="2025-01-29T00:00:00"/>
    <n v="7"/>
    <x v="2"/>
    <n v="10"/>
    <n v="5"/>
    <n v="8345.67"/>
    <n v="6283.65"/>
    <n v="5284.16"/>
  </r>
  <r>
    <s v="4357"/>
    <s v="Ana Hernández"/>
    <d v="2005-12-31T00:00:00"/>
    <n v="20"/>
    <x v="1"/>
    <x v="3"/>
    <d v="2023-08-08T00:00:00"/>
    <d v="2024-01-09T00:00:00"/>
    <n v="8"/>
    <x v="2"/>
    <n v="11"/>
    <n v="8"/>
    <n v="20660.09"/>
    <n v="9216.4500000000007"/>
    <n v="9193.7800000000007"/>
  </r>
  <r>
    <s v="4358"/>
    <s v="Carmen Rodríguez"/>
    <d v="1961-12-31T00:00:00"/>
    <n v="64"/>
    <x v="0"/>
    <x v="0"/>
    <d v="2024-11-27T00:00:00"/>
    <d v="2024-04-14T00:00:00"/>
    <n v="15"/>
    <x v="1"/>
    <n v="0"/>
    <n v="7"/>
    <n v="5113.26"/>
    <n v="12170.31"/>
    <n v="10354.86"/>
  </r>
  <r>
    <s v="4359"/>
    <s v="Carmen Hernández"/>
    <d v="1964-01-01T00:00:00"/>
    <n v="62"/>
    <x v="1"/>
    <x v="3"/>
    <d v="2024-05-31T00:00:00"/>
    <d v="2024-02-25T00:00:00"/>
    <n v="31"/>
    <x v="0"/>
    <n v="4"/>
    <n v="6"/>
    <n v="5987.72"/>
    <n v="4543.1400000000003"/>
    <n v="13350.61"/>
  </r>
  <r>
    <s v="4360"/>
    <s v="Jorge Cruz"/>
    <d v="1937-12-31T00:00:00"/>
    <n v="88"/>
    <x v="1"/>
    <x v="1"/>
    <d v="2024-08-05T00:00:00"/>
    <d v="2025-04-06T00:00:00"/>
    <n v="25"/>
    <x v="2"/>
    <n v="13"/>
    <n v="4"/>
    <n v="2149.92"/>
    <n v="7678.33"/>
    <n v="6822.11"/>
  </r>
  <r>
    <s v="4361"/>
    <s v="Sofía Morales"/>
    <d v="1976-01-01T00:00:00"/>
    <n v="50"/>
    <x v="0"/>
    <x v="3"/>
    <d v="2023-12-08T00:00:00"/>
    <d v="2024-06-16T00:00:00"/>
    <n v="35"/>
    <x v="0"/>
    <n v="9"/>
    <n v="6"/>
    <n v="10616.37"/>
    <n v="1814.1"/>
    <n v="17152.57"/>
  </r>
  <r>
    <s v="4362"/>
    <s v="Carlos Rodríguez"/>
    <d v="1991-01-01T00:00:00"/>
    <n v="35"/>
    <x v="0"/>
    <x v="3"/>
    <d v="2024-02-20T00:00:00"/>
    <d v="2024-02-05T00:00:00"/>
    <n v="13"/>
    <x v="0"/>
    <n v="7"/>
    <n v="0"/>
    <n v="24660.28"/>
    <n v="6491.54"/>
    <n v="7986.81"/>
  </r>
  <r>
    <s v="4363"/>
    <s v="Ana Ramírez"/>
    <d v="1945-12-31T00:00:00"/>
    <n v="80"/>
    <x v="0"/>
    <x v="3"/>
    <d v="2024-03-31T00:00:00"/>
    <d v="2023-07-04T00:00:00"/>
    <n v="21"/>
    <x v="1"/>
    <n v="10"/>
    <n v="7"/>
    <n v="25008.95"/>
    <n v="5637.32"/>
    <n v="731.6"/>
  </r>
  <r>
    <s v="4364"/>
    <s v="Carlos Morales"/>
    <d v="1939-01-01T00:00:00"/>
    <n v="87"/>
    <x v="0"/>
    <x v="6"/>
    <d v="2023-10-24T00:00:00"/>
    <d v="2025-05-11T00:00:00"/>
    <n v="36"/>
    <x v="0"/>
    <n v="8"/>
    <n v="4"/>
    <n v="25802.06"/>
    <n v="6422.84"/>
    <n v="1246.74"/>
  </r>
  <r>
    <s v="4365"/>
    <s v="Pedro Sánchez"/>
    <d v="1960-12-31T00:00:00"/>
    <n v="37"/>
    <x v="0"/>
    <x v="1"/>
    <d v="2023-11-27T00:00:00"/>
    <d v="2024-07-16T00:00:00"/>
    <n v="9"/>
    <x v="0"/>
    <n v="11"/>
    <n v="6"/>
    <n v="0"/>
    <n v="1611.15"/>
    <n v="19428.62"/>
  </r>
  <r>
    <s v="4366"/>
    <s v="José López"/>
    <d v="2012-01-01T00:00:00"/>
    <n v="14"/>
    <x v="1"/>
    <x v="4"/>
    <d v="2024-12-05T00:00:00"/>
    <d v="2023-04-01T00:00:00"/>
    <n v="39"/>
    <x v="0"/>
    <n v="14"/>
    <n v="6"/>
    <n v="29801.41"/>
    <n v="5976.01"/>
    <n v="12403.06"/>
  </r>
  <r>
    <s v="4367"/>
    <s v="Carmen Martínez"/>
    <d v="1988-01-01T00:00:00"/>
    <n v="38"/>
    <x v="1"/>
    <x v="3"/>
    <d v="2024-11-10T00:00:00"/>
    <d v="2024-09-08T00:00:00"/>
    <n v="4"/>
    <x v="0"/>
    <n v="3"/>
    <n v="7"/>
    <n v="14830.56"/>
    <n v="13054"/>
    <n v="9767.65"/>
  </r>
  <r>
    <s v="4368"/>
    <s v="Jorge Gómez"/>
    <d v="1956-12-31T00:00:00"/>
    <n v="69"/>
    <x v="2"/>
    <x v="2"/>
    <d v="2023-12-05T00:00:00"/>
    <d v="2024-12-07T00:00:00"/>
    <n v="33"/>
    <x v="0"/>
    <n v="10"/>
    <n v="6"/>
    <n v="26118.17"/>
    <n v="14055.83"/>
    <n v="17380.580000000002"/>
  </r>
  <r>
    <s v="4369"/>
    <s v="Elena Hernández"/>
    <d v="2025-12-31T00:00:00"/>
    <n v="0"/>
    <x v="1"/>
    <x v="3"/>
    <d v="2023-10-25T00:00:00"/>
    <d v="2024-01-19T00:00:00"/>
    <n v="14"/>
    <x v="2"/>
    <n v="9"/>
    <n v="5"/>
    <n v="27106"/>
    <n v="3625.91"/>
    <n v="14309.38"/>
  </r>
  <r>
    <s v="4370"/>
    <s v="Carlos Hernández"/>
    <d v="2004-01-01T00:00:00"/>
    <n v="22"/>
    <x v="1"/>
    <x v="6"/>
    <d v="2024-11-07T00:00:00"/>
    <d v="2024-01-05T00:00:00"/>
    <n v="1"/>
    <x v="0"/>
    <n v="4"/>
    <n v="5"/>
    <n v="15192.2"/>
    <n v="4507.5200000000004"/>
    <n v="3545.98"/>
  </r>
  <r>
    <s v="4371"/>
    <s v="Jorge Martínez"/>
    <d v="1988-01-01T00:00:00"/>
    <n v="38"/>
    <x v="1"/>
    <x v="5"/>
    <d v="2023-11-08T00:00:00"/>
    <d v="2023-03-16T00:00:00"/>
    <n v="34"/>
    <x v="0"/>
    <n v="13"/>
    <n v="4"/>
    <n v="1058.24"/>
    <n v="143.35"/>
    <n v="46.58"/>
  </r>
  <r>
    <s v="4372"/>
    <s v="Ricardo Gómez"/>
    <d v="1969-12-31T00:00:00"/>
    <n v="56"/>
    <x v="1"/>
    <x v="4"/>
    <d v="2024-08-05T00:00:00"/>
    <d v="2023-09-27T00:00:00"/>
    <n v="30"/>
    <x v="1"/>
    <n v="8"/>
    <n v="4"/>
    <n v="17722.830000000002"/>
    <n v="1733.71"/>
    <n v="19640.82"/>
  </r>
  <r>
    <s v="4373"/>
    <s v="Laura Martínez"/>
    <d v="1945-12-31T00:00:00"/>
    <n v="80"/>
    <x v="0"/>
    <x v="1"/>
    <d v="2023-02-24T00:00:00"/>
    <d v="2023-01-16T00:00:00"/>
    <n v="16"/>
    <x v="1"/>
    <n v="10"/>
    <n v="3"/>
    <n v="9689.85"/>
    <n v="5176.79"/>
    <n v="12547.24"/>
  </r>
  <r>
    <s v="4374"/>
    <s v="Luis Cruz"/>
    <d v="1992-12-31T00:00:00"/>
    <n v="33"/>
    <x v="0"/>
    <x v="5"/>
    <d v="2024-11-24T00:00:00"/>
    <d v="2023-11-26T00:00:00"/>
    <n v="23"/>
    <x v="0"/>
    <n v="2"/>
    <n v="6"/>
    <n v="5806.38"/>
    <n v="10276.629999999999"/>
    <n v="9489.19"/>
  </r>
  <r>
    <s v="4375"/>
    <s v="Carmen Sánchez"/>
    <d v="1985-12-31T00:00:00"/>
    <n v="40"/>
    <x v="2"/>
    <x v="5"/>
    <d v="2024-06-17T00:00:00"/>
    <d v="2025-03-06T00:00:00"/>
    <n v="8"/>
    <x v="2"/>
    <n v="3"/>
    <n v="2"/>
    <n v="5066.28"/>
    <n v="4383.0600000000004"/>
    <n v="18887.59"/>
  </r>
  <r>
    <s v="4376"/>
    <s v="Jorge Ramírez"/>
    <d v="1973-01-01T00:00:00"/>
    <n v="92"/>
    <x v="0"/>
    <x v="1"/>
    <d v="2023-04-15T00:00:00"/>
    <d v="2024-01-28T00:00:00"/>
    <n v="28"/>
    <x v="2"/>
    <n v="6"/>
    <n v="4"/>
    <n v="16557.560000000001"/>
    <n v="1130.96"/>
    <n v="7321.07"/>
  </r>
  <r>
    <s v="4377"/>
    <s v="Laura Rodríguez"/>
    <d v="1953-12-31T00:00:00"/>
    <n v="72"/>
    <x v="1"/>
    <x v="0"/>
    <d v="2023-06-24T00:00:00"/>
    <d v="2024-12-11T00:00:00"/>
    <n v="2"/>
    <x v="0"/>
    <n v="10"/>
    <n v="2"/>
    <n v="2686.48"/>
    <n v="10963.02"/>
    <n v="14423.31"/>
  </r>
  <r>
    <s v="4378"/>
    <s v="Miguel López"/>
    <d v="2013-12-31T00:00:00"/>
    <n v="12"/>
    <x v="1"/>
    <x v="4"/>
    <d v="2023-10-21T00:00:00"/>
    <d v="2024-03-10T00:00:00"/>
    <n v="37"/>
    <x v="1"/>
    <n v="1"/>
    <n v="7"/>
    <n v="24560.16"/>
    <n v="7001.48"/>
    <n v="13369.3"/>
  </r>
  <r>
    <s v="4379"/>
    <s v="José Rodríguez"/>
    <d v="1956-12-31T00:00:00"/>
    <n v="69"/>
    <x v="2"/>
    <x v="4"/>
    <d v="2024-07-04T00:00:00"/>
    <d v="2023-12-11T00:00:00"/>
    <n v="33"/>
    <x v="1"/>
    <n v="1"/>
    <n v="4"/>
    <n v="6432.45"/>
    <n v="7787.96"/>
    <n v="13508.13"/>
  </r>
  <r>
    <s v="4380"/>
    <s v="Carmen Cruz"/>
    <d v="2020-12-31T00:00:00"/>
    <n v="5"/>
    <x v="1"/>
    <x v="2"/>
    <d v="2024-01-10T00:00:00"/>
    <d v="2023-07-15T00:00:00"/>
    <n v="26"/>
    <x v="1"/>
    <n v="8"/>
    <n v="9"/>
    <n v="16253.37"/>
    <n v="4890.38"/>
    <n v="13510.37"/>
  </r>
  <r>
    <s v="4381"/>
    <s v="Pedro Hernández"/>
    <d v="1943-01-01T00:00:00"/>
    <n v="83"/>
    <x v="1"/>
    <x v="6"/>
    <d v="2024-03-25T00:00:00"/>
    <d v="2023-02-06T00:00:00"/>
    <n v="22"/>
    <x v="0"/>
    <n v="2"/>
    <n v="5"/>
    <n v="3326.54"/>
    <n v="9195.66"/>
    <n v="109.59"/>
  </r>
  <r>
    <s v="4382"/>
    <s v="Ana Ramírez"/>
    <d v="1975-01-01T00:00:00"/>
    <n v="51"/>
    <x v="0"/>
    <x v="1"/>
    <d v="2024-03-20T00:00:00"/>
    <d v="2023-07-25T00:00:00"/>
    <n v="15"/>
    <x v="2"/>
    <n v="11"/>
    <n v="0"/>
    <n v="25718.69"/>
    <n v="13361.69"/>
    <n v="16468.47"/>
  </r>
  <r>
    <s v="4383"/>
    <s v="Elena Rodríguez"/>
    <d v="2024-01-01T00:00:00"/>
    <n v="2"/>
    <x v="0"/>
    <x v="5"/>
    <d v="2023-03-01T00:00:00"/>
    <d v="2025-03-31T00:00:00"/>
    <n v="0"/>
    <x v="1"/>
    <n v="12"/>
    <n v="3"/>
    <n v="20608.669999999998"/>
    <n v="8306.3799999999992"/>
    <n v="18451.37"/>
  </r>
  <r>
    <s v="4384"/>
    <s v="Miguel Sánchez"/>
    <d v="1945-12-31T00:00:00"/>
    <n v="84"/>
    <x v="1"/>
    <x v="6"/>
    <d v="2024-01-27T00:00:00"/>
    <d v="2024-10-13T00:00:00"/>
    <n v="15"/>
    <x v="0"/>
    <n v="8"/>
    <n v="8"/>
    <n v="5798.92"/>
    <n v="8812.74"/>
    <n v="8931.92"/>
  </r>
  <r>
    <s v="4385"/>
    <s v="Juan Rodríguez"/>
    <d v="1964-01-01T00:00:00"/>
    <n v="40"/>
    <x v="0"/>
    <x v="6"/>
    <d v="2024-01-25T00:00:00"/>
    <d v="2025-02-15T00:00:00"/>
    <n v="4"/>
    <x v="0"/>
    <n v="1"/>
    <n v="4"/>
    <n v="21330.09"/>
    <n v="5603.44"/>
    <n v="11165.72"/>
  </r>
  <r>
    <s v="4386"/>
    <s v="Carmen Martínez"/>
    <d v="1977-12-31T00:00:00"/>
    <n v="48"/>
    <x v="2"/>
    <x v="0"/>
    <d v="2023-07-31T00:00:00"/>
    <d v="2023-02-27T00:00:00"/>
    <n v="25"/>
    <x v="2"/>
    <n v="3"/>
    <n v="0"/>
    <n v="2028.45"/>
    <n v="1239.46"/>
    <n v="6426.78"/>
  </r>
  <r>
    <s v="4387"/>
    <s v="Luis Morales"/>
    <d v="1951-01-01T00:00:00"/>
    <n v="75"/>
    <x v="1"/>
    <x v="5"/>
    <d v="2024-10-28T00:00:00"/>
    <d v="2023-04-21T00:00:00"/>
    <n v="14"/>
    <x v="0"/>
    <n v="9"/>
    <n v="3"/>
    <n v="23052.61"/>
    <n v="6428.12"/>
    <n v="15679.95"/>
  </r>
  <r>
    <s v="4388"/>
    <s v="Ricardo Gómez"/>
    <d v="1980-01-01T00:00:00"/>
    <n v="46"/>
    <x v="0"/>
    <x v="3"/>
    <d v="2024-11-15T00:00:00"/>
    <d v="2024-11-17T00:00:00"/>
    <n v="22"/>
    <x v="1"/>
    <n v="8"/>
    <n v="5"/>
    <n v="14455.58"/>
    <n v="13869.59"/>
    <n v="14705.69"/>
  </r>
  <r>
    <s v="4389"/>
    <s v="Miguel Sánchez"/>
    <d v="1972-01-01T00:00:00"/>
    <n v="54"/>
    <x v="1"/>
    <x v="6"/>
    <d v="2024-06-18T00:00:00"/>
    <d v="2024-05-11T00:00:00"/>
    <n v="15"/>
    <x v="0"/>
    <n v="6"/>
    <n v="6"/>
    <n v="3165.6"/>
    <n v="10203.23"/>
    <n v="14743.87"/>
  </r>
  <r>
    <s v="4390"/>
    <s v="Luis Ramírez"/>
    <d v="1963-01-01T00:00:00"/>
    <n v="63"/>
    <x v="0"/>
    <x v="5"/>
    <d v="2023-08-28T00:00:00"/>
    <d v="2024-12-19T00:00:00"/>
    <n v="37"/>
    <x v="2"/>
    <n v="1"/>
    <n v="6"/>
    <n v="16289.59"/>
    <n v="7353.3"/>
    <n v="14671.95"/>
  </r>
  <r>
    <s v="4391"/>
    <s v="Laura Ramírez"/>
    <d v="1961-12-31T00:00:00"/>
    <n v="64"/>
    <x v="0"/>
    <x v="4"/>
    <d v="2024-05-02T00:00:00"/>
    <d v="2023-08-14T00:00:00"/>
    <n v="0"/>
    <x v="1"/>
    <n v="3"/>
    <n v="7"/>
    <n v="5626.42"/>
    <n v="9313.25"/>
    <n v="4292.7299999999996"/>
  </r>
  <r>
    <s v="4392"/>
    <s v="Ricardo Martínez"/>
    <d v="1945-12-31T00:00:00"/>
    <n v="80"/>
    <x v="2"/>
    <x v="6"/>
    <d v="2024-12-21T00:00:00"/>
    <d v="2024-01-22T00:00:00"/>
    <n v="22"/>
    <x v="2"/>
    <n v="12"/>
    <n v="4"/>
    <n v="20019.57"/>
    <n v="8378.0499999999993"/>
    <n v="2161.71"/>
  </r>
  <r>
    <s v="4393"/>
    <s v="Pedro Cruz"/>
    <d v="1960-01-01T00:00:00"/>
    <n v="66"/>
    <x v="1"/>
    <x v="0"/>
    <d v="2023-05-02T00:00:00"/>
    <d v="2023-03-06T00:00:00"/>
    <n v="4"/>
    <x v="0"/>
    <n v="3"/>
    <n v="5"/>
    <n v="21112.9"/>
    <n v="13686.05"/>
    <n v="6146.16"/>
  </r>
  <r>
    <s v="4394"/>
    <s v="Ana López"/>
    <d v="1936-12-31T00:00:00"/>
    <n v="89"/>
    <x v="1"/>
    <x v="0"/>
    <d v="2023-09-10T00:00:00"/>
    <d v="2025-02-03T00:00:00"/>
    <n v="7"/>
    <x v="0"/>
    <n v="0"/>
    <n v="1"/>
    <n v="22705.62"/>
    <n v="3357.72"/>
    <n v="11465.12"/>
  </r>
  <r>
    <s v="4395"/>
    <s v="Pedro Pérez"/>
    <d v="2012-01-01T00:00:00"/>
    <n v="14"/>
    <x v="1"/>
    <x v="3"/>
    <d v="2023-05-21T00:00:00"/>
    <d v="2025-02-18T00:00:00"/>
    <n v="16"/>
    <x v="1"/>
    <n v="11"/>
    <n v="9"/>
    <n v="26793.55"/>
    <n v="13330.29"/>
    <n v="7930.42"/>
  </r>
  <r>
    <s v="4396"/>
    <s v="Laura López"/>
    <d v="1995-01-01T00:00:00"/>
    <n v="31"/>
    <x v="0"/>
    <x v="0"/>
    <d v="2024-03-27T00:00:00"/>
    <d v="2023-12-19T00:00:00"/>
    <n v="12"/>
    <x v="2"/>
    <n v="3"/>
    <n v="1"/>
    <n v="19475.66"/>
    <n v="10327.06"/>
    <n v="4909.84"/>
  </r>
  <r>
    <s v="4397"/>
    <s v="José López"/>
    <d v="1959-01-01T00:00:00"/>
    <n v="67"/>
    <x v="1"/>
    <x v="5"/>
    <d v="2023-06-02T00:00:00"/>
    <d v="2024-04-08T00:00:00"/>
    <n v="18"/>
    <x v="0"/>
    <n v="6"/>
    <n v="2"/>
    <n v="14498.96"/>
    <n v="1916.2"/>
    <n v="348"/>
  </r>
  <r>
    <s v="4398"/>
    <s v="José Martínez"/>
    <d v="2008-12-31T00:00:00"/>
    <n v="17"/>
    <x v="1"/>
    <x v="1"/>
    <d v="2024-12-26T00:00:00"/>
    <d v="2025-04-24T00:00:00"/>
    <n v="18"/>
    <x v="2"/>
    <n v="8"/>
    <n v="3"/>
    <n v="25553.88"/>
    <n v="5578.57"/>
    <n v="2334.7800000000002"/>
  </r>
  <r>
    <s v="4399"/>
    <s v="Ricardo Cruz"/>
    <d v="1944-01-01T00:00:00"/>
    <n v="82"/>
    <x v="1"/>
    <x v="0"/>
    <d v="2023-11-04T00:00:00"/>
    <d v="2023-11-17T00:00:00"/>
    <n v="34"/>
    <x v="2"/>
    <n v="5"/>
    <n v="5"/>
    <n v="26945.24"/>
    <n v="6544.48"/>
    <n v="2017.17"/>
  </r>
  <r>
    <s v="4400"/>
    <s v="Miguel Cruz"/>
    <d v="1984-01-01T00:00:00"/>
    <n v="42"/>
    <x v="1"/>
    <x v="1"/>
    <d v="2024-07-13T00:00:00"/>
    <d v="2023-12-24T00:00:00"/>
    <n v="25"/>
    <x v="0"/>
    <n v="10"/>
    <n v="5"/>
    <n v="23343.48"/>
    <n v="1244"/>
    <n v="19128.45"/>
  </r>
  <r>
    <s v="4401"/>
    <s v="Ana López"/>
    <d v="1992-01-01T00:00:00"/>
    <n v="34"/>
    <x v="1"/>
    <x v="3"/>
    <d v="2023-11-13T00:00:00"/>
    <d v="2023-04-04T00:00:00"/>
    <n v="29"/>
    <x v="1"/>
    <n v="0"/>
    <n v="2"/>
    <n v="28244.06"/>
    <n v="8312.99"/>
    <n v="15554.38"/>
  </r>
  <r>
    <s v="4402"/>
    <s v="Jorge Sánchez"/>
    <d v="1948-12-31T00:00:00"/>
    <n v="77"/>
    <x v="0"/>
    <x v="4"/>
    <d v="2024-06-12T00:00:00"/>
    <d v="2024-11-26T00:00:00"/>
    <n v="38"/>
    <x v="1"/>
    <n v="11"/>
    <n v="0"/>
    <n v="29372.74"/>
    <n v="3890.46"/>
    <n v="2367.31"/>
  </r>
  <r>
    <s v="4403"/>
    <s v="Miguel López"/>
    <d v="1968-12-31T00:00:00"/>
    <n v="57"/>
    <x v="1"/>
    <x v="2"/>
    <d v="2023-10-23T00:00:00"/>
    <d v="2023-10-28T00:00:00"/>
    <n v="24"/>
    <x v="2"/>
    <n v="12"/>
    <n v="2"/>
    <n v="0"/>
    <n v="6871.92"/>
    <n v="9290.93"/>
  </r>
  <r>
    <s v="4404"/>
    <s v="María Gómez"/>
    <d v="1993-12-31T00:00:00"/>
    <n v="32"/>
    <x v="1"/>
    <x v="6"/>
    <d v="2023-12-11T00:00:00"/>
    <d v="2024-12-27T00:00:00"/>
    <n v="20"/>
    <x v="0"/>
    <n v="4"/>
    <n v="3"/>
    <n v="5102.6899999999996"/>
    <n v="6581.52"/>
    <n v="13055.17"/>
  </r>
  <r>
    <s v="4405"/>
    <s v="Juan Martínez"/>
    <d v="2012-12-31T00:00:00"/>
    <n v="13"/>
    <x v="0"/>
    <x v="6"/>
    <d v="2024-08-03T00:00:00"/>
    <d v="2024-05-09T00:00:00"/>
    <n v="7"/>
    <x v="2"/>
    <n v="14"/>
    <n v="8"/>
    <n v="13182.07"/>
    <n v="7825.11"/>
    <n v="19216.77"/>
  </r>
  <r>
    <s v="4406"/>
    <s v="Laura Hernández"/>
    <d v="1992-12-31T00:00:00"/>
    <n v="33"/>
    <x v="0"/>
    <x v="5"/>
    <d v="2024-08-19T00:00:00"/>
    <d v="2024-10-16T00:00:00"/>
    <n v="37"/>
    <x v="1"/>
    <n v="8"/>
    <n v="9"/>
    <n v="29906.26"/>
    <n v="12693.11"/>
    <n v="5306.17"/>
  </r>
  <r>
    <s v="4407"/>
    <s v="Sofía Martínez"/>
    <d v="1965-12-31T00:00:00"/>
    <n v="60"/>
    <x v="1"/>
    <x v="3"/>
    <d v="2023-10-09T00:00:00"/>
    <d v="2024-08-18T00:00:00"/>
    <n v="38"/>
    <x v="1"/>
    <n v="11"/>
    <n v="7"/>
    <n v="2198.44"/>
    <n v="11711.42"/>
    <n v="5207.34"/>
  </r>
  <r>
    <s v="4408"/>
    <s v="Elena Hernández"/>
    <d v="2023-01-01T00:00:00"/>
    <n v="3"/>
    <x v="1"/>
    <x v="3"/>
    <d v="2023-07-27T00:00:00"/>
    <d v="2024-01-25T00:00:00"/>
    <n v="3"/>
    <x v="2"/>
    <n v="9"/>
    <n v="3"/>
    <n v="0"/>
    <n v="13095.02"/>
    <n v="11321.98"/>
  </r>
  <r>
    <s v="4409"/>
    <s v="José Rodríguez"/>
    <d v="1939-01-01T00:00:00"/>
    <n v="88"/>
    <x v="0"/>
    <x v="3"/>
    <d v="2024-07-05T00:00:00"/>
    <d v="2024-09-03T00:00:00"/>
    <n v="21"/>
    <x v="2"/>
    <n v="9"/>
    <n v="6"/>
    <n v="25450.49"/>
    <n v="8585.2099999999991"/>
    <n v="17133.29"/>
  </r>
  <r>
    <s v="4410"/>
    <s v="Jorge López"/>
    <d v="1968-01-01T00:00:00"/>
    <n v="58"/>
    <x v="1"/>
    <x v="6"/>
    <d v="2023-04-06T00:00:00"/>
    <d v="2025-03-04T00:00:00"/>
    <n v="15"/>
    <x v="2"/>
    <n v="1"/>
    <n v="8"/>
    <n v="29891.65"/>
    <n v="9237.08"/>
    <n v="5520.39"/>
  </r>
  <r>
    <s v="4411"/>
    <s v="Juan López"/>
    <d v="1997-12-31T00:00:00"/>
    <n v="28"/>
    <x v="0"/>
    <x v="0"/>
    <d v="2024-03-27T00:00:00"/>
    <d v="2024-03-10T00:00:00"/>
    <n v="7"/>
    <x v="1"/>
    <n v="13"/>
    <n v="1"/>
    <n v="18401.23"/>
    <n v="6457.3"/>
    <n v="2429.09"/>
  </r>
  <r>
    <s v="4412"/>
    <s v="Juan Martínez"/>
    <d v="1944-01-01T00:00:00"/>
    <n v="82"/>
    <x v="1"/>
    <x v="6"/>
    <d v="2024-01-08T00:00:00"/>
    <d v="2023-04-13T00:00:00"/>
    <n v="12"/>
    <x v="2"/>
    <n v="14"/>
    <n v="2"/>
    <n v="11092.88"/>
    <n v="10758.29"/>
    <n v="5249.22"/>
  </r>
  <r>
    <s v="4413"/>
    <s v="Carmen Sánchez"/>
    <d v="2020-12-31T00:00:00"/>
    <n v="5"/>
    <x v="1"/>
    <x v="6"/>
    <d v="2024-10-09T00:00:00"/>
    <d v="2025-04-21T00:00:00"/>
    <n v="31"/>
    <x v="2"/>
    <n v="8"/>
    <n v="0"/>
    <n v="4578.0600000000004"/>
    <n v="3073.43"/>
    <n v="8926.25"/>
  </r>
  <r>
    <s v="4414"/>
    <s v="Pedro Martínez"/>
    <d v="1977-12-31T00:00:00"/>
    <n v="48"/>
    <x v="1"/>
    <x v="6"/>
    <d v="2023-03-14T00:00:00"/>
    <d v="2024-01-14T00:00:00"/>
    <n v="5"/>
    <x v="0"/>
    <n v="8"/>
    <n v="7"/>
    <n v="29443.74"/>
    <n v="7127.75"/>
    <n v="7135.06"/>
  </r>
  <r>
    <s v="4415"/>
    <s v="Ricardo Morales"/>
    <d v="1987-01-01T00:00:00"/>
    <n v="39"/>
    <x v="0"/>
    <x v="4"/>
    <d v="2024-11-11T00:00:00"/>
    <d v="2024-08-06T00:00:00"/>
    <n v="32"/>
    <x v="1"/>
    <n v="1"/>
    <n v="1"/>
    <n v="27688.2"/>
    <n v="10712.6"/>
    <n v="17210.38"/>
  </r>
  <r>
    <s v="4416"/>
    <s v="María Hernández"/>
    <d v="1944-01-01T00:00:00"/>
    <n v="82"/>
    <x v="0"/>
    <x v="4"/>
    <d v="2023-11-29T00:00:00"/>
    <d v="2025-06-04T00:00:00"/>
    <n v="24"/>
    <x v="2"/>
    <n v="9"/>
    <n v="6"/>
    <n v="24037.82"/>
    <n v="11668.18"/>
    <n v="18853.2"/>
  </r>
  <r>
    <s v="4417"/>
    <s v="Juan Ramírez"/>
    <d v="1961-12-31T00:00:00"/>
    <n v="64"/>
    <x v="1"/>
    <x v="0"/>
    <d v="2024-01-28T00:00:00"/>
    <d v="2023-12-05T00:00:00"/>
    <n v="22"/>
    <x v="0"/>
    <n v="9"/>
    <n v="6"/>
    <n v="28285.13"/>
    <n v="3719.25"/>
    <n v="7506.84"/>
  </r>
  <r>
    <s v="4418"/>
    <s v="Carmen López"/>
    <d v="1957-12-31T00:00:00"/>
    <n v="68"/>
    <x v="0"/>
    <x v="2"/>
    <d v="2024-12-10T00:00:00"/>
    <d v="2025-06-17T00:00:00"/>
    <n v="0"/>
    <x v="1"/>
    <n v="14"/>
    <n v="2"/>
    <n v="1356.06"/>
    <n v="2723.23"/>
    <n v="16450.77"/>
  </r>
  <r>
    <s v="4419"/>
    <s v="Luis Hernández"/>
    <d v="2000-01-01T00:00:00"/>
    <n v="26"/>
    <x v="1"/>
    <x v="5"/>
    <d v="2023-04-16T00:00:00"/>
    <d v="2025-06-03T00:00:00"/>
    <n v="18"/>
    <x v="2"/>
    <n v="4"/>
    <n v="1"/>
    <n v="18760.53"/>
    <n v="4328.01"/>
    <n v="1279.0899999999999"/>
  </r>
  <r>
    <s v="4420"/>
    <s v="Carmen Pérez"/>
    <d v="1947-01-01T00:00:00"/>
    <n v="79"/>
    <x v="1"/>
    <x v="2"/>
    <d v="2023-04-11T00:00:00"/>
    <d v="2025-02-17T00:00:00"/>
    <n v="36"/>
    <x v="2"/>
    <n v="12"/>
    <n v="2"/>
    <n v="7881.29"/>
    <n v="13802.33"/>
    <n v="11029.44"/>
  </r>
  <r>
    <s v="4421"/>
    <s v="Sofía Morales"/>
    <d v="2020-12-31T00:00:00"/>
    <n v="5"/>
    <x v="0"/>
    <x v="2"/>
    <d v="2023-12-25T00:00:00"/>
    <d v="2024-05-07T00:00:00"/>
    <n v="29"/>
    <x v="0"/>
    <n v="7"/>
    <n v="7"/>
    <n v="22850.560000000001"/>
    <n v="1936.81"/>
    <n v="16617.240000000002"/>
  </r>
  <r>
    <s v="4422"/>
    <s v="Ana Sánchez"/>
    <d v="2013-12-31T00:00:00"/>
    <n v="12"/>
    <x v="1"/>
    <x v="6"/>
    <d v="2023-11-25T00:00:00"/>
    <d v="2024-10-04T00:00:00"/>
    <n v="18"/>
    <x v="0"/>
    <n v="1"/>
    <n v="8"/>
    <n v="2419.36"/>
    <n v="14296.43"/>
    <n v="8314.33"/>
  </r>
  <r>
    <s v="4423"/>
    <s v="Luis Sánchez"/>
    <d v="1963-01-01T00:00:00"/>
    <n v="63"/>
    <x v="0"/>
    <x v="2"/>
    <d v="2024-09-09T00:00:00"/>
    <d v="2023-03-02T00:00:00"/>
    <n v="6"/>
    <x v="1"/>
    <n v="10"/>
    <n v="7"/>
    <n v="7390.96"/>
    <n v="14922.19"/>
    <n v="2783.02"/>
  </r>
  <r>
    <s v="4424"/>
    <s v="Laura Pérez"/>
    <d v="1964-12-31T00:00:00"/>
    <n v="61"/>
    <x v="0"/>
    <x v="6"/>
    <d v="2024-01-30T00:00:00"/>
    <d v="2025-03-24T00:00:00"/>
    <n v="2"/>
    <x v="0"/>
    <n v="4"/>
    <n v="1"/>
    <n v="25432.69"/>
    <n v="11751.66"/>
    <n v="5610.21"/>
  </r>
  <r>
    <s v="4425"/>
    <s v="Pedro López"/>
    <d v="2008-01-01T00:00:00"/>
    <n v="18"/>
    <x v="0"/>
    <x v="6"/>
    <d v="2023-02-04T00:00:00"/>
    <d v="2024-05-24T00:00:00"/>
    <n v="1"/>
    <x v="0"/>
    <n v="0"/>
    <n v="8"/>
    <n v="22358.13"/>
    <n v="11406.34"/>
    <n v="9787.34"/>
  </r>
  <r>
    <s v="4426"/>
    <s v="María Hernández"/>
    <d v="1951-01-01T00:00:00"/>
    <n v="75"/>
    <x v="0"/>
    <x v="5"/>
    <d v="2023-06-06T00:00:00"/>
    <d v="2024-01-28T00:00:00"/>
    <n v="1"/>
    <x v="1"/>
    <n v="7"/>
    <n v="5"/>
    <n v="29756.67"/>
    <n v="14299.3"/>
    <n v="16854.3"/>
  </r>
  <r>
    <s v="4427"/>
    <s v="María Martínez"/>
    <d v="1947-01-01T00:00:00"/>
    <n v="79"/>
    <x v="1"/>
    <x v="3"/>
    <d v="2023-09-30T00:00:00"/>
    <d v="2023-04-30T00:00:00"/>
    <n v="23"/>
    <x v="0"/>
    <n v="11"/>
    <n v="1"/>
    <n v="0"/>
    <n v="4358.03"/>
    <n v="14946.81"/>
  </r>
  <r>
    <s v="4428"/>
    <s v="María Rodríguez"/>
    <d v="1984-01-01T00:00:00"/>
    <n v="42"/>
    <x v="1"/>
    <x v="6"/>
    <d v="2024-01-31T00:00:00"/>
    <d v="2025-02-14T00:00:00"/>
    <n v="31"/>
    <x v="2"/>
    <n v="0"/>
    <n v="8"/>
    <n v="8743.7900000000009"/>
    <n v="1934.73"/>
    <n v="1579.87"/>
  </r>
  <r>
    <s v="4429"/>
    <s v="Carmen Hernández"/>
    <d v="1952-12-31T00:00:00"/>
    <n v="73"/>
    <x v="1"/>
    <x v="4"/>
    <d v="2023-07-26T00:00:00"/>
    <d v="2024-04-16T00:00:00"/>
    <n v="24"/>
    <x v="2"/>
    <n v="10"/>
    <n v="4"/>
    <n v="16210.45"/>
    <n v="12346.51"/>
    <n v="10877.76"/>
  </r>
  <r>
    <s v="4430"/>
    <s v="Juan Hernández"/>
    <d v="1937-12-31T00:00:00"/>
    <n v="88"/>
    <x v="1"/>
    <x v="2"/>
    <d v="2024-08-27T00:00:00"/>
    <d v="2023-11-25T00:00:00"/>
    <n v="12"/>
    <x v="0"/>
    <n v="1"/>
    <n v="5"/>
    <n v="28290.98"/>
    <n v="2563.9499999999998"/>
    <n v="17434.25"/>
  </r>
  <r>
    <s v="4431"/>
    <s v="Carlos Ramírez"/>
    <d v="2007-01-01T00:00:00"/>
    <n v="19"/>
    <x v="0"/>
    <x v="5"/>
    <d v="2024-09-12T00:00:00"/>
    <d v="2023-01-22T00:00:00"/>
    <n v="29"/>
    <x v="2"/>
    <n v="10"/>
    <n v="0"/>
    <n v="19378.79"/>
    <n v="681.15"/>
    <n v="11499.92"/>
  </r>
  <r>
    <s v="4432"/>
    <s v="María Hernández"/>
    <d v="1932-01-01T00:00:00"/>
    <n v="94"/>
    <x v="1"/>
    <x v="1"/>
    <d v="2023-11-02T00:00:00"/>
    <d v="2023-04-08T00:00:00"/>
    <n v="38"/>
    <x v="0"/>
    <n v="0"/>
    <n v="1"/>
    <n v="26385.72"/>
    <n v="2946.92"/>
    <n v="1205.24"/>
  </r>
  <r>
    <s v="4433"/>
    <s v="Pedro Pérez"/>
    <d v="1959-01-01T00:00:00"/>
    <n v="67"/>
    <x v="0"/>
    <x v="1"/>
    <d v="2024-09-17T00:00:00"/>
    <d v="2025-03-26T00:00:00"/>
    <n v="4"/>
    <x v="1"/>
    <n v="9"/>
    <n v="0"/>
    <n v="198.05"/>
    <n v="6568.6"/>
    <n v="16444.72"/>
  </r>
  <r>
    <s v="4434"/>
    <s v="Carmen Cruz"/>
    <d v="1983-01-01T00:00:00"/>
    <n v="43"/>
    <x v="1"/>
    <x v="1"/>
    <d v="2024-06-19T00:00:00"/>
    <d v="2024-05-28T00:00:00"/>
    <n v="11"/>
    <x v="1"/>
    <n v="2"/>
    <n v="3"/>
    <n v="10771.3"/>
    <n v="7426.53"/>
    <n v="18126.07"/>
  </r>
  <r>
    <s v="4435"/>
    <s v="Luis Martínez"/>
    <d v="2004-01-01T00:00:00"/>
    <n v="22"/>
    <x v="0"/>
    <x v="2"/>
    <d v="2024-04-06T00:00:00"/>
    <d v="2024-12-16T00:00:00"/>
    <n v="20"/>
    <x v="1"/>
    <n v="2"/>
    <n v="1"/>
    <n v="28026.87"/>
    <n v="937.53"/>
    <n v="7722.7"/>
  </r>
  <r>
    <s v="4436"/>
    <s v="Elena Martínez"/>
    <d v="2024-12-31T00:00:00"/>
    <n v="1"/>
    <x v="0"/>
    <x v="3"/>
    <d v="2023-09-09T00:00:00"/>
    <d v="2024-10-02T00:00:00"/>
    <n v="2"/>
    <x v="2"/>
    <n v="8"/>
    <n v="0"/>
    <n v="698.33"/>
    <n v="6650.92"/>
    <n v="6133.75"/>
  </r>
  <r>
    <s v="4437"/>
    <s v="José Gómez"/>
    <d v="2004-12-31T00:00:00"/>
    <n v="21"/>
    <x v="0"/>
    <x v="0"/>
    <d v="2023-09-24T00:00:00"/>
    <d v="2023-12-17T00:00:00"/>
    <n v="29"/>
    <x v="0"/>
    <n v="1"/>
    <n v="2"/>
    <n v="15332.59"/>
    <n v="9064.61"/>
    <n v="10821.35"/>
  </r>
  <r>
    <s v="4438"/>
    <s v="José López"/>
    <d v="1969-12-31T00:00:00"/>
    <n v="56"/>
    <x v="1"/>
    <x v="3"/>
    <d v="2023-07-28T00:00:00"/>
    <d v="2023-05-13T00:00:00"/>
    <n v="38"/>
    <x v="0"/>
    <n v="6"/>
    <n v="3"/>
    <n v="10069.15"/>
    <n v="13977.1"/>
    <n v="19680.169999999998"/>
  </r>
  <r>
    <s v="4439"/>
    <s v="Pedro Cruz"/>
    <d v="1955-01-01T00:00:00"/>
    <n v="71"/>
    <x v="0"/>
    <x v="5"/>
    <d v="2024-07-20T00:00:00"/>
    <d v="2024-06-30T00:00:00"/>
    <n v="23"/>
    <x v="2"/>
    <n v="14"/>
    <n v="3"/>
    <n v="19209.23"/>
    <n v="3409.79"/>
    <n v="16733.03"/>
  </r>
  <r>
    <s v="4440"/>
    <s v="Sofía Sánchez"/>
    <d v="2020-01-01T00:00:00"/>
    <n v="6"/>
    <x v="1"/>
    <x v="3"/>
    <d v="2024-06-22T00:00:00"/>
    <d v="2024-08-22T00:00:00"/>
    <n v="6"/>
    <x v="1"/>
    <n v="3"/>
    <n v="2"/>
    <n v="4447.8"/>
    <n v="3164.56"/>
    <n v="16202.22"/>
  </r>
  <r>
    <s v="4441"/>
    <s v="Carlos Morales"/>
    <d v="1948-12-31T00:00:00"/>
    <n v="77"/>
    <x v="1"/>
    <x v="1"/>
    <d v="2024-05-17T00:00:00"/>
    <d v="2023-02-02T00:00:00"/>
    <n v="13"/>
    <x v="0"/>
    <n v="10"/>
    <n v="1"/>
    <n v="19425.66"/>
    <n v="5841.38"/>
    <n v="3782.18"/>
  </r>
  <r>
    <s v="4442"/>
    <s v="Carmen López"/>
    <d v="1971-01-01T00:00:00"/>
    <n v="55"/>
    <x v="1"/>
    <x v="3"/>
    <d v="2024-05-28T00:00:00"/>
    <d v="2023-09-17T00:00:00"/>
    <n v="28"/>
    <x v="0"/>
    <n v="6"/>
    <n v="7"/>
    <n v="0"/>
    <n v="14754.82"/>
    <n v="17892.82"/>
  </r>
  <r>
    <s v="4443"/>
    <s v="Juan Cruz"/>
    <d v="1960-01-01T00:00:00"/>
    <n v="66"/>
    <x v="0"/>
    <x v="5"/>
    <d v="2024-08-02T00:00:00"/>
    <d v="2024-04-21T00:00:00"/>
    <n v="1"/>
    <x v="0"/>
    <n v="11"/>
    <n v="9"/>
    <n v="7770.49"/>
    <n v="5043.37"/>
    <n v="11074.51"/>
  </r>
  <r>
    <s v="4444"/>
    <s v="Luis Hernández"/>
    <d v="1994-01-01T00:00:00"/>
    <n v="15"/>
    <x v="1"/>
    <x v="5"/>
    <d v="2023-05-28T00:00:00"/>
    <d v="2025-04-16T00:00:00"/>
    <n v="29"/>
    <x v="2"/>
    <n v="4"/>
    <n v="1"/>
    <n v="13573.55"/>
    <n v="658.02"/>
    <n v="18329.259999999998"/>
  </r>
  <r>
    <s v="4445"/>
    <s v="Carlos Morales"/>
    <d v="1944-01-01T00:00:00"/>
    <n v="82"/>
    <x v="0"/>
    <x v="1"/>
    <d v="2024-10-03T00:00:00"/>
    <d v="2025-04-05T00:00:00"/>
    <n v="7"/>
    <x v="0"/>
    <n v="12"/>
    <n v="4"/>
    <n v="405.83"/>
    <n v="3984.22"/>
    <n v="12999.38"/>
  </r>
  <r>
    <s v="4446"/>
    <s v="Pedro Ramírez"/>
    <d v="1976-01-01T00:00:00"/>
    <n v="50"/>
    <x v="2"/>
    <x v="4"/>
    <d v="2023-03-24T00:00:00"/>
    <d v="2025-06-01T00:00:00"/>
    <n v="22"/>
    <x v="1"/>
    <n v="0"/>
    <n v="6"/>
    <n v="12738.49"/>
    <n v="8374.52"/>
    <n v="16666.759999999998"/>
  </r>
  <r>
    <s v="4447"/>
    <s v="Juan Morales"/>
    <d v="1944-12-31T00:00:00"/>
    <n v="81"/>
    <x v="1"/>
    <x v="2"/>
    <d v="2023-02-11T00:00:00"/>
    <d v="2023-02-03T00:00:00"/>
    <n v="15"/>
    <x v="0"/>
    <n v="5"/>
    <n v="8"/>
    <n v="11882.77"/>
    <n v="6188.16"/>
    <n v="3227.07"/>
  </r>
  <r>
    <s v="4448"/>
    <s v="Jorge Martínez"/>
    <d v="1947-01-01T00:00:00"/>
    <n v="82"/>
    <x v="0"/>
    <x v="6"/>
    <d v="2023-06-05T00:00:00"/>
    <d v="2025-06-18T00:00:00"/>
    <n v="31"/>
    <x v="2"/>
    <n v="8"/>
    <n v="2"/>
    <n v="16723.57"/>
    <n v="11613.35"/>
    <n v="14101.08"/>
  </r>
  <r>
    <s v="4449"/>
    <s v="Miguel Cruz"/>
    <d v="1955-01-01T00:00:00"/>
    <n v="71"/>
    <x v="0"/>
    <x v="0"/>
    <d v="2024-10-30T00:00:00"/>
    <d v="2024-01-24T00:00:00"/>
    <n v="26"/>
    <x v="0"/>
    <n v="13"/>
    <n v="0"/>
    <n v="7331.5"/>
    <n v="9109.07"/>
    <n v="5070.7700000000004"/>
  </r>
  <r>
    <s v="4450"/>
    <s v="Jorge Hernández"/>
    <d v="2015-01-01T00:00:00"/>
    <n v="11"/>
    <x v="1"/>
    <x v="0"/>
    <d v="2024-03-28T00:00:00"/>
    <d v="2025-03-09T00:00:00"/>
    <n v="21"/>
    <x v="2"/>
    <n v="13"/>
    <n v="8"/>
    <n v="9523.9500000000007"/>
    <n v="8391.86"/>
    <n v="3294.93"/>
  </r>
  <r>
    <s v="4451"/>
    <s v="Pedro Morales"/>
    <d v="1973-12-31T00:00:00"/>
    <n v="52"/>
    <x v="0"/>
    <x v="1"/>
    <d v="2024-09-10T00:00:00"/>
    <d v="2025-04-18T00:00:00"/>
    <n v="0"/>
    <x v="0"/>
    <n v="13"/>
    <n v="0"/>
    <n v="18101.849999999999"/>
    <n v="4844.91"/>
    <n v="11437.04"/>
  </r>
  <r>
    <s v="4452"/>
    <s v="Juan Morales"/>
    <d v="1952-01-01T00:00:00"/>
    <n v="74"/>
    <x v="1"/>
    <x v="4"/>
    <d v="2023-10-11T00:00:00"/>
    <d v="2024-07-15T00:00:00"/>
    <n v="12"/>
    <x v="2"/>
    <n v="7"/>
    <n v="7"/>
    <n v="27208.48"/>
    <n v="8277.69"/>
    <n v="12015.1"/>
  </r>
  <r>
    <s v="4453"/>
    <s v="Carmen Ramírez"/>
    <d v="2021-12-31T00:00:00"/>
    <n v="4"/>
    <x v="0"/>
    <x v="0"/>
    <d v="2023-07-07T00:00:00"/>
    <d v="2025-03-09T00:00:00"/>
    <n v="0"/>
    <x v="0"/>
    <n v="5"/>
    <n v="1"/>
    <n v="6673.54"/>
    <n v="9233.86"/>
    <n v="9761.42"/>
  </r>
  <r>
    <s v="4454"/>
    <s v="Carlos Cruz"/>
    <d v="2000-01-01T00:00:00"/>
    <n v="26"/>
    <x v="1"/>
    <x v="3"/>
    <d v="2024-09-08T00:00:00"/>
    <d v="2024-04-01T00:00:00"/>
    <n v="28"/>
    <x v="0"/>
    <n v="9"/>
    <n v="6"/>
    <n v="20162.48"/>
    <n v="2688.07"/>
    <n v="1689.72"/>
  </r>
  <r>
    <s v="4455"/>
    <s v="José Martínez"/>
    <d v="2015-01-01T00:00:00"/>
    <n v="11"/>
    <x v="1"/>
    <x v="5"/>
    <d v="2024-09-15T00:00:00"/>
    <d v="2024-08-17T00:00:00"/>
    <n v="7"/>
    <x v="0"/>
    <n v="3"/>
    <n v="2"/>
    <n v="15478.44"/>
    <n v="11038.02"/>
    <n v="4819.46"/>
  </r>
  <r>
    <s v="4456"/>
    <s v="Pedro Sánchez"/>
    <d v="2009-12-31T00:00:00"/>
    <n v="16"/>
    <x v="0"/>
    <x v="4"/>
    <d v="2024-04-18T00:00:00"/>
    <d v="2023-05-25T00:00:00"/>
    <n v="35"/>
    <x v="1"/>
    <n v="14"/>
    <n v="5"/>
    <n v="2690.58"/>
    <n v="5893.99"/>
    <n v="4632.5600000000004"/>
  </r>
  <r>
    <s v="4457"/>
    <s v="Jorge Rodríguez"/>
    <d v="2020-12-31T00:00:00"/>
    <n v="5"/>
    <x v="1"/>
    <x v="5"/>
    <d v="2024-05-21T00:00:00"/>
    <d v="2025-03-03T00:00:00"/>
    <n v="19"/>
    <x v="0"/>
    <n v="2"/>
    <n v="5"/>
    <n v="16745.71"/>
    <n v="11134.14"/>
    <n v="6205.41"/>
  </r>
  <r>
    <s v="4458"/>
    <s v="María Gómez"/>
    <d v="2021-12-31T00:00:00"/>
    <n v="4"/>
    <x v="1"/>
    <x v="1"/>
    <d v="2023-05-13T00:00:00"/>
    <d v="2025-06-02T00:00:00"/>
    <n v="11"/>
    <x v="1"/>
    <n v="9"/>
    <n v="3"/>
    <n v="21118.639999999999"/>
    <n v="2665.66"/>
    <n v="12524.11"/>
  </r>
  <r>
    <s v="4459"/>
    <s v="Ricardo Martínez"/>
    <d v="1969-12-31T00:00:00"/>
    <n v="56"/>
    <x v="1"/>
    <x v="5"/>
    <d v="2023-09-28T00:00:00"/>
    <d v="2024-08-27T00:00:00"/>
    <n v="6"/>
    <x v="0"/>
    <n v="12"/>
    <n v="7"/>
    <n v="17746.740000000002"/>
    <n v="9847.81"/>
    <n v="8703.5400000000009"/>
  </r>
  <r>
    <s v="4460"/>
    <s v="Miguel Ramírez"/>
    <d v="1999-01-01T00:00:00"/>
    <n v="27"/>
    <x v="1"/>
    <x v="6"/>
    <d v="2024-09-13T00:00:00"/>
    <d v="2023-08-13T00:00:00"/>
    <n v="15"/>
    <x v="0"/>
    <n v="6"/>
    <n v="4"/>
    <n v="2684.63"/>
    <n v="403.25"/>
    <n v="19364.54"/>
  </r>
  <r>
    <s v="4461"/>
    <s v="Pedro Morales"/>
    <d v="1948-12-31T00:00:00"/>
    <n v="77"/>
    <x v="0"/>
    <x v="5"/>
    <d v="2023-03-14T00:00:00"/>
    <d v="2023-08-06T00:00:00"/>
    <n v="5"/>
    <x v="0"/>
    <n v="4"/>
    <n v="6"/>
    <n v="25563.46"/>
    <n v="2384.4899999999998"/>
    <n v="218.47"/>
  </r>
  <r>
    <s v="4462"/>
    <s v="Laura Sánchez"/>
    <d v="1957-12-31T00:00:00"/>
    <n v="68"/>
    <x v="0"/>
    <x v="5"/>
    <d v="2024-03-11T00:00:00"/>
    <d v="2023-06-06T00:00:00"/>
    <n v="35"/>
    <x v="2"/>
    <n v="11"/>
    <n v="4"/>
    <n v="750.61"/>
    <n v="13366.81"/>
    <n v="4239.66"/>
  </r>
  <r>
    <s v="4463"/>
    <s v="Elena Sánchez"/>
    <d v="1968-01-01T00:00:00"/>
    <n v="58"/>
    <x v="0"/>
    <x v="4"/>
    <d v="2023-10-20T00:00:00"/>
    <d v="2025-02-28T00:00:00"/>
    <n v="12"/>
    <x v="0"/>
    <n v="14"/>
    <n v="3"/>
    <n v="6698.14"/>
    <n v="6922.08"/>
    <n v="11425.49"/>
  </r>
  <r>
    <s v="4464"/>
    <s v="Laura Morales"/>
    <d v="1993-12-31T00:00:00"/>
    <n v="32"/>
    <x v="0"/>
    <x v="3"/>
    <d v="2024-10-16T00:00:00"/>
    <d v="2024-06-04T00:00:00"/>
    <n v="12"/>
    <x v="2"/>
    <n v="3"/>
    <n v="5"/>
    <n v="18279.150000000001"/>
    <n v="7617.94"/>
    <n v="17574.72"/>
  </r>
  <r>
    <s v="4465"/>
    <s v="Jorge Rodríguez"/>
    <d v="1964-12-31T00:00:00"/>
    <n v="61"/>
    <x v="1"/>
    <x v="2"/>
    <d v="2024-03-12T00:00:00"/>
    <d v="2023-02-06T00:00:00"/>
    <n v="3"/>
    <x v="2"/>
    <n v="5"/>
    <n v="2"/>
    <n v="6149.39"/>
    <n v="13613.67"/>
    <n v="581.53"/>
  </r>
  <r>
    <s v="4466"/>
    <s v="Ricardo Gómez"/>
    <d v="1976-12-31T00:00:00"/>
    <n v="49"/>
    <x v="1"/>
    <x v="0"/>
    <d v="2024-10-28T00:00:00"/>
    <d v="2024-09-28T00:00:00"/>
    <n v="9"/>
    <x v="2"/>
    <n v="14"/>
    <n v="5"/>
    <n v="2604.86"/>
    <n v="7274"/>
    <n v="17660.580000000002"/>
  </r>
  <r>
    <s v="4467"/>
    <s v="Elena López"/>
    <d v="2008-01-01T00:00:00"/>
    <n v="18"/>
    <x v="0"/>
    <x v="3"/>
    <d v="2024-10-22T00:00:00"/>
    <d v="2023-01-10T00:00:00"/>
    <n v="39"/>
    <x v="2"/>
    <n v="9"/>
    <n v="5"/>
    <n v="15113.51"/>
    <n v="9818.83"/>
    <n v="10096.200000000001"/>
  </r>
  <r>
    <s v="4468"/>
    <s v="Laura Pérez"/>
    <d v="1940-12-31T00:00:00"/>
    <n v="85"/>
    <x v="0"/>
    <x v="3"/>
    <d v="2023-03-01T00:00:00"/>
    <d v="2023-02-10T00:00:00"/>
    <n v="16"/>
    <x v="1"/>
    <n v="1"/>
    <n v="5"/>
    <n v="21535.03"/>
    <n v="3329.33"/>
    <n v="15688.22"/>
  </r>
  <r>
    <s v="4469"/>
    <s v="Carlos Cruz"/>
    <d v="1957-12-31T00:00:00"/>
    <n v="68"/>
    <x v="1"/>
    <x v="3"/>
    <d v="2024-08-20T00:00:00"/>
    <d v="2024-04-14T00:00:00"/>
    <n v="37"/>
    <x v="0"/>
    <n v="7"/>
    <n v="2"/>
    <n v="12028.03"/>
    <n v="1223.5999999999999"/>
    <n v="18967.900000000001"/>
  </r>
  <r>
    <s v="4470"/>
    <s v="Luisa Ramírez"/>
    <d v="1960-12-31T00:00:00"/>
    <n v="65"/>
    <x v="1"/>
    <x v="0"/>
    <d v="2024-12-04T00:00:00"/>
    <d v="2023-06-29T00:00:00"/>
    <n v="2"/>
    <x v="2"/>
    <n v="2"/>
    <n v="7"/>
    <n v="20803.060000000001"/>
    <n v="5300.28"/>
    <n v="4229.63"/>
  </r>
  <r>
    <s v="4471"/>
    <s v="Juan Ramírez"/>
    <d v="1932-12-31T00:00:00"/>
    <n v="93"/>
    <x v="0"/>
    <x v="1"/>
    <d v="2023-11-23T00:00:00"/>
    <d v="2024-10-03T00:00:00"/>
    <n v="24"/>
    <x v="1"/>
    <n v="10"/>
    <n v="3"/>
    <n v="25749.95"/>
    <n v="11980.19"/>
    <n v="11716.99"/>
  </r>
  <r>
    <s v="4472"/>
    <s v="Miguel Ramírez"/>
    <d v="1980-01-01T00:00:00"/>
    <n v="46"/>
    <x v="0"/>
    <x v="3"/>
    <d v="2023-07-01T00:00:00"/>
    <d v="2024-05-16T00:00:00"/>
    <n v="7"/>
    <x v="0"/>
    <n v="2"/>
    <n v="1"/>
    <n v="28743.3"/>
    <n v="6702.56"/>
    <n v="17661.75"/>
  </r>
  <r>
    <s v="4473"/>
    <s v="Ana Ramírez"/>
    <d v="1988-01-01T00:00:00"/>
    <n v="38"/>
    <x v="0"/>
    <x v="2"/>
    <d v="2024-03-09T00:00:00"/>
    <d v="2024-01-09T00:00:00"/>
    <n v="11"/>
    <x v="2"/>
    <n v="13"/>
    <n v="6"/>
    <n v="6614.58"/>
    <n v="2522.2600000000002"/>
    <n v="16872.650000000001"/>
  </r>
  <r>
    <s v="4474"/>
    <s v="Pedro Rodríguez"/>
    <d v="1959-01-01T00:00:00"/>
    <n v="67"/>
    <x v="1"/>
    <x v="1"/>
    <d v="2024-06-02T00:00:00"/>
    <d v="2023-03-10T00:00:00"/>
    <n v="31"/>
    <x v="2"/>
    <n v="6"/>
    <n v="7"/>
    <n v="17963.509999999998"/>
    <n v="8176.47"/>
    <n v="10371.379999999999"/>
  </r>
  <r>
    <s v="4475"/>
    <s v="Elena Morales"/>
    <d v="1993-12-31T00:00:00"/>
    <n v="32"/>
    <x v="0"/>
    <x v="5"/>
    <d v="2024-09-29T00:00:00"/>
    <d v="2024-10-28T00:00:00"/>
    <n v="12"/>
    <x v="1"/>
    <n v="4"/>
    <n v="3"/>
    <n v="7639.66"/>
    <n v="3957.61"/>
    <n v="18984.79"/>
  </r>
  <r>
    <s v="4476"/>
    <s v="María Ramírez"/>
    <d v="2013-12-31T00:00:00"/>
    <n v="12"/>
    <x v="1"/>
    <x v="2"/>
    <d v="2023-03-24T00:00:00"/>
    <d v="2024-02-29T00:00:00"/>
    <n v="26"/>
    <x v="0"/>
    <n v="12"/>
    <n v="5"/>
    <n v="26063.01"/>
    <n v="14200.02"/>
    <n v="14139.74"/>
  </r>
  <r>
    <s v="4477"/>
    <s v="Luis Martínez"/>
    <d v="1943-01-01T00:00:00"/>
    <n v="83"/>
    <x v="1"/>
    <x v="4"/>
    <d v="2023-01-28T00:00:00"/>
    <d v="2024-05-30T00:00:00"/>
    <n v="23"/>
    <x v="0"/>
    <n v="9"/>
    <n v="7"/>
    <n v="26653.78"/>
    <n v="8661.19"/>
    <n v="10434.700000000001"/>
  </r>
  <r>
    <s v="4478"/>
    <s v="Ricardo Martínez"/>
    <d v="1972-12-31T00:00:00"/>
    <n v="53"/>
    <x v="0"/>
    <x v="1"/>
    <d v="2023-09-23T00:00:00"/>
    <d v="2023-12-31T00:00:00"/>
    <n v="24"/>
    <x v="1"/>
    <n v="1"/>
    <n v="4"/>
    <n v="9325.91"/>
    <n v="14744.44"/>
    <n v="1063.8399999999999"/>
  </r>
  <r>
    <s v="4479"/>
    <s v="Laura Ramírez"/>
    <d v="2020-01-01T00:00:00"/>
    <n v="6"/>
    <x v="1"/>
    <x v="5"/>
    <d v="2023-10-10T00:00:00"/>
    <d v="2025-06-09T00:00:00"/>
    <n v="0"/>
    <x v="2"/>
    <n v="0"/>
    <n v="8"/>
    <n v="19182.97"/>
    <n v="646.09"/>
    <n v="9694.85"/>
  </r>
  <r>
    <s v="4480"/>
    <s v="Sofía Sánchez"/>
    <d v="1948-01-01T00:00:00"/>
    <n v="78"/>
    <x v="1"/>
    <x v="5"/>
    <d v="2024-02-01T00:00:00"/>
    <d v="2025-02-16T00:00:00"/>
    <n v="0"/>
    <x v="0"/>
    <n v="7"/>
    <n v="5"/>
    <n v="26574.1"/>
    <n v="173.39"/>
    <n v="8380.2000000000007"/>
  </r>
  <r>
    <s v="4481"/>
    <s v="José Ramírez"/>
    <d v="1940-01-01T00:00:00"/>
    <n v="86"/>
    <x v="2"/>
    <x v="3"/>
    <d v="2024-11-30T00:00:00"/>
    <d v="2024-03-27T00:00:00"/>
    <n v="32"/>
    <x v="1"/>
    <n v="14"/>
    <n v="5"/>
    <n v="15005.09"/>
    <n v="7156.43"/>
    <n v="6035.59"/>
  </r>
  <r>
    <s v="4482"/>
    <s v="Sofía Hernández"/>
    <d v="1971-01-01T00:00:00"/>
    <n v="13"/>
    <x v="0"/>
    <x v="3"/>
    <d v="2024-01-18T00:00:00"/>
    <d v="2024-05-31T00:00:00"/>
    <n v="32"/>
    <x v="0"/>
    <n v="4"/>
    <n v="1"/>
    <n v="21474.35"/>
    <n v="12929.99"/>
    <n v="18852.12"/>
  </r>
  <r>
    <s v="4483"/>
    <s v="Juan López"/>
    <d v="1940-01-01T00:00:00"/>
    <n v="86"/>
    <x v="0"/>
    <x v="0"/>
    <d v="2024-08-03T00:00:00"/>
    <d v="2025-02-13T00:00:00"/>
    <n v="3"/>
    <x v="2"/>
    <n v="5"/>
    <n v="6"/>
    <n v="23926.09"/>
    <n v="7866.1"/>
    <n v="18506.57"/>
  </r>
  <r>
    <s v="4484"/>
    <s v="Pedro Ramírez"/>
    <d v="2008-01-01T00:00:00"/>
    <n v="22"/>
    <x v="1"/>
    <x v="6"/>
    <d v="2023-11-15T00:00:00"/>
    <d v="2023-11-26T00:00:00"/>
    <n v="11"/>
    <x v="2"/>
    <n v="9"/>
    <n v="8"/>
    <n v="26092.83"/>
    <n v="13142.8"/>
    <n v="6679.42"/>
  </r>
  <r>
    <s v="4485"/>
    <s v="Carlos Morales"/>
    <d v="1972-12-31T00:00:00"/>
    <n v="53"/>
    <x v="1"/>
    <x v="2"/>
    <d v="2024-09-02T00:00:00"/>
    <d v="2025-03-05T00:00:00"/>
    <n v="23"/>
    <x v="0"/>
    <n v="7"/>
    <n v="4"/>
    <n v="15213.83"/>
    <n v="1958.49"/>
    <n v="8658.83"/>
  </r>
  <r>
    <s v="4486"/>
    <s v="Carlos Rodríguez"/>
    <d v="1933-12-31T00:00:00"/>
    <n v="92"/>
    <x v="0"/>
    <x v="0"/>
    <d v="2023-07-12T00:00:00"/>
    <d v="2025-06-17T00:00:00"/>
    <n v="0"/>
    <x v="2"/>
    <n v="1"/>
    <n v="4"/>
    <n v="28225.64"/>
    <n v="10489.91"/>
    <n v="15011.57"/>
  </r>
  <r>
    <s v="4487"/>
    <s v="Jorge Pérez"/>
    <d v="2007-01-01T00:00:00"/>
    <n v="19"/>
    <x v="0"/>
    <x v="0"/>
    <d v="2023-08-15T00:00:00"/>
    <d v="2024-01-06T00:00:00"/>
    <n v="30"/>
    <x v="0"/>
    <n v="3"/>
    <n v="4"/>
    <n v="18683.07"/>
    <n v="9898.16"/>
    <n v="16684.650000000001"/>
  </r>
  <r>
    <s v="4488"/>
    <s v="Laura Morales"/>
    <d v="1997-12-31T00:00:00"/>
    <n v="28"/>
    <x v="0"/>
    <x v="2"/>
    <d v="2024-03-26T00:00:00"/>
    <d v="2024-08-20T00:00:00"/>
    <n v="39"/>
    <x v="0"/>
    <n v="3"/>
    <n v="0"/>
    <n v="4127.6899999999996"/>
    <n v="8174.46"/>
    <n v="2112.58"/>
  </r>
  <r>
    <s v="4489"/>
    <s v="Juan Hernández"/>
    <d v="2003-01-01T00:00:00"/>
    <n v="23"/>
    <x v="1"/>
    <x v="1"/>
    <d v="2023-07-01T00:00:00"/>
    <d v="2025-05-04T00:00:00"/>
    <n v="10"/>
    <x v="2"/>
    <n v="8"/>
    <n v="4"/>
    <n v="18179.93"/>
    <n v="6076.57"/>
    <n v="9764.98"/>
  </r>
  <r>
    <s v="4490"/>
    <s v="Ricardo Pérez"/>
    <d v="1944-12-31T00:00:00"/>
    <n v="81"/>
    <x v="1"/>
    <x v="4"/>
    <d v="2023-11-23T00:00:00"/>
    <d v="2024-01-23T00:00:00"/>
    <n v="26"/>
    <x v="0"/>
    <n v="12"/>
    <n v="9"/>
    <n v="8603.4500000000007"/>
    <n v="9706.0300000000007"/>
    <n v="18281.54"/>
  </r>
  <r>
    <s v="4491"/>
    <s v="Luis López"/>
    <d v="1964-01-01T00:00:00"/>
    <n v="62"/>
    <x v="2"/>
    <x v="2"/>
    <d v="2024-08-27T00:00:00"/>
    <d v="2024-07-01T00:00:00"/>
    <n v="6"/>
    <x v="2"/>
    <n v="5"/>
    <n v="7"/>
    <n v="10848.6"/>
    <n v="8251.3799999999992"/>
    <n v="13258.22"/>
  </r>
  <r>
    <s v="4492"/>
    <s v="Luis Ramírez"/>
    <d v="1952-12-31T00:00:00"/>
    <n v="73"/>
    <x v="0"/>
    <x v="5"/>
    <d v="2024-10-16T00:00:00"/>
    <d v="2023-04-25T00:00:00"/>
    <n v="29"/>
    <x v="0"/>
    <n v="11"/>
    <n v="2"/>
    <n v="24170.22"/>
    <n v="4089.38"/>
    <n v="10813.62"/>
  </r>
  <r>
    <s v="4493"/>
    <s v="José Cruz"/>
    <d v="1969-12-31T00:00:00"/>
    <n v="56"/>
    <x v="1"/>
    <x v="4"/>
    <d v="2023-07-22T00:00:00"/>
    <d v="2024-07-25T00:00:00"/>
    <n v="19"/>
    <x v="0"/>
    <n v="0"/>
    <n v="8"/>
    <n v="29187.1"/>
    <n v="1569.23"/>
    <n v="14332.69"/>
  </r>
  <r>
    <s v="4494"/>
    <s v="José Cruz"/>
    <d v="2019-01-01T00:00:00"/>
    <n v="7"/>
    <x v="1"/>
    <x v="6"/>
    <d v="2024-02-06T00:00:00"/>
    <d v="2023-02-08T00:00:00"/>
    <n v="19"/>
    <x v="2"/>
    <n v="2"/>
    <n v="8"/>
    <n v="26030.55"/>
    <n v="5799.73"/>
    <n v="13194.78"/>
  </r>
  <r>
    <s v="4495"/>
    <s v="Ana Pérez"/>
    <d v="1936-12-31T00:00:00"/>
    <n v="89"/>
    <x v="0"/>
    <x v="1"/>
    <d v="2024-10-05T00:00:00"/>
    <d v="2024-06-29T00:00:00"/>
    <n v="31"/>
    <x v="0"/>
    <n v="9"/>
    <n v="5"/>
    <n v="9437.01"/>
    <n v="7686.54"/>
    <n v="18839.2"/>
  </r>
  <r>
    <s v="4496"/>
    <s v="Juan Morales"/>
    <d v="1964-12-31T00:00:00"/>
    <n v="61"/>
    <x v="1"/>
    <x v="3"/>
    <d v="2024-04-16T00:00:00"/>
    <d v="2024-01-13T00:00:00"/>
    <n v="7"/>
    <x v="1"/>
    <n v="13"/>
    <n v="3"/>
    <n v="13336.59"/>
    <n v="7627.73"/>
    <n v="18243.990000000002"/>
  </r>
  <r>
    <s v="4497"/>
    <s v="Luisa Rodríguez"/>
    <d v="1997-12-31T00:00:00"/>
    <n v="28"/>
    <x v="1"/>
    <x v="6"/>
    <d v="2024-10-07T00:00:00"/>
    <d v="2024-02-04T00:00:00"/>
    <n v="22"/>
    <x v="2"/>
    <n v="2"/>
    <n v="3"/>
    <n v="29496.68"/>
    <n v="6383.74"/>
    <n v="7895.29"/>
  </r>
  <r>
    <s v="4498"/>
    <s v="María Hernández"/>
    <d v="1952-12-31T00:00:00"/>
    <n v="73"/>
    <x v="1"/>
    <x v="6"/>
    <d v="2023-06-28T00:00:00"/>
    <d v="2023-07-23T00:00:00"/>
    <n v="9"/>
    <x v="0"/>
    <n v="10"/>
    <n v="0"/>
    <n v="27667.69"/>
    <n v="4910.33"/>
    <n v="543.59"/>
  </r>
  <r>
    <s v="4499"/>
    <s v="José Ramírez"/>
    <d v="2009-12-31T00:00:00"/>
    <n v="16"/>
    <x v="0"/>
    <x v="3"/>
    <d v="2024-11-28T00:00:00"/>
    <d v="2023-07-22T00:00:00"/>
    <n v="0"/>
    <x v="1"/>
    <n v="6"/>
    <n v="9"/>
    <n v="29296.94"/>
    <n v="5257.41"/>
    <n v="6586.8"/>
  </r>
  <r>
    <s v="4500"/>
    <s v="Luis Sánchez"/>
    <d v="1960-12-31T00:00:00"/>
    <n v="65"/>
    <x v="1"/>
    <x v="6"/>
    <d v="2023-01-18T00:00:00"/>
    <d v="2023-04-11T00:00:00"/>
    <n v="16"/>
    <x v="0"/>
    <n v="8"/>
    <n v="4"/>
    <n v="12703.98"/>
    <n v="3987.68"/>
    <n v="3978.09"/>
  </r>
  <r>
    <s v="4501"/>
    <s v="Luisa Gómez"/>
    <d v="2020-12-31T00:00:00"/>
    <n v="5"/>
    <x v="2"/>
    <x v="1"/>
    <d v="2024-04-07T00:00:00"/>
    <d v="2024-02-03T00:00:00"/>
    <n v="30"/>
    <x v="2"/>
    <n v="14"/>
    <n v="4"/>
    <n v="0"/>
    <n v="8698.6200000000008"/>
    <n v="2544.1999999999998"/>
  </r>
  <r>
    <s v="4502"/>
    <s v="Laura Pérez"/>
    <d v="1968-12-31T00:00:00"/>
    <n v="4"/>
    <x v="1"/>
    <x v="1"/>
    <d v="2024-08-31T00:00:00"/>
    <d v="2024-03-26T00:00:00"/>
    <n v="23"/>
    <x v="0"/>
    <n v="1"/>
    <n v="4"/>
    <n v="26072.13"/>
    <n v="12748.31"/>
    <n v="17747.669999999998"/>
  </r>
  <r>
    <s v="4503"/>
    <s v="Elena Cruz"/>
    <d v="1957-12-31T00:00:00"/>
    <n v="68"/>
    <x v="0"/>
    <x v="1"/>
    <d v="2024-06-29T00:00:00"/>
    <d v="2025-03-24T00:00:00"/>
    <n v="10"/>
    <x v="0"/>
    <n v="0"/>
    <n v="0"/>
    <n v="850.03"/>
    <n v="13195.35"/>
    <n v="14169.62"/>
  </r>
  <r>
    <s v="4504"/>
    <s v="Luis Martínez"/>
    <d v="1999-01-01T00:00:00"/>
    <n v="27"/>
    <x v="1"/>
    <x v="0"/>
    <d v="2024-02-07T00:00:00"/>
    <d v="2025-03-27T00:00:00"/>
    <n v="4"/>
    <x v="2"/>
    <n v="7"/>
    <n v="0"/>
    <n v="7615.68"/>
    <n v="14905.87"/>
    <n v="554.83000000000004"/>
  </r>
  <r>
    <s v="4505"/>
    <s v="Jorge Morales"/>
    <d v="1964-12-31T00:00:00"/>
    <n v="61"/>
    <x v="0"/>
    <x v="0"/>
    <d v="2024-01-28T00:00:00"/>
    <d v="2023-04-29T00:00:00"/>
    <n v="31"/>
    <x v="0"/>
    <n v="10"/>
    <n v="9"/>
    <n v="26446.26"/>
    <n v="1332.27"/>
    <n v="18387.05"/>
  </r>
  <r>
    <s v="4506"/>
    <s v="Ana Gómez"/>
    <d v="1985-12-31T00:00:00"/>
    <n v="40"/>
    <x v="2"/>
    <x v="1"/>
    <d v="2023-10-27T00:00:00"/>
    <d v="2024-02-26T00:00:00"/>
    <n v="19"/>
    <x v="1"/>
    <n v="9"/>
    <n v="1"/>
    <n v="11356.65"/>
    <n v="3213.87"/>
    <n v="18050.490000000002"/>
  </r>
  <r>
    <s v="4507"/>
    <s v="Luis Gómez"/>
    <d v="1957-12-31T00:00:00"/>
    <n v="68"/>
    <x v="0"/>
    <x v="3"/>
    <d v="2023-12-17T00:00:00"/>
    <d v="2023-09-01T00:00:00"/>
    <n v="17"/>
    <x v="0"/>
    <n v="2"/>
    <n v="0"/>
    <n v="0"/>
    <n v="10953.1"/>
    <n v="18982.72"/>
  </r>
  <r>
    <s v="4508"/>
    <s v="Jorge Ramírez"/>
    <d v="1944-12-31T00:00:00"/>
    <n v="81"/>
    <x v="0"/>
    <x v="3"/>
    <d v="2023-07-06T00:00:00"/>
    <d v="2024-06-25T00:00:00"/>
    <n v="20"/>
    <x v="1"/>
    <n v="7"/>
    <n v="7"/>
    <n v="7817.09"/>
    <n v="9678.61"/>
    <n v="16580.509999999998"/>
  </r>
  <r>
    <s v="4509"/>
    <s v="Carmen Cruz"/>
    <d v="1936-12-31T00:00:00"/>
    <n v="89"/>
    <x v="0"/>
    <x v="2"/>
    <d v="2023-12-13T00:00:00"/>
    <d v="2023-08-16T00:00:00"/>
    <n v="11"/>
    <x v="1"/>
    <n v="4"/>
    <n v="3"/>
    <n v="10949.85"/>
    <n v="2007.99"/>
    <n v="1485.43"/>
  </r>
  <r>
    <s v="4510"/>
    <s v="Sofía Hernández"/>
    <d v="1943-01-01T00:00:00"/>
    <n v="83"/>
    <x v="0"/>
    <x v="2"/>
    <d v="2024-09-14T00:00:00"/>
    <d v="2024-05-16T00:00:00"/>
    <n v="27"/>
    <x v="2"/>
    <n v="1"/>
    <n v="5"/>
    <n v="6940.87"/>
    <n v="9465.27"/>
    <n v="12418.18"/>
  </r>
  <r>
    <s v="4511"/>
    <s v="Juan Hernández"/>
    <d v="1985-12-31T00:00:00"/>
    <n v="40"/>
    <x v="0"/>
    <x v="1"/>
    <d v="2024-02-13T00:00:00"/>
    <d v="2025-05-02T00:00:00"/>
    <n v="20"/>
    <x v="0"/>
    <n v="12"/>
    <n v="7"/>
    <n v="397.42"/>
    <n v="6096.93"/>
    <n v="1570.07"/>
  </r>
  <r>
    <s v="4512"/>
    <s v="Luis López"/>
    <d v="1977-12-31T00:00:00"/>
    <n v="48"/>
    <x v="2"/>
    <x v="4"/>
    <d v="2023-03-12T00:00:00"/>
    <d v="2023-08-02T00:00:00"/>
    <n v="16"/>
    <x v="1"/>
    <n v="9"/>
    <n v="4"/>
    <n v="4764.1499999999996"/>
    <n v="14352.89"/>
    <n v="14239.27"/>
  </r>
  <r>
    <s v="4513"/>
    <s v="Jorge Hernández"/>
    <d v="1936-01-01T00:00:00"/>
    <n v="90"/>
    <x v="1"/>
    <x v="6"/>
    <d v="2023-11-23T00:00:00"/>
    <d v="2024-11-30T00:00:00"/>
    <n v="36"/>
    <x v="0"/>
    <n v="1"/>
    <n v="5"/>
    <n v="26418.54"/>
    <n v="12828.64"/>
    <n v="3859.88"/>
  </r>
  <r>
    <s v="4514"/>
    <s v="José Hernández"/>
    <d v="1977-12-31T00:00:00"/>
    <n v="48"/>
    <x v="2"/>
    <x v="6"/>
    <d v="2023-07-31T00:00:00"/>
    <d v="2023-04-24T00:00:00"/>
    <n v="38"/>
    <x v="1"/>
    <n v="5"/>
    <n v="3"/>
    <n v="1807.28"/>
    <n v="1098.6300000000001"/>
    <n v="18709.830000000002"/>
  </r>
  <r>
    <s v="4515"/>
    <s v="María Ramírez"/>
    <d v="1951-01-01T00:00:00"/>
    <n v="75"/>
    <x v="1"/>
    <x v="3"/>
    <d v="2023-11-05T00:00:00"/>
    <d v="2024-01-09T00:00:00"/>
    <n v="33"/>
    <x v="0"/>
    <n v="7"/>
    <n v="5"/>
    <n v="12096.56"/>
    <n v="1349.84"/>
    <n v="18676.84"/>
  </r>
  <r>
    <s v="4516"/>
    <s v="Ricardo López"/>
    <d v="1956-01-01T00:00:00"/>
    <n v="70"/>
    <x v="1"/>
    <x v="4"/>
    <d v="2023-04-18T00:00:00"/>
    <d v="2023-10-27T00:00:00"/>
    <n v="3"/>
    <x v="2"/>
    <n v="6"/>
    <n v="5"/>
    <n v="13422.88"/>
    <n v="6255.85"/>
    <n v="11851.51"/>
  </r>
  <r>
    <s v="4517"/>
    <s v="Elena Cruz"/>
    <d v="2024-01-01T00:00:00"/>
    <n v="2"/>
    <x v="1"/>
    <x v="6"/>
    <d v="2023-06-26T00:00:00"/>
    <d v="2024-11-04T00:00:00"/>
    <n v="20"/>
    <x v="2"/>
    <n v="10"/>
    <n v="2"/>
    <n v="23233.7"/>
    <n v="125.57"/>
    <n v="15028.79"/>
  </r>
  <r>
    <s v="4518"/>
    <s v="Miguel Gómez"/>
    <d v="2016-12-31T00:00:00"/>
    <n v="9"/>
    <x v="1"/>
    <x v="5"/>
    <d v="2024-03-02T00:00:00"/>
    <d v="2023-01-20T00:00:00"/>
    <n v="7"/>
    <x v="2"/>
    <n v="3"/>
    <n v="3"/>
    <n v="7203.99"/>
    <n v="1415.8"/>
    <n v="17148.89"/>
  </r>
  <r>
    <s v="4519"/>
    <s v="Luis López"/>
    <d v="1937-12-31T00:00:00"/>
    <n v="88"/>
    <x v="0"/>
    <x v="0"/>
    <d v="2024-06-14T00:00:00"/>
    <d v="2025-02-15T00:00:00"/>
    <n v="32"/>
    <x v="1"/>
    <n v="10"/>
    <n v="5"/>
    <n v="8944.07"/>
    <n v="13988.93"/>
    <n v="7721.84"/>
  </r>
  <r>
    <s v="4520"/>
    <s v="Sofía López"/>
    <d v="1992-01-01T00:00:00"/>
    <n v="34"/>
    <x v="0"/>
    <x v="6"/>
    <d v="2024-02-22T00:00:00"/>
    <d v="2024-11-02T00:00:00"/>
    <n v="18"/>
    <x v="0"/>
    <n v="11"/>
    <n v="7"/>
    <n v="64.58"/>
    <n v="11886.48"/>
    <n v="11541.74"/>
  </r>
  <r>
    <s v="4521"/>
    <s v="Pedro Sánchez"/>
    <d v="1947-01-01T00:00:00"/>
    <n v="79"/>
    <x v="0"/>
    <x v="6"/>
    <d v="2023-09-05T00:00:00"/>
    <d v="2023-01-12T00:00:00"/>
    <n v="29"/>
    <x v="1"/>
    <n v="6"/>
    <n v="6"/>
    <n v="27036.33"/>
    <n v="10090.629999999999"/>
    <n v="3438.07"/>
  </r>
  <r>
    <s v="4522"/>
    <s v="José Hernández"/>
    <d v="2024-12-31T00:00:00"/>
    <n v="1"/>
    <x v="0"/>
    <x v="2"/>
    <d v="2023-07-28T00:00:00"/>
    <d v="2023-01-09T00:00:00"/>
    <n v="27"/>
    <x v="2"/>
    <n v="0"/>
    <n v="3"/>
    <n v="20409.490000000002"/>
    <n v="12453.56"/>
    <n v="19708.47"/>
  </r>
  <r>
    <s v="4523"/>
    <s v="Carmen Sánchez"/>
    <d v="2003-01-01T00:00:00"/>
    <n v="23"/>
    <x v="0"/>
    <x v="5"/>
    <d v="2023-08-04T00:00:00"/>
    <d v="2023-06-03T00:00:00"/>
    <n v="30"/>
    <x v="1"/>
    <n v="1"/>
    <n v="2"/>
    <n v="0"/>
    <n v="3750.82"/>
    <n v="18581.02"/>
  </r>
  <r>
    <s v="4524"/>
    <s v="Jorge Morales"/>
    <d v="1952-12-31T00:00:00"/>
    <n v="32"/>
    <x v="0"/>
    <x v="6"/>
    <d v="2024-12-13T00:00:00"/>
    <d v="2024-09-17T00:00:00"/>
    <n v="3"/>
    <x v="2"/>
    <n v="6"/>
    <n v="7"/>
    <n v="0"/>
    <n v="10883.5"/>
    <n v="9616.76"/>
  </r>
  <r>
    <s v="4525"/>
    <s v="Sofía Martínez"/>
    <d v="1988-12-31T00:00:00"/>
    <n v="37"/>
    <x v="1"/>
    <x v="0"/>
    <d v="2024-03-13T00:00:00"/>
    <d v="2024-10-22T00:00:00"/>
    <n v="2"/>
    <x v="0"/>
    <n v="7"/>
    <n v="5"/>
    <n v="2140.7399999999998"/>
    <n v="9233.51"/>
    <n v="11022.02"/>
  </r>
  <r>
    <s v="4526"/>
    <s v="Carmen Pérez"/>
    <d v="2004-12-31T00:00:00"/>
    <n v="21"/>
    <x v="0"/>
    <x v="6"/>
    <d v="2024-09-09T00:00:00"/>
    <d v="2024-07-04T00:00:00"/>
    <n v="12"/>
    <x v="1"/>
    <n v="8"/>
    <n v="7"/>
    <n v="10736.07"/>
    <n v="12729.71"/>
    <n v="8677.6200000000008"/>
  </r>
  <r>
    <s v="4527"/>
    <s v="Juan Gómez"/>
    <d v="2000-12-31T00:00:00"/>
    <n v="25"/>
    <x v="0"/>
    <x v="3"/>
    <d v="2023-11-07T00:00:00"/>
    <d v="2023-05-16T00:00:00"/>
    <n v="22"/>
    <x v="0"/>
    <n v="6"/>
    <n v="8"/>
    <n v="16689.72"/>
    <n v="4240.3100000000004"/>
    <n v="66.569999999999993"/>
  </r>
  <r>
    <s v="4528"/>
    <s v="Miguel Morales"/>
    <d v="1984-01-01T00:00:00"/>
    <n v="42"/>
    <x v="0"/>
    <x v="5"/>
    <d v="2024-01-18T00:00:00"/>
    <d v="2024-01-09T00:00:00"/>
    <n v="10"/>
    <x v="1"/>
    <n v="2"/>
    <n v="8"/>
    <n v="14918.11"/>
    <n v="11455.74"/>
    <n v="4522.96"/>
  </r>
  <r>
    <s v="4529"/>
    <s v="Luis López"/>
    <d v="1972-01-01T00:00:00"/>
    <n v="54"/>
    <x v="0"/>
    <x v="6"/>
    <d v="2023-09-28T00:00:00"/>
    <d v="2024-04-06T00:00:00"/>
    <n v="3"/>
    <x v="2"/>
    <n v="11"/>
    <n v="9"/>
    <n v="19474.68"/>
    <n v="12789.77"/>
    <n v="1943.13"/>
  </r>
  <r>
    <s v="4530"/>
    <s v="Juan López"/>
    <d v="1988-01-01T00:00:00"/>
    <n v="86"/>
    <x v="0"/>
    <x v="4"/>
    <d v="2023-05-01T00:00:00"/>
    <d v="2023-08-24T00:00:00"/>
    <n v="34"/>
    <x v="0"/>
    <n v="4"/>
    <n v="8"/>
    <n v="8576.65"/>
    <n v="8235.1"/>
    <n v="6390.27"/>
  </r>
  <r>
    <s v="4531"/>
    <s v="Ana Morales"/>
    <d v="1936-01-01T00:00:00"/>
    <n v="90"/>
    <x v="1"/>
    <x v="5"/>
    <d v="2024-02-11T00:00:00"/>
    <d v="2023-09-13T00:00:00"/>
    <n v="1"/>
    <x v="1"/>
    <n v="9"/>
    <n v="9"/>
    <n v="22614.16"/>
    <n v="6206.78"/>
    <n v="4648.33"/>
  </r>
  <r>
    <s v="4532"/>
    <s v="Ana Pérez"/>
    <d v="1997-12-31T00:00:00"/>
    <n v="28"/>
    <x v="1"/>
    <x v="6"/>
    <d v="2023-09-02T00:00:00"/>
    <d v="2024-08-09T00:00:00"/>
    <n v="14"/>
    <x v="2"/>
    <n v="3"/>
    <n v="0"/>
    <n v="11866.11"/>
    <n v="14229.79"/>
    <n v="15209"/>
  </r>
  <r>
    <s v="4533"/>
    <s v="Sofía Rodríguez"/>
    <d v="2007-01-01T00:00:00"/>
    <n v="19"/>
    <x v="0"/>
    <x v="0"/>
    <d v="2023-03-07T00:00:00"/>
    <d v="2023-11-25T00:00:00"/>
    <n v="21"/>
    <x v="1"/>
    <n v="10"/>
    <n v="2"/>
    <n v="3321.56"/>
    <n v="2534.54"/>
    <n v="10046.42"/>
  </r>
  <r>
    <s v="4534"/>
    <s v="Elena López"/>
    <d v="1936-01-01T00:00:00"/>
    <n v="90"/>
    <x v="0"/>
    <x v="0"/>
    <d v="2023-08-16T00:00:00"/>
    <d v="2023-12-29T00:00:00"/>
    <n v="9"/>
    <x v="0"/>
    <n v="13"/>
    <n v="8"/>
    <n v="22082.240000000002"/>
    <n v="544.1"/>
    <n v="16321.58"/>
  </r>
  <r>
    <s v="4535"/>
    <s v="Luis Ramírez"/>
    <d v="1985-12-31T00:00:00"/>
    <n v="40"/>
    <x v="0"/>
    <x v="5"/>
    <d v="2023-05-17T00:00:00"/>
    <d v="2024-01-10T00:00:00"/>
    <n v="11"/>
    <x v="1"/>
    <n v="2"/>
    <n v="3"/>
    <n v="27314.26"/>
    <n v="2687.1"/>
    <n v="12677.53"/>
  </r>
  <r>
    <s v="4536"/>
    <s v="José Martínez"/>
    <d v="1972-12-31T00:00:00"/>
    <n v="53"/>
    <x v="1"/>
    <x v="1"/>
    <d v="2023-07-13T00:00:00"/>
    <d v="2025-02-27T00:00:00"/>
    <n v="4"/>
    <x v="1"/>
    <n v="7"/>
    <n v="9"/>
    <n v="10614.95"/>
    <n v="10251.81"/>
    <n v="13090.15"/>
  </r>
  <r>
    <s v="4537"/>
    <s v="Pedro Pérez"/>
    <d v="2007-01-01T00:00:00"/>
    <n v="19"/>
    <x v="1"/>
    <x v="2"/>
    <d v="2024-12-06T00:00:00"/>
    <d v="2023-07-29T00:00:00"/>
    <n v="23"/>
    <x v="0"/>
    <n v="8"/>
    <n v="1"/>
    <n v="17484.41"/>
    <n v="11834.19"/>
    <n v="17512.53"/>
  </r>
  <r>
    <s v="4538"/>
    <s v="Luisa Hernández"/>
    <d v="2008-01-01T00:00:00"/>
    <n v="18"/>
    <x v="0"/>
    <x v="2"/>
    <d v="2024-10-19T00:00:00"/>
    <d v="2023-09-25T00:00:00"/>
    <n v="29"/>
    <x v="2"/>
    <n v="1"/>
    <n v="0"/>
    <n v="20478.650000000001"/>
    <n v="10752.41"/>
    <n v="16928.55"/>
  </r>
  <r>
    <s v="4539"/>
    <s v="Carmen Martínez"/>
    <d v="1943-01-01T00:00:00"/>
    <n v="83"/>
    <x v="1"/>
    <x v="3"/>
    <d v="2024-10-18T00:00:00"/>
    <d v="2024-10-18T00:00:00"/>
    <n v="26"/>
    <x v="1"/>
    <n v="1"/>
    <n v="4"/>
    <n v="24861.47"/>
    <n v="6298"/>
    <n v="1172.26"/>
  </r>
  <r>
    <s v="4540"/>
    <s v="Luisa Rodríguez"/>
    <d v="1960-12-31T00:00:00"/>
    <n v="62"/>
    <x v="0"/>
    <x v="1"/>
    <d v="2024-05-03T00:00:00"/>
    <d v="2024-07-08T00:00:00"/>
    <n v="36"/>
    <x v="1"/>
    <n v="11"/>
    <n v="3"/>
    <n v="5538.8"/>
    <n v="14513.6"/>
    <n v="11524.81"/>
  </r>
  <r>
    <s v="4541"/>
    <s v="Juan Cruz"/>
    <d v="1996-12-31T00:00:00"/>
    <n v="29"/>
    <x v="1"/>
    <x v="2"/>
    <d v="2024-08-06T00:00:00"/>
    <d v="2025-01-06T00:00:00"/>
    <n v="6"/>
    <x v="0"/>
    <n v="5"/>
    <n v="4"/>
    <n v="16884.34"/>
    <n v="6664.53"/>
    <n v="8203.11"/>
  </r>
  <r>
    <s v="4542"/>
    <s v="María Morales"/>
    <d v="1973-12-31T00:00:00"/>
    <n v="52"/>
    <x v="1"/>
    <x v="5"/>
    <d v="2023-12-20T00:00:00"/>
    <d v="2025-05-08T00:00:00"/>
    <n v="11"/>
    <x v="0"/>
    <n v="8"/>
    <n v="4"/>
    <n v="22081.08"/>
    <n v="14719.57"/>
    <n v="11952.71"/>
  </r>
  <r>
    <s v="4543"/>
    <s v="Laura Rodríguez"/>
    <d v="1958-01-01T00:00:00"/>
    <n v="33"/>
    <x v="0"/>
    <x v="2"/>
    <d v="2024-12-04T00:00:00"/>
    <d v="2024-05-21T00:00:00"/>
    <n v="14"/>
    <x v="2"/>
    <n v="6"/>
    <n v="7"/>
    <n v="5573.35"/>
    <n v="13771.75"/>
    <n v="17239.05"/>
  </r>
  <r>
    <s v="4544"/>
    <s v="Pedro Morales"/>
    <d v="2004-12-31T00:00:00"/>
    <n v="21"/>
    <x v="1"/>
    <x v="3"/>
    <d v="2024-07-09T00:00:00"/>
    <d v="2024-07-18T00:00:00"/>
    <n v="22"/>
    <x v="0"/>
    <n v="9"/>
    <n v="5"/>
    <n v="13910.68"/>
    <n v="6107.17"/>
    <n v="142.13999999999999"/>
  </r>
  <r>
    <s v="4545"/>
    <s v="Sofía Rodríguez"/>
    <d v="1960-01-01T00:00:00"/>
    <n v="66"/>
    <x v="0"/>
    <x v="6"/>
    <d v="2023-06-06T00:00:00"/>
    <d v="2024-02-26T00:00:00"/>
    <n v="27"/>
    <x v="2"/>
    <n v="11"/>
    <n v="2"/>
    <n v="13663.04"/>
    <n v="2415.13"/>
    <n v="120.46"/>
  </r>
  <r>
    <s v="4546"/>
    <s v="José Ramírez"/>
    <d v="2020-12-31T00:00:00"/>
    <n v="5"/>
    <x v="0"/>
    <x v="2"/>
    <d v="2024-04-20T00:00:00"/>
    <d v="2023-11-05T00:00:00"/>
    <n v="26"/>
    <x v="2"/>
    <n v="1"/>
    <n v="8"/>
    <n v="25100.03"/>
    <n v="1347.56"/>
    <n v="1157.3499999999999"/>
  </r>
  <r>
    <s v="4547"/>
    <s v="Laura Pérez"/>
    <d v="1948-01-01T00:00:00"/>
    <n v="78"/>
    <x v="1"/>
    <x v="5"/>
    <d v="2023-01-16T00:00:00"/>
    <d v="2023-05-18T00:00:00"/>
    <n v="26"/>
    <x v="2"/>
    <n v="1"/>
    <n v="7"/>
    <n v="23207.85"/>
    <n v="7972.12"/>
    <n v="17485.189999999999"/>
  </r>
  <r>
    <s v="4548"/>
    <s v="Ricardo Ramírez"/>
    <d v="2000-01-01T00:00:00"/>
    <n v="16"/>
    <x v="0"/>
    <x v="5"/>
    <d v="2023-03-19T00:00:00"/>
    <d v="2024-02-24T00:00:00"/>
    <n v="15"/>
    <x v="1"/>
    <n v="12"/>
    <n v="8"/>
    <n v="6573.76"/>
    <n v="11448.12"/>
    <n v="7004.99"/>
  </r>
  <r>
    <s v="4549"/>
    <s v="Ana Martínez"/>
    <d v="2016-12-31T00:00:00"/>
    <n v="9"/>
    <x v="0"/>
    <x v="3"/>
    <d v="2023-02-21T00:00:00"/>
    <d v="2023-07-15T00:00:00"/>
    <n v="28"/>
    <x v="1"/>
    <n v="4"/>
    <n v="3"/>
    <n v="6605.06"/>
    <n v="2640.72"/>
    <n v="7361.73"/>
  </r>
  <r>
    <s v="4550"/>
    <s v="Pedro López"/>
    <d v="1953-12-31T00:00:00"/>
    <n v="72"/>
    <x v="1"/>
    <x v="4"/>
    <d v="2024-05-28T00:00:00"/>
    <d v="2023-04-06T00:00:00"/>
    <n v="16"/>
    <x v="2"/>
    <n v="14"/>
    <n v="7"/>
    <n v="21562.3"/>
    <n v="4773.16"/>
    <n v="6842.6"/>
  </r>
  <r>
    <s v="4551"/>
    <s v="Laura López"/>
    <d v="1979-01-01T00:00:00"/>
    <n v="47"/>
    <x v="1"/>
    <x v="3"/>
    <d v="2024-05-18T00:00:00"/>
    <d v="2024-05-05T00:00:00"/>
    <n v="14"/>
    <x v="2"/>
    <n v="13"/>
    <n v="2"/>
    <n v="22058.18"/>
    <n v="9457.9699999999993"/>
    <n v="4542.3500000000004"/>
  </r>
  <r>
    <s v="4552"/>
    <s v="Pedro Martínez"/>
    <d v="1956-12-31T00:00:00"/>
    <n v="69"/>
    <x v="1"/>
    <x v="4"/>
    <d v="2023-03-02T00:00:00"/>
    <d v="2023-09-16T00:00:00"/>
    <n v="3"/>
    <x v="0"/>
    <n v="0"/>
    <n v="4"/>
    <n v="4956.45"/>
    <n v="6913.02"/>
    <n v="681.14"/>
  </r>
  <r>
    <s v="4553"/>
    <s v="Elena Hernández"/>
    <d v="1968-01-01T00:00:00"/>
    <n v="27"/>
    <x v="0"/>
    <x v="0"/>
    <d v="2023-05-12T00:00:00"/>
    <d v="2023-01-26T00:00:00"/>
    <n v="9"/>
    <x v="0"/>
    <n v="4"/>
    <n v="6"/>
    <n v="12041"/>
    <n v="9058.02"/>
    <n v="18120.919999999998"/>
  </r>
  <r>
    <s v="4554"/>
    <s v="Jorge Martínez"/>
    <d v="1968-01-01T00:00:00"/>
    <n v="58"/>
    <x v="0"/>
    <x v="0"/>
    <d v="2024-01-17T00:00:00"/>
    <d v="2023-08-21T00:00:00"/>
    <n v="35"/>
    <x v="2"/>
    <n v="3"/>
    <n v="0"/>
    <n v="24686.01"/>
    <n v="10145.51"/>
    <n v="4580.7700000000004"/>
  </r>
  <r>
    <s v="4555"/>
    <s v="Juan Ramírez"/>
    <d v="2024-12-31T00:00:00"/>
    <n v="1"/>
    <x v="0"/>
    <x v="0"/>
    <d v="2024-07-17T00:00:00"/>
    <d v="2023-11-29T00:00:00"/>
    <n v="0"/>
    <x v="0"/>
    <n v="12"/>
    <n v="0"/>
    <n v="1922.33"/>
    <n v="5710.43"/>
    <n v="17868.2"/>
  </r>
  <r>
    <s v="4556"/>
    <s v="José Gómez"/>
    <d v="1997-12-31T00:00:00"/>
    <n v="28"/>
    <x v="0"/>
    <x v="4"/>
    <d v="2024-11-22T00:00:00"/>
    <d v="2024-08-29T00:00:00"/>
    <n v="32"/>
    <x v="2"/>
    <n v="5"/>
    <n v="2"/>
    <n v="10903.78"/>
    <n v="11789.49"/>
    <n v="19109.8"/>
  </r>
  <r>
    <s v="4557"/>
    <s v="Carmen Ramírez"/>
    <d v="1959-01-01T00:00:00"/>
    <n v="67"/>
    <x v="0"/>
    <x v="6"/>
    <d v="2024-06-26T00:00:00"/>
    <d v="2025-05-12T00:00:00"/>
    <n v="30"/>
    <x v="0"/>
    <n v="13"/>
    <n v="3"/>
    <n v="19158.5"/>
    <n v="10542.98"/>
    <n v="11490.7"/>
  </r>
  <r>
    <s v="4558"/>
    <s v="José Martínez"/>
    <d v="1961-12-31T00:00:00"/>
    <n v="89"/>
    <x v="0"/>
    <x v="5"/>
    <d v="2024-02-14T00:00:00"/>
    <d v="2023-08-10T00:00:00"/>
    <n v="26"/>
    <x v="2"/>
    <n v="7"/>
    <n v="0"/>
    <n v="23018.15"/>
    <n v="10313.299999999999"/>
    <n v="7382.7"/>
  </r>
  <r>
    <s v="4559"/>
    <s v="Pedro Martínez"/>
    <d v="1944-01-01T00:00:00"/>
    <n v="82"/>
    <x v="0"/>
    <x v="0"/>
    <d v="2023-06-04T00:00:00"/>
    <d v="2023-10-25T00:00:00"/>
    <n v="0"/>
    <x v="0"/>
    <n v="7"/>
    <n v="7"/>
    <n v="19406.07"/>
    <n v="2242.25"/>
    <n v="15292.53"/>
  </r>
  <r>
    <s v="4560"/>
    <s v="Carmen Gómez"/>
    <d v="2000-12-31T00:00:00"/>
    <n v="25"/>
    <x v="1"/>
    <x v="5"/>
    <d v="2024-09-24T00:00:00"/>
    <d v="2023-07-23T00:00:00"/>
    <n v="2"/>
    <x v="1"/>
    <n v="1"/>
    <n v="1"/>
    <n v="11624.38"/>
    <n v="7113.53"/>
    <n v="410.2"/>
  </r>
  <r>
    <s v="4561"/>
    <s v="José Pérez"/>
    <d v="1937-12-31T00:00:00"/>
    <n v="88"/>
    <x v="0"/>
    <x v="3"/>
    <d v="2023-02-20T00:00:00"/>
    <d v="2023-12-10T00:00:00"/>
    <n v="11"/>
    <x v="0"/>
    <n v="5"/>
    <n v="4"/>
    <n v="29754.51"/>
    <n v="8657.59"/>
    <n v="18570.22"/>
  </r>
  <r>
    <s v="4562"/>
    <s v="Luis Hernández"/>
    <d v="2016-12-31T00:00:00"/>
    <n v="9"/>
    <x v="0"/>
    <x v="6"/>
    <d v="2023-04-05T00:00:00"/>
    <d v="2024-08-16T00:00:00"/>
    <n v="33"/>
    <x v="2"/>
    <n v="1"/>
    <n v="5"/>
    <n v="766.74"/>
    <n v="3395.79"/>
    <n v="8099.12"/>
  </r>
  <r>
    <s v="4563"/>
    <s v="Laura Ramírez"/>
    <d v="1973-12-31T00:00:00"/>
    <n v="48"/>
    <x v="0"/>
    <x v="3"/>
    <d v="2024-11-18T00:00:00"/>
    <d v="2023-07-25T00:00:00"/>
    <n v="25"/>
    <x v="0"/>
    <n v="2"/>
    <n v="5"/>
    <n v="14590.05"/>
    <n v="11378.51"/>
    <n v="6102.9"/>
  </r>
  <r>
    <s v="4564"/>
    <s v="Ricardo Gómez"/>
    <d v="1948-01-01T00:00:00"/>
    <n v="78"/>
    <x v="0"/>
    <x v="5"/>
    <d v="2024-06-06T00:00:00"/>
    <d v="2025-06-11T00:00:00"/>
    <n v="38"/>
    <x v="1"/>
    <n v="0"/>
    <n v="5"/>
    <n v="15056.68"/>
    <n v="1816.21"/>
    <n v="2451.39"/>
  </r>
  <r>
    <s v="4565"/>
    <s v="Juan Hernández"/>
    <d v="1968-01-01T00:00:00"/>
    <n v="58"/>
    <x v="1"/>
    <x v="1"/>
    <d v="2024-06-07T00:00:00"/>
    <d v="2023-03-19T00:00:00"/>
    <n v="29"/>
    <x v="0"/>
    <n v="1"/>
    <n v="0"/>
    <n v="6813.63"/>
    <n v="2247.86"/>
    <n v="19098.919999999998"/>
  </r>
  <r>
    <s v="4566"/>
    <s v="Carlos Martínez"/>
    <d v="2004-12-31T00:00:00"/>
    <n v="21"/>
    <x v="0"/>
    <x v="4"/>
    <d v="2023-12-21T00:00:00"/>
    <d v="2024-07-04T00:00:00"/>
    <n v="15"/>
    <x v="2"/>
    <n v="8"/>
    <n v="2"/>
    <n v="16540.580000000002"/>
    <n v="6199.79"/>
    <n v="16201.7"/>
  </r>
  <r>
    <s v="4567"/>
    <s v="Jorge Gómez"/>
    <d v="1976-01-01T00:00:00"/>
    <n v="50"/>
    <x v="1"/>
    <x v="1"/>
    <d v="2023-02-14T00:00:00"/>
    <d v="2024-12-08T00:00:00"/>
    <n v="39"/>
    <x v="1"/>
    <n v="12"/>
    <n v="2"/>
    <n v="6211.75"/>
    <n v="2030.17"/>
    <n v="14451.2"/>
  </r>
  <r>
    <s v="4568"/>
    <s v="Laura Pérez"/>
    <d v="1979-01-01T00:00:00"/>
    <n v="47"/>
    <x v="0"/>
    <x v="0"/>
    <d v="2023-07-24T00:00:00"/>
    <d v="2023-02-12T00:00:00"/>
    <n v="37"/>
    <x v="0"/>
    <n v="14"/>
    <n v="7"/>
    <n v="13024.07"/>
    <n v="174.66"/>
    <n v="18612.39"/>
  </r>
  <r>
    <s v="4569"/>
    <s v="Juan López"/>
    <d v="2005-12-31T00:00:00"/>
    <n v="20"/>
    <x v="1"/>
    <x v="1"/>
    <d v="2024-03-06T00:00:00"/>
    <d v="2024-03-31T00:00:00"/>
    <n v="10"/>
    <x v="2"/>
    <n v="1"/>
    <n v="5"/>
    <n v="12664.85"/>
    <n v="6171.03"/>
    <n v="19192.61"/>
  </r>
  <r>
    <s v="4570"/>
    <s v="Miguel Gómez"/>
    <d v="2004-12-31T00:00:00"/>
    <n v="21"/>
    <x v="0"/>
    <x v="3"/>
    <d v="2023-09-13T00:00:00"/>
    <d v="2023-07-02T00:00:00"/>
    <n v="1"/>
    <x v="0"/>
    <n v="8"/>
    <n v="1"/>
    <n v="23080.23"/>
    <n v="9728.2800000000007"/>
    <n v="5295.78"/>
  </r>
  <r>
    <s v="4571"/>
    <s v="Juan Hernández"/>
    <d v="1996-12-31T00:00:00"/>
    <n v="1"/>
    <x v="0"/>
    <x v="4"/>
    <d v="2023-09-05T00:00:00"/>
    <d v="2025-01-27T00:00:00"/>
    <n v="22"/>
    <x v="0"/>
    <n v="7"/>
    <n v="0"/>
    <n v="28249.05"/>
    <n v="7427.07"/>
    <n v="15709.15"/>
  </r>
  <r>
    <s v="4572"/>
    <s v="Ricardo López"/>
    <d v="1998-01-01T00:00:00"/>
    <n v="24"/>
    <x v="0"/>
    <x v="1"/>
    <d v="2024-06-16T00:00:00"/>
    <d v="2023-07-15T00:00:00"/>
    <n v="17"/>
    <x v="0"/>
    <n v="1"/>
    <n v="3"/>
    <n v="5686.72"/>
    <n v="782.7"/>
    <n v="15316.32"/>
  </r>
  <r>
    <s v="4573"/>
    <s v="Miguel Ramírez"/>
    <d v="1999-01-01T00:00:00"/>
    <n v="27"/>
    <x v="1"/>
    <x v="2"/>
    <d v="2023-02-10T00:00:00"/>
    <d v="2024-08-13T00:00:00"/>
    <n v="4"/>
    <x v="2"/>
    <n v="13"/>
    <n v="0"/>
    <n v="29741.279999999999"/>
    <n v="3486.98"/>
    <n v="11102.06"/>
  </r>
  <r>
    <s v="4574"/>
    <s v="Carmen Hernández"/>
    <d v="1961-12-31T00:00:00"/>
    <n v="64"/>
    <x v="2"/>
    <x v="6"/>
    <d v="2024-04-03T00:00:00"/>
    <d v="2025-04-12T00:00:00"/>
    <n v="8"/>
    <x v="0"/>
    <n v="1"/>
    <n v="4"/>
    <n v="0"/>
    <n v="7865.23"/>
    <n v="2923.55"/>
  </r>
  <r>
    <s v="4575"/>
    <s v="Luis Morales"/>
    <d v="1981-12-31T00:00:00"/>
    <n v="44"/>
    <x v="0"/>
    <x v="5"/>
    <d v="2023-10-04T00:00:00"/>
    <d v="2024-01-24T00:00:00"/>
    <n v="2"/>
    <x v="2"/>
    <n v="9"/>
    <n v="7"/>
    <n v="2935.92"/>
    <n v="11071.39"/>
    <n v="18800.939999999999"/>
  </r>
  <r>
    <s v="4576"/>
    <s v="Jorge Gómez"/>
    <d v="1959-01-01T00:00:00"/>
    <n v="67"/>
    <x v="0"/>
    <x v="4"/>
    <d v="2023-07-14T00:00:00"/>
    <d v="2024-09-29T00:00:00"/>
    <n v="26"/>
    <x v="0"/>
    <n v="3"/>
    <n v="9"/>
    <n v="27327.16"/>
    <n v="11908.75"/>
    <n v="6239.18"/>
  </r>
  <r>
    <s v="4577"/>
    <s v="Luis Cruz"/>
    <d v="2020-01-01T00:00:00"/>
    <n v="6"/>
    <x v="1"/>
    <x v="0"/>
    <d v="2023-03-12T00:00:00"/>
    <d v="2023-05-22T00:00:00"/>
    <n v="15"/>
    <x v="1"/>
    <n v="1"/>
    <n v="1"/>
    <n v="16719.63"/>
    <n v="7790.53"/>
    <n v="11535.48"/>
  </r>
  <r>
    <s v="4578"/>
    <s v="Sofía Gómez"/>
    <d v="1977-12-31T00:00:00"/>
    <n v="48"/>
    <x v="0"/>
    <x v="3"/>
    <d v="2023-09-27T00:00:00"/>
    <d v="2023-01-28T00:00:00"/>
    <n v="5"/>
    <x v="2"/>
    <n v="2"/>
    <n v="7"/>
    <n v="26308.17"/>
    <n v="9691.91"/>
    <n v="289.54000000000002"/>
  </r>
  <r>
    <s v="4579"/>
    <s v="Luisa Morales"/>
    <d v="2017-12-31T00:00:00"/>
    <n v="8"/>
    <x v="1"/>
    <x v="6"/>
    <d v="2023-12-01T00:00:00"/>
    <d v="2023-11-12T00:00:00"/>
    <n v="24"/>
    <x v="2"/>
    <n v="2"/>
    <n v="7"/>
    <n v="28341.87"/>
    <n v="13551.26"/>
    <n v="8525.81"/>
  </r>
  <r>
    <s v="4580"/>
    <s v="Ricardo López"/>
    <d v="1991-01-01T00:00:00"/>
    <n v="35"/>
    <x v="0"/>
    <x v="0"/>
    <d v="2024-08-07T00:00:00"/>
    <d v="2023-11-18T00:00:00"/>
    <n v="39"/>
    <x v="0"/>
    <n v="1"/>
    <n v="5"/>
    <n v="25696.67"/>
    <n v="977.98"/>
    <n v="12299.57"/>
  </r>
  <r>
    <s v="4581"/>
    <s v="Elena Rodríguez"/>
    <d v="1944-01-01T00:00:00"/>
    <n v="82"/>
    <x v="1"/>
    <x v="3"/>
    <d v="2023-11-04T00:00:00"/>
    <d v="2024-03-24T00:00:00"/>
    <n v="1"/>
    <x v="2"/>
    <n v="14"/>
    <n v="7"/>
    <n v="11787.77"/>
    <n v="1487.59"/>
    <n v="7557.29"/>
  </r>
  <r>
    <s v="4582"/>
    <s v="Carmen Pérez"/>
    <d v="2025-12-31T00:00:00"/>
    <n v="0"/>
    <x v="0"/>
    <x v="1"/>
    <d v="2024-03-02T00:00:00"/>
    <d v="2025-03-04T00:00:00"/>
    <n v="32"/>
    <x v="1"/>
    <n v="4"/>
    <n v="1"/>
    <n v="18921.16"/>
    <n v="6867.9"/>
    <n v="9489.84"/>
  </r>
  <r>
    <s v="4583"/>
    <s v="Carlos Cruz"/>
    <d v="2016-12-31T00:00:00"/>
    <n v="9"/>
    <x v="0"/>
    <x v="4"/>
    <d v="2023-07-18T00:00:00"/>
    <d v="2023-10-21T00:00:00"/>
    <n v="23"/>
    <x v="0"/>
    <n v="9"/>
    <n v="6"/>
    <n v="13675.49"/>
    <n v="9146.02"/>
    <n v="3759.71"/>
  </r>
  <r>
    <s v="4584"/>
    <s v="Ricardo Cruz"/>
    <d v="1991-01-01T00:00:00"/>
    <n v="35"/>
    <x v="1"/>
    <x v="5"/>
    <d v="2023-03-17T00:00:00"/>
    <d v="2025-01-24T00:00:00"/>
    <n v="20"/>
    <x v="0"/>
    <n v="10"/>
    <n v="7"/>
    <n v="10676.66"/>
    <n v="69.510000000000005"/>
    <n v="6939.46"/>
  </r>
  <r>
    <s v="4585"/>
    <s v="Luisa Rodríguez"/>
    <d v="1953-12-31T00:00:00"/>
    <n v="53"/>
    <x v="0"/>
    <x v="4"/>
    <d v="2024-10-19T00:00:00"/>
    <d v="2023-08-25T00:00:00"/>
    <n v="2"/>
    <x v="0"/>
    <n v="5"/>
    <n v="3"/>
    <n v="7146.65"/>
    <n v="6788.22"/>
    <n v="14439.62"/>
  </r>
  <r>
    <s v="4586"/>
    <s v="Elena Rodríguez"/>
    <d v="1980-12-31T00:00:00"/>
    <n v="45"/>
    <x v="0"/>
    <x v="2"/>
    <d v="2024-06-08T00:00:00"/>
    <d v="2024-12-16T00:00:00"/>
    <n v="13"/>
    <x v="1"/>
    <n v="10"/>
    <n v="8"/>
    <n v="12965.99"/>
    <n v="2591.41"/>
    <n v="19391.21"/>
  </r>
  <r>
    <s v="4587"/>
    <s v="Ana Ramírez"/>
    <d v="1995-01-01T00:00:00"/>
    <n v="31"/>
    <x v="1"/>
    <x v="2"/>
    <d v="2024-10-02T00:00:00"/>
    <d v="2024-04-02T00:00:00"/>
    <n v="39"/>
    <x v="1"/>
    <n v="5"/>
    <n v="5"/>
    <n v="24082.14"/>
    <n v="9676.57"/>
    <n v="9322.61"/>
  </r>
  <r>
    <s v="4588"/>
    <s v="Luisa Gómez"/>
    <d v="2010-01-01T00:00:00"/>
    <n v="31"/>
    <x v="0"/>
    <x v="4"/>
    <d v="2023-08-18T00:00:00"/>
    <d v="2025-06-11T00:00:00"/>
    <n v="8"/>
    <x v="2"/>
    <n v="11"/>
    <n v="2"/>
    <n v="25242.69"/>
    <n v="4016.03"/>
    <n v="13689.54"/>
  </r>
  <r>
    <s v="4589"/>
    <s v="Jorge Martínez"/>
    <d v="2020-12-31T00:00:00"/>
    <n v="5"/>
    <x v="1"/>
    <x v="1"/>
    <d v="2023-03-26T00:00:00"/>
    <d v="2025-04-19T00:00:00"/>
    <n v="16"/>
    <x v="0"/>
    <n v="4"/>
    <n v="3"/>
    <n v="0"/>
    <n v="13529.07"/>
    <n v="19521.38"/>
  </r>
  <r>
    <s v="4590"/>
    <s v="Luisa Ramírez"/>
    <d v="1979-01-01T00:00:00"/>
    <n v="47"/>
    <x v="1"/>
    <x v="5"/>
    <d v="2023-06-11T00:00:00"/>
    <d v="2024-10-16T00:00:00"/>
    <n v="13"/>
    <x v="1"/>
    <n v="5"/>
    <n v="3"/>
    <n v="8363.81"/>
    <n v="957.71"/>
    <n v="15473.32"/>
  </r>
  <r>
    <s v="4591"/>
    <s v="José Morales"/>
    <d v="1988-12-31T00:00:00"/>
    <n v="37"/>
    <x v="1"/>
    <x v="6"/>
    <d v="2024-02-01T00:00:00"/>
    <d v="2024-08-29T00:00:00"/>
    <n v="29"/>
    <x v="0"/>
    <n v="12"/>
    <n v="0"/>
    <n v="19337.12"/>
    <n v="12138.09"/>
    <n v="103.63"/>
  </r>
  <r>
    <s v="4592"/>
    <s v="Miguel Sánchez"/>
    <d v="2009-12-31T00:00:00"/>
    <n v="16"/>
    <x v="0"/>
    <x v="5"/>
    <d v="2024-01-06T00:00:00"/>
    <d v="2024-10-26T00:00:00"/>
    <n v="9"/>
    <x v="2"/>
    <n v="1"/>
    <n v="9"/>
    <n v="20660.259999999998"/>
    <n v="5884.91"/>
    <n v="18704.37"/>
  </r>
  <r>
    <s v="4593"/>
    <s v="Carlos Pérez"/>
    <d v="1952-12-31T00:00:00"/>
    <n v="73"/>
    <x v="1"/>
    <x v="1"/>
    <d v="2024-07-16T00:00:00"/>
    <d v="2025-02-04T00:00:00"/>
    <n v="1"/>
    <x v="1"/>
    <n v="3"/>
    <n v="0"/>
    <n v="5335.64"/>
    <n v="12857.41"/>
    <n v="17317.990000000002"/>
  </r>
  <r>
    <s v="4594"/>
    <s v="Carlos Gómez"/>
    <d v="2000-01-01T00:00:00"/>
    <n v="26"/>
    <x v="0"/>
    <x v="3"/>
    <d v="2023-08-03T00:00:00"/>
    <d v="2023-03-09T00:00:00"/>
    <n v="19"/>
    <x v="1"/>
    <n v="12"/>
    <n v="0"/>
    <n v="10689.9"/>
    <n v="12226.84"/>
    <n v="5349.37"/>
  </r>
  <r>
    <s v="4595"/>
    <s v="María Gómez"/>
    <d v="1972-12-31T00:00:00"/>
    <n v="53"/>
    <x v="0"/>
    <x v="4"/>
    <d v="2023-01-01T00:00:00"/>
    <d v="2023-06-26T00:00:00"/>
    <n v="23"/>
    <x v="1"/>
    <n v="14"/>
    <n v="3"/>
    <n v="9938.83"/>
    <n v="3589.39"/>
    <n v="3549.18"/>
  </r>
  <r>
    <s v="4596"/>
    <s v="Luis Pérez"/>
    <d v="1976-12-31T00:00:00"/>
    <n v="49"/>
    <x v="1"/>
    <x v="4"/>
    <d v="2024-01-12T00:00:00"/>
    <d v="2024-05-25T00:00:00"/>
    <n v="30"/>
    <x v="2"/>
    <n v="12"/>
    <n v="0"/>
    <n v="29570.25"/>
    <n v="758.52"/>
    <n v="17974.41"/>
  </r>
  <r>
    <s v="4597"/>
    <s v="Miguel López"/>
    <d v="1992-01-01T00:00:00"/>
    <n v="34"/>
    <x v="0"/>
    <x v="4"/>
    <d v="2024-02-16T00:00:00"/>
    <d v="2024-09-07T00:00:00"/>
    <n v="21"/>
    <x v="1"/>
    <n v="5"/>
    <n v="5"/>
    <n v="0"/>
    <n v="10432.82"/>
    <n v="13742.69"/>
  </r>
  <r>
    <s v="4598"/>
    <s v="Ricardo Morales"/>
    <d v="1941-12-31T00:00:00"/>
    <n v="84"/>
    <x v="1"/>
    <x v="4"/>
    <d v="2024-09-26T00:00:00"/>
    <d v="2023-04-02T00:00:00"/>
    <n v="2"/>
    <x v="1"/>
    <n v="8"/>
    <n v="1"/>
    <n v="24563.919999999998"/>
    <n v="3065.92"/>
    <n v="4663.5200000000004"/>
  </r>
  <r>
    <s v="4599"/>
    <s v="Luis Gómez"/>
    <d v="2001-12-31T00:00:00"/>
    <n v="24"/>
    <x v="0"/>
    <x v="6"/>
    <d v="2023-07-19T00:00:00"/>
    <d v="2024-12-06T00:00:00"/>
    <n v="18"/>
    <x v="0"/>
    <n v="3"/>
    <n v="0"/>
    <n v="13921.5"/>
    <n v="13957.61"/>
    <n v="14249.02"/>
  </r>
  <r>
    <s v="4600"/>
    <s v="Luis Morales"/>
    <d v="1999-01-01T00:00:00"/>
    <n v="27"/>
    <x v="1"/>
    <x v="2"/>
    <d v="2023-07-02T00:00:00"/>
    <d v="2023-06-16T00:00:00"/>
    <n v="15"/>
    <x v="0"/>
    <n v="12"/>
    <n v="6"/>
    <n v="7554.19"/>
    <n v="1008.46"/>
    <n v="11964.52"/>
  </r>
  <r>
    <s v="4601"/>
    <s v="Laura López"/>
    <d v="2012-01-01T00:00:00"/>
    <n v="14"/>
    <x v="1"/>
    <x v="1"/>
    <d v="2024-02-14T00:00:00"/>
    <d v="2024-08-25T00:00:00"/>
    <n v="36"/>
    <x v="0"/>
    <n v="8"/>
    <n v="5"/>
    <n v="27436.91"/>
    <n v="4859.7"/>
    <n v="6115.22"/>
  </r>
  <r>
    <s v="4602"/>
    <s v="Pedro Pérez"/>
    <d v="2023-01-01T00:00:00"/>
    <n v="3"/>
    <x v="0"/>
    <x v="3"/>
    <d v="2024-02-02T00:00:00"/>
    <d v="2025-04-18T00:00:00"/>
    <n v="2"/>
    <x v="1"/>
    <n v="0"/>
    <n v="0"/>
    <n v="7675.33"/>
    <n v="189.74"/>
    <n v="11091.13"/>
  </r>
  <r>
    <s v="4603"/>
    <s v="Laura Martínez"/>
    <d v="1933-12-31T00:00:00"/>
    <n v="92"/>
    <x v="0"/>
    <x v="1"/>
    <d v="2023-08-04T00:00:00"/>
    <d v="2025-04-07T00:00:00"/>
    <n v="5"/>
    <x v="0"/>
    <n v="14"/>
    <n v="9"/>
    <n v="0"/>
    <n v="4755.29"/>
    <n v="10498.08"/>
  </r>
  <r>
    <s v="4604"/>
    <s v="Ricardo Morales"/>
    <d v="1953-12-31T00:00:00"/>
    <n v="72"/>
    <x v="1"/>
    <x v="0"/>
    <d v="2023-12-15T00:00:00"/>
    <d v="2025-02-19T00:00:00"/>
    <n v="18"/>
    <x v="0"/>
    <n v="4"/>
    <n v="8"/>
    <n v="6974.71"/>
    <n v="8118.88"/>
    <n v="10146.459999999999"/>
  </r>
  <r>
    <s v="4605"/>
    <s v="Juan Morales"/>
    <d v="2000-01-01T00:00:00"/>
    <n v="26"/>
    <x v="0"/>
    <x v="0"/>
    <d v="2024-08-02T00:00:00"/>
    <d v="2024-03-14T00:00:00"/>
    <n v="2"/>
    <x v="0"/>
    <n v="5"/>
    <n v="5"/>
    <n v="29123.37"/>
    <n v="9822.94"/>
    <n v="10299.07"/>
  </r>
  <r>
    <s v="4606"/>
    <s v="Miguel López"/>
    <d v="2000-12-31T00:00:00"/>
    <n v="25"/>
    <x v="1"/>
    <x v="0"/>
    <d v="2024-08-16T00:00:00"/>
    <d v="2023-02-21T00:00:00"/>
    <n v="10"/>
    <x v="0"/>
    <n v="9"/>
    <n v="1"/>
    <n v="773.73"/>
    <n v="10896.51"/>
    <n v="91.85"/>
  </r>
  <r>
    <s v="4607"/>
    <s v="Pedro Pérez"/>
    <d v="2008-01-01T00:00:00"/>
    <n v="18"/>
    <x v="0"/>
    <x v="2"/>
    <d v="2024-10-15T00:00:00"/>
    <d v="2024-11-09T00:00:00"/>
    <n v="16"/>
    <x v="1"/>
    <n v="0"/>
    <n v="6"/>
    <n v="4817.67"/>
    <n v="12501.75"/>
    <n v="5299.53"/>
  </r>
  <r>
    <s v="4608"/>
    <s v="Carmen Gómez"/>
    <d v="1935-01-01T00:00:00"/>
    <n v="91"/>
    <x v="0"/>
    <x v="5"/>
    <d v="2023-02-10T00:00:00"/>
    <d v="2024-11-17T00:00:00"/>
    <n v="26"/>
    <x v="0"/>
    <n v="8"/>
    <n v="2"/>
    <n v="22834"/>
    <n v="1661.76"/>
    <n v="8560.43"/>
  </r>
  <r>
    <s v="4609"/>
    <s v="Juan Ramírez"/>
    <d v="2009-12-31T00:00:00"/>
    <n v="25"/>
    <x v="1"/>
    <x v="6"/>
    <d v="2023-01-03T00:00:00"/>
    <d v="2025-01-09T00:00:00"/>
    <n v="1"/>
    <x v="0"/>
    <n v="6"/>
    <n v="6"/>
    <n v="4119.08"/>
    <n v="11428.09"/>
    <n v="2457.79"/>
  </r>
  <r>
    <s v="4610"/>
    <s v="María Pérez"/>
    <d v="1984-01-01T00:00:00"/>
    <n v="42"/>
    <x v="1"/>
    <x v="4"/>
    <d v="2023-04-04T00:00:00"/>
    <d v="2023-09-24T00:00:00"/>
    <n v="34"/>
    <x v="1"/>
    <n v="3"/>
    <n v="8"/>
    <n v="29370.16"/>
    <n v="4175.53"/>
    <n v="14958.21"/>
  </r>
  <r>
    <s v="4611"/>
    <s v="Laura Hernández"/>
    <d v="1985-12-31T00:00:00"/>
    <n v="40"/>
    <x v="1"/>
    <x v="2"/>
    <d v="2023-02-28T00:00:00"/>
    <d v="2024-06-05T00:00:00"/>
    <n v="23"/>
    <x v="0"/>
    <n v="9"/>
    <n v="4"/>
    <n v="9301.25"/>
    <n v="2073.6999999999998"/>
    <n v="16922.43"/>
  </r>
  <r>
    <s v="4612"/>
    <s v="José Morales"/>
    <d v="2002-01-01T00:00:00"/>
    <n v="52"/>
    <x v="1"/>
    <x v="3"/>
    <d v="2024-02-11T00:00:00"/>
    <d v="2023-03-29T00:00:00"/>
    <n v="26"/>
    <x v="0"/>
    <n v="6"/>
    <n v="0"/>
    <n v="27518.71"/>
    <n v="3984.83"/>
    <n v="16337.22"/>
  </r>
  <r>
    <s v="4613"/>
    <s v="María Pérez"/>
    <d v="1976-12-31T00:00:00"/>
    <n v="78"/>
    <x v="1"/>
    <x v="3"/>
    <d v="2023-01-18T00:00:00"/>
    <d v="2024-08-29T00:00:00"/>
    <n v="2"/>
    <x v="1"/>
    <n v="13"/>
    <n v="4"/>
    <n v="19699.490000000002"/>
    <n v="12869.9"/>
    <n v="9138.7000000000007"/>
  </r>
  <r>
    <s v="4614"/>
    <s v="Ricardo Morales"/>
    <d v="1943-01-01T00:00:00"/>
    <n v="83"/>
    <x v="0"/>
    <x v="0"/>
    <d v="2024-05-08T00:00:00"/>
    <d v="2023-02-22T00:00:00"/>
    <n v="29"/>
    <x v="0"/>
    <n v="1"/>
    <n v="7"/>
    <n v="18840.580000000002"/>
    <n v="9410.8799999999992"/>
    <n v="13783.11"/>
  </r>
  <r>
    <s v="4615"/>
    <s v="Carlos Morales"/>
    <d v="1987-01-01T00:00:00"/>
    <n v="39"/>
    <x v="2"/>
    <x v="6"/>
    <d v="2024-05-22T00:00:00"/>
    <d v="2023-06-29T00:00:00"/>
    <n v="35"/>
    <x v="0"/>
    <n v="0"/>
    <n v="7"/>
    <n v="27418.86"/>
    <n v="8960.7199999999993"/>
    <n v="1445.41"/>
  </r>
  <r>
    <s v="4616"/>
    <s v="Ricardo Martínez"/>
    <d v="1988-01-01T00:00:00"/>
    <n v="38"/>
    <x v="1"/>
    <x v="0"/>
    <d v="2024-08-08T00:00:00"/>
    <d v="2023-10-06T00:00:00"/>
    <n v="1"/>
    <x v="0"/>
    <n v="5"/>
    <n v="2"/>
    <n v="15155.02"/>
    <n v="8769.5499999999993"/>
    <n v="3907.87"/>
  </r>
  <r>
    <s v="4617"/>
    <s v="José Rodríguez"/>
    <d v="2004-01-01T00:00:00"/>
    <n v="22"/>
    <x v="0"/>
    <x v="3"/>
    <d v="2023-11-28T00:00:00"/>
    <d v="2023-08-28T00:00:00"/>
    <n v="2"/>
    <x v="0"/>
    <n v="3"/>
    <n v="3"/>
    <n v="11723.73"/>
    <n v="6129.41"/>
    <n v="843.48"/>
  </r>
  <r>
    <s v="4618"/>
    <s v="Sofía Martínez"/>
    <d v="1975-01-01T00:00:00"/>
    <n v="51"/>
    <x v="0"/>
    <x v="3"/>
    <d v="2023-06-18T00:00:00"/>
    <d v="2024-08-08T00:00:00"/>
    <n v="30"/>
    <x v="1"/>
    <n v="3"/>
    <n v="7"/>
    <n v="6137.49"/>
    <n v="6255.07"/>
    <n v="19305.349999999999"/>
  </r>
  <r>
    <s v="4619"/>
    <s v="Elena Gómez"/>
    <d v="1980-01-01T00:00:00"/>
    <n v="46"/>
    <x v="0"/>
    <x v="4"/>
    <d v="2024-11-02T00:00:00"/>
    <d v="2023-12-06T00:00:00"/>
    <n v="32"/>
    <x v="2"/>
    <n v="11"/>
    <n v="7"/>
    <n v="3908.35"/>
    <n v="2224.87"/>
    <n v="11443.68"/>
  </r>
  <r>
    <s v="4620"/>
    <s v="Miguel Hernández"/>
    <d v="1964-01-01T00:00:00"/>
    <n v="62"/>
    <x v="0"/>
    <x v="5"/>
    <d v="2024-11-11T00:00:00"/>
    <d v="2023-03-14T00:00:00"/>
    <n v="16"/>
    <x v="0"/>
    <n v="6"/>
    <n v="6"/>
    <n v="23648.95"/>
    <n v="4989.1899999999996"/>
    <n v="3422.32"/>
  </r>
  <r>
    <s v="4621"/>
    <s v="Jorge Sánchez"/>
    <d v="1957-12-31T00:00:00"/>
    <n v="68"/>
    <x v="0"/>
    <x v="4"/>
    <d v="2023-07-25T00:00:00"/>
    <d v="2024-01-10T00:00:00"/>
    <n v="12"/>
    <x v="0"/>
    <n v="11"/>
    <n v="5"/>
    <n v="3402.12"/>
    <n v="7680.48"/>
    <n v="14121.66"/>
  </r>
  <r>
    <s v="4622"/>
    <s v="Carmen Hernández"/>
    <d v="1984-01-01T00:00:00"/>
    <n v="42"/>
    <x v="1"/>
    <x v="5"/>
    <d v="2024-06-04T00:00:00"/>
    <d v="2024-08-03T00:00:00"/>
    <n v="32"/>
    <x v="0"/>
    <n v="7"/>
    <n v="3"/>
    <n v="11517.54"/>
    <n v="9090.27"/>
    <n v="9731.49"/>
  </r>
  <r>
    <s v="4623"/>
    <s v="Ana Hernández"/>
    <d v="1979-01-01T00:00:00"/>
    <n v="47"/>
    <x v="1"/>
    <x v="4"/>
    <d v="2024-05-19T00:00:00"/>
    <d v="2024-06-01T00:00:00"/>
    <n v="5"/>
    <x v="0"/>
    <n v="13"/>
    <n v="9"/>
    <n v="11981.11"/>
    <n v="1074.58"/>
    <n v="8628.58"/>
  </r>
  <r>
    <s v="4624"/>
    <s v="Pedro Sánchez"/>
    <d v="1992-12-31T00:00:00"/>
    <n v="33"/>
    <x v="1"/>
    <x v="5"/>
    <d v="2023-12-12T00:00:00"/>
    <d v="2025-05-01T00:00:00"/>
    <n v="2"/>
    <x v="0"/>
    <n v="14"/>
    <n v="8"/>
    <n v="19767.23"/>
    <n v="5007.1499999999996"/>
    <n v="18260.41"/>
  </r>
  <r>
    <s v="4625"/>
    <s v="Elena Morales"/>
    <d v="1987-01-01T00:00:00"/>
    <n v="39"/>
    <x v="1"/>
    <x v="0"/>
    <d v="2023-10-31T00:00:00"/>
    <d v="2023-08-27T00:00:00"/>
    <n v="35"/>
    <x v="2"/>
    <n v="12"/>
    <n v="1"/>
    <n v="0"/>
    <n v="5091.3100000000004"/>
    <n v="14134.94"/>
  </r>
  <r>
    <s v="4626"/>
    <s v="María Sánchez"/>
    <d v="1952-01-01T00:00:00"/>
    <n v="74"/>
    <x v="1"/>
    <x v="1"/>
    <d v="2023-04-25T00:00:00"/>
    <d v="2024-04-11T00:00:00"/>
    <n v="19"/>
    <x v="1"/>
    <n v="6"/>
    <n v="1"/>
    <n v="25065.98"/>
    <n v="7726.05"/>
    <n v="13782.24"/>
  </r>
  <r>
    <s v="4627"/>
    <s v="José Gómez"/>
    <d v="1965-12-31T00:00:00"/>
    <n v="60"/>
    <x v="0"/>
    <x v="6"/>
    <d v="2024-10-25T00:00:00"/>
    <d v="2023-05-02T00:00:00"/>
    <n v="14"/>
    <x v="2"/>
    <n v="14"/>
    <n v="0"/>
    <n v="5828.27"/>
    <n v="10650.52"/>
    <n v="1855.9"/>
  </r>
  <r>
    <s v="4628"/>
    <s v="Juan Hernández"/>
    <d v="1995-01-01T00:00:00"/>
    <n v="49"/>
    <x v="1"/>
    <x v="5"/>
    <d v="2023-03-28T00:00:00"/>
    <d v="2024-02-18T00:00:00"/>
    <n v="13"/>
    <x v="1"/>
    <n v="8"/>
    <n v="2"/>
    <n v="23569.03"/>
    <n v="9528.49"/>
    <n v="1749.78"/>
  </r>
  <r>
    <s v="4629"/>
    <s v="Elena Ramírez"/>
    <d v="1960-01-01T00:00:00"/>
    <n v="66"/>
    <x v="0"/>
    <x v="2"/>
    <d v="2023-04-05T00:00:00"/>
    <d v="2024-12-24T00:00:00"/>
    <n v="2"/>
    <x v="2"/>
    <n v="0"/>
    <n v="2"/>
    <n v="25417.65"/>
    <n v="8563.2800000000007"/>
    <n v="13255.11"/>
  </r>
  <r>
    <s v="4630"/>
    <s v="Ricardo Morales"/>
    <d v="1964-12-31T00:00:00"/>
    <n v="61"/>
    <x v="1"/>
    <x v="5"/>
    <d v="2024-03-03T00:00:00"/>
    <d v="2025-02-13T00:00:00"/>
    <n v="0"/>
    <x v="1"/>
    <n v="8"/>
    <n v="3"/>
    <n v="5392.01"/>
    <n v="4371.28"/>
    <n v="3045.46"/>
  </r>
  <r>
    <s v="4631"/>
    <s v="Luis Morales"/>
    <d v="1968-12-31T00:00:00"/>
    <n v="57"/>
    <x v="0"/>
    <x v="0"/>
    <d v="2024-11-28T00:00:00"/>
    <d v="2025-04-17T00:00:00"/>
    <n v="3"/>
    <x v="0"/>
    <n v="9"/>
    <n v="2"/>
    <n v="24187.18"/>
    <n v="12585.85"/>
    <n v="9010.39"/>
  </r>
  <r>
    <s v="4632"/>
    <s v="Pedro Cruz"/>
    <d v="1993-12-31T00:00:00"/>
    <n v="32"/>
    <x v="0"/>
    <x v="6"/>
    <d v="2024-03-25T00:00:00"/>
    <d v="2024-07-24T00:00:00"/>
    <n v="0"/>
    <x v="0"/>
    <n v="5"/>
    <n v="9"/>
    <n v="21269.07"/>
    <n v="11779.39"/>
    <n v="11353.08"/>
  </r>
  <r>
    <s v="4633"/>
    <s v="Ana Ramírez"/>
    <d v="1952-01-01T00:00:00"/>
    <n v="74"/>
    <x v="1"/>
    <x v="5"/>
    <d v="2024-09-17T00:00:00"/>
    <d v="2023-02-13T00:00:00"/>
    <n v="27"/>
    <x v="1"/>
    <n v="9"/>
    <n v="5"/>
    <n v="26168.53"/>
    <n v="2754.19"/>
    <n v="7700.62"/>
  </r>
  <r>
    <s v="4634"/>
    <s v="Pedro Hernández"/>
    <d v="2011-01-01T00:00:00"/>
    <n v="15"/>
    <x v="1"/>
    <x v="4"/>
    <d v="2024-06-24T00:00:00"/>
    <d v="2024-05-19T00:00:00"/>
    <n v="8"/>
    <x v="1"/>
    <n v="3"/>
    <n v="8"/>
    <n v="15054.03"/>
    <n v="9826.9699999999993"/>
    <n v="1611.61"/>
  </r>
  <r>
    <s v="4635"/>
    <s v="María Ramírez"/>
    <d v="1944-12-31T00:00:00"/>
    <n v="45"/>
    <x v="0"/>
    <x v="6"/>
    <d v="2024-12-15T00:00:00"/>
    <d v="2023-07-17T00:00:00"/>
    <n v="24"/>
    <x v="0"/>
    <n v="12"/>
    <n v="7"/>
    <n v="6632.62"/>
    <n v="13599.82"/>
    <n v="14841.35"/>
  </r>
  <r>
    <s v="4636"/>
    <s v="Elena Cruz"/>
    <d v="1932-12-31T00:00:00"/>
    <n v="93"/>
    <x v="1"/>
    <x v="2"/>
    <d v="2023-01-02T00:00:00"/>
    <d v="2023-03-14T00:00:00"/>
    <n v="19"/>
    <x v="0"/>
    <n v="5"/>
    <n v="5"/>
    <n v="27317.21"/>
    <n v="6534.02"/>
    <n v="17689.14"/>
  </r>
  <r>
    <s v="4637"/>
    <s v="Luis Gómez"/>
    <d v="1979-01-01T00:00:00"/>
    <n v="47"/>
    <x v="1"/>
    <x v="3"/>
    <d v="2023-03-19T00:00:00"/>
    <d v="2023-04-02T00:00:00"/>
    <n v="3"/>
    <x v="0"/>
    <n v="1"/>
    <n v="7"/>
    <n v="23596.33"/>
    <n v="13871.54"/>
    <n v="3149.83"/>
  </r>
  <r>
    <s v="4638"/>
    <s v="Ana Rodríguez"/>
    <d v="2016-12-31T00:00:00"/>
    <n v="9"/>
    <x v="1"/>
    <x v="4"/>
    <d v="2023-11-20T00:00:00"/>
    <d v="2024-07-03T00:00:00"/>
    <n v="35"/>
    <x v="1"/>
    <n v="2"/>
    <n v="7"/>
    <n v="140.05000000000001"/>
    <n v="329.46"/>
    <n v="17067.48"/>
  </r>
  <r>
    <s v="4639"/>
    <s v="Ana Morales"/>
    <d v="1944-12-31T00:00:00"/>
    <n v="81"/>
    <x v="0"/>
    <x v="6"/>
    <d v="2023-04-08T00:00:00"/>
    <d v="2024-05-06T00:00:00"/>
    <n v="38"/>
    <x v="1"/>
    <n v="5"/>
    <n v="9"/>
    <n v="28152.11"/>
    <n v="7743.6"/>
    <n v="15752.79"/>
  </r>
  <r>
    <s v="4640"/>
    <s v="Luisa Morales"/>
    <d v="1988-12-31T00:00:00"/>
    <n v="37"/>
    <x v="0"/>
    <x v="1"/>
    <d v="2024-09-20T00:00:00"/>
    <d v="2025-04-06T00:00:00"/>
    <n v="28"/>
    <x v="0"/>
    <n v="0"/>
    <n v="5"/>
    <n v="28430.02"/>
    <n v="3844.05"/>
    <n v="11233.59"/>
  </r>
  <r>
    <s v="4641"/>
    <s v="Pedro Pérez"/>
    <d v="2008-01-01T00:00:00"/>
    <n v="18"/>
    <x v="0"/>
    <x v="5"/>
    <d v="2023-04-20T00:00:00"/>
    <d v="2025-01-19T00:00:00"/>
    <n v="3"/>
    <x v="2"/>
    <n v="0"/>
    <n v="1"/>
    <n v="10336.780000000001"/>
    <n v="3932.36"/>
    <n v="11881.62"/>
  </r>
  <r>
    <s v="4642"/>
    <s v="Elena Sánchez"/>
    <d v="1991-01-01T00:00:00"/>
    <n v="35"/>
    <x v="0"/>
    <x v="4"/>
    <d v="2024-11-09T00:00:00"/>
    <d v="2024-01-19T00:00:00"/>
    <n v="17"/>
    <x v="0"/>
    <n v="1"/>
    <n v="4"/>
    <n v="194.44"/>
    <n v="13163.21"/>
    <n v="12996.52"/>
  </r>
  <r>
    <s v="4643"/>
    <s v="Luis Ramírez"/>
    <d v="1968-01-01T00:00:00"/>
    <n v="58"/>
    <x v="0"/>
    <x v="0"/>
    <d v="2024-04-01T00:00:00"/>
    <d v="2025-03-16T00:00:00"/>
    <n v="38"/>
    <x v="1"/>
    <n v="1"/>
    <n v="3"/>
    <n v="16352.39"/>
    <n v="4672.49"/>
    <n v="10447.709999999999"/>
  </r>
  <r>
    <s v="4644"/>
    <s v="Carmen Pérez"/>
    <d v="1954-01-01T00:00:00"/>
    <n v="62"/>
    <x v="0"/>
    <x v="1"/>
    <d v="2024-05-02T00:00:00"/>
    <d v="2024-04-11T00:00:00"/>
    <n v="8"/>
    <x v="1"/>
    <n v="10"/>
    <n v="5"/>
    <n v="27367.11"/>
    <n v="349.97"/>
    <n v="16871.29"/>
  </r>
  <r>
    <s v="4645"/>
    <s v="María Pérez"/>
    <d v="1949-12-31T00:00:00"/>
    <n v="76"/>
    <x v="2"/>
    <x v="1"/>
    <d v="2024-01-06T00:00:00"/>
    <d v="2023-06-04T00:00:00"/>
    <n v="1"/>
    <x v="1"/>
    <n v="1"/>
    <n v="1"/>
    <n v="3295.43"/>
    <n v="8095.33"/>
    <n v="9429.3799999999992"/>
  </r>
  <r>
    <s v="4646"/>
    <s v="Luis Hernández"/>
    <d v="1980-12-31T00:00:00"/>
    <n v="45"/>
    <x v="1"/>
    <x v="0"/>
    <d v="2023-12-03T00:00:00"/>
    <d v="2023-06-20T00:00:00"/>
    <n v="28"/>
    <x v="0"/>
    <n v="4"/>
    <n v="3"/>
    <n v="17510.55"/>
    <n v="14562.95"/>
    <n v="10895.76"/>
  </r>
  <r>
    <s v="4647"/>
    <s v="Miguel Cruz"/>
    <d v="2024-01-01T00:00:00"/>
    <n v="2"/>
    <x v="1"/>
    <x v="0"/>
    <d v="2024-08-21T00:00:00"/>
    <d v="2023-09-30T00:00:00"/>
    <n v="35"/>
    <x v="0"/>
    <n v="11"/>
    <n v="7"/>
    <n v="21818.959999999999"/>
    <n v="1186.43"/>
    <n v="638.98"/>
  </r>
  <r>
    <s v="4648"/>
    <s v="Pedro Ramírez"/>
    <d v="1952-12-31T00:00:00"/>
    <n v="73"/>
    <x v="0"/>
    <x v="0"/>
    <d v="2023-01-22T00:00:00"/>
    <d v="2023-04-21T00:00:00"/>
    <n v="23"/>
    <x v="0"/>
    <n v="3"/>
    <n v="0"/>
    <n v="3608.04"/>
    <n v="4294.5"/>
    <n v="3519.4"/>
  </r>
  <r>
    <s v="4649"/>
    <s v="Jorge Martínez"/>
    <d v="1961-12-31T00:00:00"/>
    <n v="64"/>
    <x v="0"/>
    <x v="1"/>
    <d v="2024-12-22T00:00:00"/>
    <d v="2023-06-01T00:00:00"/>
    <n v="24"/>
    <x v="0"/>
    <n v="13"/>
    <n v="2"/>
    <n v="15154.84"/>
    <n v="7042.55"/>
    <n v="18065.939999999999"/>
  </r>
  <r>
    <s v="4650"/>
    <s v="Ricardo Rodríguez"/>
    <d v="1936-01-01T00:00:00"/>
    <n v="90"/>
    <x v="1"/>
    <x v="6"/>
    <d v="2023-11-01T00:00:00"/>
    <d v="2024-03-07T00:00:00"/>
    <n v="28"/>
    <x v="0"/>
    <n v="8"/>
    <n v="3"/>
    <n v="2208.5300000000002"/>
    <n v="12457.2"/>
    <n v="2343.6"/>
  </r>
  <r>
    <s v="4651"/>
    <s v="Sofía Martínez"/>
    <d v="2019-01-01T00:00:00"/>
    <n v="7"/>
    <x v="1"/>
    <x v="0"/>
    <d v="2023-09-29T00:00:00"/>
    <d v="2024-03-27T00:00:00"/>
    <n v="21"/>
    <x v="2"/>
    <n v="6"/>
    <n v="1"/>
    <n v="16522.849999999999"/>
    <n v="4033.43"/>
    <n v="18071.39"/>
  </r>
  <r>
    <s v="4652"/>
    <s v="Carlos Rodríguez"/>
    <d v="1976-01-01T00:00:00"/>
    <n v="50"/>
    <x v="0"/>
    <x v="3"/>
    <d v="2024-05-04T00:00:00"/>
    <d v="2024-10-05T00:00:00"/>
    <n v="10"/>
    <x v="1"/>
    <n v="3"/>
    <n v="1"/>
    <n v="12984.53"/>
    <n v="5155.28"/>
    <n v="12682.08"/>
  </r>
  <r>
    <s v="4653"/>
    <s v="Carlos Hernández"/>
    <d v="1945-12-31T00:00:00"/>
    <n v="80"/>
    <x v="0"/>
    <x v="1"/>
    <d v="2024-03-21T00:00:00"/>
    <d v="2025-02-19T00:00:00"/>
    <n v="22"/>
    <x v="1"/>
    <n v="1"/>
    <n v="5"/>
    <n v="7573.29"/>
    <n v="5767.42"/>
    <n v="18394.490000000002"/>
  </r>
  <r>
    <s v="4654"/>
    <s v="Juan López"/>
    <d v="1953-12-31T00:00:00"/>
    <n v="72"/>
    <x v="1"/>
    <x v="1"/>
    <d v="2023-10-05T00:00:00"/>
    <d v="2023-01-24T00:00:00"/>
    <n v="34"/>
    <x v="0"/>
    <n v="10"/>
    <n v="5"/>
    <n v="0"/>
    <n v="5694.51"/>
    <n v="16267.55"/>
  </r>
  <r>
    <s v="4655"/>
    <s v="Elena Sánchez"/>
    <d v="2020-12-31T00:00:00"/>
    <n v="5"/>
    <x v="0"/>
    <x v="1"/>
    <d v="2024-10-12T00:00:00"/>
    <d v="2024-01-03T00:00:00"/>
    <n v="38"/>
    <x v="1"/>
    <n v="6"/>
    <n v="2"/>
    <n v="11144.58"/>
    <n v="3005.18"/>
    <n v="17292.2"/>
  </r>
  <r>
    <s v="4656"/>
    <s v="Carlos Martínez"/>
    <d v="1937-12-31T00:00:00"/>
    <n v="88"/>
    <x v="0"/>
    <x v="2"/>
    <d v="2024-01-12T00:00:00"/>
    <d v="2024-10-13T00:00:00"/>
    <n v="22"/>
    <x v="0"/>
    <n v="4"/>
    <n v="7"/>
    <n v="20844.419999999998"/>
    <n v="13734.99"/>
    <n v="10440.1"/>
  </r>
  <r>
    <s v="4657"/>
    <s v="María Gómez"/>
    <d v="1988-01-01T00:00:00"/>
    <n v="38"/>
    <x v="0"/>
    <x v="6"/>
    <d v="2023-08-20T00:00:00"/>
    <d v="2025-03-31T00:00:00"/>
    <n v="26"/>
    <x v="2"/>
    <n v="6"/>
    <n v="2"/>
    <n v="23615.82"/>
    <n v="11893.65"/>
    <n v="16488.5"/>
  </r>
  <r>
    <s v="4658"/>
    <s v="Carmen Ramírez"/>
    <d v="1967-01-01T00:00:00"/>
    <n v="59"/>
    <x v="1"/>
    <x v="6"/>
    <d v="2024-08-14T00:00:00"/>
    <d v="2023-08-28T00:00:00"/>
    <n v="28"/>
    <x v="0"/>
    <n v="11"/>
    <n v="1"/>
    <n v="4948.1499999999996"/>
    <n v="14634.64"/>
    <n v="9156.61"/>
  </r>
  <r>
    <s v="4659"/>
    <s v="Miguel Rodríguez"/>
    <d v="1999-01-01T00:00:00"/>
    <n v="27"/>
    <x v="1"/>
    <x v="0"/>
    <d v="2024-03-01T00:00:00"/>
    <d v="2024-03-10T00:00:00"/>
    <n v="36"/>
    <x v="0"/>
    <n v="0"/>
    <n v="4"/>
    <n v="3132.96"/>
    <n v="5564.91"/>
    <n v="787.88"/>
  </r>
  <r>
    <s v="4660"/>
    <s v="Luis Rodríguez"/>
    <d v="1972-12-31T00:00:00"/>
    <n v="53"/>
    <x v="1"/>
    <x v="1"/>
    <d v="2023-02-24T00:00:00"/>
    <d v="2024-12-05T00:00:00"/>
    <n v="1"/>
    <x v="0"/>
    <n v="8"/>
    <n v="6"/>
    <n v="261.02999999999997"/>
    <n v="679.43"/>
    <n v="12992.3"/>
  </r>
  <r>
    <s v="4661"/>
    <s v="José Morales"/>
    <d v="1989-12-31T00:00:00"/>
    <n v="36"/>
    <x v="1"/>
    <x v="4"/>
    <d v="2024-03-16T00:00:00"/>
    <d v="2023-05-08T00:00:00"/>
    <n v="9"/>
    <x v="1"/>
    <n v="6"/>
    <n v="0"/>
    <n v="8827.14"/>
    <n v="1732.52"/>
    <n v="14541.91"/>
  </r>
  <r>
    <s v="4662"/>
    <s v="Carlos Sánchez"/>
    <d v="2017-12-31T00:00:00"/>
    <n v="8"/>
    <x v="0"/>
    <x v="1"/>
    <d v="2023-02-03T00:00:00"/>
    <d v="2024-06-25T00:00:00"/>
    <n v="2"/>
    <x v="0"/>
    <n v="4"/>
    <n v="1"/>
    <n v="24386.65"/>
    <n v="5362.25"/>
    <n v="1941.13"/>
  </r>
  <r>
    <s v="4663"/>
    <s v="María Rodríguez"/>
    <d v="1944-12-31T00:00:00"/>
    <n v="81"/>
    <x v="1"/>
    <x v="0"/>
    <d v="2023-11-25T00:00:00"/>
    <d v="2024-09-25T00:00:00"/>
    <n v="24"/>
    <x v="0"/>
    <n v="1"/>
    <n v="1"/>
    <n v="23069.360000000001"/>
    <n v="13665.96"/>
    <n v="16299.73"/>
  </r>
  <r>
    <s v="4664"/>
    <s v="Pedro Sánchez"/>
    <d v="1971-01-01T00:00:00"/>
    <n v="55"/>
    <x v="2"/>
    <x v="6"/>
    <d v="2024-03-29T00:00:00"/>
    <d v="2023-07-18T00:00:00"/>
    <n v="31"/>
    <x v="0"/>
    <n v="11"/>
    <n v="7"/>
    <n v="26090.080000000002"/>
    <n v="14716.27"/>
    <n v="1410.99"/>
  </r>
  <r>
    <s v="4665"/>
    <s v="Juan Sánchez"/>
    <d v="1968-01-01T00:00:00"/>
    <n v="58"/>
    <x v="1"/>
    <x v="0"/>
    <d v="2024-01-23T00:00:00"/>
    <d v="2024-11-17T00:00:00"/>
    <n v="11"/>
    <x v="0"/>
    <n v="1"/>
    <n v="9"/>
    <n v="22698.31"/>
    <n v="12329.96"/>
    <n v="8776.44"/>
  </r>
  <r>
    <s v="4666"/>
    <s v="Miguel Gómez"/>
    <d v="1941-12-31T00:00:00"/>
    <n v="84"/>
    <x v="1"/>
    <x v="0"/>
    <d v="2024-03-05T00:00:00"/>
    <d v="2024-10-18T00:00:00"/>
    <n v="4"/>
    <x v="0"/>
    <n v="8"/>
    <n v="5"/>
    <n v="231.74"/>
    <n v="3576.38"/>
    <n v="9707.27"/>
  </r>
  <r>
    <s v="4667"/>
    <s v="Jorge Ramírez"/>
    <d v="1966-01-01T00:00:00"/>
    <n v="1"/>
    <x v="0"/>
    <x v="0"/>
    <d v="2024-04-20T00:00:00"/>
    <d v="2024-04-27T00:00:00"/>
    <n v="34"/>
    <x v="0"/>
    <n v="10"/>
    <n v="3"/>
    <n v="11258.29"/>
    <n v="9895.49"/>
    <n v="638.80999999999995"/>
  </r>
  <r>
    <s v="4668"/>
    <s v="José Gómez"/>
    <d v="1965-12-31T00:00:00"/>
    <n v="60"/>
    <x v="0"/>
    <x v="0"/>
    <d v="2023-05-05T00:00:00"/>
    <d v="2023-06-29T00:00:00"/>
    <n v="33"/>
    <x v="2"/>
    <n v="3"/>
    <n v="3"/>
    <n v="319.22000000000003"/>
    <n v="8949.11"/>
    <n v="1222.67"/>
  </r>
  <r>
    <s v="4669"/>
    <s v="Luis Ramírez"/>
    <d v="1968-12-31T00:00:00"/>
    <n v="57"/>
    <x v="1"/>
    <x v="0"/>
    <d v="2024-06-06T00:00:00"/>
    <d v="2025-05-19T00:00:00"/>
    <n v="7"/>
    <x v="0"/>
    <n v="5"/>
    <n v="4"/>
    <n v="599.55999999999995"/>
    <n v="12348.79"/>
    <n v="8957.9500000000007"/>
  </r>
  <r>
    <s v="4670"/>
    <s v="Pedro Rodríguez"/>
    <d v="1967-01-01T00:00:00"/>
    <n v="59"/>
    <x v="0"/>
    <x v="5"/>
    <d v="2024-04-26T00:00:00"/>
    <d v="2024-06-07T00:00:00"/>
    <n v="26"/>
    <x v="0"/>
    <n v="2"/>
    <n v="2"/>
    <n v="14096.04"/>
    <n v="7646.24"/>
    <n v="6156.28"/>
  </r>
  <r>
    <s v="4671"/>
    <s v="Juan Ramírez"/>
    <d v="1987-01-01T00:00:00"/>
    <n v="42"/>
    <x v="0"/>
    <x v="5"/>
    <d v="2023-11-13T00:00:00"/>
    <d v="2024-10-13T00:00:00"/>
    <n v="13"/>
    <x v="0"/>
    <n v="12"/>
    <n v="3"/>
    <n v="10480.17"/>
    <n v="4771.95"/>
    <n v="16299.75"/>
  </r>
  <r>
    <s v="4672"/>
    <s v="Elena Martínez"/>
    <d v="1991-01-01T00:00:00"/>
    <n v="35"/>
    <x v="0"/>
    <x v="1"/>
    <d v="2023-05-02T00:00:00"/>
    <d v="2024-03-13T00:00:00"/>
    <n v="35"/>
    <x v="1"/>
    <n v="11"/>
    <n v="3"/>
    <n v="16534.97"/>
    <n v="289.16000000000003"/>
    <n v="8218.48"/>
  </r>
  <r>
    <s v="4673"/>
    <s v="Luis Ramírez"/>
    <d v="1989-12-31T00:00:00"/>
    <n v="36"/>
    <x v="0"/>
    <x v="1"/>
    <d v="2024-06-30T00:00:00"/>
    <d v="2025-02-04T00:00:00"/>
    <n v="18"/>
    <x v="2"/>
    <n v="8"/>
    <n v="6"/>
    <n v="1517.91"/>
    <n v="11925.39"/>
    <n v="2021.09"/>
  </r>
  <r>
    <s v="4674"/>
    <s v="Juan Sánchez"/>
    <d v="1948-01-01T00:00:00"/>
    <n v="78"/>
    <x v="1"/>
    <x v="4"/>
    <d v="2024-08-03T00:00:00"/>
    <d v="2025-05-07T00:00:00"/>
    <n v="35"/>
    <x v="0"/>
    <n v="3"/>
    <n v="6"/>
    <n v="17443.150000000001"/>
    <n v="7953.72"/>
    <n v="3073.36"/>
  </r>
  <r>
    <s v="4675"/>
    <s v="Jorge Morales"/>
    <d v="1935-01-01T00:00:00"/>
    <n v="91"/>
    <x v="0"/>
    <x v="4"/>
    <d v="2023-11-09T00:00:00"/>
    <d v="2023-11-11T00:00:00"/>
    <n v="38"/>
    <x v="1"/>
    <n v="8"/>
    <n v="0"/>
    <n v="1482.57"/>
    <n v="8012.81"/>
    <n v="13436.81"/>
  </r>
  <r>
    <s v="4676"/>
    <s v="Laura Martínez"/>
    <d v="2008-12-31T00:00:00"/>
    <n v="17"/>
    <x v="0"/>
    <x v="5"/>
    <d v="2024-05-01T00:00:00"/>
    <d v="2023-01-20T00:00:00"/>
    <n v="30"/>
    <x v="0"/>
    <n v="1"/>
    <n v="2"/>
    <n v="12422.37"/>
    <n v="14355.93"/>
    <n v="18996.310000000001"/>
  </r>
  <r>
    <s v="4677"/>
    <s v="Pedro Morales"/>
    <d v="1964-01-01T00:00:00"/>
    <n v="62"/>
    <x v="1"/>
    <x v="6"/>
    <d v="2024-10-12T00:00:00"/>
    <d v="2023-06-10T00:00:00"/>
    <n v="26"/>
    <x v="0"/>
    <n v="0"/>
    <n v="8"/>
    <n v="10246.91"/>
    <n v="7293.41"/>
    <n v="17378.91"/>
  </r>
  <r>
    <s v="4678"/>
    <s v="Laura Morales"/>
    <d v="2004-12-31T00:00:00"/>
    <n v="21"/>
    <x v="1"/>
    <x v="2"/>
    <d v="2023-01-12T00:00:00"/>
    <d v="2025-03-29T00:00:00"/>
    <n v="14"/>
    <x v="2"/>
    <n v="0"/>
    <n v="5"/>
    <n v="6330.41"/>
    <n v="4737.0200000000004"/>
    <n v="2502.84"/>
  </r>
  <r>
    <s v="4679"/>
    <s v="Luis Ramírez"/>
    <d v="2016-01-01T00:00:00"/>
    <n v="10"/>
    <x v="0"/>
    <x v="6"/>
    <d v="2023-05-05T00:00:00"/>
    <d v="2023-05-03T00:00:00"/>
    <n v="10"/>
    <x v="2"/>
    <n v="12"/>
    <n v="5"/>
    <n v="9015.1200000000008"/>
    <n v="5097.57"/>
    <n v="229"/>
  </r>
  <r>
    <s v="4680"/>
    <s v="Miguel Rodríguez"/>
    <d v="1968-12-31T00:00:00"/>
    <n v="57"/>
    <x v="1"/>
    <x v="4"/>
    <d v="2024-10-20T00:00:00"/>
    <d v="2023-03-14T00:00:00"/>
    <n v="3"/>
    <x v="2"/>
    <n v="3"/>
    <n v="3"/>
    <n v="484.01"/>
    <n v="176.2"/>
    <n v="431.42"/>
  </r>
  <r>
    <s v="4681"/>
    <s v="María Hernández"/>
    <d v="1969-12-31T00:00:00"/>
    <n v="56"/>
    <x v="1"/>
    <x v="1"/>
    <d v="2023-03-18T00:00:00"/>
    <d v="2023-02-25T00:00:00"/>
    <n v="1"/>
    <x v="2"/>
    <n v="2"/>
    <n v="9"/>
    <n v="0"/>
    <n v="1835.27"/>
    <n v="11052.45"/>
  </r>
  <r>
    <s v="4682"/>
    <s v="Luis Cruz"/>
    <d v="1991-01-01T00:00:00"/>
    <n v="76"/>
    <x v="2"/>
    <x v="5"/>
    <d v="2024-08-02T00:00:00"/>
    <d v="2024-04-05T00:00:00"/>
    <n v="5"/>
    <x v="1"/>
    <n v="0"/>
    <n v="8"/>
    <n v="1891.45"/>
    <n v="657.13"/>
    <n v="9666.5400000000009"/>
  </r>
  <r>
    <s v="4683"/>
    <s v="Miguel López"/>
    <d v="2023-01-01T00:00:00"/>
    <n v="3"/>
    <x v="1"/>
    <x v="6"/>
    <d v="2024-12-18T00:00:00"/>
    <d v="2023-06-19T00:00:00"/>
    <n v="29"/>
    <x v="0"/>
    <n v="14"/>
    <n v="2"/>
    <n v="27599.72"/>
    <n v="3648.9"/>
    <n v="169.27"/>
  </r>
  <r>
    <s v="4684"/>
    <s v="Carmen Rodríguez"/>
    <d v="1940-12-31T00:00:00"/>
    <n v="85"/>
    <x v="1"/>
    <x v="2"/>
    <d v="2023-08-24T00:00:00"/>
    <d v="2024-09-03T00:00:00"/>
    <n v="33"/>
    <x v="0"/>
    <n v="3"/>
    <n v="7"/>
    <n v="1767.15"/>
    <n v="969.78"/>
    <n v="1048.17"/>
  </r>
  <r>
    <s v="4685"/>
    <s v="Sofía Sánchez"/>
    <d v="2020-01-01T00:00:00"/>
    <n v="6"/>
    <x v="0"/>
    <x v="0"/>
    <d v="2024-07-24T00:00:00"/>
    <d v="2024-08-05T00:00:00"/>
    <n v="6"/>
    <x v="2"/>
    <n v="8"/>
    <n v="5"/>
    <n v="28569.73"/>
    <n v="4966.74"/>
    <n v="19995.060000000001"/>
  </r>
  <r>
    <s v="4686"/>
    <s v="José Pérez"/>
    <d v="1965-12-31T00:00:00"/>
    <n v="60"/>
    <x v="0"/>
    <x v="3"/>
    <d v="2023-09-11T00:00:00"/>
    <d v="2023-05-30T00:00:00"/>
    <n v="20"/>
    <x v="0"/>
    <n v="7"/>
    <n v="1"/>
    <n v="14488.5"/>
    <n v="1891.94"/>
    <n v="19295.32"/>
  </r>
  <r>
    <s v="4687"/>
    <s v="Ricardo Morales"/>
    <d v="1972-12-31T00:00:00"/>
    <n v="53"/>
    <x v="1"/>
    <x v="5"/>
    <d v="2024-02-10T00:00:00"/>
    <d v="2024-09-21T00:00:00"/>
    <n v="4"/>
    <x v="1"/>
    <n v="6"/>
    <n v="2"/>
    <n v="15151.78"/>
    <n v="13768.79"/>
    <n v="2447.17"/>
  </r>
  <r>
    <s v="4688"/>
    <s v="Elena Pérez"/>
    <d v="1939-01-01T00:00:00"/>
    <n v="87"/>
    <x v="0"/>
    <x v="5"/>
    <d v="2023-08-31T00:00:00"/>
    <d v="2023-01-27T00:00:00"/>
    <n v="28"/>
    <x v="2"/>
    <n v="7"/>
    <n v="0"/>
    <n v="23537.84"/>
    <n v="14075.76"/>
    <n v="3198.41"/>
  </r>
  <r>
    <s v="4689"/>
    <s v="Jorge Hernández"/>
    <d v="1959-01-01T00:00:00"/>
    <n v="67"/>
    <x v="0"/>
    <x v="2"/>
    <d v="2024-04-05T00:00:00"/>
    <d v="2023-09-06T00:00:00"/>
    <n v="18"/>
    <x v="0"/>
    <n v="7"/>
    <n v="2"/>
    <n v="20709.080000000002"/>
    <n v="9051.85"/>
    <n v="17993.27"/>
  </r>
  <r>
    <s v="4690"/>
    <s v="Elena Rodríguez"/>
    <d v="1935-01-01T00:00:00"/>
    <n v="91"/>
    <x v="0"/>
    <x v="0"/>
    <d v="2023-10-04T00:00:00"/>
    <d v="2025-06-16T00:00:00"/>
    <n v="2"/>
    <x v="0"/>
    <n v="6"/>
    <n v="3"/>
    <n v="6730.36"/>
    <n v="12082.32"/>
    <n v="10099.530000000001"/>
  </r>
  <r>
    <s v="4691"/>
    <s v="Carlos Hernández"/>
    <d v="1948-01-01T00:00:00"/>
    <n v="78"/>
    <x v="1"/>
    <x v="0"/>
    <d v="2024-04-13T00:00:00"/>
    <d v="2024-12-22T00:00:00"/>
    <n v="1"/>
    <x v="2"/>
    <n v="7"/>
    <n v="5"/>
    <n v="276.72000000000003"/>
    <n v="10158.17"/>
    <n v="19155.32"/>
  </r>
  <r>
    <s v="4692"/>
    <s v="Elena Rodríguez"/>
    <d v="2025-12-31T00:00:00"/>
    <n v="0"/>
    <x v="1"/>
    <x v="3"/>
    <d v="2023-08-08T00:00:00"/>
    <d v="2023-08-16T00:00:00"/>
    <n v="37"/>
    <x v="0"/>
    <n v="2"/>
    <n v="9"/>
    <n v="23242.7"/>
    <n v="12166.63"/>
    <n v="10358.83"/>
  </r>
  <r>
    <s v="4693"/>
    <s v="Elena Morales"/>
    <d v="1972-01-01T00:00:00"/>
    <n v="54"/>
    <x v="1"/>
    <x v="0"/>
    <d v="2023-08-13T00:00:00"/>
    <d v="2024-09-18T00:00:00"/>
    <n v="8"/>
    <x v="0"/>
    <n v="6"/>
    <n v="6"/>
    <n v="3457.16"/>
    <n v="9597.11"/>
    <n v="11502.2"/>
  </r>
  <r>
    <s v="4694"/>
    <s v="José Martínez"/>
    <d v="2024-01-01T00:00:00"/>
    <n v="2"/>
    <x v="0"/>
    <x v="2"/>
    <d v="2023-04-11T00:00:00"/>
    <d v="2024-12-07T00:00:00"/>
    <n v="34"/>
    <x v="0"/>
    <n v="12"/>
    <n v="2"/>
    <n v="17750.259999999998"/>
    <n v="6452.91"/>
    <n v="4324.7299999999996"/>
  </r>
  <r>
    <s v="4695"/>
    <s v="Ana Sánchez"/>
    <d v="1948-12-31T00:00:00"/>
    <n v="77"/>
    <x v="0"/>
    <x v="1"/>
    <d v="2024-09-25T00:00:00"/>
    <d v="2024-04-29T00:00:00"/>
    <n v="15"/>
    <x v="1"/>
    <n v="0"/>
    <n v="6"/>
    <n v="28250.27"/>
    <n v="13106.32"/>
    <n v="17509.13"/>
  </r>
  <r>
    <s v="4696"/>
    <s v="María Ramírez"/>
    <d v="1988-12-31T00:00:00"/>
    <n v="37"/>
    <x v="0"/>
    <x v="0"/>
    <d v="2024-12-30T00:00:00"/>
    <d v="2025-04-13T00:00:00"/>
    <n v="21"/>
    <x v="2"/>
    <n v="7"/>
    <n v="3"/>
    <n v="16258.03"/>
    <n v="6571"/>
    <n v="16482.55"/>
  </r>
  <r>
    <s v="4697"/>
    <s v="Ana Gómez"/>
    <d v="2025-12-31T00:00:00"/>
    <n v="0"/>
    <x v="0"/>
    <x v="1"/>
    <d v="2024-05-21T00:00:00"/>
    <d v="2023-01-11T00:00:00"/>
    <n v="16"/>
    <x v="2"/>
    <n v="11"/>
    <n v="0"/>
    <n v="8209.98"/>
    <n v="5943.19"/>
    <n v="6682.2"/>
  </r>
  <r>
    <s v="4698"/>
    <s v="Laura Ramírez"/>
    <d v="1988-12-31T00:00:00"/>
    <n v="37"/>
    <x v="0"/>
    <x v="4"/>
    <d v="2024-08-09T00:00:00"/>
    <d v="2023-04-06T00:00:00"/>
    <n v="2"/>
    <x v="0"/>
    <n v="7"/>
    <n v="0"/>
    <n v="4953.46"/>
    <n v="9365.75"/>
    <n v="12208.7"/>
  </r>
  <r>
    <s v="4699"/>
    <s v="Elena Pérez"/>
    <d v="1941-12-31T00:00:00"/>
    <n v="84"/>
    <x v="1"/>
    <x v="4"/>
    <d v="2023-11-27T00:00:00"/>
    <d v="2023-05-02T00:00:00"/>
    <n v="26"/>
    <x v="0"/>
    <n v="9"/>
    <n v="7"/>
    <n v="321.97000000000003"/>
    <n v="14068.98"/>
    <n v="6762.99"/>
  </r>
  <r>
    <s v="4700"/>
    <s v="Ana Cruz"/>
    <d v="1997-12-31T00:00:00"/>
    <n v="28"/>
    <x v="0"/>
    <x v="1"/>
    <d v="2023-08-25T00:00:00"/>
    <d v="2023-05-07T00:00:00"/>
    <n v="36"/>
    <x v="2"/>
    <n v="1"/>
    <n v="9"/>
    <n v="18508.97"/>
    <n v="6633.04"/>
    <n v="9225.76"/>
  </r>
  <r>
    <s v="4701"/>
    <s v="Ricardo López"/>
    <d v="2021-12-31T00:00:00"/>
    <n v="50"/>
    <x v="0"/>
    <x v="2"/>
    <d v="2023-12-05T00:00:00"/>
    <d v="2024-07-03T00:00:00"/>
    <n v="1"/>
    <x v="0"/>
    <n v="4"/>
    <n v="6"/>
    <n v="16518.97"/>
    <n v="8624.17"/>
    <n v="17056.38"/>
  </r>
  <r>
    <s v="4702"/>
    <s v="Jorge Rodríguez"/>
    <d v="1952-12-31T00:00:00"/>
    <n v="73"/>
    <x v="0"/>
    <x v="5"/>
    <d v="2024-05-20T00:00:00"/>
    <d v="2023-03-11T00:00:00"/>
    <n v="14"/>
    <x v="1"/>
    <n v="10"/>
    <n v="3"/>
    <n v="13582.64"/>
    <n v="7384.99"/>
    <n v="8249.98"/>
  </r>
  <r>
    <s v="4703"/>
    <s v="Miguel Morales"/>
    <d v="1935-01-01T00:00:00"/>
    <n v="72"/>
    <x v="1"/>
    <x v="5"/>
    <d v="2023-06-14T00:00:00"/>
    <d v="2023-10-25T00:00:00"/>
    <n v="8"/>
    <x v="2"/>
    <n v="5"/>
    <n v="0"/>
    <n v="5410.03"/>
    <n v="13645.99"/>
    <n v="16795.37"/>
  </r>
  <r>
    <s v="4704"/>
    <s v="María Rodríguez"/>
    <d v="2005-12-31T00:00:00"/>
    <n v="20"/>
    <x v="0"/>
    <x v="5"/>
    <d v="2024-10-30T00:00:00"/>
    <d v="2024-11-17T00:00:00"/>
    <n v="34"/>
    <x v="0"/>
    <n v="1"/>
    <n v="5"/>
    <n v="6717.27"/>
    <n v="10151.18"/>
    <n v="19198.52"/>
  </r>
  <r>
    <s v="4705"/>
    <s v="Juan Morales"/>
    <d v="1968-01-01T00:00:00"/>
    <n v="70"/>
    <x v="1"/>
    <x v="6"/>
    <d v="2024-12-23T00:00:00"/>
    <d v="2024-05-16T00:00:00"/>
    <n v="10"/>
    <x v="0"/>
    <n v="14"/>
    <n v="9"/>
    <n v="28735.13"/>
    <n v="6293.84"/>
    <n v="8268.52"/>
  </r>
  <r>
    <s v="4706"/>
    <s v="Pedro Pérez"/>
    <d v="1960-01-01T00:00:00"/>
    <n v="66"/>
    <x v="1"/>
    <x v="5"/>
    <d v="2024-12-28T00:00:00"/>
    <d v="2023-02-15T00:00:00"/>
    <n v="26"/>
    <x v="2"/>
    <n v="3"/>
    <n v="6"/>
    <n v="122.32"/>
    <n v="9103.5400000000009"/>
    <n v="17538.39"/>
  </r>
  <r>
    <s v="4707"/>
    <s v="Carlos Rodríguez"/>
    <d v="1980-01-01T00:00:00"/>
    <n v="46"/>
    <x v="0"/>
    <x v="2"/>
    <d v="2023-08-06T00:00:00"/>
    <d v="2024-09-27T00:00:00"/>
    <n v="29"/>
    <x v="2"/>
    <n v="1"/>
    <n v="5"/>
    <n v="10584.76"/>
    <n v="2340.89"/>
    <n v="6010.07"/>
  </r>
  <r>
    <s v="4708"/>
    <s v="Elena Gómez"/>
    <d v="1943-01-01T00:00:00"/>
    <n v="83"/>
    <x v="0"/>
    <x v="3"/>
    <d v="2024-01-11T00:00:00"/>
    <d v="2024-01-18T00:00:00"/>
    <n v="37"/>
    <x v="1"/>
    <n v="9"/>
    <n v="5"/>
    <n v="683.78"/>
    <n v="5129.16"/>
    <n v="42.43"/>
  </r>
  <r>
    <s v="4709"/>
    <s v="Ricardo Martínez"/>
    <d v="1944-01-01T00:00:00"/>
    <n v="82"/>
    <x v="1"/>
    <x v="4"/>
    <d v="2023-01-12T00:00:00"/>
    <d v="2023-01-28T00:00:00"/>
    <n v="5"/>
    <x v="0"/>
    <n v="1"/>
    <n v="7"/>
    <n v="5342.86"/>
    <n v="11042.72"/>
    <n v="1598.28"/>
  </r>
  <r>
    <s v="4710"/>
    <s v="Miguel Rodríguez"/>
    <d v="1992-01-01T00:00:00"/>
    <n v="34"/>
    <x v="0"/>
    <x v="0"/>
    <d v="2024-03-07T00:00:00"/>
    <d v="2024-12-06T00:00:00"/>
    <n v="7"/>
    <x v="0"/>
    <n v="10"/>
    <n v="5"/>
    <n v="27960.66"/>
    <n v="8435.91"/>
    <n v="14715.74"/>
  </r>
  <r>
    <s v="4711"/>
    <s v="Carlos Sánchez"/>
    <d v="1959-01-01T00:00:00"/>
    <n v="67"/>
    <x v="1"/>
    <x v="5"/>
    <d v="2023-03-24T00:00:00"/>
    <d v="2024-05-12T00:00:00"/>
    <n v="22"/>
    <x v="1"/>
    <n v="6"/>
    <n v="1"/>
    <n v="4061.66"/>
    <n v="4714.09"/>
    <n v="1913.65"/>
  </r>
  <r>
    <s v="4712"/>
    <s v="Ana López"/>
    <d v="1957-12-31T00:00:00"/>
    <n v="68"/>
    <x v="1"/>
    <x v="6"/>
    <d v="2024-03-06T00:00:00"/>
    <d v="2025-05-02T00:00:00"/>
    <n v="8"/>
    <x v="1"/>
    <n v="1"/>
    <n v="6"/>
    <n v="17823.95"/>
    <n v="5434.47"/>
    <n v="18777.11"/>
  </r>
  <r>
    <s v="4713"/>
    <s v="Carlos Pérez"/>
    <d v="2025-12-31T00:00:00"/>
    <n v="0"/>
    <x v="1"/>
    <x v="4"/>
    <d v="2024-09-16T00:00:00"/>
    <d v="2023-05-17T00:00:00"/>
    <n v="25"/>
    <x v="1"/>
    <n v="6"/>
    <n v="9"/>
    <n v="10081.82"/>
    <n v="12146.74"/>
    <n v="17318.25"/>
  </r>
  <r>
    <s v="4714"/>
    <s v="Pedro Pérez"/>
    <d v="1959-01-01T00:00:00"/>
    <n v="67"/>
    <x v="0"/>
    <x v="4"/>
    <d v="2024-04-22T00:00:00"/>
    <d v="2024-12-08T00:00:00"/>
    <n v="30"/>
    <x v="0"/>
    <n v="7"/>
    <n v="3"/>
    <n v="0"/>
    <n v="8113.25"/>
    <n v="10248.51"/>
  </r>
  <r>
    <s v="4715"/>
    <s v="Luisa Martínez"/>
    <d v="2015-01-01T00:00:00"/>
    <n v="11"/>
    <x v="2"/>
    <x v="1"/>
    <d v="2024-12-07T00:00:00"/>
    <d v="2023-02-19T00:00:00"/>
    <n v="36"/>
    <x v="0"/>
    <n v="4"/>
    <n v="2"/>
    <n v="25490.36"/>
    <n v="3581.34"/>
    <n v="11588.35"/>
  </r>
  <r>
    <s v="4716"/>
    <s v="Ana López"/>
    <d v="1967-01-01T00:00:00"/>
    <n v="59"/>
    <x v="0"/>
    <x v="6"/>
    <d v="2024-01-04T00:00:00"/>
    <d v="2024-08-31T00:00:00"/>
    <n v="23"/>
    <x v="2"/>
    <n v="5"/>
    <n v="7"/>
    <n v="8239.6"/>
    <n v="4452.1899999999996"/>
    <n v="13856.4"/>
  </r>
  <r>
    <s v="4717"/>
    <s v="Pedro Hernández"/>
    <d v="2000-01-01T00:00:00"/>
    <n v="26"/>
    <x v="0"/>
    <x v="2"/>
    <d v="2024-10-14T00:00:00"/>
    <d v="2024-05-22T00:00:00"/>
    <n v="5"/>
    <x v="0"/>
    <n v="4"/>
    <n v="9"/>
    <n v="1898.01"/>
    <n v="7018.25"/>
    <n v="14603.27"/>
  </r>
  <r>
    <s v="4718"/>
    <s v="Ricardo Pérez"/>
    <d v="1971-01-01T00:00:00"/>
    <n v="55"/>
    <x v="1"/>
    <x v="3"/>
    <d v="2024-09-27T00:00:00"/>
    <d v="2023-05-02T00:00:00"/>
    <n v="35"/>
    <x v="1"/>
    <n v="6"/>
    <n v="4"/>
    <n v="5727.49"/>
    <n v="11442.56"/>
    <n v="9773.25"/>
  </r>
  <r>
    <s v="4719"/>
    <s v="Ricardo Morales"/>
    <d v="2004-01-01T00:00:00"/>
    <n v="22"/>
    <x v="1"/>
    <x v="5"/>
    <d v="2023-05-21T00:00:00"/>
    <d v="2025-01-31T00:00:00"/>
    <n v="23"/>
    <x v="0"/>
    <n v="12"/>
    <n v="3"/>
    <n v="12892.25"/>
    <n v="14961.61"/>
    <n v="6199.34"/>
  </r>
  <r>
    <s v="4720"/>
    <s v="Pedro Gómez"/>
    <d v="2001-12-31T00:00:00"/>
    <n v="24"/>
    <x v="0"/>
    <x v="5"/>
    <d v="2024-12-20T00:00:00"/>
    <d v="2023-08-06T00:00:00"/>
    <n v="29"/>
    <x v="0"/>
    <n v="5"/>
    <n v="3"/>
    <n v="15209.45"/>
    <n v="2786.41"/>
    <n v="18195.82"/>
  </r>
  <r>
    <s v="4721"/>
    <s v="José Cruz"/>
    <d v="2005-12-31T00:00:00"/>
    <n v="20"/>
    <x v="1"/>
    <x v="6"/>
    <d v="2024-09-18T00:00:00"/>
    <d v="2024-09-18T00:00:00"/>
    <n v="25"/>
    <x v="2"/>
    <n v="14"/>
    <n v="4"/>
    <n v="28227.81"/>
    <n v="11323.94"/>
    <n v="836.03"/>
  </r>
  <r>
    <s v="4722"/>
    <s v="Juan Hernández"/>
    <d v="1965-12-31T00:00:00"/>
    <n v="60"/>
    <x v="0"/>
    <x v="2"/>
    <d v="2024-12-18T00:00:00"/>
    <d v="2024-06-10T00:00:00"/>
    <n v="4"/>
    <x v="1"/>
    <n v="8"/>
    <n v="3"/>
    <n v="8.89"/>
    <n v="9258.2900000000009"/>
    <n v="7057.29"/>
  </r>
  <r>
    <s v="4723"/>
    <s v="Pedro Morales"/>
    <d v="2023-01-01T00:00:00"/>
    <n v="62"/>
    <x v="0"/>
    <x v="6"/>
    <d v="2024-03-31T00:00:00"/>
    <d v="2024-07-28T00:00:00"/>
    <n v="32"/>
    <x v="2"/>
    <n v="1"/>
    <n v="2"/>
    <n v="22607.63"/>
    <n v="7967.9"/>
    <n v="13296.77"/>
  </r>
  <r>
    <s v="4724"/>
    <s v="Elena Gómez"/>
    <d v="1975-01-01T00:00:00"/>
    <n v="51"/>
    <x v="2"/>
    <x v="6"/>
    <d v="2024-05-16T00:00:00"/>
    <d v="2023-02-13T00:00:00"/>
    <n v="1"/>
    <x v="0"/>
    <n v="1"/>
    <n v="3"/>
    <n v="1711.55"/>
    <n v="14496.86"/>
    <n v="17810.54"/>
  </r>
  <r>
    <s v="4725"/>
    <s v="Luis Hernández"/>
    <d v="1939-01-01T00:00:00"/>
    <n v="87"/>
    <x v="1"/>
    <x v="3"/>
    <d v="2024-02-07T00:00:00"/>
    <d v="2025-01-22T00:00:00"/>
    <n v="19"/>
    <x v="2"/>
    <n v="1"/>
    <n v="9"/>
    <n v="1876.62"/>
    <n v="4841.3"/>
    <n v="1391.91"/>
  </r>
  <r>
    <s v="4726"/>
    <s v="Luis Rodríguez"/>
    <d v="2001-12-31T00:00:00"/>
    <n v="24"/>
    <x v="0"/>
    <x v="2"/>
    <d v="2023-10-15T00:00:00"/>
    <d v="2023-04-07T00:00:00"/>
    <n v="19"/>
    <x v="2"/>
    <n v="13"/>
    <n v="4"/>
    <n v="19451.03"/>
    <n v="2654.67"/>
    <n v="13144.98"/>
  </r>
  <r>
    <s v="4727"/>
    <s v="Ana Ramírez"/>
    <d v="1972-01-01T00:00:00"/>
    <n v="54"/>
    <x v="0"/>
    <x v="3"/>
    <d v="2023-12-21T00:00:00"/>
    <d v="2023-01-28T00:00:00"/>
    <n v="0"/>
    <x v="0"/>
    <n v="1"/>
    <n v="1"/>
    <n v="27222.44"/>
    <n v="13163.96"/>
    <n v="9690.25"/>
  </r>
  <r>
    <s v="4728"/>
    <s v="Ana Cruz"/>
    <d v="1980-12-31T00:00:00"/>
    <n v="45"/>
    <x v="1"/>
    <x v="2"/>
    <d v="2023-12-09T00:00:00"/>
    <d v="2025-04-16T00:00:00"/>
    <n v="5"/>
    <x v="2"/>
    <n v="2"/>
    <n v="6"/>
    <n v="0"/>
    <n v="1030.33"/>
    <n v="13698.43"/>
  </r>
  <r>
    <s v="4729"/>
    <s v="Carmen Morales"/>
    <d v="1995-01-01T00:00:00"/>
    <n v="31"/>
    <x v="0"/>
    <x v="5"/>
    <d v="2023-05-29T00:00:00"/>
    <d v="2025-06-14T00:00:00"/>
    <n v="1"/>
    <x v="0"/>
    <n v="11"/>
    <n v="4"/>
    <n v="7713.84"/>
    <n v="12256.8"/>
    <n v="6275.77"/>
  </r>
  <r>
    <s v="4730"/>
    <s v="María Martínez"/>
    <d v="1972-01-01T00:00:00"/>
    <n v="54"/>
    <x v="1"/>
    <x v="0"/>
    <d v="2023-07-29T00:00:00"/>
    <d v="2023-08-31T00:00:00"/>
    <n v="12"/>
    <x v="1"/>
    <n v="1"/>
    <n v="8"/>
    <n v="18340.21"/>
    <n v="8838.5400000000009"/>
    <n v="14185.1"/>
  </r>
  <r>
    <s v="4731"/>
    <s v="Pedro Martínez"/>
    <d v="2021-12-31T00:00:00"/>
    <n v="4"/>
    <x v="1"/>
    <x v="1"/>
    <d v="2023-04-22T00:00:00"/>
    <d v="2024-05-02T00:00:00"/>
    <n v="36"/>
    <x v="2"/>
    <n v="12"/>
    <n v="5"/>
    <n v="23176.57"/>
    <n v="2460.06"/>
    <n v="3523.26"/>
  </r>
  <r>
    <s v="4732"/>
    <s v="Miguel Sánchez"/>
    <d v="1991-01-01T00:00:00"/>
    <n v="35"/>
    <x v="1"/>
    <x v="0"/>
    <d v="2024-10-15T00:00:00"/>
    <d v="2023-08-29T00:00:00"/>
    <n v="9"/>
    <x v="0"/>
    <n v="9"/>
    <n v="0"/>
    <n v="26003.25"/>
    <n v="3410.43"/>
    <n v="15485.53"/>
  </r>
  <r>
    <s v="4733"/>
    <s v="Pedro Cruz"/>
    <d v="1977-12-31T00:00:00"/>
    <n v="48"/>
    <x v="1"/>
    <x v="4"/>
    <d v="2024-06-19T00:00:00"/>
    <d v="2023-11-01T00:00:00"/>
    <n v="26"/>
    <x v="0"/>
    <n v="13"/>
    <n v="8"/>
    <n v="7116.04"/>
    <n v="2337.61"/>
    <n v="14961.92"/>
  </r>
  <r>
    <s v="4734"/>
    <s v="Miguel Hernández"/>
    <d v="1968-12-31T00:00:00"/>
    <n v="57"/>
    <x v="0"/>
    <x v="2"/>
    <d v="2023-02-18T00:00:00"/>
    <d v="2023-03-09T00:00:00"/>
    <n v="6"/>
    <x v="1"/>
    <n v="0"/>
    <n v="4"/>
    <n v="22076.07"/>
    <n v="10775.08"/>
    <n v="18930.41"/>
  </r>
  <r>
    <s v="4735"/>
    <s v="Jorge López"/>
    <d v="1988-01-01T00:00:00"/>
    <n v="38"/>
    <x v="1"/>
    <x v="0"/>
    <d v="2023-11-27T00:00:00"/>
    <d v="2023-10-09T00:00:00"/>
    <n v="39"/>
    <x v="0"/>
    <n v="10"/>
    <n v="8"/>
    <n v="8869.9699999999993"/>
    <n v="2209.67"/>
    <n v="3381.8"/>
  </r>
  <r>
    <s v="4736"/>
    <s v="Jorge Rodríguez"/>
    <d v="1947-01-01T00:00:00"/>
    <n v="79"/>
    <x v="1"/>
    <x v="6"/>
    <d v="2023-12-31T00:00:00"/>
    <d v="2023-07-12T00:00:00"/>
    <n v="37"/>
    <x v="0"/>
    <n v="3"/>
    <n v="0"/>
    <n v="16116.76"/>
    <n v="10220.56"/>
    <n v="14412.17"/>
  </r>
  <r>
    <s v="4737"/>
    <s v="Laura Martínez"/>
    <d v="1941-12-31T00:00:00"/>
    <n v="84"/>
    <x v="1"/>
    <x v="5"/>
    <d v="2023-01-11T00:00:00"/>
    <d v="2023-04-30T00:00:00"/>
    <n v="17"/>
    <x v="2"/>
    <n v="9"/>
    <n v="1"/>
    <n v="5321"/>
    <n v="1922.25"/>
    <n v="6385.27"/>
  </r>
  <r>
    <s v="4738"/>
    <s v="José Rodríguez"/>
    <d v="1965-12-31T00:00:00"/>
    <n v="60"/>
    <x v="1"/>
    <x v="1"/>
    <d v="2023-07-07T00:00:00"/>
    <d v="2023-06-02T00:00:00"/>
    <n v="31"/>
    <x v="2"/>
    <n v="4"/>
    <n v="2"/>
    <n v="3953.06"/>
    <n v="12034"/>
    <n v="5565.32"/>
  </r>
  <r>
    <s v="4739"/>
    <s v="María Ramírez"/>
    <d v="2017-12-31T00:00:00"/>
    <n v="8"/>
    <x v="1"/>
    <x v="1"/>
    <d v="2024-05-23T00:00:00"/>
    <d v="2025-02-16T00:00:00"/>
    <n v="23"/>
    <x v="0"/>
    <n v="7"/>
    <n v="4"/>
    <n v="28026.76"/>
    <n v="13792.36"/>
    <n v="7972.07"/>
  </r>
  <r>
    <s v="4740"/>
    <s v="Carmen Martínez"/>
    <d v="2020-12-31T00:00:00"/>
    <n v="5"/>
    <x v="1"/>
    <x v="4"/>
    <d v="2024-08-02T00:00:00"/>
    <d v="2024-01-28T00:00:00"/>
    <n v="18"/>
    <x v="0"/>
    <n v="0"/>
    <n v="5"/>
    <n v="16189.58"/>
    <n v="8389.68"/>
    <n v="5632.55"/>
  </r>
  <r>
    <s v="4741"/>
    <s v="Sofía Rodríguez"/>
    <d v="1992-01-01T00:00:00"/>
    <n v="34"/>
    <x v="0"/>
    <x v="1"/>
    <d v="2024-03-20T00:00:00"/>
    <d v="2023-08-20T00:00:00"/>
    <n v="20"/>
    <x v="0"/>
    <n v="12"/>
    <n v="4"/>
    <n v="360.02"/>
    <n v="14492.76"/>
    <n v="4888.6899999999996"/>
  </r>
  <r>
    <s v="4742"/>
    <s v="Ricardo Sánchez"/>
    <d v="1988-01-01T00:00:00"/>
    <n v="54"/>
    <x v="0"/>
    <x v="5"/>
    <d v="2023-03-31T00:00:00"/>
    <d v="2023-12-18T00:00:00"/>
    <n v="15"/>
    <x v="0"/>
    <n v="10"/>
    <n v="0"/>
    <n v="23699.81"/>
    <n v="5855.7"/>
    <n v="15344.54"/>
  </r>
  <r>
    <s v="4743"/>
    <s v="José López"/>
    <d v="2004-12-31T00:00:00"/>
    <n v="21"/>
    <x v="0"/>
    <x v="0"/>
    <d v="2024-09-13T00:00:00"/>
    <d v="2025-01-31T00:00:00"/>
    <n v="21"/>
    <x v="0"/>
    <n v="7"/>
    <n v="3"/>
    <n v="20571.54"/>
    <n v="3669.04"/>
    <n v="13960.02"/>
  </r>
  <r>
    <s v="4744"/>
    <s v="Jorge Cruz"/>
    <d v="1985-12-31T00:00:00"/>
    <n v="40"/>
    <x v="0"/>
    <x v="1"/>
    <d v="2024-11-06T00:00:00"/>
    <d v="2024-07-25T00:00:00"/>
    <n v="39"/>
    <x v="1"/>
    <n v="5"/>
    <n v="5"/>
    <n v="9439.43"/>
    <n v="2659.45"/>
    <n v="2098.11"/>
  </r>
  <r>
    <s v="4745"/>
    <s v="Luis Morales"/>
    <d v="1956-01-01T00:00:00"/>
    <n v="4"/>
    <x v="1"/>
    <x v="1"/>
    <d v="2024-03-23T00:00:00"/>
    <d v="2024-06-13T00:00:00"/>
    <n v="26"/>
    <x v="1"/>
    <n v="7"/>
    <n v="3"/>
    <n v="13650.91"/>
    <n v="7184.45"/>
    <n v="11159.65"/>
  </r>
  <r>
    <s v="4746"/>
    <s v="José Cruz"/>
    <d v="1984-12-31T00:00:00"/>
    <n v="41"/>
    <x v="0"/>
    <x v="2"/>
    <d v="2024-12-18T00:00:00"/>
    <d v="2023-06-21T00:00:00"/>
    <n v="35"/>
    <x v="0"/>
    <n v="2"/>
    <n v="3"/>
    <n v="13221.32"/>
    <n v="1961.2"/>
    <n v="6553.15"/>
  </r>
  <r>
    <s v="4747"/>
    <s v="Luisa Martínez"/>
    <d v="1940-01-01T00:00:00"/>
    <n v="86"/>
    <x v="0"/>
    <x v="6"/>
    <d v="2023-02-01T00:00:00"/>
    <d v="2025-05-13T00:00:00"/>
    <n v="35"/>
    <x v="2"/>
    <n v="5"/>
    <n v="4"/>
    <n v="7880.48"/>
    <n v="13136.86"/>
    <n v="19417.8"/>
  </r>
  <r>
    <s v="4748"/>
    <s v="María López"/>
    <d v="1945-12-31T00:00:00"/>
    <n v="80"/>
    <x v="1"/>
    <x v="2"/>
    <d v="2023-11-23T00:00:00"/>
    <d v="2023-05-13T00:00:00"/>
    <n v="10"/>
    <x v="0"/>
    <n v="1"/>
    <n v="7"/>
    <n v="29406.99"/>
    <n v="11771.48"/>
    <n v="8443.36"/>
  </r>
  <r>
    <s v="4749"/>
    <s v="María Rodríguez"/>
    <d v="1951-01-01T00:00:00"/>
    <n v="75"/>
    <x v="0"/>
    <x v="0"/>
    <d v="2023-03-15T00:00:00"/>
    <d v="2023-12-24T00:00:00"/>
    <n v="29"/>
    <x v="0"/>
    <n v="6"/>
    <n v="4"/>
    <n v="16088.5"/>
    <n v="8431.7800000000007"/>
    <n v="715.53"/>
  </r>
  <r>
    <s v="4750"/>
    <s v="Miguel Rodríguez"/>
    <d v="1940-01-01T00:00:00"/>
    <n v="86"/>
    <x v="1"/>
    <x v="5"/>
    <d v="2023-09-08T00:00:00"/>
    <d v="2024-10-10T00:00:00"/>
    <n v="16"/>
    <x v="0"/>
    <n v="5"/>
    <n v="6"/>
    <n v="26867.02"/>
    <n v="10821.94"/>
    <n v="6567.49"/>
  </r>
  <r>
    <s v="4751"/>
    <s v="Ana Hernández"/>
    <d v="1947-01-01T00:00:00"/>
    <n v="79"/>
    <x v="1"/>
    <x v="5"/>
    <d v="2024-03-25T00:00:00"/>
    <d v="2023-02-12T00:00:00"/>
    <n v="14"/>
    <x v="2"/>
    <n v="5"/>
    <n v="7"/>
    <n v="17353.34"/>
    <n v="749.85"/>
    <n v="6185.43"/>
  </r>
  <r>
    <s v="4752"/>
    <s v="Jorge Rodríguez"/>
    <d v="1960-01-01T00:00:00"/>
    <n v="66"/>
    <x v="0"/>
    <x v="2"/>
    <d v="2023-12-21T00:00:00"/>
    <d v="2023-11-02T00:00:00"/>
    <n v="1"/>
    <x v="0"/>
    <n v="0"/>
    <n v="5"/>
    <n v="20550.59"/>
    <n v="3052.77"/>
    <n v="13.26"/>
  </r>
  <r>
    <s v="4753"/>
    <s v="Miguel Pérez"/>
    <d v="1996-12-31T00:00:00"/>
    <n v="29"/>
    <x v="1"/>
    <x v="3"/>
    <d v="2024-06-16T00:00:00"/>
    <d v="2023-01-07T00:00:00"/>
    <n v="15"/>
    <x v="2"/>
    <n v="8"/>
    <n v="5"/>
    <n v="401.04"/>
    <n v="9318.18"/>
    <n v="9704.42"/>
  </r>
  <r>
    <s v="4754"/>
    <s v="Juan Cruz"/>
    <d v="1969-12-31T00:00:00"/>
    <n v="56"/>
    <x v="1"/>
    <x v="2"/>
    <d v="2023-10-23T00:00:00"/>
    <d v="2023-11-26T00:00:00"/>
    <n v="36"/>
    <x v="0"/>
    <n v="14"/>
    <n v="1"/>
    <n v="15110.47"/>
    <n v="7162.04"/>
    <n v="18106.5"/>
  </r>
  <r>
    <s v="4755"/>
    <s v="Sofía Martínez"/>
    <d v="1940-12-31T00:00:00"/>
    <n v="85"/>
    <x v="1"/>
    <x v="3"/>
    <d v="2023-10-25T00:00:00"/>
    <d v="2023-06-20T00:00:00"/>
    <n v="24"/>
    <x v="2"/>
    <n v="13"/>
    <n v="9"/>
    <n v="21498.94"/>
    <n v="9069.34"/>
    <n v="16026.5"/>
  </r>
  <r>
    <s v="4756"/>
    <s v="Sofía Ramírez"/>
    <d v="1953-12-31T00:00:00"/>
    <n v="72"/>
    <x v="1"/>
    <x v="4"/>
    <d v="2023-11-24T00:00:00"/>
    <d v="2025-03-11T00:00:00"/>
    <n v="11"/>
    <x v="2"/>
    <n v="7"/>
    <n v="4"/>
    <n v="3216.82"/>
    <n v="1334.54"/>
    <n v="13661.53"/>
  </r>
  <r>
    <s v="4757"/>
    <s v="Sofía Ramírez"/>
    <d v="1997-12-31T00:00:00"/>
    <n v="28"/>
    <x v="1"/>
    <x v="2"/>
    <d v="2023-10-29T00:00:00"/>
    <d v="2023-12-05T00:00:00"/>
    <n v="12"/>
    <x v="2"/>
    <n v="9"/>
    <n v="0"/>
    <n v="20188.91"/>
    <n v="9786.34"/>
    <n v="6805.05"/>
  </r>
  <r>
    <s v="4758"/>
    <s v="Sofía Gómez"/>
    <d v="1989-12-31T00:00:00"/>
    <n v="36"/>
    <x v="0"/>
    <x v="3"/>
    <d v="2024-05-26T00:00:00"/>
    <d v="2024-12-28T00:00:00"/>
    <n v="5"/>
    <x v="2"/>
    <n v="6"/>
    <n v="8"/>
    <n v="2070.3000000000002"/>
    <n v="12054.24"/>
    <n v="4562.47"/>
  </r>
  <r>
    <s v="4759"/>
    <s v="Carmen Sánchez"/>
    <d v="1940-01-01T00:00:00"/>
    <n v="86"/>
    <x v="0"/>
    <x v="3"/>
    <d v="2023-12-04T00:00:00"/>
    <d v="2023-03-11T00:00:00"/>
    <n v="6"/>
    <x v="2"/>
    <n v="1"/>
    <n v="6"/>
    <n v="24114.2"/>
    <n v="8194.1299999999992"/>
    <n v="6786.59"/>
  </r>
  <r>
    <s v="4760"/>
    <s v="Luisa Hernández"/>
    <d v="2013-12-31T00:00:00"/>
    <n v="12"/>
    <x v="0"/>
    <x v="1"/>
    <d v="2024-08-07T00:00:00"/>
    <d v="2025-06-01T00:00:00"/>
    <n v="18"/>
    <x v="1"/>
    <n v="9"/>
    <n v="1"/>
    <n v="29322.41"/>
    <n v="5361.11"/>
    <n v="2373.4899999999998"/>
  </r>
  <r>
    <s v="4761"/>
    <s v="Luis López"/>
    <d v="1995-01-01T00:00:00"/>
    <n v="31"/>
    <x v="1"/>
    <x v="4"/>
    <d v="2024-01-09T00:00:00"/>
    <d v="2024-06-23T00:00:00"/>
    <n v="32"/>
    <x v="0"/>
    <n v="1"/>
    <n v="5"/>
    <n v="18615.41"/>
    <n v="2619.7199999999998"/>
    <n v="1899.72"/>
  </r>
  <r>
    <s v="4762"/>
    <s v="Luisa Rodríguez"/>
    <d v="1980-12-31T00:00:00"/>
    <n v="45"/>
    <x v="2"/>
    <x v="1"/>
    <d v="2024-07-06T00:00:00"/>
    <d v="2025-01-07T00:00:00"/>
    <n v="11"/>
    <x v="0"/>
    <n v="12"/>
    <n v="9"/>
    <n v="1850.88"/>
    <n v="3980.33"/>
    <n v="11448.11"/>
  </r>
  <r>
    <s v="4763"/>
    <s v="Pedro Gómez"/>
    <d v="2004-01-01T00:00:00"/>
    <n v="22"/>
    <x v="0"/>
    <x v="3"/>
    <d v="2023-04-04T00:00:00"/>
    <d v="2025-04-14T00:00:00"/>
    <n v="24"/>
    <x v="2"/>
    <n v="3"/>
    <n v="8"/>
    <n v="17395.98"/>
    <n v="7837.99"/>
    <n v="16261.28"/>
  </r>
  <r>
    <s v="4764"/>
    <s v="Juan Gómez"/>
    <d v="1981-12-31T00:00:00"/>
    <n v="44"/>
    <x v="1"/>
    <x v="3"/>
    <d v="2023-05-12T00:00:00"/>
    <d v="2024-05-22T00:00:00"/>
    <n v="5"/>
    <x v="0"/>
    <n v="0"/>
    <n v="4"/>
    <n v="22096.32"/>
    <n v="3832.77"/>
    <n v="1897.75"/>
  </r>
  <r>
    <s v="4765"/>
    <s v="Sofía Martínez"/>
    <d v="2009-12-31T00:00:00"/>
    <n v="16"/>
    <x v="0"/>
    <x v="6"/>
    <d v="2024-09-02T00:00:00"/>
    <d v="2025-01-16T00:00:00"/>
    <n v="32"/>
    <x v="2"/>
    <n v="1"/>
    <n v="2"/>
    <n v="27959.43"/>
    <n v="11669.18"/>
    <n v="6637.26"/>
  </r>
  <r>
    <s v="4766"/>
    <s v="Carmen Sánchez"/>
    <d v="1941-12-31T00:00:00"/>
    <n v="84"/>
    <x v="0"/>
    <x v="3"/>
    <d v="2023-02-22T00:00:00"/>
    <d v="2024-05-01T00:00:00"/>
    <n v="15"/>
    <x v="0"/>
    <n v="8"/>
    <n v="9"/>
    <n v="886.49"/>
    <n v="1976.12"/>
    <n v="2367.36"/>
  </r>
  <r>
    <s v="4767"/>
    <s v="Carlos Ramírez"/>
    <d v="1960-12-31T00:00:00"/>
    <n v="55"/>
    <x v="0"/>
    <x v="1"/>
    <d v="2024-05-10T00:00:00"/>
    <d v="2024-03-19T00:00:00"/>
    <n v="11"/>
    <x v="1"/>
    <n v="10"/>
    <n v="3"/>
    <n v="23138.79"/>
    <n v="7746.36"/>
    <n v="6140.66"/>
  </r>
  <r>
    <s v="4768"/>
    <s v="Laura Gómez"/>
    <d v="2020-12-31T00:00:00"/>
    <n v="5"/>
    <x v="1"/>
    <x v="3"/>
    <d v="2023-08-17T00:00:00"/>
    <d v="2023-02-21T00:00:00"/>
    <n v="5"/>
    <x v="0"/>
    <n v="11"/>
    <n v="2"/>
    <n v="3543.74"/>
    <n v="7439.49"/>
    <n v="16588.29"/>
  </r>
  <r>
    <s v="4769"/>
    <s v="Pedro Ramírez"/>
    <d v="2008-12-31T00:00:00"/>
    <n v="24"/>
    <x v="1"/>
    <x v="5"/>
    <d v="2024-10-01T00:00:00"/>
    <d v="2023-05-30T00:00:00"/>
    <n v="5"/>
    <x v="0"/>
    <n v="9"/>
    <n v="0"/>
    <n v="23612.880000000001"/>
    <n v="2083.38"/>
    <n v="600.41999999999996"/>
  </r>
  <r>
    <s v="4770"/>
    <s v="Jorge Martínez"/>
    <d v="1932-12-31T00:00:00"/>
    <n v="93"/>
    <x v="0"/>
    <x v="6"/>
    <d v="2023-07-31T00:00:00"/>
    <d v="2024-08-10T00:00:00"/>
    <n v="34"/>
    <x v="2"/>
    <n v="6"/>
    <n v="9"/>
    <n v="26605.66"/>
    <n v="14924.81"/>
    <n v="12908.99"/>
  </r>
  <r>
    <s v="4771"/>
    <s v="Jorge López"/>
    <d v="2004-12-31T00:00:00"/>
    <n v="21"/>
    <x v="0"/>
    <x v="3"/>
    <d v="2024-05-18T00:00:00"/>
    <d v="2025-03-29T00:00:00"/>
    <n v="1"/>
    <x v="0"/>
    <n v="10"/>
    <n v="6"/>
    <n v="25767.91"/>
    <n v="12347.03"/>
    <n v="1102.72"/>
  </r>
  <r>
    <s v="4772"/>
    <s v="Juan Martínez"/>
    <d v="1993-12-31T00:00:00"/>
    <n v="32"/>
    <x v="0"/>
    <x v="1"/>
    <d v="2024-05-09T00:00:00"/>
    <d v="2023-04-03T00:00:00"/>
    <n v="14"/>
    <x v="1"/>
    <n v="11"/>
    <n v="7"/>
    <n v="19412.63"/>
    <n v="5797.99"/>
    <n v="8473.57"/>
  </r>
  <r>
    <s v="4773"/>
    <s v="Jorge Cruz"/>
    <d v="1996-12-31T00:00:00"/>
    <n v="29"/>
    <x v="0"/>
    <x v="1"/>
    <d v="2024-11-01T00:00:00"/>
    <d v="2024-01-04T00:00:00"/>
    <n v="10"/>
    <x v="0"/>
    <n v="2"/>
    <n v="1"/>
    <n v="0"/>
    <n v="10273.6"/>
    <n v="9428.4599999999991"/>
  </r>
  <r>
    <s v="4774"/>
    <s v="Miguel López"/>
    <d v="1945-12-31T00:00:00"/>
    <n v="80"/>
    <x v="0"/>
    <x v="0"/>
    <d v="2023-08-21T00:00:00"/>
    <d v="2024-08-03T00:00:00"/>
    <n v="11"/>
    <x v="1"/>
    <n v="0"/>
    <n v="7"/>
    <n v="26174.89"/>
    <n v="10748.72"/>
    <n v="7970.35"/>
  </r>
  <r>
    <s v="4775"/>
    <s v="Elena Cruz"/>
    <d v="1995-01-01T00:00:00"/>
    <n v="31"/>
    <x v="1"/>
    <x v="1"/>
    <d v="2023-03-12T00:00:00"/>
    <d v="2025-01-17T00:00:00"/>
    <n v="38"/>
    <x v="1"/>
    <n v="12"/>
    <n v="8"/>
    <n v="15331.67"/>
    <n v="9767.23"/>
    <n v="12711.45"/>
  </r>
  <r>
    <s v="4776"/>
    <s v="Jorge Gómez"/>
    <d v="1984-12-31T00:00:00"/>
    <n v="41"/>
    <x v="0"/>
    <x v="6"/>
    <d v="2024-12-17T00:00:00"/>
    <d v="2025-05-24T00:00:00"/>
    <n v="38"/>
    <x v="2"/>
    <n v="3"/>
    <n v="6"/>
    <n v="0"/>
    <n v="6487.26"/>
    <n v="19470.63"/>
  </r>
  <r>
    <s v="4777"/>
    <s v="Ana Cruz"/>
    <d v="1948-12-31T00:00:00"/>
    <n v="77"/>
    <x v="1"/>
    <x v="1"/>
    <d v="2023-07-08T00:00:00"/>
    <d v="2024-10-18T00:00:00"/>
    <n v="6"/>
    <x v="1"/>
    <n v="10"/>
    <n v="0"/>
    <n v="28256.41"/>
    <n v="13276.67"/>
    <n v="5272.73"/>
  </r>
  <r>
    <s v="4778"/>
    <s v="Ana Martínez"/>
    <d v="2016-12-31T00:00:00"/>
    <n v="9"/>
    <x v="0"/>
    <x v="5"/>
    <d v="2024-10-24T00:00:00"/>
    <d v="2023-03-18T00:00:00"/>
    <n v="24"/>
    <x v="0"/>
    <n v="9"/>
    <n v="3"/>
    <n v="10885.37"/>
    <n v="11573.27"/>
    <n v="12156.36"/>
  </r>
  <r>
    <s v="4779"/>
    <s v="Carmen Sánchez"/>
    <d v="1991-01-01T00:00:00"/>
    <n v="35"/>
    <x v="0"/>
    <x v="2"/>
    <d v="2023-01-08T00:00:00"/>
    <d v="2023-03-28T00:00:00"/>
    <n v="17"/>
    <x v="2"/>
    <n v="11"/>
    <n v="6"/>
    <n v="18542.650000000001"/>
    <n v="8130.3"/>
    <n v="7035.07"/>
  </r>
  <r>
    <s v="4780"/>
    <s v="Juan Pérez"/>
    <d v="1992-12-31T00:00:00"/>
    <n v="33"/>
    <x v="1"/>
    <x v="5"/>
    <d v="2023-11-28T00:00:00"/>
    <d v="2023-08-16T00:00:00"/>
    <n v="35"/>
    <x v="1"/>
    <n v="11"/>
    <n v="5"/>
    <n v="5573.95"/>
    <n v="38.44"/>
    <n v="19989.96"/>
  </r>
  <r>
    <s v="4781"/>
    <s v="Sofía Cruz"/>
    <d v="1953-12-31T00:00:00"/>
    <n v="72"/>
    <x v="0"/>
    <x v="4"/>
    <d v="2024-09-03T00:00:00"/>
    <d v="2023-12-30T00:00:00"/>
    <n v="9"/>
    <x v="1"/>
    <n v="10"/>
    <n v="7"/>
    <n v="0"/>
    <n v="3350.61"/>
    <n v="19015.04"/>
  </r>
  <r>
    <s v="4782"/>
    <s v="Ana Gómez"/>
    <d v="1999-01-01T00:00:00"/>
    <n v="27"/>
    <x v="1"/>
    <x v="5"/>
    <d v="2023-01-16T00:00:00"/>
    <d v="2024-07-22T00:00:00"/>
    <n v="39"/>
    <x v="0"/>
    <n v="4"/>
    <n v="5"/>
    <n v="0"/>
    <n v="7632.39"/>
    <n v="1777.4"/>
  </r>
  <r>
    <s v="4783"/>
    <s v="Elena Cruz"/>
    <d v="2016-01-01T00:00:00"/>
    <n v="10"/>
    <x v="1"/>
    <x v="6"/>
    <d v="2024-10-27T00:00:00"/>
    <d v="2024-08-15T00:00:00"/>
    <n v="19"/>
    <x v="2"/>
    <n v="6"/>
    <n v="9"/>
    <n v="16415.13"/>
    <n v="13483.94"/>
    <n v="19469.28"/>
  </r>
  <r>
    <s v="4784"/>
    <s v="Ricardo López"/>
    <d v="1948-12-31T00:00:00"/>
    <n v="77"/>
    <x v="1"/>
    <x v="6"/>
    <d v="2024-10-30T00:00:00"/>
    <d v="2023-01-25T00:00:00"/>
    <n v="34"/>
    <x v="0"/>
    <n v="13"/>
    <n v="5"/>
    <n v="10777.14"/>
    <n v="9429.31"/>
    <n v="14739.25"/>
  </r>
  <r>
    <s v="4785"/>
    <s v="José Pérez"/>
    <d v="1988-01-01T00:00:00"/>
    <n v="38"/>
    <x v="1"/>
    <x v="0"/>
    <d v="2023-04-03T00:00:00"/>
    <d v="2025-01-09T00:00:00"/>
    <n v="36"/>
    <x v="1"/>
    <n v="13"/>
    <n v="9"/>
    <n v="9008.0300000000007"/>
    <n v="6267.93"/>
    <n v="19846.13"/>
  </r>
  <r>
    <s v="4786"/>
    <s v="Jorge Cruz"/>
    <d v="1980-01-01T00:00:00"/>
    <n v="46"/>
    <x v="1"/>
    <x v="1"/>
    <d v="2023-09-19T00:00:00"/>
    <d v="2023-01-29T00:00:00"/>
    <n v="28"/>
    <x v="0"/>
    <n v="5"/>
    <n v="5"/>
    <n v="10912.29"/>
    <n v="718.68"/>
    <n v="15396.11"/>
  </r>
  <r>
    <s v="4787"/>
    <s v="Luis Rodríguez"/>
    <d v="2008-01-01T00:00:00"/>
    <n v="18"/>
    <x v="1"/>
    <x v="0"/>
    <d v="2024-07-02T00:00:00"/>
    <d v="2023-05-02T00:00:00"/>
    <n v="10"/>
    <x v="0"/>
    <n v="5"/>
    <n v="6"/>
    <n v="23751.94"/>
    <n v="8959.2000000000007"/>
    <n v="2491.56"/>
  </r>
  <r>
    <s v="4788"/>
    <s v="Ana Pérez"/>
    <d v="2012-01-01T00:00:00"/>
    <n v="14"/>
    <x v="0"/>
    <x v="6"/>
    <d v="2023-06-10T00:00:00"/>
    <d v="2024-05-05T00:00:00"/>
    <n v="2"/>
    <x v="0"/>
    <n v="1"/>
    <n v="4"/>
    <n v="10410.91"/>
    <n v="5261.28"/>
    <n v="14984.42"/>
  </r>
  <r>
    <s v="4789"/>
    <s v="Ricardo Cruz"/>
    <d v="1999-01-01T00:00:00"/>
    <n v="27"/>
    <x v="0"/>
    <x v="1"/>
    <d v="2023-12-17T00:00:00"/>
    <d v="2024-08-28T00:00:00"/>
    <n v="35"/>
    <x v="1"/>
    <n v="1"/>
    <n v="8"/>
    <n v="27601.87"/>
    <n v="8060.65"/>
    <n v="14505.22"/>
  </r>
  <r>
    <s v="4790"/>
    <s v="Ricardo Sánchez"/>
    <d v="2003-01-01T00:00:00"/>
    <n v="23"/>
    <x v="0"/>
    <x v="6"/>
    <d v="2023-06-23T00:00:00"/>
    <d v="2025-05-03T00:00:00"/>
    <n v="37"/>
    <x v="0"/>
    <n v="1"/>
    <n v="6"/>
    <n v="2945.36"/>
    <n v="11496.63"/>
    <n v="3251.39"/>
  </r>
  <r>
    <s v="4791"/>
    <s v="Ana Gómez"/>
    <d v="1955-01-01T00:00:00"/>
    <n v="71"/>
    <x v="1"/>
    <x v="6"/>
    <d v="2023-11-13T00:00:00"/>
    <d v="2024-09-16T00:00:00"/>
    <n v="6"/>
    <x v="0"/>
    <n v="5"/>
    <n v="0"/>
    <n v="0"/>
    <n v="12056.11"/>
    <n v="15038.77"/>
  </r>
  <r>
    <s v="4792"/>
    <s v="Ricardo Cruz"/>
    <d v="2017-12-31T00:00:00"/>
    <n v="8"/>
    <x v="0"/>
    <x v="2"/>
    <d v="2023-01-18T00:00:00"/>
    <d v="2025-06-09T00:00:00"/>
    <n v="36"/>
    <x v="2"/>
    <n v="10"/>
    <n v="8"/>
    <n v="20531.21"/>
    <n v="12964.17"/>
    <n v="13462.93"/>
  </r>
  <r>
    <s v="4793"/>
    <s v="Ana Cruz"/>
    <d v="1980-01-01T00:00:00"/>
    <n v="46"/>
    <x v="0"/>
    <x v="5"/>
    <d v="2024-04-30T00:00:00"/>
    <d v="2023-12-12T00:00:00"/>
    <n v="7"/>
    <x v="0"/>
    <n v="12"/>
    <n v="5"/>
    <n v="10002.700000000001"/>
    <n v="9540.7000000000007"/>
    <n v="19888.32"/>
  </r>
  <r>
    <s v="4794"/>
    <s v="Miguel Rodríguez"/>
    <d v="1993-12-31T00:00:00"/>
    <n v="32"/>
    <x v="1"/>
    <x v="0"/>
    <d v="2024-01-02T00:00:00"/>
    <d v="2023-02-01T00:00:00"/>
    <n v="26"/>
    <x v="0"/>
    <n v="0"/>
    <n v="7"/>
    <n v="290.92"/>
    <n v="13584.27"/>
    <n v="12336.67"/>
  </r>
  <r>
    <s v="4795"/>
    <s v="Luisa Ramírez"/>
    <d v="1964-12-31T00:00:00"/>
    <n v="61"/>
    <x v="0"/>
    <x v="0"/>
    <d v="2023-12-17T00:00:00"/>
    <d v="2024-10-17T00:00:00"/>
    <n v="37"/>
    <x v="2"/>
    <n v="8"/>
    <n v="8"/>
    <n v="0"/>
    <n v="10359.42"/>
    <n v="8233.65"/>
  </r>
  <r>
    <s v="4796"/>
    <s v="Miguel López"/>
    <d v="2008-01-01T00:00:00"/>
    <n v="18"/>
    <x v="1"/>
    <x v="3"/>
    <d v="2024-06-11T00:00:00"/>
    <d v="2025-05-29T00:00:00"/>
    <n v="27"/>
    <x v="0"/>
    <n v="5"/>
    <n v="1"/>
    <n v="29064.49"/>
    <n v="11758.71"/>
    <n v="19073.689999999999"/>
  </r>
  <r>
    <s v="4797"/>
    <s v="María Cruz"/>
    <d v="1960-01-01T00:00:00"/>
    <n v="66"/>
    <x v="0"/>
    <x v="4"/>
    <d v="2024-03-10T00:00:00"/>
    <d v="2025-03-21T00:00:00"/>
    <n v="1"/>
    <x v="0"/>
    <n v="14"/>
    <n v="1"/>
    <n v="29464.400000000001"/>
    <n v="10282.23"/>
    <n v="12519.61"/>
  </r>
  <r>
    <s v="4798"/>
    <s v="Ana Sánchez"/>
    <d v="1952-12-31T00:00:00"/>
    <n v="73"/>
    <x v="1"/>
    <x v="2"/>
    <d v="2023-09-27T00:00:00"/>
    <d v="2023-08-16T00:00:00"/>
    <n v="15"/>
    <x v="0"/>
    <n v="7"/>
    <n v="4"/>
    <n v="12413.86"/>
    <n v="13077.96"/>
    <n v="6907.51"/>
  </r>
  <r>
    <s v="4799"/>
    <s v="Ricardo Gómez"/>
    <d v="1987-01-01T00:00:00"/>
    <n v="39"/>
    <x v="1"/>
    <x v="6"/>
    <d v="2023-03-09T00:00:00"/>
    <d v="2025-05-20T00:00:00"/>
    <n v="25"/>
    <x v="0"/>
    <n v="14"/>
    <n v="4"/>
    <n v="1650.38"/>
    <n v="3343.35"/>
    <n v="323.02"/>
  </r>
  <r>
    <s v="4800"/>
    <s v="Pedro Morales"/>
    <d v="1980-01-01T00:00:00"/>
    <n v="46"/>
    <x v="0"/>
    <x v="6"/>
    <d v="2023-01-30T00:00:00"/>
    <d v="2023-09-08T00:00:00"/>
    <n v="29"/>
    <x v="2"/>
    <n v="1"/>
    <n v="9"/>
    <n v="9069.49"/>
    <n v="11398.31"/>
    <n v="15108.46"/>
  </r>
  <r>
    <s v="4801"/>
    <s v="Luis Ramírez"/>
    <d v="1961-12-31T00:00:00"/>
    <n v="64"/>
    <x v="1"/>
    <x v="2"/>
    <d v="2023-11-12T00:00:00"/>
    <d v="2023-02-20T00:00:00"/>
    <n v="21"/>
    <x v="1"/>
    <n v="10"/>
    <n v="9"/>
    <n v="8947.08"/>
    <n v="1757.35"/>
    <n v="2302.48"/>
  </r>
  <r>
    <s v="4802"/>
    <s v="Luisa Cruz"/>
    <d v="1997-12-31T00:00:00"/>
    <n v="28"/>
    <x v="1"/>
    <x v="1"/>
    <d v="2023-06-13T00:00:00"/>
    <d v="2024-12-27T00:00:00"/>
    <n v="35"/>
    <x v="1"/>
    <n v="12"/>
    <n v="1"/>
    <n v="2622.63"/>
    <n v="1379.91"/>
    <n v="18465.75"/>
  </r>
  <r>
    <s v="4803"/>
    <s v="Carlos Morales"/>
    <d v="1976-12-31T00:00:00"/>
    <n v="49"/>
    <x v="0"/>
    <x v="0"/>
    <d v="2023-11-16T00:00:00"/>
    <d v="2025-06-11T00:00:00"/>
    <n v="11"/>
    <x v="1"/>
    <n v="0"/>
    <n v="9"/>
    <n v="15503.86"/>
    <n v="7374.34"/>
    <n v="19223.97"/>
  </r>
  <r>
    <s v="4804"/>
    <s v="Ana Morales"/>
    <d v="2013-12-31T00:00:00"/>
    <n v="12"/>
    <x v="0"/>
    <x v="6"/>
    <d v="2023-01-14T00:00:00"/>
    <d v="2024-01-25T00:00:00"/>
    <n v="22"/>
    <x v="1"/>
    <n v="9"/>
    <n v="3"/>
    <n v="17939.64"/>
    <n v="4503.5600000000004"/>
    <n v="4652.07"/>
  </r>
  <r>
    <s v="4805"/>
    <s v="Ana Morales"/>
    <d v="2025-12-31T00:00:00"/>
    <n v="0"/>
    <x v="0"/>
    <x v="4"/>
    <d v="2023-10-06T00:00:00"/>
    <d v="2025-02-20T00:00:00"/>
    <n v="22"/>
    <x v="0"/>
    <n v="4"/>
    <n v="8"/>
    <n v="21728.98"/>
    <n v="8450.3700000000008"/>
    <n v="2167.39"/>
  </r>
  <r>
    <s v="4806"/>
    <s v="Luis Hernández"/>
    <d v="1992-12-31T00:00:00"/>
    <n v="33"/>
    <x v="1"/>
    <x v="3"/>
    <d v="2024-03-07T00:00:00"/>
    <d v="2023-10-16T00:00:00"/>
    <n v="29"/>
    <x v="1"/>
    <n v="0"/>
    <n v="3"/>
    <n v="1055.92"/>
    <n v="10166.01"/>
    <n v="11865.93"/>
  </r>
  <r>
    <s v="4807"/>
    <s v="Laura Rodríguez"/>
    <d v="1933-12-31T00:00:00"/>
    <n v="92"/>
    <x v="1"/>
    <x v="0"/>
    <d v="2024-10-29T00:00:00"/>
    <d v="2024-12-08T00:00:00"/>
    <n v="24"/>
    <x v="0"/>
    <n v="12"/>
    <n v="0"/>
    <n v="7899.62"/>
    <n v="3398.44"/>
    <n v="4196.01"/>
  </r>
  <r>
    <s v="4808"/>
    <s v="Elena López"/>
    <d v="1979-01-01T00:00:00"/>
    <n v="47"/>
    <x v="0"/>
    <x v="5"/>
    <d v="2024-09-25T00:00:00"/>
    <d v="2025-02-05T00:00:00"/>
    <n v="29"/>
    <x v="0"/>
    <n v="10"/>
    <n v="4"/>
    <n v="10333.709999999999"/>
    <n v="10498.89"/>
    <n v="10790.98"/>
  </r>
  <r>
    <s v="4809"/>
    <s v="Carlos Gómez"/>
    <d v="1949-12-31T00:00:00"/>
    <n v="76"/>
    <x v="1"/>
    <x v="4"/>
    <d v="2023-09-20T00:00:00"/>
    <d v="2024-08-14T00:00:00"/>
    <n v="28"/>
    <x v="1"/>
    <n v="0"/>
    <n v="1"/>
    <n v="26713.360000000001"/>
    <n v="14931.89"/>
    <n v="8225.51"/>
  </r>
  <r>
    <s v="4810"/>
    <s v="Miguel Cruz"/>
    <d v="1979-01-01T00:00:00"/>
    <n v="47"/>
    <x v="1"/>
    <x v="2"/>
    <d v="2024-11-12T00:00:00"/>
    <d v="2024-04-20T00:00:00"/>
    <n v="21"/>
    <x v="1"/>
    <n v="3"/>
    <n v="5"/>
    <n v="26992.46"/>
    <n v="11399.32"/>
    <n v="15819.71"/>
  </r>
  <r>
    <s v="4811"/>
    <s v="Juan Gómez"/>
    <d v="1977-12-31T00:00:00"/>
    <n v="48"/>
    <x v="0"/>
    <x v="0"/>
    <d v="2024-06-05T00:00:00"/>
    <d v="2025-01-26T00:00:00"/>
    <n v="32"/>
    <x v="1"/>
    <n v="5"/>
    <n v="0"/>
    <n v="7429.14"/>
    <n v="2606.8000000000002"/>
    <n v="19997.22"/>
  </r>
  <r>
    <s v="4812"/>
    <s v="Pedro Ramírez"/>
    <d v="1963-01-01T00:00:00"/>
    <n v="63"/>
    <x v="1"/>
    <x v="5"/>
    <d v="2023-06-21T00:00:00"/>
    <d v="2024-08-26T00:00:00"/>
    <n v="27"/>
    <x v="0"/>
    <n v="2"/>
    <n v="6"/>
    <n v="14363.6"/>
    <n v="9505.43"/>
    <n v="9081.77"/>
  </r>
  <r>
    <s v="4813"/>
    <s v="Jorge Pérez"/>
    <d v="1965-12-31T00:00:00"/>
    <n v="60"/>
    <x v="1"/>
    <x v="3"/>
    <d v="2023-12-24T00:00:00"/>
    <d v="2023-01-07T00:00:00"/>
    <n v="30"/>
    <x v="0"/>
    <n v="11"/>
    <n v="6"/>
    <n v="12455.07"/>
    <n v="142.27000000000001"/>
    <n v="13668.85"/>
  </r>
  <r>
    <s v="4814"/>
    <s v="Luis Morales"/>
    <d v="1997-12-31T00:00:00"/>
    <n v="28"/>
    <x v="1"/>
    <x v="1"/>
    <d v="2023-01-13T00:00:00"/>
    <d v="2025-03-04T00:00:00"/>
    <n v="30"/>
    <x v="2"/>
    <n v="14"/>
    <n v="3"/>
    <n v="15564.58"/>
    <n v="7045.77"/>
    <n v="6770.29"/>
  </r>
  <r>
    <s v="4815"/>
    <s v="José Martínez"/>
    <d v="1988-01-01T00:00:00"/>
    <n v="38"/>
    <x v="1"/>
    <x v="2"/>
    <d v="2024-12-25T00:00:00"/>
    <d v="2024-02-17T00:00:00"/>
    <n v="24"/>
    <x v="0"/>
    <n v="4"/>
    <n v="8"/>
    <n v="8226.5"/>
    <n v="7999.6"/>
    <n v="17236.28"/>
  </r>
  <r>
    <s v="4816"/>
    <s v="Ana Pérez"/>
    <d v="1939-01-01T00:00:00"/>
    <n v="87"/>
    <x v="1"/>
    <x v="1"/>
    <d v="2024-11-03T00:00:00"/>
    <d v="2024-10-24T00:00:00"/>
    <n v="30"/>
    <x v="1"/>
    <n v="10"/>
    <n v="2"/>
    <n v="13619.11"/>
    <n v="14585.66"/>
    <n v="642.75"/>
  </r>
  <r>
    <s v="4817"/>
    <s v="Luisa Cruz"/>
    <d v="2000-12-31T00:00:00"/>
    <n v="25"/>
    <x v="1"/>
    <x v="4"/>
    <d v="2023-08-20T00:00:00"/>
    <d v="2023-11-21T00:00:00"/>
    <n v="30"/>
    <x v="0"/>
    <n v="14"/>
    <n v="4"/>
    <n v="3933.8"/>
    <n v="11058.08"/>
    <n v="9819.7999999999993"/>
  </r>
  <r>
    <s v="4818"/>
    <s v="José Rodríguez"/>
    <d v="2009-12-31T00:00:00"/>
    <n v="16"/>
    <x v="1"/>
    <x v="6"/>
    <d v="2024-04-20T00:00:00"/>
    <d v="2024-02-04T00:00:00"/>
    <n v="1"/>
    <x v="2"/>
    <n v="1"/>
    <n v="4"/>
    <n v="21141.29"/>
    <n v="10589.4"/>
    <n v="3453.19"/>
  </r>
  <r>
    <s v="4819"/>
    <s v="Laura Morales"/>
    <d v="1956-01-01T00:00:00"/>
    <n v="70"/>
    <x v="0"/>
    <x v="1"/>
    <d v="2024-04-15T00:00:00"/>
    <d v="2023-10-10T00:00:00"/>
    <n v="27"/>
    <x v="0"/>
    <n v="2"/>
    <n v="7"/>
    <n v="10777.08"/>
    <n v="7986.07"/>
    <n v="3454.55"/>
  </r>
  <r>
    <s v="4820"/>
    <s v="Ricardo López"/>
    <d v="2013-12-31T00:00:00"/>
    <n v="12"/>
    <x v="0"/>
    <x v="6"/>
    <d v="2023-06-09T00:00:00"/>
    <d v="2023-07-11T00:00:00"/>
    <n v="12"/>
    <x v="0"/>
    <n v="2"/>
    <n v="9"/>
    <n v="16043.71"/>
    <n v="7697.64"/>
    <n v="10613.21"/>
  </r>
  <r>
    <s v="4821"/>
    <s v="Miguel Martínez"/>
    <d v="1954-01-01T00:00:00"/>
    <n v="68"/>
    <x v="1"/>
    <x v="4"/>
    <d v="2024-09-30T00:00:00"/>
    <d v="2025-02-25T00:00:00"/>
    <n v="26"/>
    <x v="0"/>
    <n v="13"/>
    <n v="9"/>
    <n v="17940.34"/>
    <n v="14881.24"/>
    <n v="6086.76"/>
  </r>
  <r>
    <s v="4822"/>
    <s v="Laura Pérez"/>
    <d v="2000-12-31T00:00:00"/>
    <n v="25"/>
    <x v="0"/>
    <x v="5"/>
    <d v="2024-07-13T00:00:00"/>
    <d v="2024-08-08T00:00:00"/>
    <n v="25"/>
    <x v="0"/>
    <n v="2"/>
    <n v="3"/>
    <n v="25014.03"/>
    <n v="319.02"/>
    <n v="9126"/>
  </r>
  <r>
    <s v="4823"/>
    <s v="Luis Pérez"/>
    <d v="1977-12-31T00:00:00"/>
    <n v="48"/>
    <x v="1"/>
    <x v="0"/>
    <d v="2023-09-18T00:00:00"/>
    <d v="2025-04-10T00:00:00"/>
    <n v="29"/>
    <x v="1"/>
    <n v="10"/>
    <n v="0"/>
    <n v="1993.66"/>
    <n v="4548.09"/>
    <n v="6043.76"/>
  </r>
  <r>
    <s v="4824"/>
    <s v="Sofía Ramírez"/>
    <d v="1960-01-01T00:00:00"/>
    <n v="66"/>
    <x v="1"/>
    <x v="3"/>
    <d v="2024-07-26T00:00:00"/>
    <d v="2024-05-15T00:00:00"/>
    <n v="33"/>
    <x v="1"/>
    <n v="1"/>
    <n v="4"/>
    <n v="14223.57"/>
    <n v="2006.76"/>
    <n v="9046.89"/>
  </r>
  <r>
    <s v="4825"/>
    <s v="Carlos Cruz"/>
    <d v="2020-01-01T00:00:00"/>
    <n v="6"/>
    <x v="1"/>
    <x v="5"/>
    <d v="2024-09-25T00:00:00"/>
    <d v="2024-08-03T00:00:00"/>
    <n v="27"/>
    <x v="0"/>
    <n v="11"/>
    <n v="0"/>
    <n v="26769.200000000001"/>
    <n v="4724.58"/>
    <n v="5647"/>
  </r>
  <r>
    <s v="4826"/>
    <s v="María Ramírez"/>
    <d v="1968-12-31T00:00:00"/>
    <n v="57"/>
    <x v="0"/>
    <x v="3"/>
    <d v="2024-08-24T00:00:00"/>
    <d v="2025-03-27T00:00:00"/>
    <n v="39"/>
    <x v="0"/>
    <n v="2"/>
    <n v="2"/>
    <n v="9558.82"/>
    <n v="6954.3"/>
    <n v="16051.38"/>
  </r>
  <r>
    <s v="4827"/>
    <s v="Sofía Hernández"/>
    <d v="1977-12-31T00:00:00"/>
    <n v="9"/>
    <x v="0"/>
    <x v="1"/>
    <d v="2023-12-25T00:00:00"/>
    <d v="2024-03-10T00:00:00"/>
    <n v="35"/>
    <x v="2"/>
    <n v="2"/>
    <n v="5"/>
    <n v="13058.05"/>
    <n v="5128.99"/>
    <n v="11112.34"/>
  </r>
  <r>
    <s v="4828"/>
    <s v="Miguel Martínez"/>
    <d v="1973-12-31T00:00:00"/>
    <n v="52"/>
    <x v="0"/>
    <x v="3"/>
    <d v="2023-09-12T00:00:00"/>
    <d v="2023-03-05T00:00:00"/>
    <n v="39"/>
    <x v="2"/>
    <n v="4"/>
    <n v="0"/>
    <n v="2094.77"/>
    <n v="14440.58"/>
    <n v="3144.81"/>
  </r>
  <r>
    <s v="4829"/>
    <s v="Jorge Ramírez"/>
    <d v="1961-12-31T00:00:00"/>
    <n v="64"/>
    <x v="1"/>
    <x v="1"/>
    <d v="2024-08-24T00:00:00"/>
    <d v="2024-03-29T00:00:00"/>
    <n v="9"/>
    <x v="0"/>
    <n v="7"/>
    <n v="9"/>
    <n v="22395.54"/>
    <n v="10208.82"/>
    <n v="70.010000000000005"/>
  </r>
  <r>
    <s v="4830"/>
    <s v="Ricardo Hernández"/>
    <d v="1964-12-31T00:00:00"/>
    <n v="61"/>
    <x v="1"/>
    <x v="3"/>
    <d v="2024-05-29T00:00:00"/>
    <d v="2024-05-08T00:00:00"/>
    <n v="0"/>
    <x v="2"/>
    <n v="8"/>
    <n v="2"/>
    <n v="2093.16"/>
    <n v="10920.67"/>
    <n v="251.64"/>
  </r>
  <r>
    <s v="4831"/>
    <s v="Luis Gómez"/>
    <d v="2009-12-31T00:00:00"/>
    <n v="16"/>
    <x v="0"/>
    <x v="2"/>
    <d v="2023-10-07T00:00:00"/>
    <d v="2024-10-08T00:00:00"/>
    <n v="12"/>
    <x v="0"/>
    <n v="14"/>
    <n v="6"/>
    <n v="18744.830000000002"/>
    <n v="11134.38"/>
    <n v="8375.9699999999993"/>
  </r>
  <r>
    <s v="4832"/>
    <s v="Pedro Ramírez"/>
    <d v="1984-01-01T00:00:00"/>
    <n v="42"/>
    <x v="1"/>
    <x v="5"/>
    <d v="2023-04-27T00:00:00"/>
    <d v="2024-03-18T00:00:00"/>
    <n v="7"/>
    <x v="0"/>
    <n v="4"/>
    <n v="1"/>
    <n v="10914.48"/>
    <n v="13488.4"/>
    <n v="6213.78"/>
  </r>
  <r>
    <s v="4833"/>
    <s v="José Martínez"/>
    <d v="2001-12-31T00:00:00"/>
    <n v="24"/>
    <x v="0"/>
    <x v="2"/>
    <d v="2024-09-01T00:00:00"/>
    <d v="2023-11-04T00:00:00"/>
    <n v="19"/>
    <x v="2"/>
    <n v="4"/>
    <n v="5"/>
    <n v="9813.8700000000008"/>
    <n v="11520.28"/>
    <n v="5168.43"/>
  </r>
  <r>
    <s v="4834"/>
    <s v="Luis Cruz"/>
    <d v="2024-01-01T00:00:00"/>
    <n v="2"/>
    <x v="0"/>
    <x v="0"/>
    <d v="2023-06-11T00:00:00"/>
    <d v="2025-02-19T00:00:00"/>
    <n v="20"/>
    <x v="0"/>
    <n v="5"/>
    <n v="6"/>
    <n v="17357.86"/>
    <n v="243.07"/>
    <n v="12420.81"/>
  </r>
  <r>
    <s v="4835"/>
    <s v="Juan Cruz"/>
    <d v="1948-01-01T00:00:00"/>
    <n v="78"/>
    <x v="0"/>
    <x v="0"/>
    <d v="2023-10-25T00:00:00"/>
    <d v="2025-01-05T00:00:00"/>
    <n v="8"/>
    <x v="1"/>
    <n v="5"/>
    <n v="1"/>
    <n v="16813.91"/>
    <n v="3920.94"/>
    <n v="16245.29"/>
  </r>
  <r>
    <s v="4836"/>
    <s v="José López"/>
    <d v="1997-12-31T00:00:00"/>
    <n v="28"/>
    <x v="0"/>
    <x v="6"/>
    <d v="2023-10-24T00:00:00"/>
    <d v="2023-05-07T00:00:00"/>
    <n v="13"/>
    <x v="0"/>
    <n v="14"/>
    <n v="4"/>
    <n v="11866.32"/>
    <n v="14836.57"/>
    <n v="1173.94"/>
  </r>
  <r>
    <s v="4837"/>
    <s v="Miguel Ramírez"/>
    <d v="1995-01-01T00:00:00"/>
    <n v="31"/>
    <x v="0"/>
    <x v="6"/>
    <d v="2024-08-16T00:00:00"/>
    <d v="2023-09-23T00:00:00"/>
    <n v="13"/>
    <x v="0"/>
    <n v="1"/>
    <n v="9"/>
    <n v="7989.51"/>
    <n v="9781.8700000000008"/>
    <n v="2110.4699999999998"/>
  </r>
  <r>
    <s v="4838"/>
    <s v="Sofía Martínez"/>
    <d v="2000-12-31T00:00:00"/>
    <n v="25"/>
    <x v="0"/>
    <x v="6"/>
    <d v="2023-12-24T00:00:00"/>
    <d v="2023-01-08T00:00:00"/>
    <n v="11"/>
    <x v="1"/>
    <n v="6"/>
    <n v="9"/>
    <n v="14999.15"/>
    <n v="1021.77"/>
    <n v="7311.8"/>
  </r>
  <r>
    <s v="4839"/>
    <s v="Ricardo Martínez"/>
    <d v="2011-01-01T00:00:00"/>
    <n v="15"/>
    <x v="0"/>
    <x v="4"/>
    <d v="2024-10-21T00:00:00"/>
    <d v="2024-02-18T00:00:00"/>
    <n v="3"/>
    <x v="0"/>
    <n v="1"/>
    <n v="0"/>
    <n v="7646.63"/>
    <n v="6999.57"/>
    <n v="8773.8799999999992"/>
  </r>
  <r>
    <s v="4840"/>
    <s v="Pedro Ramírez"/>
    <d v="2001-12-31T00:00:00"/>
    <n v="24"/>
    <x v="1"/>
    <x v="0"/>
    <d v="2024-06-01T00:00:00"/>
    <d v="2023-07-26T00:00:00"/>
    <n v="39"/>
    <x v="1"/>
    <n v="13"/>
    <n v="2"/>
    <n v="2630.56"/>
    <n v="14712.52"/>
    <n v="7844.13"/>
  </r>
  <r>
    <s v="4841"/>
    <s v="Elena Sánchez"/>
    <d v="1972-12-31T00:00:00"/>
    <n v="53"/>
    <x v="0"/>
    <x v="3"/>
    <d v="2024-01-13T00:00:00"/>
    <d v="2023-06-29T00:00:00"/>
    <n v="14"/>
    <x v="2"/>
    <n v="7"/>
    <n v="0"/>
    <n v="23874.15"/>
    <n v="14892.57"/>
    <n v="12736.6"/>
  </r>
  <r>
    <s v="4842"/>
    <s v="Carmen Morales"/>
    <d v="1999-01-01T00:00:00"/>
    <n v="27"/>
    <x v="1"/>
    <x v="1"/>
    <d v="2024-11-27T00:00:00"/>
    <d v="2024-04-13T00:00:00"/>
    <n v="28"/>
    <x v="1"/>
    <n v="12"/>
    <n v="2"/>
    <n v="20920.45"/>
    <n v="6486.7"/>
    <n v="1653.03"/>
  </r>
  <r>
    <s v="4843"/>
    <s v="María Cruz"/>
    <d v="1953-12-31T00:00:00"/>
    <n v="72"/>
    <x v="1"/>
    <x v="4"/>
    <d v="2024-03-01T00:00:00"/>
    <d v="2024-05-11T00:00:00"/>
    <n v="39"/>
    <x v="0"/>
    <n v="12"/>
    <n v="3"/>
    <n v="2072.6999999999998"/>
    <n v="13395.8"/>
    <n v="9844.0400000000009"/>
  </r>
  <r>
    <s v="4844"/>
    <s v="Carlos Hernández"/>
    <d v="1971-01-01T00:00:00"/>
    <n v="55"/>
    <x v="1"/>
    <x v="3"/>
    <d v="2024-06-20T00:00:00"/>
    <d v="2024-11-26T00:00:00"/>
    <n v="7"/>
    <x v="0"/>
    <n v="13"/>
    <n v="4"/>
    <n v="4459.47"/>
    <n v="8879.8799999999992"/>
    <n v="16216.06"/>
  </r>
  <r>
    <s v="4845"/>
    <s v="José Gómez"/>
    <d v="1961-12-31T00:00:00"/>
    <n v="64"/>
    <x v="1"/>
    <x v="5"/>
    <d v="2024-07-06T00:00:00"/>
    <d v="2024-03-19T00:00:00"/>
    <n v="17"/>
    <x v="2"/>
    <n v="2"/>
    <n v="3"/>
    <n v="2555.08"/>
    <n v="7641.44"/>
    <n v="18562.03"/>
  </r>
  <r>
    <s v="4846"/>
    <s v="Jorge Ramírez"/>
    <d v="1933-12-31T00:00:00"/>
    <n v="92"/>
    <x v="0"/>
    <x v="0"/>
    <d v="2023-06-18T00:00:00"/>
    <d v="2023-08-17T00:00:00"/>
    <n v="6"/>
    <x v="0"/>
    <n v="7"/>
    <n v="3"/>
    <n v="23616.66"/>
    <n v="6179.14"/>
    <n v="11163.56"/>
  </r>
  <r>
    <s v="4847"/>
    <s v="Sofía Morales"/>
    <d v="1940-12-31T00:00:00"/>
    <n v="85"/>
    <x v="0"/>
    <x v="1"/>
    <d v="2024-05-29T00:00:00"/>
    <d v="2025-01-18T00:00:00"/>
    <n v="12"/>
    <x v="0"/>
    <n v="6"/>
    <n v="8"/>
    <n v="23072.560000000001"/>
    <n v="13381.95"/>
    <n v="2682.33"/>
  </r>
  <r>
    <s v="4848"/>
    <s v="Carmen Pérez"/>
    <d v="1947-01-01T00:00:00"/>
    <n v="79"/>
    <x v="1"/>
    <x v="1"/>
    <d v="2023-12-30T00:00:00"/>
    <d v="2023-05-27T00:00:00"/>
    <n v="36"/>
    <x v="2"/>
    <n v="7"/>
    <n v="8"/>
    <n v="11945.06"/>
    <n v="9316.9"/>
    <n v="14522.2"/>
  </r>
  <r>
    <s v="4849"/>
    <s v="Pedro Gómez"/>
    <d v="1985-12-31T00:00:00"/>
    <n v="40"/>
    <x v="1"/>
    <x v="1"/>
    <d v="2024-11-13T00:00:00"/>
    <d v="2024-07-24T00:00:00"/>
    <n v="1"/>
    <x v="0"/>
    <n v="13"/>
    <n v="8"/>
    <n v="24552.720000000001"/>
    <n v="5006.96"/>
    <n v="15906.26"/>
  </r>
  <r>
    <s v="4850"/>
    <s v="Ricardo Pérez"/>
    <d v="1979-01-01T00:00:00"/>
    <n v="50"/>
    <x v="0"/>
    <x v="6"/>
    <d v="2024-03-05T00:00:00"/>
    <d v="2023-10-24T00:00:00"/>
    <n v="1"/>
    <x v="2"/>
    <n v="12"/>
    <n v="4"/>
    <n v="29205.75"/>
    <n v="7378.99"/>
    <n v="3845.45"/>
  </r>
  <r>
    <s v="4851"/>
    <s v="Pedro Gómez"/>
    <d v="1956-01-01T00:00:00"/>
    <n v="70"/>
    <x v="0"/>
    <x v="1"/>
    <d v="2024-07-22T00:00:00"/>
    <d v="2023-08-30T00:00:00"/>
    <n v="21"/>
    <x v="0"/>
    <n v="4"/>
    <n v="4"/>
    <n v="29099.25"/>
    <n v="6661.19"/>
    <n v="13517.85"/>
  </r>
  <r>
    <s v="4852"/>
    <s v="José Hernández"/>
    <d v="1948-12-31T00:00:00"/>
    <n v="77"/>
    <x v="0"/>
    <x v="1"/>
    <d v="2023-03-24T00:00:00"/>
    <d v="2025-05-07T00:00:00"/>
    <n v="15"/>
    <x v="2"/>
    <n v="7"/>
    <n v="1"/>
    <n v="29416.15"/>
    <n v="6767.31"/>
    <n v="18603.349999999999"/>
  </r>
  <r>
    <s v="4853"/>
    <s v="Luis Sánchez"/>
    <d v="1997-12-31T00:00:00"/>
    <n v="28"/>
    <x v="1"/>
    <x v="0"/>
    <d v="2023-11-26T00:00:00"/>
    <d v="2023-10-15T00:00:00"/>
    <n v="8"/>
    <x v="0"/>
    <n v="2"/>
    <n v="5"/>
    <n v="25314.73"/>
    <n v="4674.1499999999996"/>
    <n v="14348.72"/>
  </r>
  <r>
    <s v="4854"/>
    <s v="Carlos Morales"/>
    <d v="1944-01-01T00:00:00"/>
    <n v="82"/>
    <x v="0"/>
    <x v="3"/>
    <d v="2024-11-21T00:00:00"/>
    <d v="2024-11-06T00:00:00"/>
    <n v="34"/>
    <x v="0"/>
    <n v="1"/>
    <n v="1"/>
    <n v="6118.13"/>
    <n v="9494.36"/>
    <n v="8252.92"/>
  </r>
  <r>
    <s v="4855"/>
    <s v="Laura López"/>
    <d v="2008-01-01T00:00:00"/>
    <n v="18"/>
    <x v="0"/>
    <x v="4"/>
    <d v="2023-05-13T00:00:00"/>
    <d v="2023-01-27T00:00:00"/>
    <n v="23"/>
    <x v="1"/>
    <n v="1"/>
    <n v="9"/>
    <n v="1251.25"/>
    <n v="783.56"/>
    <n v="8799.5400000000009"/>
  </r>
  <r>
    <s v="4856"/>
    <s v="Luisa Ramírez"/>
    <d v="1960-12-31T00:00:00"/>
    <n v="65"/>
    <x v="1"/>
    <x v="4"/>
    <d v="2024-08-20T00:00:00"/>
    <d v="2024-03-28T00:00:00"/>
    <n v="5"/>
    <x v="0"/>
    <n v="6"/>
    <n v="4"/>
    <n v="24255.63"/>
    <n v="13292.45"/>
    <n v="1499.09"/>
  </r>
  <r>
    <s v="4857"/>
    <s v="Elena Sánchez"/>
    <d v="1985-12-31T00:00:00"/>
    <n v="40"/>
    <x v="1"/>
    <x v="3"/>
    <d v="2024-04-01T00:00:00"/>
    <d v="2023-04-17T00:00:00"/>
    <n v="19"/>
    <x v="2"/>
    <n v="0"/>
    <n v="4"/>
    <n v="8910.58"/>
    <n v="6230.95"/>
    <n v="10474.9"/>
  </r>
  <r>
    <s v="4858"/>
    <s v="María Gómez"/>
    <d v="1981-12-31T00:00:00"/>
    <n v="76"/>
    <x v="1"/>
    <x v="2"/>
    <d v="2023-12-19T00:00:00"/>
    <d v="2023-08-29T00:00:00"/>
    <n v="2"/>
    <x v="0"/>
    <n v="10"/>
    <n v="3"/>
    <n v="9801.49"/>
    <n v="12012.94"/>
    <n v="16033.96"/>
  </r>
  <r>
    <s v="4859"/>
    <s v="Ana Morales"/>
    <d v="2012-01-01T00:00:00"/>
    <n v="14"/>
    <x v="1"/>
    <x v="2"/>
    <d v="2023-12-10T00:00:00"/>
    <d v="2025-05-02T00:00:00"/>
    <n v="1"/>
    <x v="0"/>
    <n v="4"/>
    <n v="4"/>
    <n v="1726.37"/>
    <n v="10942.38"/>
    <n v="19567.78"/>
  </r>
  <r>
    <s v="4860"/>
    <s v="Elena Cruz"/>
    <d v="2024-01-01T00:00:00"/>
    <n v="2"/>
    <x v="2"/>
    <x v="5"/>
    <d v="2023-04-04T00:00:00"/>
    <d v="2024-02-23T00:00:00"/>
    <n v="2"/>
    <x v="2"/>
    <n v="7"/>
    <n v="6"/>
    <n v="21298.7"/>
    <n v="7077.77"/>
    <n v="7926.01"/>
  </r>
  <r>
    <s v="4861"/>
    <s v="Miguel Cruz"/>
    <d v="2016-01-01T00:00:00"/>
    <n v="10"/>
    <x v="1"/>
    <x v="0"/>
    <d v="2024-01-17T00:00:00"/>
    <d v="2023-11-29T00:00:00"/>
    <n v="32"/>
    <x v="1"/>
    <n v="13"/>
    <n v="9"/>
    <n v="12638.1"/>
    <n v="2980.66"/>
    <n v="8650.89"/>
  </r>
  <r>
    <s v="4862"/>
    <s v="Elena López"/>
    <d v="1973-12-31T00:00:00"/>
    <n v="52"/>
    <x v="1"/>
    <x v="2"/>
    <d v="2023-10-22T00:00:00"/>
    <d v="2025-06-10T00:00:00"/>
    <n v="29"/>
    <x v="2"/>
    <n v="7"/>
    <n v="1"/>
    <n v="5730.1"/>
    <n v="8433.18"/>
    <n v="1000.75"/>
  </r>
  <r>
    <s v="4863"/>
    <s v="Sofía Rodríguez"/>
    <d v="1980-12-31T00:00:00"/>
    <n v="45"/>
    <x v="1"/>
    <x v="2"/>
    <d v="2023-07-17T00:00:00"/>
    <d v="2023-02-12T00:00:00"/>
    <n v="16"/>
    <x v="0"/>
    <n v="6"/>
    <n v="0"/>
    <n v="19400.060000000001"/>
    <n v="14221.08"/>
    <n v="15479.94"/>
  </r>
  <r>
    <s v="4864"/>
    <s v="Jorge Martínez"/>
    <d v="1996-12-31T00:00:00"/>
    <n v="29"/>
    <x v="1"/>
    <x v="0"/>
    <d v="2023-03-20T00:00:00"/>
    <d v="2024-10-07T00:00:00"/>
    <n v="36"/>
    <x v="2"/>
    <n v="6"/>
    <n v="3"/>
    <n v="29386.46"/>
    <n v="2786.59"/>
    <n v="14304.82"/>
  </r>
  <r>
    <s v="4865"/>
    <s v="Miguel Cruz"/>
    <d v="1969-12-31T00:00:00"/>
    <n v="56"/>
    <x v="0"/>
    <x v="3"/>
    <d v="2024-11-08T00:00:00"/>
    <d v="2025-04-09T00:00:00"/>
    <n v="1"/>
    <x v="2"/>
    <n v="1"/>
    <n v="6"/>
    <n v="14701.21"/>
    <n v="3840.19"/>
    <n v="7998.81"/>
  </r>
  <r>
    <s v="4866"/>
    <s v="José Rodríguez"/>
    <d v="2008-12-31T00:00:00"/>
    <n v="17"/>
    <x v="1"/>
    <x v="5"/>
    <d v="2024-07-04T00:00:00"/>
    <d v="2024-07-10T00:00:00"/>
    <n v="20"/>
    <x v="1"/>
    <n v="14"/>
    <n v="0"/>
    <n v="17994.29"/>
    <n v="14895.08"/>
    <n v="14156.44"/>
  </r>
  <r>
    <s v="4867"/>
    <s v="Miguel Cruz"/>
    <d v="1976-01-01T00:00:00"/>
    <n v="50"/>
    <x v="0"/>
    <x v="5"/>
    <d v="2023-08-02T00:00:00"/>
    <d v="2023-02-05T00:00:00"/>
    <n v="16"/>
    <x v="0"/>
    <n v="14"/>
    <n v="3"/>
    <n v="4467.1499999999996"/>
    <n v="13388.56"/>
    <n v="12422.81"/>
  </r>
  <r>
    <s v="4868"/>
    <s v="José López"/>
    <d v="1979-01-01T00:00:00"/>
    <n v="47"/>
    <x v="1"/>
    <x v="5"/>
    <d v="2024-10-04T00:00:00"/>
    <d v="2025-05-26T00:00:00"/>
    <n v="23"/>
    <x v="0"/>
    <n v="14"/>
    <n v="5"/>
    <n v="4409.2"/>
    <n v="8243.25"/>
    <n v="15356.76"/>
  </r>
  <r>
    <s v="4869"/>
    <s v="Ricardo López"/>
    <d v="1960-12-31T00:00:00"/>
    <n v="65"/>
    <x v="0"/>
    <x v="2"/>
    <d v="2024-10-30T00:00:00"/>
    <d v="2023-12-14T00:00:00"/>
    <n v="23"/>
    <x v="1"/>
    <n v="9"/>
    <n v="5"/>
    <n v="13476.36"/>
    <n v="10421.120000000001"/>
    <n v="6214.27"/>
  </r>
  <r>
    <s v="4870"/>
    <s v="Pedro Ramírez"/>
    <d v="2019-01-01T00:00:00"/>
    <n v="7"/>
    <x v="0"/>
    <x v="3"/>
    <d v="2023-06-08T00:00:00"/>
    <d v="2024-01-20T00:00:00"/>
    <n v="4"/>
    <x v="0"/>
    <n v="5"/>
    <n v="0"/>
    <n v="25265.19"/>
    <n v="6645.93"/>
    <n v="12981.46"/>
  </r>
  <r>
    <s v="4871"/>
    <s v="Juan Hernández"/>
    <d v="2004-12-31T00:00:00"/>
    <n v="21"/>
    <x v="0"/>
    <x v="5"/>
    <d v="2024-07-10T00:00:00"/>
    <d v="2024-05-28T00:00:00"/>
    <n v="29"/>
    <x v="2"/>
    <n v="12"/>
    <n v="6"/>
    <n v="27229.08"/>
    <n v="6061.39"/>
    <n v="12474.99"/>
  </r>
  <r>
    <s v="4872"/>
    <s v="Pedro Rodríguez"/>
    <d v="2020-12-31T00:00:00"/>
    <n v="5"/>
    <x v="0"/>
    <x v="0"/>
    <d v="2023-07-20T00:00:00"/>
    <d v="2025-01-08T00:00:00"/>
    <n v="30"/>
    <x v="2"/>
    <n v="13"/>
    <n v="4"/>
    <n v="19073.43"/>
    <n v="6647.81"/>
    <n v="1718.86"/>
  </r>
  <r>
    <s v="4873"/>
    <s v="Ricardo Cruz"/>
    <d v="1951-01-01T00:00:00"/>
    <n v="75"/>
    <x v="0"/>
    <x v="5"/>
    <d v="2023-01-22T00:00:00"/>
    <d v="2025-03-22T00:00:00"/>
    <n v="23"/>
    <x v="2"/>
    <n v="1"/>
    <n v="5"/>
    <n v="10495.85"/>
    <n v="6216.25"/>
    <n v="5547.15"/>
  </r>
  <r>
    <s v="4874"/>
    <s v="Miguel Gómez"/>
    <d v="1969-12-31T00:00:00"/>
    <n v="56"/>
    <x v="1"/>
    <x v="4"/>
    <d v="2023-12-05T00:00:00"/>
    <d v="2023-10-16T00:00:00"/>
    <n v="21"/>
    <x v="0"/>
    <n v="7"/>
    <n v="0"/>
    <n v="22376.2"/>
    <n v="10133.33"/>
    <n v="17190.03"/>
  </r>
  <r>
    <s v="4875"/>
    <s v="Ricardo Hernández"/>
    <d v="1991-01-01T00:00:00"/>
    <n v="35"/>
    <x v="0"/>
    <x v="6"/>
    <d v="2023-08-30T00:00:00"/>
    <d v="2025-01-18T00:00:00"/>
    <n v="20"/>
    <x v="0"/>
    <n v="1"/>
    <n v="6"/>
    <n v="8404.18"/>
    <n v="4956.8500000000004"/>
    <n v="3038.26"/>
  </r>
  <r>
    <s v="4876"/>
    <s v="Jorge Pérez"/>
    <d v="1948-01-01T00:00:00"/>
    <n v="78"/>
    <x v="0"/>
    <x v="3"/>
    <d v="2023-08-26T00:00:00"/>
    <d v="2025-05-21T00:00:00"/>
    <n v="35"/>
    <x v="2"/>
    <n v="1"/>
    <n v="3"/>
    <n v="6196.37"/>
    <n v="2561.65"/>
    <n v="7529.23"/>
  </r>
  <r>
    <s v="4877"/>
    <s v="Jorge Gómez"/>
    <d v="1995-01-01T00:00:00"/>
    <n v="91"/>
    <x v="0"/>
    <x v="6"/>
    <d v="2023-05-29T00:00:00"/>
    <d v="2023-02-03T00:00:00"/>
    <n v="23"/>
    <x v="0"/>
    <n v="6"/>
    <n v="2"/>
    <n v="23760.54"/>
    <n v="10598.51"/>
    <n v="4427.24"/>
  </r>
  <r>
    <s v="4878"/>
    <s v="Elena Martínez"/>
    <d v="1969-12-31T00:00:00"/>
    <n v="56"/>
    <x v="1"/>
    <x v="3"/>
    <d v="2024-08-01T00:00:00"/>
    <d v="2023-04-06T00:00:00"/>
    <n v="28"/>
    <x v="1"/>
    <n v="5"/>
    <n v="3"/>
    <n v="22415.200000000001"/>
    <n v="469.46"/>
    <n v="2717.73"/>
  </r>
  <r>
    <s v="4879"/>
    <s v="Juan Sánchez"/>
    <d v="1977-12-31T00:00:00"/>
    <n v="48"/>
    <x v="1"/>
    <x v="1"/>
    <d v="2023-01-07T00:00:00"/>
    <d v="2023-07-25T00:00:00"/>
    <n v="3"/>
    <x v="1"/>
    <n v="0"/>
    <n v="8"/>
    <n v="26404.21"/>
    <n v="10781.3"/>
    <n v="2641.87"/>
  </r>
  <r>
    <s v="4880"/>
    <s v="Juan Cruz"/>
    <d v="1981-12-31T00:00:00"/>
    <n v="44"/>
    <x v="0"/>
    <x v="0"/>
    <d v="2023-08-21T00:00:00"/>
    <d v="2024-09-13T00:00:00"/>
    <n v="28"/>
    <x v="0"/>
    <n v="12"/>
    <n v="4"/>
    <n v="17082.759999999998"/>
    <n v="3948.66"/>
    <n v="6893.9"/>
  </r>
  <r>
    <s v="4881"/>
    <s v="Miguel Rodríguez"/>
    <d v="1944-12-31T00:00:00"/>
    <n v="81"/>
    <x v="1"/>
    <x v="1"/>
    <d v="2024-08-01T00:00:00"/>
    <d v="2025-04-14T00:00:00"/>
    <n v="37"/>
    <x v="2"/>
    <n v="5"/>
    <n v="4"/>
    <n v="26849.79"/>
    <n v="2853.79"/>
    <n v="16049.82"/>
  </r>
  <r>
    <s v="4882"/>
    <s v="Jorge Gómez"/>
    <d v="1960-12-31T00:00:00"/>
    <n v="65"/>
    <x v="1"/>
    <x v="2"/>
    <d v="2023-03-18T00:00:00"/>
    <d v="2023-01-31T00:00:00"/>
    <n v="9"/>
    <x v="2"/>
    <n v="3"/>
    <n v="7"/>
    <n v="307.58999999999997"/>
    <n v="5684.35"/>
    <n v="19322.95"/>
  </r>
  <r>
    <s v="4883"/>
    <s v="Laura Pérez"/>
    <d v="1949-12-31T00:00:00"/>
    <n v="76"/>
    <x v="1"/>
    <x v="2"/>
    <d v="2024-05-03T00:00:00"/>
    <d v="2023-09-24T00:00:00"/>
    <n v="14"/>
    <x v="2"/>
    <n v="13"/>
    <n v="6"/>
    <n v="7238.33"/>
    <n v="1762.5"/>
    <n v="11393.91"/>
  </r>
  <r>
    <s v="4884"/>
    <s v="Sofía López"/>
    <d v="1981-12-31T00:00:00"/>
    <n v="44"/>
    <x v="0"/>
    <x v="1"/>
    <d v="2023-03-28T00:00:00"/>
    <d v="2023-01-24T00:00:00"/>
    <n v="23"/>
    <x v="2"/>
    <n v="5"/>
    <n v="2"/>
    <n v="24035.86"/>
    <n v="5767.34"/>
    <n v="12668.01"/>
  </r>
  <r>
    <s v="4885"/>
    <s v="Jorge Pérez"/>
    <d v="1948-01-01T00:00:00"/>
    <n v="78"/>
    <x v="2"/>
    <x v="3"/>
    <d v="2023-08-10T00:00:00"/>
    <d v="2024-09-01T00:00:00"/>
    <n v="0"/>
    <x v="0"/>
    <n v="8"/>
    <n v="0"/>
    <n v="12421.57"/>
    <n v="1534.83"/>
    <n v="15552.75"/>
  </r>
  <r>
    <s v="4886"/>
    <s v="Juan Ramírez"/>
    <d v="2007-01-01T00:00:00"/>
    <n v="19"/>
    <x v="0"/>
    <x v="5"/>
    <d v="2024-02-17T00:00:00"/>
    <d v="2023-02-09T00:00:00"/>
    <n v="12"/>
    <x v="0"/>
    <n v="14"/>
    <n v="1"/>
    <n v="6801.37"/>
    <n v="7252.33"/>
    <n v="13202.2"/>
  </r>
  <r>
    <s v="4887"/>
    <s v="María Ramírez"/>
    <d v="1963-01-01T00:00:00"/>
    <n v="63"/>
    <x v="1"/>
    <x v="6"/>
    <d v="2024-08-06T00:00:00"/>
    <d v="2023-06-23T00:00:00"/>
    <n v="35"/>
    <x v="0"/>
    <n v="10"/>
    <n v="2"/>
    <n v="23782.240000000002"/>
    <n v="2642.55"/>
    <n v="16951.27"/>
  </r>
  <r>
    <s v="4888"/>
    <s v="Jorge Ramírez"/>
    <d v="1933-12-31T00:00:00"/>
    <n v="92"/>
    <x v="1"/>
    <x v="0"/>
    <d v="2023-07-21T00:00:00"/>
    <d v="2025-01-30T00:00:00"/>
    <n v="21"/>
    <x v="2"/>
    <n v="5"/>
    <n v="0"/>
    <n v="24579.17"/>
    <n v="1949.95"/>
    <n v="17669.43"/>
  </r>
  <r>
    <s v="4889"/>
    <s v="Laura Morales"/>
    <d v="1933-12-31T00:00:00"/>
    <n v="92"/>
    <x v="1"/>
    <x v="5"/>
    <d v="2024-07-24T00:00:00"/>
    <d v="2025-06-10T00:00:00"/>
    <n v="27"/>
    <x v="2"/>
    <n v="0"/>
    <n v="0"/>
    <n v="13415.83"/>
    <n v="8686.64"/>
    <n v="12516.93"/>
  </r>
  <r>
    <s v="4890"/>
    <s v="Ricardo Cruz"/>
    <d v="1960-01-01T00:00:00"/>
    <n v="66"/>
    <x v="0"/>
    <x v="2"/>
    <d v="2023-10-03T00:00:00"/>
    <d v="2024-02-18T00:00:00"/>
    <n v="33"/>
    <x v="2"/>
    <n v="0"/>
    <n v="7"/>
    <n v="13731.1"/>
    <n v="9378.68"/>
    <n v="10614.56"/>
  </r>
  <r>
    <s v="4891"/>
    <s v="Elena Ramírez"/>
    <d v="1944-01-01T00:00:00"/>
    <n v="82"/>
    <x v="0"/>
    <x v="5"/>
    <d v="2023-08-09T00:00:00"/>
    <d v="2024-02-19T00:00:00"/>
    <n v="24"/>
    <x v="0"/>
    <n v="13"/>
    <n v="7"/>
    <n v="23318.560000000001"/>
    <n v="82.76"/>
    <n v="7760.13"/>
  </r>
  <r>
    <s v="4892"/>
    <s v="Elena Pérez"/>
    <d v="1949-01-01T00:00:00"/>
    <n v="2"/>
    <x v="1"/>
    <x v="1"/>
    <d v="2023-06-06T00:00:00"/>
    <d v="2024-11-05T00:00:00"/>
    <n v="19"/>
    <x v="1"/>
    <n v="5"/>
    <n v="1"/>
    <n v="23025.59"/>
    <n v="5815.16"/>
    <n v="9177.77"/>
  </r>
  <r>
    <s v="4893"/>
    <s v="Jorge Sánchez"/>
    <d v="1972-12-31T00:00:00"/>
    <n v="53"/>
    <x v="0"/>
    <x v="1"/>
    <d v="2023-06-30T00:00:00"/>
    <d v="2024-11-23T00:00:00"/>
    <n v="1"/>
    <x v="0"/>
    <n v="1"/>
    <n v="7"/>
    <n v="25930.2"/>
    <n v="1169.3399999999999"/>
    <n v="6843.7"/>
  </r>
  <r>
    <s v="4894"/>
    <s v="Pedro López"/>
    <d v="1948-12-31T00:00:00"/>
    <n v="77"/>
    <x v="0"/>
    <x v="4"/>
    <d v="2024-12-25T00:00:00"/>
    <d v="2024-09-07T00:00:00"/>
    <n v="4"/>
    <x v="0"/>
    <n v="2"/>
    <n v="1"/>
    <n v="19188.740000000002"/>
    <n v="11079.67"/>
    <n v="8482.02"/>
  </r>
  <r>
    <s v="4895"/>
    <s v="Elena Sánchez"/>
    <d v="1963-01-01T00:00:00"/>
    <n v="63"/>
    <x v="1"/>
    <x v="4"/>
    <d v="2023-05-09T00:00:00"/>
    <d v="2023-07-29T00:00:00"/>
    <n v="13"/>
    <x v="0"/>
    <n v="13"/>
    <n v="4"/>
    <n v="5169.6899999999996"/>
    <n v="10222.84"/>
    <n v="17984.169999999998"/>
  </r>
  <r>
    <s v="4896"/>
    <s v="Ana Sánchez"/>
    <d v="1987-01-01T00:00:00"/>
    <n v="39"/>
    <x v="1"/>
    <x v="6"/>
    <d v="2023-08-31T00:00:00"/>
    <d v="2023-01-23T00:00:00"/>
    <n v="21"/>
    <x v="0"/>
    <n v="12"/>
    <n v="0"/>
    <n v="16266.24"/>
    <n v="745.94"/>
    <n v="19444.68"/>
  </r>
  <r>
    <s v="4897"/>
    <s v="Luis López"/>
    <d v="1968-01-01T00:00:00"/>
    <n v="58"/>
    <x v="2"/>
    <x v="2"/>
    <d v="2023-06-21T00:00:00"/>
    <d v="2023-01-06T00:00:00"/>
    <n v="27"/>
    <x v="2"/>
    <n v="5"/>
    <n v="8"/>
    <n v="11162.73"/>
    <n v="14118.76"/>
    <n v="7166.83"/>
  </r>
  <r>
    <s v="4898"/>
    <s v="José Gómez"/>
    <d v="1972-01-01T00:00:00"/>
    <n v="54"/>
    <x v="1"/>
    <x v="3"/>
    <d v="2024-05-17T00:00:00"/>
    <d v="2024-10-13T00:00:00"/>
    <n v="2"/>
    <x v="0"/>
    <n v="12"/>
    <n v="3"/>
    <n v="324.69"/>
    <n v="14399.41"/>
    <n v="4333.8599999999997"/>
  </r>
  <r>
    <s v="4899"/>
    <s v="Jorge Gómez"/>
    <d v="1964-12-31T00:00:00"/>
    <n v="61"/>
    <x v="0"/>
    <x v="0"/>
    <d v="2024-04-24T00:00:00"/>
    <d v="2023-08-03T00:00:00"/>
    <n v="24"/>
    <x v="2"/>
    <n v="0"/>
    <n v="9"/>
    <n v="5493.34"/>
    <n v="5020.07"/>
    <n v="1471.63"/>
  </r>
  <r>
    <s v="4900"/>
    <s v="María Cruz"/>
    <d v="2023-01-01T00:00:00"/>
    <n v="3"/>
    <x v="1"/>
    <x v="1"/>
    <d v="2023-09-27T00:00:00"/>
    <d v="2024-11-03T00:00:00"/>
    <n v="6"/>
    <x v="1"/>
    <n v="11"/>
    <n v="1"/>
    <n v="5770.13"/>
    <n v="1959.19"/>
    <n v="16722.310000000001"/>
  </r>
  <r>
    <s v="4901"/>
    <s v="Laura Morales"/>
    <d v="1967-01-01T00:00:00"/>
    <n v="59"/>
    <x v="0"/>
    <x v="0"/>
    <d v="2024-02-25T00:00:00"/>
    <d v="2023-05-20T00:00:00"/>
    <n v="4"/>
    <x v="2"/>
    <n v="0"/>
    <n v="0"/>
    <n v="2011.26"/>
    <n v="1715.15"/>
    <n v="17400.39"/>
  </r>
  <r>
    <s v="4902"/>
    <s v="Carlos Morales"/>
    <d v="1952-01-01T00:00:00"/>
    <n v="74"/>
    <x v="0"/>
    <x v="2"/>
    <d v="2023-06-12T00:00:00"/>
    <d v="2024-10-19T00:00:00"/>
    <n v="2"/>
    <x v="2"/>
    <n v="7"/>
    <n v="5"/>
    <n v="13326.25"/>
    <n v="12610.81"/>
    <n v="8954.49"/>
  </r>
  <r>
    <s v="4903"/>
    <s v="Ana Morales"/>
    <d v="1932-01-01T00:00:00"/>
    <n v="94"/>
    <x v="0"/>
    <x v="3"/>
    <d v="2023-01-24T00:00:00"/>
    <d v="2024-11-03T00:00:00"/>
    <n v="27"/>
    <x v="1"/>
    <n v="9"/>
    <n v="7"/>
    <n v="14995.07"/>
    <n v="6887.44"/>
    <n v="10802.6"/>
  </r>
  <r>
    <s v="4904"/>
    <s v="Jorge Sánchez"/>
    <d v="1936-01-01T00:00:00"/>
    <n v="90"/>
    <x v="0"/>
    <x v="4"/>
    <d v="2024-05-11T00:00:00"/>
    <d v="2024-08-18T00:00:00"/>
    <n v="39"/>
    <x v="2"/>
    <n v="1"/>
    <n v="3"/>
    <n v="9870.36"/>
    <n v="142.63"/>
    <n v="14770.41"/>
  </r>
  <r>
    <s v="4905"/>
    <s v="Ana Morales"/>
    <d v="1996-12-31T00:00:00"/>
    <n v="29"/>
    <x v="0"/>
    <x v="1"/>
    <d v="2023-07-12T00:00:00"/>
    <d v="2024-10-29T00:00:00"/>
    <n v="24"/>
    <x v="2"/>
    <n v="14"/>
    <n v="0"/>
    <n v="12076.96"/>
    <n v="13880.28"/>
    <n v="7454.64"/>
  </r>
  <r>
    <s v="4906"/>
    <s v="Miguel Ramírez"/>
    <d v="2024-12-31T00:00:00"/>
    <n v="1"/>
    <x v="0"/>
    <x v="6"/>
    <d v="2024-01-25T00:00:00"/>
    <d v="2025-03-11T00:00:00"/>
    <n v="7"/>
    <x v="2"/>
    <n v="10"/>
    <n v="0"/>
    <n v="0"/>
    <n v="8891.06"/>
    <n v="3949.95"/>
  </r>
  <r>
    <s v="4907"/>
    <s v="Luis Cruz"/>
    <d v="1964-12-31T00:00:00"/>
    <n v="61"/>
    <x v="1"/>
    <x v="0"/>
    <d v="2024-05-11T00:00:00"/>
    <d v="2023-11-14T00:00:00"/>
    <n v="22"/>
    <x v="0"/>
    <n v="10"/>
    <n v="5"/>
    <n v="3174.75"/>
    <n v="10355.950000000001"/>
    <n v="2205.13"/>
  </r>
  <r>
    <s v="4908"/>
    <s v="Ana Rodríguez"/>
    <d v="1977-12-31T00:00:00"/>
    <n v="48"/>
    <x v="1"/>
    <x v="2"/>
    <d v="2023-05-09T00:00:00"/>
    <d v="2025-03-04T00:00:00"/>
    <n v="15"/>
    <x v="0"/>
    <n v="1"/>
    <n v="1"/>
    <n v="16649.580000000002"/>
    <n v="12353.31"/>
    <n v="4628.3500000000004"/>
  </r>
  <r>
    <s v="4909"/>
    <s v="Elena Gómez"/>
    <d v="2017-12-31T00:00:00"/>
    <n v="8"/>
    <x v="0"/>
    <x v="0"/>
    <d v="2024-07-06T00:00:00"/>
    <d v="2024-07-30T00:00:00"/>
    <n v="4"/>
    <x v="2"/>
    <n v="8"/>
    <n v="4"/>
    <n v="21152.71"/>
    <n v="12278.68"/>
    <n v="12871.21"/>
  </r>
  <r>
    <s v="4910"/>
    <s v="Juan Hernández"/>
    <d v="1935-01-01T00:00:00"/>
    <n v="91"/>
    <x v="0"/>
    <x v="4"/>
    <d v="2024-06-26T00:00:00"/>
    <d v="2024-12-05T00:00:00"/>
    <n v="28"/>
    <x v="0"/>
    <n v="2"/>
    <n v="1"/>
    <n v="26180.240000000002"/>
    <n v="1137.07"/>
    <n v="6888.47"/>
  </r>
  <r>
    <s v="4911"/>
    <s v="Miguel Gómez"/>
    <d v="1996-01-01T00:00:00"/>
    <n v="30"/>
    <x v="1"/>
    <x v="4"/>
    <d v="2023-02-05T00:00:00"/>
    <d v="2023-06-06T00:00:00"/>
    <n v="29"/>
    <x v="2"/>
    <n v="3"/>
    <n v="8"/>
    <n v="8698"/>
    <n v="8609.8799999999992"/>
    <n v="17340.84"/>
  </r>
  <r>
    <s v="4912"/>
    <s v="Pedro Hernández"/>
    <d v="1965-12-31T00:00:00"/>
    <n v="60"/>
    <x v="1"/>
    <x v="3"/>
    <d v="2024-04-01T00:00:00"/>
    <d v="2024-02-29T00:00:00"/>
    <n v="8"/>
    <x v="0"/>
    <n v="13"/>
    <n v="1"/>
    <n v="22295.99"/>
    <n v="10443.67"/>
    <n v="1659.64"/>
  </r>
  <r>
    <s v="4913"/>
    <s v="Jorge Martínez"/>
    <d v="1948-01-01T00:00:00"/>
    <n v="78"/>
    <x v="0"/>
    <x v="6"/>
    <d v="2023-12-27T00:00:00"/>
    <d v="2024-05-15T00:00:00"/>
    <n v="7"/>
    <x v="2"/>
    <n v="1"/>
    <n v="4"/>
    <n v="17983.64"/>
    <n v="1284.31"/>
    <n v="8269.0400000000009"/>
  </r>
  <r>
    <s v="4914"/>
    <s v="Elena Gómez"/>
    <d v="1979-01-01T00:00:00"/>
    <n v="47"/>
    <x v="1"/>
    <x v="4"/>
    <d v="2023-08-03T00:00:00"/>
    <d v="2023-04-02T00:00:00"/>
    <n v="19"/>
    <x v="0"/>
    <n v="7"/>
    <n v="3"/>
    <n v="14835.37"/>
    <n v="3336.01"/>
    <n v="5064.9399999999996"/>
  </r>
  <r>
    <s v="4915"/>
    <s v="Luisa Gómez"/>
    <d v="2001-12-31T00:00:00"/>
    <n v="24"/>
    <x v="0"/>
    <x v="3"/>
    <d v="2023-10-14T00:00:00"/>
    <d v="2024-10-16T00:00:00"/>
    <n v="28"/>
    <x v="0"/>
    <n v="3"/>
    <n v="0"/>
    <n v="27546.44"/>
    <n v="5937.22"/>
    <n v="17742.71"/>
  </r>
  <r>
    <s v="4916"/>
    <s v="Elena Martínez"/>
    <d v="1991-01-01T00:00:00"/>
    <n v="35"/>
    <x v="0"/>
    <x v="4"/>
    <d v="2024-01-04T00:00:00"/>
    <d v="2023-02-12T00:00:00"/>
    <n v="38"/>
    <x v="0"/>
    <n v="5"/>
    <n v="9"/>
    <n v="18410.21"/>
    <n v="13297.88"/>
    <n v="16104.9"/>
  </r>
  <r>
    <s v="4917"/>
    <s v="María Morales"/>
    <d v="2019-01-01T00:00:00"/>
    <n v="7"/>
    <x v="0"/>
    <x v="1"/>
    <d v="2024-04-13T00:00:00"/>
    <d v="2025-01-31T00:00:00"/>
    <n v="11"/>
    <x v="2"/>
    <n v="13"/>
    <n v="8"/>
    <n v="10665.12"/>
    <n v="12759.5"/>
    <n v="19684.599999999999"/>
  </r>
  <r>
    <s v="4918"/>
    <s v="Carmen Gómez"/>
    <d v="1953-12-31T00:00:00"/>
    <n v="72"/>
    <x v="1"/>
    <x v="5"/>
    <d v="2023-07-05T00:00:00"/>
    <d v="2023-10-23T00:00:00"/>
    <n v="0"/>
    <x v="1"/>
    <n v="12"/>
    <n v="2"/>
    <n v="21244.45"/>
    <n v="11731.55"/>
    <n v="2297.38"/>
  </r>
  <r>
    <s v="4919"/>
    <s v="Laura Ramírez"/>
    <d v="1968-12-31T00:00:00"/>
    <n v="57"/>
    <x v="1"/>
    <x v="3"/>
    <d v="2024-04-18T00:00:00"/>
    <d v="2025-02-09T00:00:00"/>
    <n v="21"/>
    <x v="0"/>
    <n v="9"/>
    <n v="9"/>
    <n v="28776.25"/>
    <n v="14854.15"/>
    <n v="15623.1"/>
  </r>
  <r>
    <s v="4920"/>
    <s v="Sofía Martínez"/>
    <d v="1982-01-01T00:00:00"/>
    <n v="21"/>
    <x v="1"/>
    <x v="3"/>
    <d v="2023-03-02T00:00:00"/>
    <d v="2023-12-04T00:00:00"/>
    <n v="11"/>
    <x v="2"/>
    <n v="11"/>
    <n v="7"/>
    <n v="27504.44"/>
    <n v="3639.85"/>
    <n v="2429.8200000000002"/>
  </r>
  <r>
    <s v="4921"/>
    <s v="Luisa López"/>
    <d v="1964-12-31T00:00:00"/>
    <n v="61"/>
    <x v="1"/>
    <x v="0"/>
    <d v="2023-09-19T00:00:00"/>
    <d v="2023-01-02T00:00:00"/>
    <n v="13"/>
    <x v="0"/>
    <n v="5"/>
    <n v="3"/>
    <n v="29398.23"/>
    <n v="7017.22"/>
    <n v="3015.97"/>
  </r>
  <r>
    <s v="4922"/>
    <s v="María Rodríguez"/>
    <d v="1988-01-01T00:00:00"/>
    <n v="38"/>
    <x v="0"/>
    <x v="4"/>
    <d v="2023-04-21T00:00:00"/>
    <d v="2023-04-20T00:00:00"/>
    <n v="25"/>
    <x v="2"/>
    <n v="9"/>
    <n v="8"/>
    <n v="2400.04"/>
    <n v="6700.85"/>
    <n v="687.74"/>
  </r>
  <r>
    <s v="4923"/>
    <s v="María Martínez"/>
    <d v="1968-12-31T00:00:00"/>
    <n v="57"/>
    <x v="0"/>
    <x v="3"/>
    <d v="2023-05-21T00:00:00"/>
    <d v="2023-05-06T00:00:00"/>
    <n v="32"/>
    <x v="0"/>
    <n v="7"/>
    <n v="4"/>
    <n v="13025.03"/>
    <n v="10184.06"/>
    <n v="9240.6299999999992"/>
  </r>
  <r>
    <s v="4924"/>
    <s v="José Ramírez"/>
    <d v="1945-12-31T00:00:00"/>
    <n v="80"/>
    <x v="1"/>
    <x v="2"/>
    <d v="2024-06-18T00:00:00"/>
    <d v="2023-03-06T00:00:00"/>
    <n v="37"/>
    <x v="2"/>
    <n v="0"/>
    <n v="1"/>
    <n v="12697.02"/>
    <n v="12752.3"/>
    <n v="2430.2199999999998"/>
  </r>
  <r>
    <s v="4925"/>
    <s v="Carlos López"/>
    <d v="1944-01-01T00:00:00"/>
    <n v="82"/>
    <x v="1"/>
    <x v="1"/>
    <d v="2023-03-20T00:00:00"/>
    <d v="2023-07-26T00:00:00"/>
    <n v="1"/>
    <x v="0"/>
    <n v="1"/>
    <n v="7"/>
    <n v="11206.25"/>
    <n v="7375.24"/>
    <n v="6901.84"/>
  </r>
  <r>
    <s v="4926"/>
    <s v="Pedro López"/>
    <d v="1963-01-01T00:00:00"/>
    <n v="63"/>
    <x v="1"/>
    <x v="0"/>
    <d v="2024-05-08T00:00:00"/>
    <d v="2024-02-20T00:00:00"/>
    <n v="31"/>
    <x v="0"/>
    <n v="2"/>
    <n v="3"/>
    <n v="4943.97"/>
    <n v="7372.98"/>
    <n v="5451.61"/>
  </r>
  <r>
    <s v="4927"/>
    <s v="Luisa Hernández"/>
    <d v="1983-01-01T00:00:00"/>
    <n v="43"/>
    <x v="2"/>
    <x v="0"/>
    <d v="2023-01-31T00:00:00"/>
    <d v="2025-04-30T00:00:00"/>
    <n v="15"/>
    <x v="1"/>
    <n v="6"/>
    <n v="1"/>
    <n v="0"/>
    <n v="9124.77"/>
    <n v="19524.73"/>
  </r>
  <r>
    <s v="4928"/>
    <s v="Luisa Pérez"/>
    <d v="1997-12-31T00:00:00"/>
    <n v="28"/>
    <x v="1"/>
    <x v="5"/>
    <d v="2024-05-30T00:00:00"/>
    <d v="2023-09-02T00:00:00"/>
    <n v="4"/>
    <x v="1"/>
    <n v="1"/>
    <n v="5"/>
    <n v="20028.900000000001"/>
    <n v="11137.12"/>
    <n v="13131.08"/>
  </r>
  <r>
    <s v="4929"/>
    <s v="Carlos Hernández"/>
    <d v="1968-01-01T00:00:00"/>
    <n v="58"/>
    <x v="0"/>
    <x v="1"/>
    <d v="2024-05-23T00:00:00"/>
    <d v="2024-08-13T00:00:00"/>
    <n v="35"/>
    <x v="0"/>
    <n v="7"/>
    <n v="0"/>
    <n v="17982.71"/>
    <n v="3019.51"/>
    <n v="8150.17"/>
  </r>
  <r>
    <s v="4930"/>
    <s v="Carlos Ramírez"/>
    <d v="1956-01-01T00:00:00"/>
    <n v="70"/>
    <x v="0"/>
    <x v="2"/>
    <d v="2024-09-21T00:00:00"/>
    <d v="2024-09-15T00:00:00"/>
    <n v="39"/>
    <x v="0"/>
    <n v="3"/>
    <n v="7"/>
    <n v="13129.02"/>
    <n v="14427.89"/>
    <n v="17556.919999999998"/>
  </r>
  <r>
    <s v="4931"/>
    <s v="Sofía Rodríguez"/>
    <d v="1935-01-01T00:00:00"/>
    <n v="91"/>
    <x v="0"/>
    <x v="1"/>
    <d v="2023-03-07T00:00:00"/>
    <d v="2024-10-16T00:00:00"/>
    <n v="4"/>
    <x v="2"/>
    <n v="2"/>
    <n v="8"/>
    <n v="11349.92"/>
    <n v="1380.8"/>
    <n v="1183.28"/>
  </r>
  <r>
    <s v="4932"/>
    <s v="Ricardo Pérez"/>
    <d v="2017-12-31T00:00:00"/>
    <n v="8"/>
    <x v="0"/>
    <x v="3"/>
    <d v="2024-05-24T00:00:00"/>
    <d v="2023-08-05T00:00:00"/>
    <n v="1"/>
    <x v="0"/>
    <n v="11"/>
    <n v="6"/>
    <n v="23487.1"/>
    <n v="346.5"/>
    <n v="6618.58"/>
  </r>
  <r>
    <s v="4933"/>
    <s v="Miguel Hernández"/>
    <d v="1935-01-01T00:00:00"/>
    <n v="91"/>
    <x v="1"/>
    <x v="5"/>
    <d v="2024-01-06T00:00:00"/>
    <d v="2024-06-12T00:00:00"/>
    <n v="13"/>
    <x v="0"/>
    <n v="6"/>
    <n v="8"/>
    <n v="15568.47"/>
    <n v="5381.87"/>
    <n v="10243.31"/>
  </r>
  <r>
    <s v="4934"/>
    <s v="Jorge Pérez"/>
    <d v="2020-12-31T00:00:00"/>
    <n v="5"/>
    <x v="0"/>
    <x v="2"/>
    <d v="2023-10-14T00:00:00"/>
    <d v="2024-07-20T00:00:00"/>
    <n v="3"/>
    <x v="0"/>
    <n v="12"/>
    <n v="1"/>
    <n v="18033.38"/>
    <n v="10521.52"/>
    <n v="982.9"/>
  </r>
  <r>
    <s v="4935"/>
    <s v="Juan Sánchez"/>
    <d v="1997-12-31T00:00:00"/>
    <n v="28"/>
    <x v="1"/>
    <x v="5"/>
    <d v="2023-06-25T00:00:00"/>
    <d v="2024-10-15T00:00:00"/>
    <n v="17"/>
    <x v="2"/>
    <n v="7"/>
    <n v="0"/>
    <n v="2550.1"/>
    <n v="14671.12"/>
    <n v="2831.76"/>
  </r>
  <r>
    <s v="4936"/>
    <s v="Sofía Gómez"/>
    <d v="1968-12-31T00:00:00"/>
    <n v="57"/>
    <x v="0"/>
    <x v="1"/>
    <d v="2023-05-03T00:00:00"/>
    <d v="2024-01-16T00:00:00"/>
    <n v="28"/>
    <x v="0"/>
    <n v="1"/>
    <n v="6"/>
    <n v="0"/>
    <n v="13991.41"/>
    <n v="17890.46"/>
  </r>
  <r>
    <s v="4937"/>
    <s v="Sofía Martínez"/>
    <d v="2009-12-31T00:00:00"/>
    <n v="16"/>
    <x v="1"/>
    <x v="6"/>
    <d v="2023-08-19T00:00:00"/>
    <d v="2025-04-28T00:00:00"/>
    <n v="16"/>
    <x v="2"/>
    <n v="12"/>
    <n v="3"/>
    <n v="3474.61"/>
    <n v="10327.31"/>
    <n v="3510.48"/>
  </r>
  <r>
    <s v="4938"/>
    <s v="Elena Sánchez"/>
    <d v="2011-01-01T00:00:00"/>
    <n v="15"/>
    <x v="0"/>
    <x v="1"/>
    <d v="2024-07-08T00:00:00"/>
    <d v="2023-03-21T00:00:00"/>
    <n v="19"/>
    <x v="2"/>
    <n v="2"/>
    <n v="9"/>
    <n v="1141.93"/>
    <n v="6548.19"/>
    <n v="18425.3"/>
  </r>
  <r>
    <s v="4939"/>
    <s v="Luisa Ramírez"/>
    <d v="1965-01-01T00:00:00"/>
    <n v="86"/>
    <x v="1"/>
    <x v="3"/>
    <d v="2023-01-04T00:00:00"/>
    <d v="2024-02-20T00:00:00"/>
    <n v="18"/>
    <x v="1"/>
    <n v="1"/>
    <n v="7"/>
    <n v="20523.5"/>
    <n v="8937.0300000000007"/>
    <n v="1831.01"/>
  </r>
  <r>
    <s v="4940"/>
    <s v="Ana Gómez"/>
    <d v="1932-01-01T00:00:00"/>
    <n v="94"/>
    <x v="0"/>
    <x v="5"/>
    <d v="2024-12-02T00:00:00"/>
    <d v="2024-03-29T00:00:00"/>
    <n v="15"/>
    <x v="1"/>
    <n v="13"/>
    <n v="2"/>
    <n v="7881.82"/>
    <n v="14529.86"/>
    <n v="17753.12"/>
  </r>
  <r>
    <s v="4941"/>
    <s v="Luis Rodríguez"/>
    <d v="2024-01-01T00:00:00"/>
    <n v="77"/>
    <x v="1"/>
    <x v="6"/>
    <d v="2024-02-16T00:00:00"/>
    <d v="2023-05-30T00:00:00"/>
    <n v="29"/>
    <x v="0"/>
    <n v="10"/>
    <n v="6"/>
    <n v="0"/>
    <n v="3982.52"/>
    <n v="9019.6"/>
  </r>
  <r>
    <s v="4942"/>
    <s v="Laura Cruz"/>
    <d v="2005-12-31T00:00:00"/>
    <n v="20"/>
    <x v="0"/>
    <x v="3"/>
    <d v="2023-09-07T00:00:00"/>
    <d v="2024-10-01T00:00:00"/>
    <n v="31"/>
    <x v="2"/>
    <n v="12"/>
    <n v="6"/>
    <n v="17967.71"/>
    <n v="7174.21"/>
    <n v="11422.63"/>
  </r>
  <r>
    <s v="4943"/>
    <s v="José Pérez"/>
    <d v="1963-01-01T00:00:00"/>
    <n v="63"/>
    <x v="0"/>
    <x v="5"/>
    <d v="2024-10-17T00:00:00"/>
    <d v="2024-11-01T00:00:00"/>
    <n v="24"/>
    <x v="0"/>
    <n v="1"/>
    <n v="9"/>
    <n v="19177.439999999999"/>
    <n v="10393.530000000001"/>
    <n v="5560.61"/>
  </r>
  <r>
    <s v="4944"/>
    <s v="Carlos López"/>
    <d v="1936-12-31T00:00:00"/>
    <n v="89"/>
    <x v="1"/>
    <x v="5"/>
    <d v="2024-05-01T00:00:00"/>
    <d v="2025-03-02T00:00:00"/>
    <n v="35"/>
    <x v="0"/>
    <n v="8"/>
    <n v="8"/>
    <n v="5503.1"/>
    <n v="154.47999999999999"/>
    <n v="5394.13"/>
  </r>
  <r>
    <s v="4945"/>
    <s v="Sofía Hernández"/>
    <d v="1991-01-01T00:00:00"/>
    <n v="35"/>
    <x v="0"/>
    <x v="1"/>
    <d v="2023-12-11T00:00:00"/>
    <d v="2023-02-08T00:00:00"/>
    <n v="27"/>
    <x v="0"/>
    <n v="3"/>
    <n v="3"/>
    <n v="3430.93"/>
    <n v="5718.92"/>
    <n v="9791.8799999999992"/>
  </r>
  <r>
    <s v="4946"/>
    <s v="Ana Pérez"/>
    <d v="1940-12-31T00:00:00"/>
    <n v="85"/>
    <x v="0"/>
    <x v="4"/>
    <d v="2023-11-29T00:00:00"/>
    <d v="2023-06-07T00:00:00"/>
    <n v="30"/>
    <x v="0"/>
    <n v="13"/>
    <n v="9"/>
    <n v="15524.96"/>
    <n v="8518.68"/>
    <n v="7051.73"/>
  </r>
  <r>
    <s v="4947"/>
    <s v="Pedro Gómez"/>
    <d v="1964-12-31T00:00:00"/>
    <n v="61"/>
    <x v="1"/>
    <x v="5"/>
    <d v="2024-03-28T00:00:00"/>
    <d v="2023-11-30T00:00:00"/>
    <n v="24"/>
    <x v="1"/>
    <n v="11"/>
    <n v="0"/>
    <n v="27729.61"/>
    <n v="13513.77"/>
    <n v="1461.7"/>
  </r>
  <r>
    <s v="4948"/>
    <s v="Carmen Sánchez"/>
    <d v="1978-01-01T00:00:00"/>
    <n v="41"/>
    <x v="0"/>
    <x v="5"/>
    <d v="2023-06-07T00:00:00"/>
    <d v="2023-10-16T00:00:00"/>
    <n v="20"/>
    <x v="1"/>
    <n v="6"/>
    <n v="6"/>
    <n v="1200.23"/>
    <n v="14879.96"/>
    <n v="7009.03"/>
  </r>
  <r>
    <s v="4949"/>
    <s v="José Sánchez"/>
    <d v="1951-01-01T00:00:00"/>
    <n v="75"/>
    <x v="0"/>
    <x v="0"/>
    <d v="2024-07-30T00:00:00"/>
    <d v="2023-04-23T00:00:00"/>
    <n v="16"/>
    <x v="0"/>
    <n v="14"/>
    <n v="9"/>
    <n v="14999.24"/>
    <n v="8344.8700000000008"/>
    <n v="5019.59"/>
  </r>
  <r>
    <s v="4950"/>
    <s v="José Martínez"/>
    <d v="1984-12-31T00:00:00"/>
    <n v="41"/>
    <x v="0"/>
    <x v="4"/>
    <d v="2023-09-27T00:00:00"/>
    <d v="2024-12-03T00:00:00"/>
    <n v="28"/>
    <x v="0"/>
    <n v="12"/>
    <n v="5"/>
    <n v="5560.68"/>
    <n v="14168.7"/>
    <n v="16977.75"/>
  </r>
  <r>
    <s v="4951"/>
    <s v="Luis Morales"/>
    <d v="1965-12-31T00:00:00"/>
    <n v="60"/>
    <x v="1"/>
    <x v="5"/>
    <d v="2024-08-09T00:00:00"/>
    <d v="2024-09-10T00:00:00"/>
    <n v="1"/>
    <x v="0"/>
    <n v="1"/>
    <n v="0"/>
    <n v="23350.51"/>
    <n v="1488.98"/>
    <n v="16754.419999999998"/>
  </r>
  <r>
    <s v="4952"/>
    <s v="Miguel Sánchez"/>
    <d v="2013-12-31T00:00:00"/>
    <n v="12"/>
    <x v="1"/>
    <x v="1"/>
    <d v="2024-02-22T00:00:00"/>
    <d v="2023-04-02T00:00:00"/>
    <n v="16"/>
    <x v="0"/>
    <n v="1"/>
    <n v="8"/>
    <n v="20299.439999999999"/>
    <n v="10519.06"/>
    <n v="2743.74"/>
  </r>
  <r>
    <s v="4953"/>
    <s v="Luisa Sánchez"/>
    <d v="2016-01-01T00:00:00"/>
    <n v="10"/>
    <x v="0"/>
    <x v="0"/>
    <d v="2024-03-15T00:00:00"/>
    <d v="2025-05-16T00:00:00"/>
    <n v="35"/>
    <x v="0"/>
    <n v="1"/>
    <n v="9"/>
    <n v="2464.8000000000002"/>
    <n v="6008.32"/>
    <n v="14574.39"/>
  </r>
  <r>
    <s v="4954"/>
    <s v="Jorge Sánchez"/>
    <d v="1972-12-31T00:00:00"/>
    <n v="53"/>
    <x v="1"/>
    <x v="0"/>
    <d v="2023-01-29T00:00:00"/>
    <d v="2025-03-24T00:00:00"/>
    <n v="37"/>
    <x v="2"/>
    <n v="14"/>
    <n v="7"/>
    <n v="18298.28"/>
    <n v="11264.6"/>
    <n v="8961.86"/>
  </r>
  <r>
    <s v="4955"/>
    <s v="Luisa Gómez"/>
    <d v="2002-01-01T00:00:00"/>
    <n v="15"/>
    <x v="0"/>
    <x v="6"/>
    <d v="2023-12-01T00:00:00"/>
    <d v="2023-02-19T00:00:00"/>
    <n v="19"/>
    <x v="0"/>
    <n v="7"/>
    <n v="9"/>
    <n v="29499.8"/>
    <n v="13015.85"/>
    <n v="17356.98"/>
  </r>
  <r>
    <s v="4956"/>
    <s v="Carmen Cruz"/>
    <d v="2019-01-01T00:00:00"/>
    <n v="7"/>
    <x v="1"/>
    <x v="3"/>
    <d v="2023-08-26T00:00:00"/>
    <d v="2023-06-11T00:00:00"/>
    <n v="6"/>
    <x v="1"/>
    <n v="7"/>
    <n v="3"/>
    <n v="15608.24"/>
    <n v="805.86"/>
    <n v="5407.18"/>
  </r>
  <r>
    <s v="4957"/>
    <s v="Elena Ramírez"/>
    <d v="2019-01-01T00:00:00"/>
    <n v="58"/>
    <x v="1"/>
    <x v="0"/>
    <d v="2023-06-02T00:00:00"/>
    <d v="2024-05-31T00:00:00"/>
    <n v="28"/>
    <x v="0"/>
    <n v="1"/>
    <n v="4"/>
    <n v="8206.19"/>
    <n v="14032.1"/>
    <n v="1671.15"/>
  </r>
  <r>
    <s v="4958"/>
    <s v="Jorge Hernández"/>
    <d v="1969-12-31T00:00:00"/>
    <n v="56"/>
    <x v="0"/>
    <x v="2"/>
    <d v="2024-08-28T00:00:00"/>
    <d v="2024-02-07T00:00:00"/>
    <n v="7"/>
    <x v="1"/>
    <n v="2"/>
    <n v="7"/>
    <n v="4140.13"/>
    <n v="1022.34"/>
    <n v="15989.99"/>
  </r>
  <r>
    <s v="4959"/>
    <s v="Sofía Pérez"/>
    <d v="1987-01-01T00:00:00"/>
    <n v="39"/>
    <x v="0"/>
    <x v="0"/>
    <d v="2023-04-25T00:00:00"/>
    <d v="2024-12-11T00:00:00"/>
    <n v="7"/>
    <x v="1"/>
    <n v="10"/>
    <n v="1"/>
    <n v="29684.09"/>
    <n v="11300.98"/>
    <n v="17354"/>
  </r>
  <r>
    <s v="4960"/>
    <s v="Carmen Gómez"/>
    <d v="1968-01-01T00:00:00"/>
    <n v="58"/>
    <x v="0"/>
    <x v="2"/>
    <d v="2024-02-03T00:00:00"/>
    <d v="2023-11-17T00:00:00"/>
    <n v="27"/>
    <x v="0"/>
    <n v="6"/>
    <n v="5"/>
    <n v="16696.38"/>
    <n v="1036.05"/>
    <n v="16794.27"/>
  </r>
  <r>
    <s v="4961"/>
    <s v="Elena Pérez"/>
    <d v="2024-12-31T00:00:00"/>
    <n v="1"/>
    <x v="1"/>
    <x v="4"/>
    <d v="2023-02-01T00:00:00"/>
    <d v="2023-12-31T00:00:00"/>
    <n v="7"/>
    <x v="0"/>
    <n v="0"/>
    <n v="9"/>
    <n v="10928.3"/>
    <n v="12925.23"/>
    <n v="6518.92"/>
  </r>
  <r>
    <s v="4962"/>
    <s v="Miguel Rodríguez"/>
    <d v="1932-12-31T00:00:00"/>
    <n v="93"/>
    <x v="1"/>
    <x v="6"/>
    <d v="2024-06-15T00:00:00"/>
    <d v="2025-06-08T00:00:00"/>
    <n v="33"/>
    <x v="1"/>
    <n v="14"/>
    <n v="1"/>
    <n v="6036.61"/>
    <n v="3074.72"/>
    <n v="520.39"/>
  </r>
  <r>
    <s v="4963"/>
    <s v="Carmen Martínez"/>
    <d v="1969-01-01T00:00:00"/>
    <n v="93"/>
    <x v="1"/>
    <x v="2"/>
    <d v="2023-02-22T00:00:00"/>
    <d v="2024-03-18T00:00:00"/>
    <n v="15"/>
    <x v="2"/>
    <n v="2"/>
    <n v="7"/>
    <n v="28481.08"/>
    <n v="6511.05"/>
    <n v="2706.27"/>
  </r>
  <r>
    <s v="4964"/>
    <s v="Juan López"/>
    <d v="1951-01-01T00:00:00"/>
    <n v="75"/>
    <x v="0"/>
    <x v="6"/>
    <d v="2024-12-18T00:00:00"/>
    <d v="2024-04-20T00:00:00"/>
    <n v="16"/>
    <x v="0"/>
    <n v="14"/>
    <n v="4"/>
    <n v="18624.38"/>
    <n v="13989.31"/>
    <n v="18379.310000000001"/>
  </r>
  <r>
    <s v="4965"/>
    <s v="Ricardo Sánchez"/>
    <d v="2016-12-31T00:00:00"/>
    <n v="9"/>
    <x v="0"/>
    <x v="6"/>
    <d v="2023-07-14T00:00:00"/>
    <d v="2025-02-05T00:00:00"/>
    <n v="20"/>
    <x v="0"/>
    <n v="5"/>
    <n v="9"/>
    <n v="1258.8499999999999"/>
    <n v="11881.01"/>
    <n v="7217.79"/>
  </r>
  <r>
    <s v="4966"/>
    <s v="José Pérez"/>
    <d v="1983-01-01T00:00:00"/>
    <n v="43"/>
    <x v="0"/>
    <x v="6"/>
    <d v="2023-11-01T00:00:00"/>
    <d v="2024-08-25T00:00:00"/>
    <n v="1"/>
    <x v="1"/>
    <n v="5"/>
    <n v="2"/>
    <n v="0"/>
    <n v="11786.63"/>
    <n v="17592.189999999999"/>
  </r>
  <r>
    <s v="4967"/>
    <s v="Jorge Pérez"/>
    <d v="2016-01-01T00:00:00"/>
    <n v="10"/>
    <x v="1"/>
    <x v="2"/>
    <d v="2024-12-07T00:00:00"/>
    <d v="2023-11-09T00:00:00"/>
    <n v="9"/>
    <x v="0"/>
    <n v="3"/>
    <n v="1"/>
    <n v="28152.799999999999"/>
    <n v="11449.95"/>
    <n v="19614.34"/>
  </r>
  <r>
    <s v="4968"/>
    <s v="Carlos Morales"/>
    <d v="1948-01-01T00:00:00"/>
    <n v="78"/>
    <x v="0"/>
    <x v="2"/>
    <d v="2023-12-11T00:00:00"/>
    <d v="2024-06-16T00:00:00"/>
    <n v="21"/>
    <x v="0"/>
    <n v="5"/>
    <n v="3"/>
    <n v="21157.96"/>
    <n v="8541.5300000000007"/>
    <n v="7853.85"/>
  </r>
  <r>
    <s v="4969"/>
    <s v="Laura Sánchez"/>
    <d v="1947-01-01T00:00:00"/>
    <n v="79"/>
    <x v="1"/>
    <x v="6"/>
    <d v="2023-03-23T00:00:00"/>
    <d v="2024-08-12T00:00:00"/>
    <n v="10"/>
    <x v="0"/>
    <n v="4"/>
    <n v="7"/>
    <n v="2654.62"/>
    <n v="14271.45"/>
    <n v="15506.57"/>
  </r>
  <r>
    <s v="4970"/>
    <s v="Carmen Sánchez"/>
    <d v="1945-12-31T00:00:00"/>
    <n v="80"/>
    <x v="0"/>
    <x v="4"/>
    <d v="2023-01-01T00:00:00"/>
    <d v="2023-08-09T00:00:00"/>
    <n v="1"/>
    <x v="0"/>
    <n v="0"/>
    <n v="0"/>
    <n v="18524.64"/>
    <n v="12474.54"/>
    <n v="3299.2"/>
  </r>
  <r>
    <s v="4971"/>
    <s v="Elena Rodríguez"/>
    <d v="1936-12-31T00:00:00"/>
    <n v="89"/>
    <x v="1"/>
    <x v="6"/>
    <d v="2023-06-16T00:00:00"/>
    <d v="2024-11-05T00:00:00"/>
    <n v="24"/>
    <x v="0"/>
    <n v="7"/>
    <n v="9"/>
    <n v="12292.66"/>
    <n v="6604.32"/>
    <n v="7613.35"/>
  </r>
  <r>
    <s v="4972"/>
    <s v="Luisa Rodríguez"/>
    <d v="2024-12-31T00:00:00"/>
    <n v="1"/>
    <x v="0"/>
    <x v="4"/>
    <d v="2023-11-13T00:00:00"/>
    <d v="2024-05-12T00:00:00"/>
    <n v="35"/>
    <x v="0"/>
    <n v="3"/>
    <n v="2"/>
    <n v="23555.43"/>
    <n v="11138.34"/>
    <n v="14074.17"/>
  </r>
  <r>
    <s v="4973"/>
    <s v="Ana Cruz"/>
    <d v="1976-12-31T00:00:00"/>
    <n v="49"/>
    <x v="1"/>
    <x v="3"/>
    <d v="2023-07-02T00:00:00"/>
    <d v="2023-12-10T00:00:00"/>
    <n v="36"/>
    <x v="2"/>
    <n v="0"/>
    <n v="0"/>
    <n v="7848.24"/>
    <n v="14971.61"/>
    <n v="4062.92"/>
  </r>
  <r>
    <s v="4974"/>
    <s v="Elena López"/>
    <d v="2015-01-01T00:00:00"/>
    <n v="11"/>
    <x v="1"/>
    <x v="4"/>
    <d v="2023-09-30T00:00:00"/>
    <d v="2024-09-19T00:00:00"/>
    <n v="5"/>
    <x v="0"/>
    <n v="4"/>
    <n v="1"/>
    <n v="11176.83"/>
    <n v="13065.01"/>
    <n v="6327.9"/>
  </r>
  <r>
    <s v="4975"/>
    <s v="Carlos Martínez"/>
    <d v="1936-12-31T00:00:00"/>
    <n v="89"/>
    <x v="1"/>
    <x v="4"/>
    <d v="2024-10-30T00:00:00"/>
    <d v="2023-04-05T00:00:00"/>
    <n v="23"/>
    <x v="0"/>
    <n v="8"/>
    <n v="9"/>
    <n v="4605.4399999999996"/>
    <n v="18.34"/>
    <n v="11232.93"/>
  </r>
  <r>
    <s v="4976"/>
    <s v="Luisa Martínez"/>
    <d v="2004-01-01T00:00:00"/>
    <n v="43"/>
    <x v="1"/>
    <x v="4"/>
    <d v="2024-01-08T00:00:00"/>
    <d v="2023-05-14T00:00:00"/>
    <n v="31"/>
    <x v="0"/>
    <n v="3"/>
    <n v="6"/>
    <n v="7200.95"/>
    <n v="11068.29"/>
    <n v="13793.35"/>
  </r>
  <r>
    <s v="4977"/>
    <s v="Ana Sánchez"/>
    <d v="2008-12-31T00:00:00"/>
    <n v="17"/>
    <x v="1"/>
    <x v="6"/>
    <d v="2023-12-28T00:00:00"/>
    <d v="2024-05-16T00:00:00"/>
    <n v="6"/>
    <x v="0"/>
    <n v="0"/>
    <n v="0"/>
    <n v="5269.16"/>
    <n v="13468.22"/>
    <n v="7073.27"/>
  </r>
  <r>
    <s v="4978"/>
    <s v="Ana Gómez"/>
    <d v="1964-12-31T00:00:00"/>
    <n v="61"/>
    <x v="1"/>
    <x v="5"/>
    <d v="2023-07-20T00:00:00"/>
    <d v="2023-06-22T00:00:00"/>
    <n v="7"/>
    <x v="1"/>
    <n v="11"/>
    <n v="8"/>
    <n v="241.15"/>
    <n v="4916.29"/>
    <n v="7473.76"/>
  </r>
  <r>
    <s v="4979"/>
    <s v="Miguel Hernández"/>
    <d v="1964-12-31T00:00:00"/>
    <n v="61"/>
    <x v="1"/>
    <x v="3"/>
    <d v="2023-07-11T00:00:00"/>
    <d v="2024-09-18T00:00:00"/>
    <n v="2"/>
    <x v="2"/>
    <n v="8"/>
    <n v="7"/>
    <n v="908.07"/>
    <n v="14662.38"/>
    <n v="2108.35"/>
  </r>
  <r>
    <s v="4980"/>
    <s v="María Rodríguez"/>
    <d v="1932-01-01T00:00:00"/>
    <n v="37"/>
    <x v="0"/>
    <x v="3"/>
    <d v="2023-12-07T00:00:00"/>
    <d v="2023-01-10T00:00:00"/>
    <n v="5"/>
    <x v="0"/>
    <n v="8"/>
    <n v="0"/>
    <n v="24986.54"/>
    <n v="6019.49"/>
    <n v="19679.650000000001"/>
  </r>
  <r>
    <s v="4981"/>
    <s v="Juan Martínez"/>
    <d v="1960-01-01T00:00:00"/>
    <n v="66"/>
    <x v="1"/>
    <x v="3"/>
    <d v="2023-10-26T00:00:00"/>
    <d v="2025-03-22T00:00:00"/>
    <n v="7"/>
    <x v="0"/>
    <n v="5"/>
    <n v="9"/>
    <n v="24016.02"/>
    <n v="6317.65"/>
    <n v="12205.95"/>
  </r>
  <r>
    <s v="4982"/>
    <s v="Sofía Gómez"/>
    <d v="1988-12-31T00:00:00"/>
    <n v="37"/>
    <x v="0"/>
    <x v="5"/>
    <d v="2024-05-20T00:00:00"/>
    <d v="2025-02-11T00:00:00"/>
    <n v="22"/>
    <x v="2"/>
    <n v="8"/>
    <n v="0"/>
    <n v="3792.03"/>
    <n v="2413.08"/>
    <n v="10559.58"/>
  </r>
  <r>
    <s v="4983"/>
    <s v="Jorge Ramírez"/>
    <d v="1960-01-01T00:00:00"/>
    <n v="66"/>
    <x v="1"/>
    <x v="3"/>
    <d v="2024-08-10T00:00:00"/>
    <d v="2024-11-13T00:00:00"/>
    <n v="28"/>
    <x v="0"/>
    <n v="11"/>
    <n v="1"/>
    <n v="19870.810000000001"/>
    <n v="1448.92"/>
    <n v="4148.2"/>
  </r>
  <r>
    <s v="4984"/>
    <s v="Luis Gómez"/>
    <d v="1932-12-31T00:00:00"/>
    <n v="93"/>
    <x v="0"/>
    <x v="3"/>
    <d v="2023-05-20T00:00:00"/>
    <d v="2023-11-18T00:00:00"/>
    <n v="36"/>
    <x v="1"/>
    <n v="0"/>
    <n v="1"/>
    <n v="22242.15"/>
    <n v="8048.94"/>
    <n v="9709.41"/>
  </r>
  <r>
    <s v="4985"/>
    <s v="Pedro Hernández"/>
    <d v="1965-12-31T00:00:00"/>
    <n v="60"/>
    <x v="0"/>
    <x v="2"/>
    <d v="2023-11-02T00:00:00"/>
    <d v="2023-04-09T00:00:00"/>
    <n v="0"/>
    <x v="2"/>
    <n v="14"/>
    <n v="5"/>
    <n v="1063.8699999999999"/>
    <n v="9041.6299999999992"/>
    <n v="8890.9500000000007"/>
  </r>
  <r>
    <s v="4986"/>
    <s v="Ana López"/>
    <d v="2025-12-31T00:00:00"/>
    <n v="0"/>
    <x v="1"/>
    <x v="1"/>
    <d v="2023-07-15T00:00:00"/>
    <d v="2023-06-19T00:00:00"/>
    <n v="36"/>
    <x v="1"/>
    <n v="5"/>
    <n v="0"/>
    <n v="0"/>
    <n v="5503.45"/>
    <n v="5097.04"/>
  </r>
  <r>
    <s v="4987"/>
    <s v="María Rodríguez"/>
    <d v="1932-12-31T00:00:00"/>
    <n v="93"/>
    <x v="0"/>
    <x v="2"/>
    <d v="2023-03-02T00:00:00"/>
    <d v="2023-11-08T00:00:00"/>
    <n v="35"/>
    <x v="0"/>
    <n v="12"/>
    <n v="3"/>
    <n v="16672.04"/>
    <n v="9099.14"/>
    <n v="8870.1200000000008"/>
  </r>
  <r>
    <s v="4988"/>
    <s v="Laura Ramírez"/>
    <d v="1981-12-31T00:00:00"/>
    <n v="44"/>
    <x v="1"/>
    <x v="6"/>
    <d v="2023-12-26T00:00:00"/>
    <d v="2024-12-31T00:00:00"/>
    <n v="32"/>
    <x v="1"/>
    <n v="4"/>
    <n v="6"/>
    <n v="10911.59"/>
    <n v="5920.06"/>
    <n v="3990.96"/>
  </r>
  <r>
    <s v="4989"/>
    <s v="Carlos Martínez"/>
    <d v="1999-01-01T00:00:00"/>
    <n v="27"/>
    <x v="0"/>
    <x v="6"/>
    <d v="2023-11-03T00:00:00"/>
    <d v="2023-12-10T00:00:00"/>
    <n v="5"/>
    <x v="0"/>
    <n v="10"/>
    <n v="8"/>
    <n v="20831.43"/>
    <n v="13022.77"/>
    <n v="14175.53"/>
  </r>
  <r>
    <s v="4990"/>
    <s v="Miguel Hernández"/>
    <d v="2005-12-31T00:00:00"/>
    <n v="20"/>
    <x v="0"/>
    <x v="4"/>
    <d v="2024-04-24T00:00:00"/>
    <d v="2024-03-06T00:00:00"/>
    <n v="2"/>
    <x v="0"/>
    <n v="10"/>
    <n v="9"/>
    <n v="16509.490000000002"/>
    <n v="14307.35"/>
    <n v="18166.580000000002"/>
  </r>
  <r>
    <s v="4991"/>
    <s v="José López"/>
    <d v="2013-12-31T00:00:00"/>
    <n v="12"/>
    <x v="1"/>
    <x v="0"/>
    <d v="2023-11-29T00:00:00"/>
    <d v="2025-05-08T00:00:00"/>
    <n v="2"/>
    <x v="0"/>
    <n v="2"/>
    <n v="2"/>
    <n v="446.16"/>
    <n v="8903.11"/>
    <n v="47.96"/>
  </r>
  <r>
    <s v="4992"/>
    <s v="José Rodríguez"/>
    <d v="2000-01-01T00:00:00"/>
    <n v="26"/>
    <x v="1"/>
    <x v="1"/>
    <d v="2023-03-24T00:00:00"/>
    <d v="2024-07-10T00:00:00"/>
    <n v="24"/>
    <x v="2"/>
    <n v="2"/>
    <n v="3"/>
    <n v="20352.2"/>
    <n v="12634.12"/>
    <n v="11080.75"/>
  </r>
  <r>
    <s v="4993"/>
    <s v="Luisa Ramírez"/>
    <d v="2020-01-01T00:00:00"/>
    <n v="6"/>
    <x v="1"/>
    <x v="5"/>
    <d v="2023-11-30T00:00:00"/>
    <d v="2024-05-15T00:00:00"/>
    <n v="23"/>
    <x v="2"/>
    <n v="14"/>
    <n v="4"/>
    <n v="5719.5"/>
    <n v="12806.12"/>
    <n v="14619.62"/>
  </r>
  <r>
    <s v="4994"/>
    <s v="Ana Gómez"/>
    <d v="2004-12-31T00:00:00"/>
    <n v="21"/>
    <x v="1"/>
    <x v="2"/>
    <d v="2024-05-31T00:00:00"/>
    <d v="2025-02-12T00:00:00"/>
    <n v="23"/>
    <x v="0"/>
    <n v="10"/>
    <n v="4"/>
    <n v="9034.2999999999993"/>
    <n v="10706.44"/>
    <n v="18134.64"/>
  </r>
  <r>
    <s v="4995"/>
    <s v="Carmen Ramírez"/>
    <d v="1952-12-31T00:00:00"/>
    <n v="73"/>
    <x v="0"/>
    <x v="6"/>
    <d v="2024-04-18T00:00:00"/>
    <d v="2023-10-13T00:00:00"/>
    <n v="8"/>
    <x v="0"/>
    <n v="4"/>
    <n v="1"/>
    <n v="21959.87"/>
    <n v="2880.03"/>
    <n v="7104.26"/>
  </r>
  <r>
    <s v="4996"/>
    <s v="Carlos Pérez"/>
    <d v="1973-12-31T00:00:00"/>
    <n v="52"/>
    <x v="1"/>
    <x v="5"/>
    <d v="2024-01-29T00:00:00"/>
    <d v="2024-09-30T00:00:00"/>
    <n v="31"/>
    <x v="0"/>
    <n v="7"/>
    <n v="4"/>
    <n v="23023.23"/>
    <n v="2324.0700000000002"/>
    <n v="18133.75"/>
  </r>
  <r>
    <s v="4997"/>
    <s v="María Morales"/>
    <d v="1948-01-01T00:00:00"/>
    <n v="78"/>
    <x v="1"/>
    <x v="3"/>
    <d v="2024-08-22T00:00:00"/>
    <d v="2023-09-18T00:00:00"/>
    <n v="38"/>
    <x v="0"/>
    <n v="8"/>
    <n v="9"/>
    <n v="10047.34"/>
    <n v="13792.26"/>
    <n v="16493.61"/>
  </r>
  <r>
    <s v="4998"/>
    <s v="Sofía Sánchez"/>
    <d v="1948-01-01T00:00:00"/>
    <n v="78"/>
    <x v="1"/>
    <x v="5"/>
    <d v="2024-12-21T00:00:00"/>
    <d v="2024-05-10T00:00:00"/>
    <n v="1"/>
    <x v="0"/>
    <n v="4"/>
    <n v="0"/>
    <n v="2221.4299999999998"/>
    <n v="3975.92"/>
    <n v="10456.81"/>
  </r>
  <r>
    <s v="4999"/>
    <s v="Laura Hernández"/>
    <d v="2023-01-01T00:00:00"/>
    <n v="3"/>
    <x v="1"/>
    <x v="2"/>
    <d v="2024-11-22T00:00:00"/>
    <d v="2023-12-22T00:00:00"/>
    <n v="18"/>
    <x v="1"/>
    <n v="4"/>
    <n v="6"/>
    <n v="22975.02"/>
    <n v="3694.96"/>
    <n v="5064.55"/>
  </r>
  <r>
    <s v="5000"/>
    <s v="Ricardo Hernández"/>
    <d v="2004-01-01T00:00:00"/>
    <n v="22"/>
    <x v="1"/>
    <x v="1"/>
    <d v="2024-12-20T00:00:00"/>
    <d v="2023-08-03T00:00:00"/>
    <n v="23"/>
    <x v="0"/>
    <n v="9"/>
    <n v="4"/>
    <n v="26041.41"/>
    <n v="2491.9299999999998"/>
    <n v="13021.6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7660608-EFC1-4CF5-8300-2F1A9F4AD7FB}" name="PivotTable1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2">
  <location ref="E16:F24" firstHeaderRow="1" firstDataRow="1" firstDataCol="1"/>
  <pivotFields count="15">
    <pivotField dataField="1" compact="0" outline="0" showAll="0"/>
    <pivotField compact="0" outline="0" showAll="0"/>
    <pivotField compact="0" numFmtId="14" outline="0" showAll="0"/>
    <pivotField compact="0" outline="0" showAll="0"/>
    <pivotField compact="0" outline="0" showAll="0"/>
    <pivotField axis="axisRow" compact="0" outline="0" showAll="0">
      <items count="8">
        <item x="2"/>
        <item x="0"/>
        <item x="3"/>
        <item x="5"/>
        <item x="6"/>
        <item x="1"/>
        <item x="4"/>
        <item t="default"/>
      </items>
    </pivotField>
    <pivotField compact="0" numFmtId="14" outline="0" showAll="0"/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66" outline="0" showAll="0"/>
    <pivotField compact="0" numFmtId="166" outline="0" showAll="0"/>
    <pivotField compact="0" numFmtId="166" outline="0" showAll="0"/>
  </pivotFields>
  <rowFields count="1">
    <field x="5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Total de Pacientes" fld="0" subtotal="count" baseField="0" baseItem="0"/>
  </dataFields>
  <chartFormats count="1">
    <chartFormat chart="1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99010EF-FF18-4570-826A-2F0EB807EAAE}" name="PivotTable5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7">
  <location ref="D4:E8" firstHeaderRow="1" firstDataRow="1" firstDataCol="1"/>
  <pivotFields count="15">
    <pivotField dataField="1" compact="0" outline="0" showAll="0"/>
    <pivotField compact="0" outline="0" showAll="0"/>
    <pivotField compact="0" numFmtId="14" outline="0" showAll="0"/>
    <pivotField compact="0" outline="0" showAll="0"/>
    <pivotField compact="0" outline="0" showAll="0"/>
    <pivotField compact="0" outline="0" showAll="0">
      <items count="8">
        <item x="2"/>
        <item x="0"/>
        <item x="3"/>
        <item x="5"/>
        <item x="6"/>
        <item x="1"/>
        <item x="4"/>
        <item t="default"/>
      </items>
    </pivotField>
    <pivotField compact="0" numFmtId="14" outline="0" showAll="0"/>
    <pivotField compact="0" numFmtId="14" outline="0" showAll="0"/>
    <pivotField compact="0" outline="0" showAll="0"/>
    <pivotField axis="axisRow" compact="0" outline="0" showAll="0">
      <items count="4">
        <item x="0"/>
        <item x="2"/>
        <item x="1"/>
        <item t="default"/>
      </items>
    </pivotField>
    <pivotField compact="0" outline="0" showAll="0"/>
    <pivotField compact="0" outline="0" showAll="0"/>
    <pivotField compact="0" numFmtId="166" outline="0" showAll="0"/>
    <pivotField compact="0" numFmtId="166" outline="0" showAll="0"/>
    <pivotField compact="0" numFmtId="166" outline="0" showAll="0"/>
  </pivotFields>
  <rowFields count="1">
    <field x="9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Total de Pacientes" fld="0" subtotal="count" baseField="5" baseItem="0"/>
  </dataFields>
  <chartFormats count="1">
    <chartFormat chart="6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30E364C-229B-4228-8B39-2101F5716EAB}" name="PivotTable4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24">
  <location ref="A16:B24" firstHeaderRow="1" firstDataRow="1" firstDataCol="1"/>
  <pivotFields count="15">
    <pivotField compact="0" outline="0" showAll="0"/>
    <pivotField compact="0" outline="0" showAll="0"/>
    <pivotField compact="0" numFmtId="14" outline="0" showAll="0"/>
    <pivotField compact="0" outline="0" showAll="0"/>
    <pivotField compact="0" outline="0" showAll="0">
      <items count="4">
        <item x="0"/>
        <item x="1"/>
        <item x="2"/>
        <item t="default"/>
      </items>
    </pivotField>
    <pivotField axis="axisRow" compact="0" outline="0" showAll="0">
      <items count="8">
        <item x="2"/>
        <item x="0"/>
        <item x="3"/>
        <item x="5"/>
        <item x="6"/>
        <item x="1"/>
        <item x="4"/>
        <item t="default"/>
      </items>
    </pivotField>
    <pivotField compact="0" numFmtId="14" outline="0" showAll="0"/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numFmtId="166" outline="0" showAll="0"/>
    <pivotField compact="0" numFmtId="166" outline="0" showAll="0"/>
    <pivotField compact="0" numFmtId="166" outline="0" showAll="0"/>
  </pivotFields>
  <rowFields count="1">
    <field x="5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Costo promedio" fld="12" subtotal="average" baseField="5" baseItem="0" numFmtId="166"/>
  </dataFields>
  <chartFormats count="1">
    <chartFormat chart="19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5F5A7B6-C5A0-4DA1-B4FE-275CC431DB7C}" name="PivotTable3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4:B8" firstHeaderRow="1" firstDataRow="1" firstDataCol="1"/>
  <pivotFields count="15">
    <pivotField dataField="1" compact="0" outline="0" showAll="0"/>
    <pivotField compact="0" outline="0" showAll="0"/>
    <pivotField compact="0" numFmtId="14" outline="0" showAll="0"/>
    <pivotField compact="0" outline="0" showAll="0"/>
    <pivotField axis="axisRow" compact="0" outline="0" showAll="0">
      <items count="4">
        <item x="0"/>
        <item x="1"/>
        <item x="2"/>
        <item t="default"/>
      </items>
    </pivotField>
    <pivotField compact="0" outline="0" showAll="0">
      <items count="8">
        <item x="2"/>
        <item x="0"/>
        <item x="3"/>
        <item x="5"/>
        <item x="6"/>
        <item x="1"/>
        <item x="4"/>
        <item t="default"/>
      </items>
    </pivotField>
    <pivotField compact="0" numFmtId="14" outline="0" showAll="0"/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66" outline="0" showAll="0"/>
    <pivotField compact="0" numFmtId="166" outline="0" showAll="0"/>
    <pivotField compact="0" numFmtId="166" outline="0" showAll="0"/>
  </pivotFields>
  <rowFields count="1">
    <field x="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Total de Pacientes" fld="0" subtotal="count" baseField="5" baseItem="0"/>
  </dataFields>
  <chartFormats count="4">
    <chartFormat chart="4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6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4" format="7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4" format="8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atosPacientes" displayName="DatosPacientes" ref="A1:O5001">
  <autoFilter ref="A1:O5001" xr:uid="{00000000-000C-0000-FFFF-FFFF00000000}"/>
  <tableColumns count="15">
    <tableColumn id="1" xr3:uid="{00000000-0010-0000-0000-000001000000}" name="PacienteID"/>
    <tableColumn id="2" xr3:uid="{00000000-0010-0000-0000-000002000000}" name="NombreCompleto"/>
    <tableColumn id="3" xr3:uid="{00000000-0010-0000-0000-000003000000}" name="FechaNacimiento" dataDxfId="5"/>
    <tableColumn id="4" xr3:uid="{00000000-0010-0000-0000-000004000000}" name="Edad"/>
    <tableColumn id="5" xr3:uid="{00000000-0010-0000-0000-000005000000}" name="Genero"/>
    <tableColumn id="6" xr3:uid="{00000000-0010-0000-0000-000006000000}" name="Diagnostico"/>
    <tableColumn id="7" xr3:uid="{00000000-0010-0000-0000-000007000000}" name="FechaIngreso" dataDxfId="4"/>
    <tableColumn id="8" xr3:uid="{00000000-0010-0000-0000-000008000000}" name="FechaAlta" dataDxfId="3"/>
    <tableColumn id="9" xr3:uid="{00000000-0010-0000-0000-000009000000}" name="DiasHospitalizado"/>
    <tableColumn id="10" xr3:uid="{00000000-0010-0000-0000-00000A000000}" name="SeguroMedico"/>
    <tableColumn id="11" xr3:uid="{00000000-0010-0000-0000-00000B000000}" name="IngresosPreviosHospital"/>
    <tableColumn id="12" xr3:uid="{00000000-0010-0000-0000-00000C000000}" name="NumeroProcedimientos"/>
    <tableColumn id="13" xr3:uid="{00000000-0010-0000-0000-00000D000000}" name="CostoTratamiento_USD" dataDxfId="2" dataCellStyle="Currency"/>
    <tableColumn id="14" xr3:uid="{00000000-0010-0000-0000-00000E000000}" name="CostoMedicamentos_USD" dataDxfId="1"/>
    <tableColumn id="15" xr3:uid="{00000000-0010-0000-0000-00000F000000}" name="CostoEstimado_USD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001"/>
  <sheetViews>
    <sheetView zoomScale="70" zoomScaleNormal="70" workbookViewId="0">
      <selection activeCell="C5" sqref="C5"/>
    </sheetView>
  </sheetViews>
  <sheetFormatPr defaultRowHeight="13.8"/>
  <cols>
    <col min="1" max="1" width="3.69921875" customWidth="1"/>
    <col min="2" max="2" width="24" customWidth="1"/>
    <col min="3" max="3" width="15.296875" customWidth="1"/>
    <col min="4" max="4" width="5.3984375" customWidth="1"/>
    <col min="5" max="5" width="5.8984375" customWidth="1"/>
    <col min="6" max="6" width="18" customWidth="1"/>
    <col min="7" max="7" width="10.59765625" customWidth="1"/>
    <col min="8" max="8" width="9.8984375" bestFit="1" customWidth="1"/>
    <col min="9" max="9" width="14.5" customWidth="1"/>
    <col min="10" max="10" width="11.69921875" customWidth="1"/>
    <col min="11" max="11" width="19.5" customWidth="1"/>
    <col min="12" max="12" width="19.3984375" customWidth="1"/>
    <col min="13" max="13" width="19" customWidth="1"/>
    <col min="14" max="14" width="21.09765625" customWidth="1"/>
    <col min="15" max="15" width="16.5" customWidth="1"/>
  </cols>
  <sheetData>
    <row r="1" spans="1:15" ht="55.2">
      <c r="A1" s="1" t="s">
        <v>0</v>
      </c>
      <c r="B1" s="1" t="s">
        <v>1</v>
      </c>
      <c r="C1" s="2" t="s">
        <v>2</v>
      </c>
      <c r="D1" s="3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5" t="s">
        <v>12</v>
      </c>
      <c r="N1" s="5" t="s">
        <v>13</v>
      </c>
      <c r="O1" s="5" t="s">
        <v>14</v>
      </c>
    </row>
    <row r="2" spans="1:15">
      <c r="A2" t="s">
        <v>15</v>
      </c>
      <c r="B2" t="s">
        <v>16</v>
      </c>
      <c r="C2" s="9">
        <v>27395</v>
      </c>
      <c r="D2">
        <v>51</v>
      </c>
      <c r="E2" t="s">
        <v>17</v>
      </c>
      <c r="F2" t="s">
        <v>18</v>
      </c>
      <c r="G2" s="9">
        <v>45634</v>
      </c>
      <c r="H2" s="9">
        <v>45712</v>
      </c>
      <c r="I2">
        <v>5</v>
      </c>
      <c r="J2" t="s">
        <v>32</v>
      </c>
      <c r="K2">
        <v>0</v>
      </c>
      <c r="L2">
        <v>0</v>
      </c>
      <c r="M2" s="11">
        <v>0</v>
      </c>
      <c r="N2" s="12">
        <v>14464.68</v>
      </c>
      <c r="O2" s="12">
        <v>10501.83</v>
      </c>
    </row>
    <row r="3" spans="1:15">
      <c r="A3" t="s">
        <v>19</v>
      </c>
      <c r="B3" t="s">
        <v>20</v>
      </c>
      <c r="C3" s="9">
        <v>12419</v>
      </c>
      <c r="D3">
        <v>92</v>
      </c>
      <c r="E3" t="s">
        <v>21</v>
      </c>
      <c r="F3" t="s">
        <v>22</v>
      </c>
      <c r="G3" s="9">
        <v>45585</v>
      </c>
      <c r="H3" s="9">
        <v>45504</v>
      </c>
      <c r="I3">
        <v>18</v>
      </c>
      <c r="J3" t="s">
        <v>32</v>
      </c>
      <c r="K3">
        <v>1</v>
      </c>
      <c r="L3">
        <v>4</v>
      </c>
      <c r="M3" s="11">
        <v>6698.26</v>
      </c>
      <c r="N3" s="12">
        <v>4767.3999999999996</v>
      </c>
      <c r="O3" s="12">
        <v>13507.65</v>
      </c>
    </row>
    <row r="4" spans="1:15">
      <c r="A4" t="s">
        <v>23</v>
      </c>
      <c r="B4" t="s">
        <v>24</v>
      </c>
      <c r="C4" s="9">
        <v>40909</v>
      </c>
      <c r="D4">
        <v>14</v>
      </c>
      <c r="E4" t="s">
        <v>17</v>
      </c>
      <c r="F4" t="s">
        <v>25</v>
      </c>
      <c r="G4" s="9">
        <v>45164</v>
      </c>
      <c r="H4" s="9">
        <v>45307</v>
      </c>
      <c r="I4">
        <v>5</v>
      </c>
      <c r="J4" t="s">
        <v>26</v>
      </c>
      <c r="K4">
        <v>9</v>
      </c>
      <c r="L4">
        <v>0</v>
      </c>
      <c r="M4" s="11">
        <v>1567.83</v>
      </c>
      <c r="N4" s="12">
        <v>1857.78</v>
      </c>
      <c r="O4" s="12">
        <v>13490.85</v>
      </c>
    </row>
    <row r="5" spans="1:15">
      <c r="A5" t="s">
        <v>27</v>
      </c>
      <c r="B5" t="s">
        <v>28</v>
      </c>
      <c r="C5" s="9">
        <v>20090</v>
      </c>
      <c r="D5">
        <v>71</v>
      </c>
      <c r="E5" t="s">
        <v>21</v>
      </c>
      <c r="F5" t="s">
        <v>29</v>
      </c>
      <c r="G5" s="9">
        <v>44939</v>
      </c>
      <c r="H5" s="9">
        <v>44948</v>
      </c>
      <c r="I5">
        <v>2</v>
      </c>
      <c r="J5" t="s">
        <v>26</v>
      </c>
      <c r="K5">
        <v>9</v>
      </c>
      <c r="L5">
        <v>8</v>
      </c>
      <c r="M5" s="11">
        <v>6999.92</v>
      </c>
      <c r="N5" s="12">
        <v>14064.91</v>
      </c>
      <c r="O5" s="12">
        <v>5147.16</v>
      </c>
    </row>
    <row r="6" spans="1:15">
      <c r="A6" t="s">
        <v>30</v>
      </c>
      <c r="B6" t="s">
        <v>31</v>
      </c>
      <c r="C6" s="9">
        <v>24107</v>
      </c>
      <c r="D6">
        <v>60</v>
      </c>
      <c r="E6" t="s">
        <v>21</v>
      </c>
      <c r="F6" t="s">
        <v>5184</v>
      </c>
      <c r="G6" s="9">
        <v>45183</v>
      </c>
      <c r="H6" s="9">
        <v>45806</v>
      </c>
      <c r="I6">
        <v>18</v>
      </c>
      <c r="J6" t="s">
        <v>32</v>
      </c>
      <c r="K6">
        <v>1</v>
      </c>
      <c r="L6">
        <v>9</v>
      </c>
      <c r="M6" s="11">
        <v>17949.64</v>
      </c>
      <c r="N6" s="12">
        <v>5996.49</v>
      </c>
      <c r="O6" s="12">
        <v>1805.19</v>
      </c>
    </row>
    <row r="7" spans="1:15">
      <c r="A7" t="s">
        <v>33</v>
      </c>
      <c r="B7" t="s">
        <v>34</v>
      </c>
      <c r="C7" s="9">
        <v>38717</v>
      </c>
      <c r="D7">
        <v>20</v>
      </c>
      <c r="E7" t="s">
        <v>21</v>
      </c>
      <c r="F7" t="s">
        <v>29</v>
      </c>
      <c r="G7" s="9">
        <v>45440</v>
      </c>
      <c r="H7" s="9">
        <v>45104</v>
      </c>
      <c r="I7">
        <v>24</v>
      </c>
      <c r="J7" t="s">
        <v>35</v>
      </c>
      <c r="K7">
        <v>10</v>
      </c>
      <c r="L7">
        <v>3</v>
      </c>
      <c r="M7" s="11">
        <v>727.01</v>
      </c>
      <c r="N7" s="12">
        <v>1403.01</v>
      </c>
      <c r="O7" s="12">
        <v>6135.21</v>
      </c>
    </row>
    <row r="8" spans="1:15">
      <c r="A8" t="s">
        <v>36</v>
      </c>
      <c r="B8" t="s">
        <v>37</v>
      </c>
      <c r="C8" s="9">
        <v>16072</v>
      </c>
      <c r="D8">
        <v>82</v>
      </c>
      <c r="E8" t="s">
        <v>21</v>
      </c>
      <c r="F8" t="s">
        <v>5184</v>
      </c>
      <c r="G8" s="9">
        <v>45136</v>
      </c>
      <c r="H8" s="9">
        <v>45290</v>
      </c>
      <c r="I8">
        <v>35</v>
      </c>
      <c r="J8" t="s">
        <v>26</v>
      </c>
      <c r="K8">
        <v>5</v>
      </c>
      <c r="L8">
        <v>1</v>
      </c>
      <c r="M8" s="11">
        <v>25003.82</v>
      </c>
      <c r="N8" s="12">
        <v>7481.71</v>
      </c>
      <c r="O8" s="12">
        <v>10019.040000000001</v>
      </c>
    </row>
    <row r="9" spans="1:15">
      <c r="A9" t="s">
        <v>38</v>
      </c>
      <c r="B9" t="s">
        <v>39</v>
      </c>
      <c r="C9" s="9">
        <v>14611</v>
      </c>
      <c r="D9">
        <v>86</v>
      </c>
      <c r="E9" t="s">
        <v>17</v>
      </c>
      <c r="F9" t="s">
        <v>25</v>
      </c>
      <c r="G9" s="9">
        <v>45410</v>
      </c>
      <c r="H9" s="9">
        <v>44949</v>
      </c>
      <c r="I9">
        <v>2</v>
      </c>
      <c r="J9" t="s">
        <v>26</v>
      </c>
      <c r="K9">
        <v>1</v>
      </c>
      <c r="L9">
        <v>8</v>
      </c>
      <c r="M9" s="11">
        <v>29094.34</v>
      </c>
      <c r="N9" s="12">
        <v>2857.87</v>
      </c>
      <c r="O9" s="12">
        <v>12210.04</v>
      </c>
    </row>
    <row r="10" spans="1:15">
      <c r="A10" t="s">
        <v>40</v>
      </c>
      <c r="B10" t="s">
        <v>41</v>
      </c>
      <c r="C10" s="9">
        <v>18994</v>
      </c>
      <c r="D10">
        <v>74</v>
      </c>
      <c r="E10" t="s">
        <v>17</v>
      </c>
      <c r="F10" t="s">
        <v>22</v>
      </c>
      <c r="G10" s="9">
        <v>45291</v>
      </c>
      <c r="H10" s="9">
        <v>45764</v>
      </c>
      <c r="I10">
        <v>18</v>
      </c>
      <c r="J10" t="s">
        <v>32</v>
      </c>
      <c r="K10">
        <v>13</v>
      </c>
      <c r="L10">
        <v>5</v>
      </c>
      <c r="M10" s="11">
        <v>2046.81</v>
      </c>
      <c r="N10" s="12">
        <v>5329.18</v>
      </c>
      <c r="O10" s="12">
        <v>5339.07</v>
      </c>
    </row>
    <row r="11" spans="1:15">
      <c r="A11" t="s">
        <v>42</v>
      </c>
      <c r="B11" t="s">
        <v>31</v>
      </c>
      <c r="C11" s="9">
        <v>18994</v>
      </c>
      <c r="D11">
        <v>74</v>
      </c>
      <c r="E11" t="s">
        <v>21</v>
      </c>
      <c r="F11" t="s">
        <v>22</v>
      </c>
      <c r="G11" s="9">
        <v>45151</v>
      </c>
      <c r="H11" s="9">
        <v>45475</v>
      </c>
      <c r="I11">
        <v>5</v>
      </c>
      <c r="J11" t="s">
        <v>35</v>
      </c>
      <c r="K11">
        <v>5</v>
      </c>
      <c r="L11">
        <v>9</v>
      </c>
      <c r="M11" s="11">
        <v>7024.29</v>
      </c>
      <c r="N11" s="12">
        <v>4805.25</v>
      </c>
      <c r="O11" s="12">
        <v>3581.48</v>
      </c>
    </row>
    <row r="12" spans="1:15">
      <c r="A12" t="s">
        <v>43</v>
      </c>
      <c r="B12" t="s">
        <v>44</v>
      </c>
      <c r="C12" s="9">
        <v>14246</v>
      </c>
      <c r="D12">
        <v>87</v>
      </c>
      <c r="E12" t="s">
        <v>17</v>
      </c>
      <c r="F12" t="s">
        <v>29</v>
      </c>
      <c r="G12" s="9">
        <v>45120</v>
      </c>
      <c r="H12" s="9">
        <v>45177</v>
      </c>
      <c r="I12">
        <v>19</v>
      </c>
      <c r="J12" t="s">
        <v>35</v>
      </c>
      <c r="K12">
        <v>4</v>
      </c>
      <c r="L12">
        <v>2</v>
      </c>
      <c r="M12" s="11">
        <v>20106.830000000002</v>
      </c>
      <c r="N12" s="12">
        <v>14809.3</v>
      </c>
      <c r="O12" s="12">
        <v>16815.669999999998</v>
      </c>
    </row>
    <row r="13" spans="1:15">
      <c r="A13" t="s">
        <v>45</v>
      </c>
      <c r="B13" t="s">
        <v>46</v>
      </c>
      <c r="C13" s="9">
        <v>37622</v>
      </c>
      <c r="D13">
        <v>23</v>
      </c>
      <c r="E13" t="s">
        <v>17</v>
      </c>
      <c r="F13" t="s">
        <v>22</v>
      </c>
      <c r="G13" s="9">
        <v>45122</v>
      </c>
      <c r="H13" s="9">
        <v>45588</v>
      </c>
      <c r="I13">
        <v>15</v>
      </c>
      <c r="J13" t="s">
        <v>26</v>
      </c>
      <c r="K13">
        <v>9</v>
      </c>
      <c r="L13">
        <v>1</v>
      </c>
      <c r="M13" s="11">
        <v>24085.45</v>
      </c>
      <c r="N13" s="12">
        <v>9592.7000000000007</v>
      </c>
      <c r="O13" s="12">
        <v>17144.310000000001</v>
      </c>
    </row>
    <row r="14" spans="1:15">
      <c r="A14" t="s">
        <v>47</v>
      </c>
      <c r="B14" t="s">
        <v>48</v>
      </c>
      <c r="C14" s="9">
        <v>45292</v>
      </c>
      <c r="D14">
        <v>2</v>
      </c>
      <c r="E14" t="s">
        <v>21</v>
      </c>
      <c r="F14" t="s">
        <v>49</v>
      </c>
      <c r="G14" s="9">
        <v>45326</v>
      </c>
      <c r="H14" s="9">
        <v>45000</v>
      </c>
      <c r="I14">
        <v>1</v>
      </c>
      <c r="J14" t="s">
        <v>35</v>
      </c>
      <c r="K14">
        <v>8</v>
      </c>
      <c r="L14">
        <v>5</v>
      </c>
      <c r="M14" s="11">
        <v>10052.82</v>
      </c>
      <c r="N14" s="12">
        <v>7377.04</v>
      </c>
      <c r="O14" s="12">
        <v>5527.12</v>
      </c>
    </row>
    <row r="15" spans="1:15">
      <c r="A15" t="s">
        <v>50</v>
      </c>
      <c r="B15" t="s">
        <v>51</v>
      </c>
      <c r="C15" s="9">
        <v>38352</v>
      </c>
      <c r="D15">
        <v>21</v>
      </c>
      <c r="E15" t="s">
        <v>21</v>
      </c>
      <c r="F15" t="s">
        <v>49</v>
      </c>
      <c r="G15" s="9">
        <v>44983</v>
      </c>
      <c r="H15" s="9">
        <v>45018</v>
      </c>
      <c r="I15">
        <v>1</v>
      </c>
      <c r="J15" t="s">
        <v>35</v>
      </c>
      <c r="K15">
        <v>12</v>
      </c>
      <c r="L15">
        <v>9</v>
      </c>
      <c r="M15" s="11">
        <v>15214.77</v>
      </c>
      <c r="N15" s="12">
        <v>7706.29</v>
      </c>
      <c r="O15" s="12">
        <v>11158.27</v>
      </c>
    </row>
    <row r="16" spans="1:15">
      <c r="A16" t="s">
        <v>52</v>
      </c>
      <c r="B16" t="s">
        <v>53</v>
      </c>
      <c r="C16" s="9">
        <v>27029</v>
      </c>
      <c r="D16">
        <v>52</v>
      </c>
      <c r="E16" t="s">
        <v>5185</v>
      </c>
      <c r="F16" t="s">
        <v>5184</v>
      </c>
      <c r="G16" s="9">
        <v>45551</v>
      </c>
      <c r="H16" s="9">
        <v>45103</v>
      </c>
      <c r="I16">
        <v>34</v>
      </c>
      <c r="J16" t="s">
        <v>35</v>
      </c>
      <c r="K16">
        <v>14</v>
      </c>
      <c r="L16">
        <v>5</v>
      </c>
      <c r="M16" s="11">
        <v>26698.66</v>
      </c>
      <c r="N16" s="12">
        <v>9061.33</v>
      </c>
      <c r="O16" s="12">
        <v>8740.51</v>
      </c>
    </row>
    <row r="17" spans="1:15">
      <c r="A17" t="s">
        <v>54</v>
      </c>
      <c r="B17" t="s">
        <v>55</v>
      </c>
      <c r="C17" s="9">
        <v>45657</v>
      </c>
      <c r="D17">
        <v>1</v>
      </c>
      <c r="E17" t="s">
        <v>17</v>
      </c>
      <c r="F17" t="s">
        <v>25</v>
      </c>
      <c r="G17" s="9">
        <v>45139</v>
      </c>
      <c r="H17" s="9">
        <v>45053</v>
      </c>
      <c r="I17">
        <v>12</v>
      </c>
      <c r="J17" t="s">
        <v>32</v>
      </c>
      <c r="K17">
        <v>0</v>
      </c>
      <c r="L17">
        <v>8</v>
      </c>
      <c r="M17" s="11">
        <v>11224.15</v>
      </c>
      <c r="N17" s="12">
        <v>13091.32</v>
      </c>
      <c r="O17" s="12">
        <v>2753.54</v>
      </c>
    </row>
    <row r="18" spans="1:15">
      <c r="A18" t="s">
        <v>56</v>
      </c>
      <c r="B18" t="s">
        <v>57</v>
      </c>
      <c r="C18" s="9">
        <v>14246</v>
      </c>
      <c r="D18">
        <v>87</v>
      </c>
      <c r="E18" t="s">
        <v>5185</v>
      </c>
      <c r="F18" t="s">
        <v>18</v>
      </c>
      <c r="G18" s="9">
        <v>45205</v>
      </c>
      <c r="H18" s="9">
        <v>45131</v>
      </c>
      <c r="I18">
        <v>35</v>
      </c>
      <c r="J18" t="s">
        <v>35</v>
      </c>
      <c r="K18">
        <v>8</v>
      </c>
      <c r="L18">
        <v>4</v>
      </c>
      <c r="M18" s="11">
        <v>1986.92</v>
      </c>
      <c r="N18" s="12">
        <v>2189.73</v>
      </c>
      <c r="O18" s="12">
        <v>18805.78</v>
      </c>
    </row>
    <row r="19" spans="1:15">
      <c r="A19" t="s">
        <v>58</v>
      </c>
      <c r="B19" t="s">
        <v>59</v>
      </c>
      <c r="C19" s="9">
        <v>35430</v>
      </c>
      <c r="D19">
        <v>29</v>
      </c>
      <c r="E19" t="s">
        <v>21</v>
      </c>
      <c r="F19" t="s">
        <v>49</v>
      </c>
      <c r="G19" s="9">
        <v>45306</v>
      </c>
      <c r="H19" s="9">
        <v>45173</v>
      </c>
      <c r="I19">
        <v>24</v>
      </c>
      <c r="J19" t="s">
        <v>32</v>
      </c>
      <c r="K19">
        <v>1</v>
      </c>
      <c r="L19">
        <v>8</v>
      </c>
      <c r="M19" s="11">
        <v>29844.27</v>
      </c>
      <c r="N19" s="12">
        <v>8994.5</v>
      </c>
      <c r="O19" s="12">
        <v>96.64</v>
      </c>
    </row>
    <row r="20" spans="1:15">
      <c r="A20" t="s">
        <v>60</v>
      </c>
      <c r="B20" t="s">
        <v>61</v>
      </c>
      <c r="C20" s="9">
        <v>32508</v>
      </c>
      <c r="D20">
        <v>37</v>
      </c>
      <c r="E20" t="s">
        <v>17</v>
      </c>
      <c r="F20" t="s">
        <v>5184</v>
      </c>
      <c r="G20" s="9">
        <v>45043</v>
      </c>
      <c r="H20" s="9">
        <v>45538</v>
      </c>
      <c r="I20">
        <v>18</v>
      </c>
      <c r="J20" t="s">
        <v>35</v>
      </c>
      <c r="K20">
        <v>7</v>
      </c>
      <c r="L20">
        <v>4</v>
      </c>
      <c r="M20" s="11">
        <v>4998.55</v>
      </c>
      <c r="N20" s="12">
        <v>4832.74</v>
      </c>
      <c r="O20" s="12">
        <v>3670.29</v>
      </c>
    </row>
    <row r="21" spans="1:15">
      <c r="A21" t="s">
        <v>62</v>
      </c>
      <c r="B21" t="s">
        <v>63</v>
      </c>
      <c r="C21" s="9">
        <f>DATE(2026-D2,1,1)</f>
        <v>27395</v>
      </c>
      <c r="D21">
        <v>1</v>
      </c>
      <c r="E21" t="s">
        <v>21</v>
      </c>
      <c r="F21" t="s">
        <v>22</v>
      </c>
      <c r="G21" s="9">
        <v>45377</v>
      </c>
      <c r="H21" s="9">
        <v>45198</v>
      </c>
      <c r="I21">
        <v>1</v>
      </c>
      <c r="J21" t="s">
        <v>35</v>
      </c>
      <c r="K21">
        <v>0</v>
      </c>
      <c r="L21">
        <v>1</v>
      </c>
      <c r="M21" s="11">
        <v>987.85</v>
      </c>
      <c r="N21" s="12">
        <v>8571.0300000000007</v>
      </c>
      <c r="O21" s="12">
        <v>6845.85</v>
      </c>
    </row>
    <row r="22" spans="1:15">
      <c r="A22" t="s">
        <v>64</v>
      </c>
      <c r="B22" t="s">
        <v>65</v>
      </c>
      <c r="C22" s="9">
        <v>23012</v>
      </c>
      <c r="D22">
        <v>63</v>
      </c>
      <c r="E22" t="s">
        <v>21</v>
      </c>
      <c r="F22" t="s">
        <v>25</v>
      </c>
      <c r="G22" s="9">
        <v>45525</v>
      </c>
      <c r="H22" s="9">
        <v>44971</v>
      </c>
      <c r="I22">
        <v>8</v>
      </c>
      <c r="J22" t="s">
        <v>35</v>
      </c>
      <c r="K22">
        <v>2</v>
      </c>
      <c r="L22">
        <v>0</v>
      </c>
      <c r="M22" s="11">
        <v>12024.93</v>
      </c>
      <c r="N22" s="12">
        <v>7765.96</v>
      </c>
      <c r="O22" s="12">
        <v>17114.87</v>
      </c>
    </row>
    <row r="23" spans="1:15">
      <c r="A23" t="s">
        <v>66</v>
      </c>
      <c r="B23" t="s">
        <v>67</v>
      </c>
      <c r="C23" s="9">
        <v>24473</v>
      </c>
      <c r="D23">
        <v>59</v>
      </c>
      <c r="E23" t="s">
        <v>17</v>
      </c>
      <c r="F23" t="s">
        <v>5184</v>
      </c>
      <c r="G23" s="9">
        <v>45336</v>
      </c>
      <c r="H23" s="9">
        <v>45661</v>
      </c>
      <c r="I23">
        <v>16</v>
      </c>
      <c r="J23" t="s">
        <v>26</v>
      </c>
      <c r="K23">
        <v>7</v>
      </c>
      <c r="L23">
        <v>8</v>
      </c>
      <c r="M23" s="11">
        <v>3204.64</v>
      </c>
      <c r="N23" s="12">
        <v>449.01</v>
      </c>
      <c r="O23" s="12">
        <v>15751.94</v>
      </c>
    </row>
    <row r="24" spans="1:15">
      <c r="A24" t="s">
        <v>68</v>
      </c>
      <c r="B24" t="s">
        <v>69</v>
      </c>
      <c r="C24" s="9">
        <v>38717</v>
      </c>
      <c r="D24">
        <v>20</v>
      </c>
      <c r="E24" t="s">
        <v>21</v>
      </c>
      <c r="F24" t="s">
        <v>5184</v>
      </c>
      <c r="G24" s="9">
        <v>45293</v>
      </c>
      <c r="H24" s="9">
        <v>45536</v>
      </c>
      <c r="I24">
        <v>16</v>
      </c>
      <c r="J24" t="s">
        <v>26</v>
      </c>
      <c r="K24">
        <v>7</v>
      </c>
      <c r="L24">
        <v>9</v>
      </c>
      <c r="M24" s="11">
        <v>29351.37</v>
      </c>
      <c r="N24" s="12">
        <v>8736.9699999999993</v>
      </c>
      <c r="O24" s="12">
        <v>11555.67</v>
      </c>
    </row>
    <row r="25" spans="1:15">
      <c r="A25" t="s">
        <v>70</v>
      </c>
      <c r="B25" t="s">
        <v>71</v>
      </c>
      <c r="C25" s="9">
        <v>34334</v>
      </c>
      <c r="D25">
        <v>32</v>
      </c>
      <c r="E25" t="s">
        <v>21</v>
      </c>
      <c r="F25" t="s">
        <v>49</v>
      </c>
      <c r="G25" s="9">
        <v>45039</v>
      </c>
      <c r="H25" s="9">
        <v>45475</v>
      </c>
      <c r="I25">
        <v>24</v>
      </c>
      <c r="J25" t="s">
        <v>32</v>
      </c>
      <c r="K25">
        <v>10</v>
      </c>
      <c r="L25">
        <v>6</v>
      </c>
      <c r="M25" s="11">
        <v>11114.21</v>
      </c>
      <c r="N25" s="12">
        <v>10638.21</v>
      </c>
      <c r="O25" s="12">
        <v>13869.92</v>
      </c>
    </row>
    <row r="26" spans="1:15">
      <c r="A26" t="s">
        <v>72</v>
      </c>
      <c r="B26" t="s">
        <v>73</v>
      </c>
      <c r="C26" s="9">
        <v>18629</v>
      </c>
      <c r="D26">
        <v>75</v>
      </c>
      <c r="E26" t="s">
        <v>21</v>
      </c>
      <c r="F26" t="s">
        <v>74</v>
      </c>
      <c r="G26" s="9">
        <v>45090</v>
      </c>
      <c r="H26" s="9">
        <v>45095</v>
      </c>
      <c r="I26">
        <v>37</v>
      </c>
      <c r="J26" t="s">
        <v>35</v>
      </c>
      <c r="K26">
        <v>9</v>
      </c>
      <c r="L26">
        <v>2</v>
      </c>
      <c r="M26" s="11">
        <v>24687.24</v>
      </c>
      <c r="N26" s="12">
        <v>3690</v>
      </c>
      <c r="O26" s="12">
        <v>6752.32</v>
      </c>
    </row>
    <row r="27" spans="1:15">
      <c r="A27" t="s">
        <v>75</v>
      </c>
      <c r="B27" t="s">
        <v>71</v>
      </c>
      <c r="C27" s="9">
        <v>25203</v>
      </c>
      <c r="D27">
        <v>57</v>
      </c>
      <c r="E27" t="s">
        <v>21</v>
      </c>
      <c r="F27" t="s">
        <v>25</v>
      </c>
      <c r="G27" s="9">
        <v>44930</v>
      </c>
      <c r="H27" s="9">
        <v>45362</v>
      </c>
      <c r="I27">
        <v>39</v>
      </c>
      <c r="J27" t="s">
        <v>32</v>
      </c>
      <c r="K27">
        <v>1</v>
      </c>
      <c r="L27">
        <v>5</v>
      </c>
      <c r="M27" s="11">
        <v>4886.46</v>
      </c>
      <c r="N27" s="12">
        <v>1603.03</v>
      </c>
      <c r="O27" s="12">
        <v>18804.89</v>
      </c>
    </row>
    <row r="28" spans="1:15">
      <c r="A28" t="s">
        <v>76</v>
      </c>
      <c r="B28" t="s">
        <v>73</v>
      </c>
      <c r="C28" s="9">
        <v>38352</v>
      </c>
      <c r="D28">
        <v>21</v>
      </c>
      <c r="E28" t="s">
        <v>17</v>
      </c>
      <c r="F28" t="s">
        <v>29</v>
      </c>
      <c r="G28" s="9">
        <v>45556</v>
      </c>
      <c r="H28" s="9">
        <v>44957</v>
      </c>
      <c r="I28">
        <v>25</v>
      </c>
      <c r="J28" t="s">
        <v>35</v>
      </c>
      <c r="K28">
        <v>12</v>
      </c>
      <c r="L28">
        <v>9</v>
      </c>
      <c r="M28" s="11">
        <v>3733.85</v>
      </c>
      <c r="N28" s="12">
        <v>3174.67</v>
      </c>
      <c r="O28" s="12">
        <v>438.42</v>
      </c>
    </row>
    <row r="29" spans="1:15">
      <c r="A29" t="s">
        <v>77</v>
      </c>
      <c r="B29" t="s">
        <v>78</v>
      </c>
      <c r="C29" s="9">
        <v>13880</v>
      </c>
      <c r="D29">
        <v>88</v>
      </c>
      <c r="E29" t="s">
        <v>17</v>
      </c>
      <c r="F29" t="s">
        <v>5184</v>
      </c>
      <c r="G29" s="9">
        <v>44949</v>
      </c>
      <c r="H29" s="9">
        <v>45721</v>
      </c>
      <c r="I29">
        <v>2</v>
      </c>
      <c r="J29" t="s">
        <v>32</v>
      </c>
      <c r="K29">
        <v>0</v>
      </c>
      <c r="L29">
        <v>3</v>
      </c>
      <c r="M29" s="11">
        <v>0</v>
      </c>
      <c r="N29" s="12">
        <v>9546.19</v>
      </c>
      <c r="O29" s="12">
        <v>1928.67</v>
      </c>
    </row>
    <row r="30" spans="1:15">
      <c r="A30" t="s">
        <v>79</v>
      </c>
      <c r="B30" t="s">
        <v>80</v>
      </c>
      <c r="C30" s="9">
        <v>28490</v>
      </c>
      <c r="D30">
        <v>48</v>
      </c>
      <c r="E30" t="s">
        <v>21</v>
      </c>
      <c r="F30" t="s">
        <v>49</v>
      </c>
      <c r="G30" s="9">
        <v>45528</v>
      </c>
      <c r="H30" s="9">
        <v>45524</v>
      </c>
      <c r="I30">
        <v>22</v>
      </c>
      <c r="J30" t="s">
        <v>32</v>
      </c>
      <c r="K30">
        <v>0</v>
      </c>
      <c r="L30">
        <v>8</v>
      </c>
      <c r="M30" s="11">
        <v>27233.96</v>
      </c>
      <c r="N30" s="12">
        <v>7031.89</v>
      </c>
      <c r="O30" s="12">
        <v>18503.63</v>
      </c>
    </row>
    <row r="31" spans="1:15">
      <c r="A31" t="s">
        <v>81</v>
      </c>
      <c r="B31" t="s">
        <v>82</v>
      </c>
      <c r="C31" s="9">
        <v>13150</v>
      </c>
      <c r="D31">
        <v>90</v>
      </c>
      <c r="E31" t="s">
        <v>21</v>
      </c>
      <c r="F31" t="s">
        <v>29</v>
      </c>
      <c r="G31" s="9">
        <v>45018</v>
      </c>
      <c r="H31" s="9">
        <v>45284</v>
      </c>
      <c r="I31">
        <v>0</v>
      </c>
      <c r="J31" t="s">
        <v>26</v>
      </c>
      <c r="K31">
        <v>10</v>
      </c>
      <c r="L31">
        <v>1</v>
      </c>
      <c r="M31" s="11">
        <v>2993.36</v>
      </c>
      <c r="N31" s="12">
        <v>12979.57</v>
      </c>
      <c r="O31" s="12">
        <v>18895.54</v>
      </c>
    </row>
    <row r="32" spans="1:15">
      <c r="A32" t="s">
        <v>83</v>
      </c>
      <c r="B32" t="s">
        <v>84</v>
      </c>
      <c r="C32" s="9">
        <v>24838</v>
      </c>
      <c r="D32">
        <v>58</v>
      </c>
      <c r="E32" t="s">
        <v>21</v>
      </c>
      <c r="F32" t="s">
        <v>25</v>
      </c>
      <c r="G32" s="9">
        <v>45395</v>
      </c>
      <c r="H32" s="9">
        <v>45418</v>
      </c>
      <c r="I32">
        <v>23</v>
      </c>
      <c r="J32" t="s">
        <v>32</v>
      </c>
      <c r="K32">
        <v>0</v>
      </c>
      <c r="L32">
        <v>3</v>
      </c>
      <c r="M32" s="11">
        <v>17472.25</v>
      </c>
      <c r="N32" s="12">
        <v>4274.83</v>
      </c>
      <c r="O32" s="12">
        <v>9760.48</v>
      </c>
    </row>
    <row r="33" spans="1:15">
      <c r="A33" t="s">
        <v>85</v>
      </c>
      <c r="B33" t="s">
        <v>65</v>
      </c>
      <c r="C33" s="9">
        <v>31047</v>
      </c>
      <c r="D33">
        <v>41</v>
      </c>
      <c r="E33" t="s">
        <v>17</v>
      </c>
      <c r="F33" t="s">
        <v>49</v>
      </c>
      <c r="G33" s="9">
        <v>45081</v>
      </c>
      <c r="H33" s="9">
        <v>45560</v>
      </c>
      <c r="I33">
        <v>7</v>
      </c>
      <c r="J33" t="s">
        <v>26</v>
      </c>
      <c r="K33">
        <v>13</v>
      </c>
      <c r="L33">
        <v>0</v>
      </c>
      <c r="M33" s="11">
        <v>2090.65</v>
      </c>
      <c r="N33" s="12">
        <v>5476.47</v>
      </c>
      <c r="O33" s="12">
        <v>11486.86</v>
      </c>
    </row>
    <row r="34" spans="1:15">
      <c r="A34" t="s">
        <v>86</v>
      </c>
      <c r="B34" t="s">
        <v>87</v>
      </c>
      <c r="C34" s="9">
        <v>12785</v>
      </c>
      <c r="D34">
        <v>91</v>
      </c>
      <c r="E34" t="s">
        <v>21</v>
      </c>
      <c r="F34" t="s">
        <v>29</v>
      </c>
      <c r="G34" s="9">
        <v>45553</v>
      </c>
      <c r="H34" s="9">
        <v>45726</v>
      </c>
      <c r="I34">
        <v>21</v>
      </c>
      <c r="J34" t="s">
        <v>32</v>
      </c>
      <c r="K34">
        <v>6</v>
      </c>
      <c r="L34">
        <v>6</v>
      </c>
      <c r="M34" s="11">
        <v>24270.97</v>
      </c>
      <c r="N34" s="12">
        <v>7920.75</v>
      </c>
      <c r="O34" s="12">
        <v>18041.009999999998</v>
      </c>
    </row>
    <row r="35" spans="1:15">
      <c r="A35" t="s">
        <v>88</v>
      </c>
      <c r="B35" t="s">
        <v>89</v>
      </c>
      <c r="C35" s="9">
        <v>24473</v>
      </c>
      <c r="D35">
        <v>59</v>
      </c>
      <c r="E35" t="s">
        <v>17</v>
      </c>
      <c r="F35" t="s">
        <v>18</v>
      </c>
      <c r="G35" s="9">
        <v>45133</v>
      </c>
      <c r="H35" s="9">
        <v>45175</v>
      </c>
      <c r="I35">
        <v>26</v>
      </c>
      <c r="J35" t="s">
        <v>32</v>
      </c>
      <c r="K35">
        <v>11</v>
      </c>
      <c r="L35">
        <v>3</v>
      </c>
      <c r="M35" s="11">
        <v>27233.83</v>
      </c>
      <c r="N35" s="12">
        <v>6900.25</v>
      </c>
      <c r="O35" s="12">
        <v>17054.03</v>
      </c>
    </row>
    <row r="36" spans="1:15">
      <c r="A36" t="s">
        <v>90</v>
      </c>
      <c r="B36" t="s">
        <v>91</v>
      </c>
      <c r="C36" s="9">
        <v>17168</v>
      </c>
      <c r="D36">
        <v>79</v>
      </c>
      <c r="E36" t="s">
        <v>21</v>
      </c>
      <c r="F36" t="s">
        <v>5184</v>
      </c>
      <c r="G36" s="9">
        <v>45007</v>
      </c>
      <c r="H36" s="9">
        <v>45623</v>
      </c>
      <c r="I36">
        <v>4</v>
      </c>
      <c r="J36" t="s">
        <v>32</v>
      </c>
      <c r="K36">
        <v>6</v>
      </c>
      <c r="L36">
        <v>4</v>
      </c>
      <c r="M36" s="11">
        <v>18678.23</v>
      </c>
      <c r="N36" s="12">
        <v>8216.42</v>
      </c>
      <c r="O36" s="12">
        <v>17225.23</v>
      </c>
    </row>
    <row r="37" spans="1:15">
      <c r="A37" t="s">
        <v>92</v>
      </c>
      <c r="B37" t="s">
        <v>93</v>
      </c>
      <c r="C37" s="9">
        <v>40909</v>
      </c>
      <c r="D37">
        <v>14</v>
      </c>
      <c r="E37" t="s">
        <v>21</v>
      </c>
      <c r="F37" t="s">
        <v>18</v>
      </c>
      <c r="G37" s="9">
        <v>45541</v>
      </c>
      <c r="H37" s="9">
        <v>45180</v>
      </c>
      <c r="I37">
        <v>20</v>
      </c>
      <c r="J37" t="s">
        <v>32</v>
      </c>
      <c r="K37">
        <v>8</v>
      </c>
      <c r="L37">
        <v>0</v>
      </c>
      <c r="M37" s="11">
        <v>20494.46</v>
      </c>
      <c r="N37" s="12">
        <v>4681.33</v>
      </c>
      <c r="O37" s="12">
        <v>7372.89</v>
      </c>
    </row>
    <row r="38" spans="1:15">
      <c r="A38" t="s">
        <v>94</v>
      </c>
      <c r="B38" t="s">
        <v>95</v>
      </c>
      <c r="C38" s="9">
        <v>23742</v>
      </c>
      <c r="D38">
        <v>61</v>
      </c>
      <c r="E38" t="s">
        <v>17</v>
      </c>
      <c r="F38" t="s">
        <v>74</v>
      </c>
      <c r="G38" s="9">
        <v>45409</v>
      </c>
      <c r="H38" s="9">
        <v>45712</v>
      </c>
      <c r="I38">
        <v>24</v>
      </c>
      <c r="J38" t="s">
        <v>32</v>
      </c>
      <c r="K38">
        <v>10</v>
      </c>
      <c r="L38">
        <v>1</v>
      </c>
      <c r="M38" s="11">
        <v>0</v>
      </c>
      <c r="N38" s="12">
        <v>2500.0700000000002</v>
      </c>
      <c r="O38" s="12">
        <v>16594.009999999998</v>
      </c>
    </row>
    <row r="39" spans="1:15">
      <c r="A39" t="s">
        <v>96</v>
      </c>
      <c r="B39" t="s">
        <v>97</v>
      </c>
      <c r="C39" s="9">
        <v>23742</v>
      </c>
      <c r="D39">
        <v>61</v>
      </c>
      <c r="E39" t="s">
        <v>17</v>
      </c>
      <c r="F39" t="s">
        <v>22</v>
      </c>
      <c r="G39" s="9">
        <v>45518</v>
      </c>
      <c r="H39" s="9">
        <v>45648</v>
      </c>
      <c r="I39">
        <v>39</v>
      </c>
      <c r="J39" t="s">
        <v>26</v>
      </c>
      <c r="K39">
        <v>6</v>
      </c>
      <c r="L39">
        <v>3</v>
      </c>
      <c r="M39" s="11">
        <v>1725.8</v>
      </c>
      <c r="N39" s="12">
        <v>12049.73</v>
      </c>
      <c r="O39" s="12">
        <v>1293.1400000000001</v>
      </c>
    </row>
    <row r="40" spans="1:15">
      <c r="A40" t="s">
        <v>98</v>
      </c>
      <c r="B40" t="s">
        <v>93</v>
      </c>
      <c r="C40" s="9">
        <v>29221</v>
      </c>
      <c r="D40">
        <v>46</v>
      </c>
      <c r="E40" t="s">
        <v>21</v>
      </c>
      <c r="F40" t="s">
        <v>25</v>
      </c>
      <c r="G40" s="9">
        <v>45333</v>
      </c>
      <c r="H40" s="9">
        <v>45793</v>
      </c>
      <c r="I40">
        <v>6</v>
      </c>
      <c r="J40" t="s">
        <v>32</v>
      </c>
      <c r="K40">
        <v>10</v>
      </c>
      <c r="L40">
        <v>1</v>
      </c>
      <c r="M40" s="11">
        <v>0</v>
      </c>
      <c r="N40" s="12">
        <v>589.42999999999995</v>
      </c>
      <c r="O40" s="12">
        <v>9687.99</v>
      </c>
    </row>
    <row r="41" spans="1:15">
      <c r="A41" t="s">
        <v>99</v>
      </c>
      <c r="B41" t="s">
        <v>100</v>
      </c>
      <c r="C41" s="9">
        <v>23742</v>
      </c>
      <c r="D41">
        <v>61</v>
      </c>
      <c r="E41" t="s">
        <v>17</v>
      </c>
      <c r="F41" t="s">
        <v>22</v>
      </c>
      <c r="G41" s="9">
        <v>45029</v>
      </c>
      <c r="H41" s="9">
        <v>45309</v>
      </c>
      <c r="I41">
        <v>0</v>
      </c>
      <c r="J41" t="s">
        <v>26</v>
      </c>
      <c r="K41">
        <v>2</v>
      </c>
      <c r="L41">
        <v>0</v>
      </c>
      <c r="M41" s="11">
        <v>7851.77</v>
      </c>
      <c r="N41" s="12">
        <v>5545.58</v>
      </c>
      <c r="O41" s="12">
        <v>4671.88</v>
      </c>
    </row>
    <row r="42" spans="1:15">
      <c r="A42" t="s">
        <v>101</v>
      </c>
      <c r="B42" t="s">
        <v>95</v>
      </c>
      <c r="C42" s="9">
        <f>DATE(2026-D2,1,1)</f>
        <v>27395</v>
      </c>
      <c r="D42">
        <v>50</v>
      </c>
      <c r="E42" t="s">
        <v>17</v>
      </c>
      <c r="F42" t="s">
        <v>22</v>
      </c>
      <c r="G42" s="9">
        <v>45166</v>
      </c>
      <c r="H42" s="9">
        <v>45463</v>
      </c>
      <c r="I42">
        <v>10</v>
      </c>
      <c r="J42" t="s">
        <v>35</v>
      </c>
      <c r="K42">
        <v>13</v>
      </c>
      <c r="L42">
        <v>9</v>
      </c>
      <c r="M42" s="11">
        <v>22675.61</v>
      </c>
      <c r="N42" s="12">
        <v>1311.03</v>
      </c>
      <c r="O42" s="12">
        <v>619.54</v>
      </c>
    </row>
    <row r="43" spans="1:15">
      <c r="A43" t="s">
        <v>102</v>
      </c>
      <c r="B43" t="s">
        <v>103</v>
      </c>
      <c r="C43" s="9">
        <v>26299</v>
      </c>
      <c r="D43">
        <v>54</v>
      </c>
      <c r="E43" t="s">
        <v>17</v>
      </c>
      <c r="F43" t="s">
        <v>29</v>
      </c>
      <c r="G43" s="9">
        <v>45191</v>
      </c>
      <c r="H43" s="9">
        <v>45561</v>
      </c>
      <c r="I43">
        <v>3</v>
      </c>
      <c r="J43" t="s">
        <v>26</v>
      </c>
      <c r="K43">
        <v>6</v>
      </c>
      <c r="L43">
        <v>0</v>
      </c>
      <c r="M43" s="11">
        <v>12780.59</v>
      </c>
      <c r="N43" s="12">
        <v>11044.93</v>
      </c>
      <c r="O43" s="12">
        <v>12305.94</v>
      </c>
    </row>
    <row r="44" spans="1:15">
      <c r="A44" t="s">
        <v>104</v>
      </c>
      <c r="B44" t="s">
        <v>105</v>
      </c>
      <c r="C44" s="9">
        <v>23012</v>
      </c>
      <c r="D44">
        <v>63</v>
      </c>
      <c r="E44" t="s">
        <v>17</v>
      </c>
      <c r="F44" t="s">
        <v>74</v>
      </c>
      <c r="G44" s="9">
        <v>44959</v>
      </c>
      <c r="H44" s="9">
        <v>45664</v>
      </c>
      <c r="I44">
        <v>35</v>
      </c>
      <c r="J44" t="s">
        <v>26</v>
      </c>
      <c r="K44">
        <v>12</v>
      </c>
      <c r="L44">
        <v>5</v>
      </c>
      <c r="M44" s="11">
        <v>1886.62</v>
      </c>
      <c r="N44" s="12">
        <v>5482.7</v>
      </c>
      <c r="O44" s="12">
        <v>1431.22</v>
      </c>
    </row>
    <row r="45" spans="1:15">
      <c r="A45" t="s">
        <v>106</v>
      </c>
      <c r="B45" t="s">
        <v>41</v>
      </c>
      <c r="C45" s="9">
        <v>45292</v>
      </c>
      <c r="D45">
        <v>2</v>
      </c>
      <c r="E45" t="s">
        <v>17</v>
      </c>
      <c r="F45" t="s">
        <v>25</v>
      </c>
      <c r="G45" s="9">
        <v>44961</v>
      </c>
      <c r="H45" s="9">
        <v>45825</v>
      </c>
      <c r="I45">
        <v>18</v>
      </c>
      <c r="J45" t="s">
        <v>32</v>
      </c>
      <c r="K45">
        <v>11</v>
      </c>
      <c r="L45">
        <v>1</v>
      </c>
      <c r="M45" s="11">
        <v>25505.67</v>
      </c>
      <c r="N45" s="12">
        <v>450.75</v>
      </c>
      <c r="O45" s="12">
        <v>2315.1999999999998</v>
      </c>
    </row>
    <row r="46" spans="1:15">
      <c r="A46" t="s">
        <v>107</v>
      </c>
      <c r="B46" t="s">
        <v>108</v>
      </c>
      <c r="C46" s="9">
        <v>27760</v>
      </c>
      <c r="D46">
        <v>50</v>
      </c>
      <c r="E46" t="s">
        <v>5185</v>
      </c>
      <c r="F46" t="s">
        <v>18</v>
      </c>
      <c r="G46" s="9">
        <v>45175</v>
      </c>
      <c r="H46" s="9">
        <v>45346</v>
      </c>
      <c r="I46">
        <v>16</v>
      </c>
      <c r="J46" t="s">
        <v>26</v>
      </c>
      <c r="K46">
        <v>5</v>
      </c>
      <c r="L46">
        <v>2</v>
      </c>
      <c r="M46" s="11">
        <v>29811.71</v>
      </c>
      <c r="N46" s="12">
        <v>1138.1300000000001</v>
      </c>
      <c r="O46" s="12">
        <v>1543.08</v>
      </c>
    </row>
    <row r="47" spans="1:15">
      <c r="A47" t="s">
        <v>109</v>
      </c>
      <c r="B47" t="s">
        <v>110</v>
      </c>
      <c r="C47" s="9">
        <v>43831</v>
      </c>
      <c r="D47">
        <v>6</v>
      </c>
      <c r="E47" t="s">
        <v>21</v>
      </c>
      <c r="F47" t="s">
        <v>22</v>
      </c>
      <c r="G47" s="9">
        <v>44976</v>
      </c>
      <c r="H47" s="9">
        <v>45050</v>
      </c>
      <c r="I47">
        <v>22</v>
      </c>
      <c r="J47" t="s">
        <v>32</v>
      </c>
      <c r="K47">
        <v>6</v>
      </c>
      <c r="L47">
        <v>4</v>
      </c>
      <c r="M47" s="11">
        <v>13378.3</v>
      </c>
      <c r="N47" s="12">
        <v>2978.98</v>
      </c>
      <c r="O47" s="12">
        <v>19498.46</v>
      </c>
    </row>
    <row r="48" spans="1:15">
      <c r="A48" t="s">
        <v>111</v>
      </c>
      <c r="B48" t="s">
        <v>112</v>
      </c>
      <c r="C48" s="9">
        <v>38717</v>
      </c>
      <c r="D48">
        <v>20</v>
      </c>
      <c r="E48" t="s">
        <v>17</v>
      </c>
      <c r="F48" t="s">
        <v>29</v>
      </c>
      <c r="G48" s="9">
        <v>45206</v>
      </c>
      <c r="H48" s="9">
        <v>45221</v>
      </c>
      <c r="I48">
        <v>36</v>
      </c>
      <c r="J48" t="s">
        <v>26</v>
      </c>
      <c r="K48">
        <v>1</v>
      </c>
      <c r="L48">
        <v>2</v>
      </c>
      <c r="M48" s="11">
        <v>15108.8</v>
      </c>
      <c r="N48" s="12">
        <v>11803.73</v>
      </c>
      <c r="O48" s="12">
        <v>688.7</v>
      </c>
    </row>
    <row r="49" spans="1:15">
      <c r="A49" t="s">
        <v>113</v>
      </c>
      <c r="B49" t="s">
        <v>110</v>
      </c>
      <c r="C49" s="9">
        <v>19724</v>
      </c>
      <c r="D49">
        <v>72</v>
      </c>
      <c r="E49" t="s">
        <v>21</v>
      </c>
      <c r="F49" t="s">
        <v>22</v>
      </c>
      <c r="G49" s="9">
        <v>45078</v>
      </c>
      <c r="H49" s="9">
        <v>45612</v>
      </c>
      <c r="I49">
        <v>1</v>
      </c>
      <c r="J49" t="s">
        <v>35</v>
      </c>
      <c r="K49">
        <v>1</v>
      </c>
      <c r="L49">
        <v>5</v>
      </c>
      <c r="M49" s="11">
        <v>1894.54</v>
      </c>
      <c r="N49" s="12">
        <v>11987.83</v>
      </c>
      <c r="O49" s="12">
        <v>5322.1</v>
      </c>
    </row>
    <row r="50" spans="1:15">
      <c r="A50" t="s">
        <v>114</v>
      </c>
      <c r="B50" t="s">
        <v>115</v>
      </c>
      <c r="C50" s="9">
        <v>32143</v>
      </c>
      <c r="D50">
        <v>38</v>
      </c>
      <c r="E50" t="s">
        <v>21</v>
      </c>
      <c r="F50" t="s">
        <v>49</v>
      </c>
      <c r="G50" s="9">
        <v>45585</v>
      </c>
      <c r="H50" s="9">
        <v>45070</v>
      </c>
      <c r="I50">
        <v>19</v>
      </c>
      <c r="J50" t="s">
        <v>32</v>
      </c>
      <c r="K50">
        <v>8</v>
      </c>
      <c r="L50">
        <v>6</v>
      </c>
      <c r="M50" s="11">
        <v>11182.03</v>
      </c>
      <c r="N50" s="12">
        <v>14949.19</v>
      </c>
      <c r="O50" s="12">
        <v>13005.17</v>
      </c>
    </row>
    <row r="51" spans="1:15">
      <c r="A51" t="s">
        <v>116</v>
      </c>
      <c r="B51" t="s">
        <v>117</v>
      </c>
      <c r="C51" s="9">
        <f>DATE(2026-D11,1,1)</f>
        <v>18994</v>
      </c>
      <c r="D51">
        <v>17</v>
      </c>
      <c r="E51" t="s">
        <v>21</v>
      </c>
      <c r="F51" t="s">
        <v>18</v>
      </c>
      <c r="G51" s="9">
        <v>45477</v>
      </c>
      <c r="H51" s="9">
        <v>45826</v>
      </c>
      <c r="I51">
        <v>2</v>
      </c>
      <c r="J51" t="s">
        <v>32</v>
      </c>
      <c r="K51">
        <v>4</v>
      </c>
      <c r="L51">
        <v>9</v>
      </c>
      <c r="M51" s="11">
        <v>10840.03</v>
      </c>
      <c r="N51" s="12">
        <v>3613.85</v>
      </c>
      <c r="O51" s="12">
        <v>16450</v>
      </c>
    </row>
    <row r="52" spans="1:15">
      <c r="A52" t="s">
        <v>118</v>
      </c>
      <c r="B52" t="s">
        <v>119</v>
      </c>
      <c r="C52" s="9">
        <v>44927</v>
      </c>
      <c r="D52">
        <v>3</v>
      </c>
      <c r="E52" t="s">
        <v>21</v>
      </c>
      <c r="F52" t="s">
        <v>22</v>
      </c>
      <c r="G52" s="9">
        <v>45627</v>
      </c>
      <c r="H52" s="9">
        <v>45438</v>
      </c>
      <c r="I52">
        <v>2</v>
      </c>
      <c r="J52" t="s">
        <v>35</v>
      </c>
      <c r="K52">
        <v>1</v>
      </c>
      <c r="L52">
        <v>5</v>
      </c>
      <c r="M52" s="11">
        <v>28956.639999999999</v>
      </c>
      <c r="N52" s="12">
        <v>906.56</v>
      </c>
      <c r="O52" s="12">
        <v>12124.89</v>
      </c>
    </row>
    <row r="53" spans="1:15">
      <c r="A53" t="s">
        <v>120</v>
      </c>
      <c r="B53" t="s">
        <v>51</v>
      </c>
      <c r="C53" s="9">
        <v>13880</v>
      </c>
      <c r="D53">
        <v>88</v>
      </c>
      <c r="E53" t="s">
        <v>17</v>
      </c>
      <c r="F53" t="s">
        <v>49</v>
      </c>
      <c r="G53" s="9">
        <v>45463</v>
      </c>
      <c r="H53" s="9">
        <v>45608</v>
      </c>
      <c r="I53">
        <v>14</v>
      </c>
      <c r="J53" t="s">
        <v>32</v>
      </c>
      <c r="K53">
        <v>2</v>
      </c>
      <c r="L53">
        <v>1</v>
      </c>
      <c r="M53" s="11">
        <v>19643.16</v>
      </c>
      <c r="N53" s="12">
        <v>4246.96</v>
      </c>
      <c r="O53" s="12">
        <v>19527.689999999999</v>
      </c>
    </row>
    <row r="54" spans="1:15">
      <c r="A54" t="s">
        <v>121</v>
      </c>
      <c r="B54" t="s">
        <v>71</v>
      </c>
      <c r="C54" s="9">
        <v>24473</v>
      </c>
      <c r="D54">
        <v>59</v>
      </c>
      <c r="E54" t="s">
        <v>17</v>
      </c>
      <c r="F54" t="s">
        <v>49</v>
      </c>
      <c r="G54" s="9">
        <v>45156</v>
      </c>
      <c r="H54" s="9">
        <v>44984</v>
      </c>
      <c r="I54">
        <v>6</v>
      </c>
      <c r="J54" t="s">
        <v>26</v>
      </c>
      <c r="K54">
        <v>7</v>
      </c>
      <c r="L54">
        <v>8</v>
      </c>
      <c r="M54" s="11">
        <v>23356.59</v>
      </c>
      <c r="N54" s="12">
        <v>2682.3</v>
      </c>
      <c r="O54" s="12">
        <v>6687.93</v>
      </c>
    </row>
    <row r="55" spans="1:15">
      <c r="A55" t="s">
        <v>122</v>
      </c>
      <c r="B55" t="s">
        <v>123</v>
      </c>
      <c r="C55" s="9">
        <f>DATE(2026-D15,1,1)</f>
        <v>38353</v>
      </c>
      <c r="D55">
        <v>13</v>
      </c>
      <c r="E55" t="s">
        <v>17</v>
      </c>
      <c r="F55" t="s">
        <v>29</v>
      </c>
      <c r="G55" s="9">
        <v>45591</v>
      </c>
      <c r="H55" s="9">
        <v>44969</v>
      </c>
      <c r="I55">
        <v>6</v>
      </c>
      <c r="J55" t="s">
        <v>32</v>
      </c>
      <c r="K55">
        <v>5</v>
      </c>
      <c r="L55">
        <v>1</v>
      </c>
      <c r="M55" s="11">
        <v>0</v>
      </c>
      <c r="N55" s="12">
        <v>10655.82</v>
      </c>
      <c r="O55" s="12">
        <v>9387.31</v>
      </c>
    </row>
    <row r="56" spans="1:15">
      <c r="A56" t="s">
        <v>124</v>
      </c>
      <c r="B56" t="s">
        <v>125</v>
      </c>
      <c r="C56" s="9">
        <v>43100</v>
      </c>
      <c r="D56">
        <v>8</v>
      </c>
      <c r="E56" t="s">
        <v>21</v>
      </c>
      <c r="F56" t="s">
        <v>29</v>
      </c>
      <c r="G56" s="9">
        <v>45214</v>
      </c>
      <c r="H56" s="9">
        <v>45748</v>
      </c>
      <c r="I56">
        <v>21</v>
      </c>
      <c r="J56" t="s">
        <v>32</v>
      </c>
      <c r="K56">
        <v>1</v>
      </c>
      <c r="L56">
        <v>5</v>
      </c>
      <c r="M56" s="11">
        <v>12216.27</v>
      </c>
      <c r="N56" s="12">
        <v>14538.61</v>
      </c>
      <c r="O56" s="12">
        <v>16408.16</v>
      </c>
    </row>
    <row r="57" spans="1:15">
      <c r="A57" t="s">
        <v>126</v>
      </c>
      <c r="B57" t="s">
        <v>127</v>
      </c>
      <c r="C57" s="9">
        <v>13515</v>
      </c>
      <c r="D57">
        <v>89</v>
      </c>
      <c r="E57" t="s">
        <v>21</v>
      </c>
      <c r="F57" t="s">
        <v>49</v>
      </c>
      <c r="G57" s="9">
        <v>45321</v>
      </c>
      <c r="H57" s="9">
        <v>45558</v>
      </c>
      <c r="I57">
        <v>7</v>
      </c>
      <c r="J57" t="s">
        <v>32</v>
      </c>
      <c r="K57">
        <v>11</v>
      </c>
      <c r="L57">
        <v>8</v>
      </c>
      <c r="M57" s="11">
        <v>5342.36</v>
      </c>
      <c r="N57" s="12">
        <v>4095.38</v>
      </c>
      <c r="O57" s="12">
        <v>13602.12</v>
      </c>
    </row>
    <row r="58" spans="1:15">
      <c r="A58" t="s">
        <v>128</v>
      </c>
      <c r="B58" t="s">
        <v>129</v>
      </c>
      <c r="C58" s="9">
        <v>27029</v>
      </c>
      <c r="D58">
        <v>52</v>
      </c>
      <c r="E58" t="s">
        <v>17</v>
      </c>
      <c r="F58" t="s">
        <v>74</v>
      </c>
      <c r="G58" s="9">
        <v>45379</v>
      </c>
      <c r="H58" s="9">
        <v>45048</v>
      </c>
      <c r="I58">
        <v>17</v>
      </c>
      <c r="J58" t="s">
        <v>26</v>
      </c>
      <c r="K58">
        <v>10</v>
      </c>
      <c r="L58">
        <v>8</v>
      </c>
      <c r="M58" s="11">
        <v>25735.759999999998</v>
      </c>
      <c r="N58" s="12">
        <v>4929.5</v>
      </c>
      <c r="O58" s="12">
        <v>4202.75</v>
      </c>
    </row>
    <row r="59" spans="1:15">
      <c r="A59" t="s">
        <v>130</v>
      </c>
      <c r="B59" t="s">
        <v>131</v>
      </c>
      <c r="C59" s="9">
        <v>45657</v>
      </c>
      <c r="D59">
        <v>1</v>
      </c>
      <c r="E59" t="s">
        <v>21</v>
      </c>
      <c r="F59" t="s">
        <v>22</v>
      </c>
      <c r="G59" s="9">
        <v>45546</v>
      </c>
      <c r="H59" s="9">
        <v>45751</v>
      </c>
      <c r="I59">
        <v>14</v>
      </c>
      <c r="J59" t="s">
        <v>35</v>
      </c>
      <c r="K59">
        <v>4</v>
      </c>
      <c r="L59">
        <v>1</v>
      </c>
      <c r="M59" s="11">
        <v>4147.3599999999997</v>
      </c>
      <c r="N59" s="12">
        <v>5266.74</v>
      </c>
      <c r="O59" s="12">
        <v>9923.2199999999993</v>
      </c>
    </row>
    <row r="60" spans="1:15">
      <c r="A60" t="s">
        <v>132</v>
      </c>
      <c r="B60" t="s">
        <v>133</v>
      </c>
      <c r="C60" s="9">
        <v>15707</v>
      </c>
      <c r="D60">
        <v>83</v>
      </c>
      <c r="E60" t="s">
        <v>17</v>
      </c>
      <c r="F60" t="s">
        <v>49</v>
      </c>
      <c r="G60" s="9">
        <v>44959</v>
      </c>
      <c r="H60" s="9">
        <v>45690</v>
      </c>
      <c r="I60">
        <v>10</v>
      </c>
      <c r="J60" t="s">
        <v>32</v>
      </c>
      <c r="K60">
        <v>14</v>
      </c>
      <c r="L60">
        <v>8</v>
      </c>
      <c r="M60" s="11">
        <v>12885.57</v>
      </c>
      <c r="N60" s="12">
        <v>12854.31</v>
      </c>
      <c r="O60" s="12">
        <v>19516.78</v>
      </c>
    </row>
    <row r="61" spans="1:15">
      <c r="A61" t="s">
        <v>134</v>
      </c>
      <c r="B61" t="s">
        <v>135</v>
      </c>
      <c r="C61" s="9">
        <v>12785</v>
      </c>
      <c r="D61">
        <v>91</v>
      </c>
      <c r="E61" t="s">
        <v>17</v>
      </c>
      <c r="F61" t="s">
        <v>49</v>
      </c>
      <c r="G61" s="9">
        <v>45289</v>
      </c>
      <c r="H61" s="9">
        <v>45270</v>
      </c>
      <c r="I61">
        <v>26</v>
      </c>
      <c r="J61" t="s">
        <v>32</v>
      </c>
      <c r="K61">
        <v>4</v>
      </c>
      <c r="L61">
        <v>7</v>
      </c>
      <c r="M61" s="11">
        <v>1136.33</v>
      </c>
      <c r="N61" s="12">
        <v>8670.2800000000007</v>
      </c>
      <c r="O61" s="12">
        <v>17246.77</v>
      </c>
    </row>
    <row r="62" spans="1:15">
      <c r="A62" t="s">
        <v>136</v>
      </c>
      <c r="B62" t="s">
        <v>137</v>
      </c>
      <c r="C62" s="9">
        <v>24473</v>
      </c>
      <c r="D62">
        <v>59</v>
      </c>
      <c r="E62" t="s">
        <v>17</v>
      </c>
      <c r="F62" t="s">
        <v>29</v>
      </c>
      <c r="G62" s="9">
        <v>45037</v>
      </c>
      <c r="H62" s="9">
        <v>45259</v>
      </c>
      <c r="I62">
        <v>33</v>
      </c>
      <c r="J62" t="s">
        <v>35</v>
      </c>
      <c r="K62">
        <v>10</v>
      </c>
      <c r="L62">
        <v>6</v>
      </c>
      <c r="M62" s="11">
        <v>18845.98</v>
      </c>
      <c r="N62" s="12">
        <v>14609.65</v>
      </c>
      <c r="O62" s="12">
        <v>3755.25</v>
      </c>
    </row>
    <row r="63" spans="1:15">
      <c r="A63" t="s">
        <v>138</v>
      </c>
      <c r="B63" t="s">
        <v>139</v>
      </c>
      <c r="C63" s="9">
        <v>20455</v>
      </c>
      <c r="D63">
        <v>70</v>
      </c>
      <c r="E63" t="s">
        <v>17</v>
      </c>
      <c r="F63" t="s">
        <v>22</v>
      </c>
      <c r="G63" s="9">
        <v>45047</v>
      </c>
      <c r="H63" s="9">
        <v>45383</v>
      </c>
      <c r="I63">
        <v>20</v>
      </c>
      <c r="J63" t="s">
        <v>35</v>
      </c>
      <c r="K63">
        <v>0</v>
      </c>
      <c r="L63">
        <v>7</v>
      </c>
      <c r="M63" s="11">
        <v>0</v>
      </c>
      <c r="N63" s="12">
        <v>9407.43</v>
      </c>
      <c r="O63" s="12">
        <v>3513.7</v>
      </c>
    </row>
    <row r="64" spans="1:15">
      <c r="A64" t="s">
        <v>140</v>
      </c>
      <c r="B64" t="s">
        <v>119</v>
      </c>
      <c r="C64" s="9">
        <v>30317</v>
      </c>
      <c r="D64">
        <v>43</v>
      </c>
      <c r="E64" t="s">
        <v>17</v>
      </c>
      <c r="F64" t="s">
        <v>25</v>
      </c>
      <c r="G64" s="9">
        <v>44942</v>
      </c>
      <c r="H64" s="9">
        <v>45364</v>
      </c>
      <c r="I64">
        <v>24</v>
      </c>
      <c r="J64" t="s">
        <v>32</v>
      </c>
      <c r="K64">
        <v>14</v>
      </c>
      <c r="L64">
        <v>9</v>
      </c>
      <c r="M64" s="11">
        <v>14687.99</v>
      </c>
      <c r="N64" s="12">
        <v>10588.23</v>
      </c>
      <c r="O64" s="12">
        <v>16550.73</v>
      </c>
    </row>
    <row r="65" spans="1:15">
      <c r="A65" t="s">
        <v>141</v>
      </c>
      <c r="B65" t="s">
        <v>67</v>
      </c>
      <c r="C65" s="9">
        <f>DATE(2026-D25,1,1)</f>
        <v>34335</v>
      </c>
      <c r="D65">
        <v>7</v>
      </c>
      <c r="E65" t="s">
        <v>21</v>
      </c>
      <c r="F65" t="s">
        <v>18</v>
      </c>
      <c r="G65" s="9">
        <v>45449</v>
      </c>
      <c r="H65" s="9">
        <v>45268</v>
      </c>
      <c r="I65">
        <v>15</v>
      </c>
      <c r="J65" t="s">
        <v>32</v>
      </c>
      <c r="K65">
        <v>4</v>
      </c>
      <c r="L65">
        <v>7</v>
      </c>
      <c r="M65" s="11">
        <v>2599.38</v>
      </c>
      <c r="N65" s="12">
        <v>1337.51</v>
      </c>
      <c r="O65" s="12">
        <v>3897.78</v>
      </c>
    </row>
    <row r="66" spans="1:15">
      <c r="A66" t="s">
        <v>142</v>
      </c>
      <c r="B66" t="s">
        <v>143</v>
      </c>
      <c r="C66" s="9">
        <v>29221</v>
      </c>
      <c r="D66">
        <v>46</v>
      </c>
      <c r="E66" t="s">
        <v>17</v>
      </c>
      <c r="F66" t="s">
        <v>29</v>
      </c>
      <c r="G66" s="9">
        <v>45641</v>
      </c>
      <c r="H66" s="9">
        <v>45268</v>
      </c>
      <c r="I66">
        <v>15</v>
      </c>
      <c r="J66" t="s">
        <v>32</v>
      </c>
      <c r="K66">
        <v>12</v>
      </c>
      <c r="L66">
        <v>0</v>
      </c>
      <c r="M66" s="11">
        <v>15176.43</v>
      </c>
      <c r="N66" s="12">
        <v>14275.21</v>
      </c>
      <c r="O66" s="12">
        <v>9001.07</v>
      </c>
    </row>
    <row r="67" spans="1:15">
      <c r="A67" t="s">
        <v>144</v>
      </c>
      <c r="B67" t="s">
        <v>145</v>
      </c>
      <c r="C67" s="9">
        <v>33604</v>
      </c>
      <c r="D67">
        <v>34</v>
      </c>
      <c r="E67" t="s">
        <v>21</v>
      </c>
      <c r="F67" t="s">
        <v>22</v>
      </c>
      <c r="G67" s="9">
        <v>45640</v>
      </c>
      <c r="H67" s="9">
        <v>45343</v>
      </c>
      <c r="I67">
        <v>6</v>
      </c>
      <c r="J67" t="s">
        <v>26</v>
      </c>
      <c r="K67">
        <v>8</v>
      </c>
      <c r="L67">
        <v>8</v>
      </c>
      <c r="M67" s="11">
        <v>16695.400000000001</v>
      </c>
      <c r="N67" s="12">
        <v>9420.85</v>
      </c>
      <c r="O67" s="12">
        <v>3533.25</v>
      </c>
    </row>
    <row r="68" spans="1:15">
      <c r="A68" t="s">
        <v>146</v>
      </c>
      <c r="B68" t="s">
        <v>147</v>
      </c>
      <c r="C68" s="9">
        <v>17898</v>
      </c>
      <c r="D68">
        <v>77</v>
      </c>
      <c r="E68" t="s">
        <v>21</v>
      </c>
      <c r="F68" t="s">
        <v>22</v>
      </c>
      <c r="G68" s="9">
        <v>45024</v>
      </c>
      <c r="H68" s="9">
        <v>45776</v>
      </c>
      <c r="I68">
        <v>0</v>
      </c>
      <c r="J68" t="s">
        <v>35</v>
      </c>
      <c r="K68">
        <v>0</v>
      </c>
      <c r="L68">
        <v>5</v>
      </c>
      <c r="M68" s="11">
        <v>28866.62</v>
      </c>
      <c r="N68" s="12">
        <v>7802.71</v>
      </c>
      <c r="O68" s="12">
        <v>194.72</v>
      </c>
    </row>
    <row r="69" spans="1:15">
      <c r="A69" t="s">
        <v>148</v>
      </c>
      <c r="B69" t="s">
        <v>149</v>
      </c>
      <c r="C69" s="9">
        <v>16802</v>
      </c>
      <c r="D69">
        <f ca="1">DATEDIF(C20,TODAY(),"Y")</f>
        <v>37</v>
      </c>
      <c r="E69" t="s">
        <v>21</v>
      </c>
      <c r="F69" t="s">
        <v>5184</v>
      </c>
      <c r="G69" s="9">
        <v>45042</v>
      </c>
      <c r="H69" s="9">
        <v>45109</v>
      </c>
      <c r="I69">
        <v>4</v>
      </c>
      <c r="J69" t="s">
        <v>32</v>
      </c>
      <c r="K69">
        <v>6</v>
      </c>
      <c r="L69">
        <v>0</v>
      </c>
      <c r="M69" s="11">
        <v>513.29</v>
      </c>
      <c r="N69" s="12">
        <v>5811.06</v>
      </c>
      <c r="O69" s="12">
        <v>17495.61</v>
      </c>
    </row>
    <row r="70" spans="1:15">
      <c r="A70" t="s">
        <v>150</v>
      </c>
      <c r="B70" t="s">
        <v>151</v>
      </c>
      <c r="C70" s="9">
        <v>33239</v>
      </c>
      <c r="D70">
        <v>35</v>
      </c>
      <c r="E70" t="s">
        <v>17</v>
      </c>
      <c r="F70" t="s">
        <v>74</v>
      </c>
      <c r="G70" s="9">
        <v>45397</v>
      </c>
      <c r="H70" s="9">
        <v>45604</v>
      </c>
      <c r="I70">
        <v>12</v>
      </c>
      <c r="J70" t="s">
        <v>32</v>
      </c>
      <c r="K70">
        <v>5</v>
      </c>
      <c r="L70">
        <v>0</v>
      </c>
      <c r="M70" s="11">
        <v>27642.77</v>
      </c>
      <c r="N70" s="12">
        <v>1155.75</v>
      </c>
      <c r="O70" s="12">
        <v>15557.99</v>
      </c>
    </row>
    <row r="71" spans="1:15">
      <c r="A71" t="s">
        <v>152</v>
      </c>
      <c r="B71" t="s">
        <v>153</v>
      </c>
      <c r="C71" s="9">
        <v>28125</v>
      </c>
      <c r="D71">
        <v>49</v>
      </c>
      <c r="E71" t="s">
        <v>21</v>
      </c>
      <c r="F71" t="s">
        <v>18</v>
      </c>
      <c r="G71" s="9">
        <v>45365</v>
      </c>
      <c r="H71" s="9">
        <v>45191</v>
      </c>
      <c r="I71">
        <v>27</v>
      </c>
      <c r="J71" t="s">
        <v>35</v>
      </c>
      <c r="K71">
        <v>12</v>
      </c>
      <c r="L71">
        <v>6</v>
      </c>
      <c r="M71" s="11">
        <v>14126.72</v>
      </c>
      <c r="N71" s="12">
        <v>2000.21</v>
      </c>
      <c r="O71" s="12">
        <v>9358.83</v>
      </c>
    </row>
    <row r="72" spans="1:15">
      <c r="A72" t="s">
        <v>154</v>
      </c>
      <c r="B72" t="s">
        <v>155</v>
      </c>
      <c r="C72" s="9">
        <v>44927</v>
      </c>
      <c r="D72">
        <v>3</v>
      </c>
      <c r="E72" t="s">
        <v>21</v>
      </c>
      <c r="F72" t="s">
        <v>29</v>
      </c>
      <c r="G72" s="9">
        <v>45207</v>
      </c>
      <c r="H72" s="9">
        <v>45137</v>
      </c>
      <c r="I72">
        <v>6</v>
      </c>
      <c r="J72" t="s">
        <v>32</v>
      </c>
      <c r="K72">
        <v>4</v>
      </c>
      <c r="L72">
        <v>9</v>
      </c>
      <c r="M72" s="11">
        <v>5908.49</v>
      </c>
      <c r="N72" s="12">
        <v>175.43</v>
      </c>
      <c r="O72" s="12">
        <v>3107.54</v>
      </c>
    </row>
    <row r="73" spans="1:15">
      <c r="A73" t="s">
        <v>156</v>
      </c>
      <c r="B73" t="s">
        <v>157</v>
      </c>
      <c r="C73" s="9">
        <v>45657</v>
      </c>
      <c r="D73">
        <v>1</v>
      </c>
      <c r="E73" t="s">
        <v>21</v>
      </c>
      <c r="F73" t="s">
        <v>29</v>
      </c>
      <c r="G73" s="9">
        <v>45275</v>
      </c>
      <c r="H73" s="9">
        <v>45450</v>
      </c>
      <c r="I73">
        <v>38</v>
      </c>
      <c r="J73" t="s">
        <v>32</v>
      </c>
      <c r="K73">
        <v>12</v>
      </c>
      <c r="L73">
        <v>1</v>
      </c>
      <c r="M73" s="11">
        <v>19799.16</v>
      </c>
      <c r="N73" s="12">
        <v>14980.39</v>
      </c>
      <c r="O73" s="12">
        <v>16109</v>
      </c>
    </row>
    <row r="74" spans="1:15">
      <c r="A74" t="s">
        <v>158</v>
      </c>
      <c r="B74" t="s">
        <v>159</v>
      </c>
      <c r="C74" s="9">
        <v>44196</v>
      </c>
      <c r="D74">
        <v>5</v>
      </c>
      <c r="E74" t="s">
        <v>17</v>
      </c>
      <c r="F74" t="s">
        <v>25</v>
      </c>
      <c r="G74" s="9">
        <v>45158</v>
      </c>
      <c r="H74" s="9">
        <v>45109</v>
      </c>
      <c r="I74">
        <v>24</v>
      </c>
      <c r="J74" t="s">
        <v>26</v>
      </c>
      <c r="K74">
        <v>8</v>
      </c>
      <c r="L74">
        <v>5</v>
      </c>
      <c r="M74" s="11">
        <v>15270.09</v>
      </c>
      <c r="N74" s="12">
        <v>11794.34</v>
      </c>
      <c r="O74" s="12">
        <v>7123.28</v>
      </c>
    </row>
    <row r="75" spans="1:15">
      <c r="A75" t="s">
        <v>160</v>
      </c>
      <c r="B75" t="s">
        <v>119</v>
      </c>
      <c r="C75" s="9">
        <v>26664</v>
      </c>
      <c r="D75">
        <v>53</v>
      </c>
      <c r="E75" t="s">
        <v>17</v>
      </c>
      <c r="F75" t="s">
        <v>5184</v>
      </c>
      <c r="G75" s="9">
        <v>45037</v>
      </c>
      <c r="H75" s="9">
        <v>45371</v>
      </c>
      <c r="I75">
        <v>33</v>
      </c>
      <c r="J75" t="s">
        <v>26</v>
      </c>
      <c r="K75">
        <v>4</v>
      </c>
      <c r="L75">
        <v>4</v>
      </c>
      <c r="M75" s="11">
        <v>6416.03</v>
      </c>
      <c r="N75" s="12">
        <v>11961.78</v>
      </c>
      <c r="O75" s="12">
        <v>13205.18</v>
      </c>
    </row>
    <row r="76" spans="1:15">
      <c r="A76" t="s">
        <v>161</v>
      </c>
      <c r="B76" t="s">
        <v>110</v>
      </c>
      <c r="C76" s="9">
        <v>44927</v>
      </c>
      <c r="D76">
        <v>3</v>
      </c>
      <c r="E76" t="s">
        <v>17</v>
      </c>
      <c r="F76" t="s">
        <v>5184</v>
      </c>
      <c r="G76" s="9">
        <v>45278</v>
      </c>
      <c r="H76" s="9">
        <v>45178</v>
      </c>
      <c r="I76">
        <v>15</v>
      </c>
      <c r="J76" t="s">
        <v>26</v>
      </c>
      <c r="K76">
        <v>7</v>
      </c>
      <c r="L76">
        <v>4</v>
      </c>
      <c r="M76" s="11">
        <v>18618.22</v>
      </c>
      <c r="N76" s="12">
        <v>10951.35</v>
      </c>
      <c r="O76" s="12">
        <v>6265.56</v>
      </c>
    </row>
    <row r="77" spans="1:15">
      <c r="A77" t="s">
        <v>162</v>
      </c>
      <c r="B77" t="s">
        <v>163</v>
      </c>
      <c r="C77" s="9">
        <v>26664</v>
      </c>
      <c r="D77">
        <v>53</v>
      </c>
      <c r="E77" t="s">
        <v>17</v>
      </c>
      <c r="F77" t="s">
        <v>74</v>
      </c>
      <c r="G77" s="9">
        <v>44938</v>
      </c>
      <c r="H77" s="9">
        <v>45065</v>
      </c>
      <c r="I77">
        <v>28</v>
      </c>
      <c r="J77" t="s">
        <v>32</v>
      </c>
      <c r="K77">
        <v>7</v>
      </c>
      <c r="L77">
        <v>9</v>
      </c>
      <c r="M77" s="11">
        <v>13934.5</v>
      </c>
      <c r="N77" s="12">
        <v>7261.59</v>
      </c>
      <c r="O77" s="12">
        <v>8588.9699999999993</v>
      </c>
    </row>
    <row r="78" spans="1:15">
      <c r="A78" t="s">
        <v>164</v>
      </c>
      <c r="B78" t="s">
        <v>31</v>
      </c>
      <c r="C78" s="9">
        <v>12419</v>
      </c>
      <c r="D78">
        <v>92</v>
      </c>
      <c r="E78" t="s">
        <v>21</v>
      </c>
      <c r="F78" t="s">
        <v>5184</v>
      </c>
      <c r="G78" s="9">
        <v>45414</v>
      </c>
      <c r="H78" s="9">
        <v>45145</v>
      </c>
      <c r="I78">
        <v>14</v>
      </c>
      <c r="J78" t="s">
        <v>35</v>
      </c>
      <c r="K78">
        <v>8</v>
      </c>
      <c r="L78">
        <v>5</v>
      </c>
      <c r="M78" s="11">
        <v>20514.95</v>
      </c>
      <c r="N78" s="12">
        <v>1322.96</v>
      </c>
      <c r="O78" s="12">
        <v>10662.98</v>
      </c>
    </row>
    <row r="79" spans="1:15">
      <c r="A79" t="s">
        <v>165</v>
      </c>
      <c r="B79" t="s">
        <v>166</v>
      </c>
      <c r="C79" s="9">
        <f>DATE(2026-D39,1,1)</f>
        <v>23743</v>
      </c>
      <c r="D79">
        <v>62</v>
      </c>
      <c r="E79" t="s">
        <v>21</v>
      </c>
      <c r="F79" t="s">
        <v>74</v>
      </c>
      <c r="G79" s="9">
        <v>45459</v>
      </c>
      <c r="H79" s="9">
        <v>45678</v>
      </c>
      <c r="I79">
        <v>3</v>
      </c>
      <c r="J79" t="s">
        <v>26</v>
      </c>
      <c r="K79">
        <v>8</v>
      </c>
      <c r="L79">
        <v>7</v>
      </c>
      <c r="M79" s="11">
        <v>20516.849999999999</v>
      </c>
      <c r="N79" s="12">
        <v>1084.04</v>
      </c>
      <c r="O79" s="12">
        <v>15216.53</v>
      </c>
    </row>
    <row r="80" spans="1:15">
      <c r="A80" t="s">
        <v>167</v>
      </c>
      <c r="B80" t="s">
        <v>168</v>
      </c>
      <c r="C80" s="9">
        <v>39813</v>
      </c>
      <c r="D80">
        <v>17</v>
      </c>
      <c r="E80" t="s">
        <v>17</v>
      </c>
      <c r="F80" t="s">
        <v>22</v>
      </c>
      <c r="G80" s="9">
        <v>45565</v>
      </c>
      <c r="H80" s="9">
        <v>45381</v>
      </c>
      <c r="I80">
        <v>36</v>
      </c>
      <c r="J80" t="s">
        <v>26</v>
      </c>
      <c r="K80">
        <v>0</v>
      </c>
      <c r="L80">
        <v>4</v>
      </c>
      <c r="M80" s="11">
        <v>13920.87</v>
      </c>
      <c r="N80" s="12">
        <v>13745.61</v>
      </c>
      <c r="O80" s="12">
        <v>16624.580000000002</v>
      </c>
    </row>
    <row r="81" spans="1:15">
      <c r="A81" t="s">
        <v>169</v>
      </c>
      <c r="B81" t="s">
        <v>170</v>
      </c>
      <c r="C81" s="9">
        <v>13515</v>
      </c>
      <c r="D81">
        <v>89</v>
      </c>
      <c r="E81" t="s">
        <v>21</v>
      </c>
      <c r="F81" t="s">
        <v>22</v>
      </c>
      <c r="G81" s="9">
        <v>45211</v>
      </c>
      <c r="H81" s="9">
        <v>45810</v>
      </c>
      <c r="I81">
        <v>22</v>
      </c>
      <c r="J81" t="s">
        <v>26</v>
      </c>
      <c r="K81">
        <v>1</v>
      </c>
      <c r="L81">
        <v>7</v>
      </c>
      <c r="M81" s="11">
        <v>11419.28</v>
      </c>
      <c r="N81" s="12">
        <v>4.72</v>
      </c>
      <c r="O81" s="12">
        <v>8815.2900000000009</v>
      </c>
    </row>
    <row r="82" spans="1:15">
      <c r="A82" t="s">
        <v>171</v>
      </c>
      <c r="B82" t="s">
        <v>172</v>
      </c>
      <c r="C82" s="9">
        <f>DATE(2026-D42,1,1)</f>
        <v>27760</v>
      </c>
      <c r="D82">
        <v>43</v>
      </c>
      <c r="E82" t="s">
        <v>21</v>
      </c>
      <c r="F82" t="s">
        <v>29</v>
      </c>
      <c r="G82" s="9">
        <v>45559</v>
      </c>
      <c r="H82" s="9">
        <v>45776</v>
      </c>
      <c r="I82">
        <v>39</v>
      </c>
      <c r="J82" t="s">
        <v>26</v>
      </c>
      <c r="K82">
        <v>14</v>
      </c>
      <c r="L82">
        <v>4</v>
      </c>
      <c r="M82" s="11">
        <v>1428.95</v>
      </c>
      <c r="N82" s="12">
        <v>10486.54</v>
      </c>
      <c r="O82" s="12">
        <v>4584.1099999999997</v>
      </c>
    </row>
    <row r="83" spans="1:15">
      <c r="A83" t="s">
        <v>173</v>
      </c>
      <c r="B83" t="s">
        <v>174</v>
      </c>
      <c r="C83" s="9">
        <v>33969</v>
      </c>
      <c r="D83">
        <v>33</v>
      </c>
      <c r="E83" t="s">
        <v>21</v>
      </c>
      <c r="F83" t="s">
        <v>25</v>
      </c>
      <c r="G83" s="9">
        <v>45562</v>
      </c>
      <c r="H83" s="9">
        <v>45014</v>
      </c>
      <c r="I83">
        <v>39</v>
      </c>
      <c r="J83" t="s">
        <v>32</v>
      </c>
      <c r="K83">
        <v>8</v>
      </c>
      <c r="L83">
        <v>9</v>
      </c>
      <c r="M83" s="11">
        <v>0</v>
      </c>
      <c r="N83" s="12">
        <v>9428.68</v>
      </c>
      <c r="O83" s="12">
        <v>2988.35</v>
      </c>
    </row>
    <row r="84" spans="1:15">
      <c r="A84" t="s">
        <v>175</v>
      </c>
      <c r="B84" t="s">
        <v>176</v>
      </c>
      <c r="C84" s="9">
        <v>19359</v>
      </c>
      <c r="D84">
        <v>73</v>
      </c>
      <c r="E84" t="s">
        <v>17</v>
      </c>
      <c r="F84" t="s">
        <v>29</v>
      </c>
      <c r="G84" s="9">
        <v>45471</v>
      </c>
      <c r="H84" s="9">
        <v>45737</v>
      </c>
      <c r="I84">
        <v>35</v>
      </c>
      <c r="J84" t="s">
        <v>32</v>
      </c>
      <c r="K84">
        <v>5</v>
      </c>
      <c r="L84">
        <v>5</v>
      </c>
      <c r="M84" s="11">
        <v>6915.01</v>
      </c>
      <c r="N84" s="12">
        <v>7518.38</v>
      </c>
      <c r="O84" s="12">
        <v>6749.03</v>
      </c>
    </row>
    <row r="85" spans="1:15">
      <c r="A85" t="s">
        <v>177</v>
      </c>
      <c r="B85" t="s">
        <v>170</v>
      </c>
      <c r="C85" s="9">
        <v>23742</v>
      </c>
      <c r="D85">
        <v>61</v>
      </c>
      <c r="E85" t="s">
        <v>21</v>
      </c>
      <c r="F85" t="s">
        <v>5184</v>
      </c>
      <c r="G85" s="9">
        <v>45318</v>
      </c>
      <c r="H85" s="9">
        <v>45220</v>
      </c>
      <c r="I85">
        <v>35</v>
      </c>
      <c r="J85" t="s">
        <v>35</v>
      </c>
      <c r="K85">
        <v>9</v>
      </c>
      <c r="L85">
        <v>7</v>
      </c>
      <c r="M85" s="11">
        <v>1124.05</v>
      </c>
      <c r="N85" s="12">
        <v>14624.26</v>
      </c>
      <c r="O85" s="12">
        <v>16015.85</v>
      </c>
    </row>
    <row r="86" spans="1:15">
      <c r="A86" t="s">
        <v>178</v>
      </c>
      <c r="B86" t="s">
        <v>71</v>
      </c>
      <c r="C86" s="9">
        <v>41274</v>
      </c>
      <c r="D86">
        <v>13</v>
      </c>
      <c r="E86" t="s">
        <v>17</v>
      </c>
      <c r="F86" t="s">
        <v>49</v>
      </c>
      <c r="G86" s="9">
        <v>45096</v>
      </c>
      <c r="H86" s="9">
        <v>45019</v>
      </c>
      <c r="I86">
        <v>28</v>
      </c>
      <c r="J86" t="s">
        <v>32</v>
      </c>
      <c r="K86">
        <v>8</v>
      </c>
      <c r="L86">
        <v>1</v>
      </c>
      <c r="M86" s="11">
        <v>9576.6</v>
      </c>
      <c r="N86" s="12">
        <v>2971.93</v>
      </c>
      <c r="O86" s="12">
        <v>5407.03</v>
      </c>
    </row>
    <row r="87" spans="1:15">
      <c r="A87" t="s">
        <v>179</v>
      </c>
      <c r="B87" t="s">
        <v>100</v>
      </c>
      <c r="C87" s="9">
        <v>11689</v>
      </c>
      <c r="D87">
        <v>94</v>
      </c>
      <c r="E87" t="s">
        <v>21</v>
      </c>
      <c r="F87" t="s">
        <v>22</v>
      </c>
      <c r="G87" s="9">
        <v>45003</v>
      </c>
      <c r="H87" s="9">
        <v>45135</v>
      </c>
      <c r="I87">
        <v>26</v>
      </c>
      <c r="J87" t="s">
        <v>32</v>
      </c>
      <c r="K87">
        <v>10</v>
      </c>
      <c r="L87">
        <v>6</v>
      </c>
      <c r="M87" s="11">
        <v>2167.81</v>
      </c>
      <c r="N87" s="12">
        <v>11779.3</v>
      </c>
      <c r="O87" s="12">
        <v>855.15</v>
      </c>
    </row>
    <row r="88" spans="1:15">
      <c r="A88" t="s">
        <v>180</v>
      </c>
      <c r="B88" t="s">
        <v>181</v>
      </c>
      <c r="C88" s="9">
        <v>28856</v>
      </c>
      <c r="D88">
        <v>47</v>
      </c>
      <c r="E88" t="s">
        <v>17</v>
      </c>
      <c r="F88" t="s">
        <v>49</v>
      </c>
      <c r="G88" s="9">
        <v>45223</v>
      </c>
      <c r="H88" s="9">
        <v>45131</v>
      </c>
      <c r="I88">
        <v>37</v>
      </c>
      <c r="J88" t="s">
        <v>32</v>
      </c>
      <c r="K88">
        <v>11</v>
      </c>
      <c r="L88">
        <v>2</v>
      </c>
      <c r="M88" s="11">
        <v>17182.13</v>
      </c>
      <c r="N88" s="12">
        <v>10122.59</v>
      </c>
      <c r="O88" s="12">
        <v>11241.95</v>
      </c>
    </row>
    <row r="89" spans="1:15">
      <c r="A89" t="s">
        <v>182</v>
      </c>
      <c r="B89" t="s">
        <v>65</v>
      </c>
      <c r="C89" s="9">
        <v>40909</v>
      </c>
      <c r="D89">
        <v>14</v>
      </c>
      <c r="E89" t="s">
        <v>21</v>
      </c>
      <c r="F89" t="s">
        <v>5184</v>
      </c>
      <c r="G89" s="9">
        <v>45256</v>
      </c>
      <c r="H89" s="9">
        <v>45113</v>
      </c>
      <c r="I89">
        <v>6</v>
      </c>
      <c r="J89" t="s">
        <v>32</v>
      </c>
      <c r="K89">
        <v>12</v>
      </c>
      <c r="L89">
        <v>8</v>
      </c>
      <c r="M89" s="11">
        <v>14861.91</v>
      </c>
      <c r="N89" s="12">
        <v>14616.48</v>
      </c>
      <c r="O89" s="12">
        <v>575.63</v>
      </c>
    </row>
    <row r="90" spans="1:15">
      <c r="A90" t="s">
        <v>183</v>
      </c>
      <c r="B90" t="s">
        <v>184</v>
      </c>
      <c r="C90" s="9">
        <v>20090</v>
      </c>
      <c r="D90">
        <v>71</v>
      </c>
      <c r="E90" t="s">
        <v>21</v>
      </c>
      <c r="F90" t="s">
        <v>25</v>
      </c>
      <c r="G90" s="9">
        <v>44989</v>
      </c>
      <c r="H90" s="9">
        <v>45012</v>
      </c>
      <c r="I90">
        <v>2</v>
      </c>
      <c r="J90" t="s">
        <v>32</v>
      </c>
      <c r="K90">
        <v>12</v>
      </c>
      <c r="L90">
        <v>9</v>
      </c>
      <c r="M90" s="11">
        <v>23669.08</v>
      </c>
      <c r="N90" s="12">
        <v>14011.08</v>
      </c>
      <c r="O90" s="12">
        <v>17687</v>
      </c>
    </row>
    <row r="91" spans="1:15">
      <c r="A91" t="s">
        <v>185</v>
      </c>
      <c r="B91" t="s">
        <v>172</v>
      </c>
      <c r="C91" s="9">
        <v>17898</v>
      </c>
      <c r="D91">
        <v>77</v>
      </c>
      <c r="E91" t="s">
        <v>21</v>
      </c>
      <c r="F91" t="s">
        <v>29</v>
      </c>
      <c r="G91" s="9">
        <v>45196</v>
      </c>
      <c r="H91" s="9">
        <v>45754</v>
      </c>
      <c r="I91">
        <v>13</v>
      </c>
      <c r="J91" t="s">
        <v>32</v>
      </c>
      <c r="K91">
        <v>7</v>
      </c>
      <c r="L91">
        <v>6</v>
      </c>
      <c r="M91" s="11">
        <v>7662.82</v>
      </c>
      <c r="N91" s="12">
        <v>1928.57</v>
      </c>
      <c r="O91" s="12">
        <v>13529.02</v>
      </c>
    </row>
    <row r="92" spans="1:15">
      <c r="A92" t="s">
        <v>186</v>
      </c>
      <c r="B92" t="s">
        <v>187</v>
      </c>
      <c r="C92" s="9">
        <v>14611</v>
      </c>
      <c r="D92">
        <v>86</v>
      </c>
      <c r="E92" t="s">
        <v>17</v>
      </c>
      <c r="F92" t="s">
        <v>22</v>
      </c>
      <c r="G92" s="9">
        <v>45142</v>
      </c>
      <c r="H92" s="9">
        <v>45591</v>
      </c>
      <c r="I92">
        <v>35</v>
      </c>
      <c r="J92" t="s">
        <v>32</v>
      </c>
      <c r="K92">
        <v>10</v>
      </c>
      <c r="L92">
        <v>2</v>
      </c>
      <c r="M92" s="11">
        <v>10831.64</v>
      </c>
      <c r="N92" s="12">
        <v>4615.75</v>
      </c>
      <c r="O92" s="12">
        <v>5062.59</v>
      </c>
    </row>
    <row r="93" spans="1:15">
      <c r="A93" t="s">
        <v>188</v>
      </c>
      <c r="B93" t="s">
        <v>189</v>
      </c>
      <c r="C93" s="9">
        <v>23742</v>
      </c>
      <c r="D93">
        <v>61</v>
      </c>
      <c r="E93" t="s">
        <v>21</v>
      </c>
      <c r="F93" t="s">
        <v>25</v>
      </c>
      <c r="G93" s="9">
        <v>45116</v>
      </c>
      <c r="H93" s="9">
        <v>45083</v>
      </c>
      <c r="I93">
        <v>20</v>
      </c>
      <c r="J93" t="s">
        <v>32</v>
      </c>
      <c r="K93">
        <v>11</v>
      </c>
      <c r="L93">
        <v>7</v>
      </c>
      <c r="M93" s="11">
        <v>20512.990000000002</v>
      </c>
      <c r="N93" s="12">
        <v>12762</v>
      </c>
      <c r="O93" s="12">
        <v>9328.74</v>
      </c>
    </row>
    <row r="94" spans="1:15">
      <c r="A94" t="s">
        <v>190</v>
      </c>
      <c r="B94" t="s">
        <v>105</v>
      </c>
      <c r="C94" s="9">
        <v>31778</v>
      </c>
      <c r="D94">
        <v>39</v>
      </c>
      <c r="E94" t="s">
        <v>17</v>
      </c>
      <c r="F94" t="s">
        <v>29</v>
      </c>
      <c r="G94" s="9">
        <v>45001</v>
      </c>
      <c r="H94" s="9">
        <v>45220</v>
      </c>
      <c r="I94">
        <v>5</v>
      </c>
      <c r="J94" t="s">
        <v>32</v>
      </c>
      <c r="K94">
        <v>12</v>
      </c>
      <c r="L94">
        <v>9</v>
      </c>
      <c r="M94" s="11">
        <v>29784.81</v>
      </c>
      <c r="N94" s="12">
        <v>3429.91</v>
      </c>
      <c r="O94" s="12">
        <v>14758.26</v>
      </c>
    </row>
    <row r="95" spans="1:15">
      <c r="A95" t="s">
        <v>191</v>
      </c>
      <c r="B95" t="s">
        <v>192</v>
      </c>
      <c r="C95" s="9">
        <v>15341</v>
      </c>
      <c r="D95">
        <v>84</v>
      </c>
      <c r="E95" t="s">
        <v>17</v>
      </c>
      <c r="F95" t="s">
        <v>29</v>
      </c>
      <c r="G95" s="9">
        <v>45612</v>
      </c>
      <c r="H95" s="9">
        <v>45460</v>
      </c>
      <c r="I95">
        <v>9</v>
      </c>
      <c r="J95" t="s">
        <v>26</v>
      </c>
      <c r="K95">
        <v>4</v>
      </c>
      <c r="L95">
        <v>1</v>
      </c>
      <c r="M95" s="11">
        <v>27077.18</v>
      </c>
      <c r="N95" s="12">
        <v>5678.09</v>
      </c>
      <c r="O95" s="12">
        <v>18305.25</v>
      </c>
    </row>
    <row r="96" spans="1:15">
      <c r="A96" t="s">
        <v>193</v>
      </c>
      <c r="B96" t="s">
        <v>194</v>
      </c>
      <c r="C96" s="9">
        <v>17168</v>
      </c>
      <c r="D96">
        <v>79</v>
      </c>
      <c r="E96" t="s">
        <v>17</v>
      </c>
      <c r="F96" t="s">
        <v>49</v>
      </c>
      <c r="G96" s="9">
        <v>45436</v>
      </c>
      <c r="H96" s="9">
        <v>45088</v>
      </c>
      <c r="I96">
        <v>7</v>
      </c>
      <c r="J96" t="s">
        <v>35</v>
      </c>
      <c r="K96">
        <v>9</v>
      </c>
      <c r="L96">
        <v>9</v>
      </c>
      <c r="M96" s="11">
        <v>15385.16</v>
      </c>
      <c r="N96" s="12">
        <v>9389.4599999999991</v>
      </c>
      <c r="O96" s="12">
        <v>17476.52</v>
      </c>
    </row>
    <row r="97" spans="1:15">
      <c r="A97" t="s">
        <v>195</v>
      </c>
      <c r="B97" t="s">
        <v>196</v>
      </c>
      <c r="C97" s="9">
        <v>16437</v>
      </c>
      <c r="D97">
        <v>81</v>
      </c>
      <c r="E97" t="s">
        <v>21</v>
      </c>
      <c r="F97" t="s">
        <v>18</v>
      </c>
      <c r="G97" s="9">
        <v>45505</v>
      </c>
      <c r="H97" s="9">
        <v>45313</v>
      </c>
      <c r="I97">
        <v>13</v>
      </c>
      <c r="J97" t="s">
        <v>32</v>
      </c>
      <c r="K97">
        <v>1</v>
      </c>
      <c r="L97">
        <v>7</v>
      </c>
      <c r="M97" s="11">
        <v>20177.39</v>
      </c>
      <c r="N97" s="12">
        <v>8443.7099999999991</v>
      </c>
      <c r="O97" s="12">
        <v>1297.58</v>
      </c>
    </row>
    <row r="98" spans="1:15">
      <c r="A98" t="s">
        <v>197</v>
      </c>
      <c r="B98" t="s">
        <v>198</v>
      </c>
      <c r="C98" s="9">
        <v>27029</v>
      </c>
      <c r="D98">
        <v>52</v>
      </c>
      <c r="E98" t="s">
        <v>21</v>
      </c>
      <c r="F98" t="s">
        <v>5184</v>
      </c>
      <c r="G98" s="9">
        <v>45019</v>
      </c>
      <c r="H98" s="9">
        <v>45412</v>
      </c>
      <c r="I98">
        <v>21</v>
      </c>
      <c r="J98" t="s">
        <v>32</v>
      </c>
      <c r="K98">
        <v>9</v>
      </c>
      <c r="L98">
        <v>6</v>
      </c>
      <c r="M98" s="11">
        <v>15723.63</v>
      </c>
      <c r="N98" s="12">
        <v>9609.1</v>
      </c>
      <c r="O98" s="12">
        <v>1530.94</v>
      </c>
    </row>
    <row r="99" spans="1:15">
      <c r="A99" t="s">
        <v>199</v>
      </c>
      <c r="B99" t="s">
        <v>112</v>
      </c>
      <c r="C99" s="9">
        <v>37622</v>
      </c>
      <c r="D99">
        <v>23</v>
      </c>
      <c r="E99" t="s">
        <v>21</v>
      </c>
      <c r="F99" t="s">
        <v>74</v>
      </c>
      <c r="G99" s="9">
        <v>44979</v>
      </c>
      <c r="H99" s="9">
        <v>45430</v>
      </c>
      <c r="I99">
        <v>36</v>
      </c>
      <c r="J99" t="s">
        <v>35</v>
      </c>
      <c r="K99">
        <v>13</v>
      </c>
      <c r="L99">
        <v>4</v>
      </c>
      <c r="M99" s="11">
        <v>12761.57</v>
      </c>
      <c r="N99" s="12">
        <v>10702.32</v>
      </c>
      <c r="O99" s="12">
        <v>11914.25</v>
      </c>
    </row>
    <row r="100" spans="1:15">
      <c r="A100" t="s">
        <v>200</v>
      </c>
      <c r="B100" t="s">
        <v>201</v>
      </c>
      <c r="C100" s="9">
        <v>36891</v>
      </c>
      <c r="D100">
        <v>25</v>
      </c>
      <c r="E100" t="s">
        <v>17</v>
      </c>
      <c r="F100" t="s">
        <v>22</v>
      </c>
      <c r="G100" s="9">
        <v>45422</v>
      </c>
      <c r="H100" s="9">
        <v>45778</v>
      </c>
      <c r="I100">
        <v>5</v>
      </c>
      <c r="J100" t="s">
        <v>32</v>
      </c>
      <c r="K100">
        <v>5</v>
      </c>
      <c r="L100">
        <v>3</v>
      </c>
      <c r="M100" s="11">
        <v>17870.080000000002</v>
      </c>
      <c r="N100" s="12">
        <v>10931.55</v>
      </c>
      <c r="O100" s="12">
        <v>9879.57</v>
      </c>
    </row>
    <row r="101" spans="1:15">
      <c r="A101" t="s">
        <v>202</v>
      </c>
      <c r="B101" t="s">
        <v>44</v>
      </c>
      <c r="C101" s="9">
        <v>13880</v>
      </c>
      <c r="D101">
        <v>88</v>
      </c>
      <c r="E101" t="s">
        <v>17</v>
      </c>
      <c r="F101" t="s">
        <v>74</v>
      </c>
      <c r="G101" s="9">
        <v>45020</v>
      </c>
      <c r="H101" s="9">
        <v>45083</v>
      </c>
      <c r="I101">
        <v>8</v>
      </c>
      <c r="J101" t="s">
        <v>32</v>
      </c>
      <c r="K101">
        <v>9</v>
      </c>
      <c r="L101">
        <v>9</v>
      </c>
      <c r="M101" s="11">
        <v>11288.23</v>
      </c>
      <c r="N101" s="12">
        <v>11063.36</v>
      </c>
      <c r="O101" s="12">
        <v>5788.04</v>
      </c>
    </row>
    <row r="102" spans="1:15">
      <c r="A102" t="s">
        <v>203</v>
      </c>
      <c r="B102" t="s">
        <v>204</v>
      </c>
      <c r="C102" s="9">
        <v>24473</v>
      </c>
      <c r="D102">
        <v>59</v>
      </c>
      <c r="E102" t="s">
        <v>17</v>
      </c>
      <c r="F102" t="s">
        <v>25</v>
      </c>
      <c r="G102" s="9">
        <v>45551</v>
      </c>
      <c r="H102" s="9">
        <v>45070</v>
      </c>
      <c r="I102">
        <v>38</v>
      </c>
      <c r="J102" t="s">
        <v>35</v>
      </c>
      <c r="K102">
        <v>1</v>
      </c>
      <c r="L102">
        <v>9</v>
      </c>
      <c r="M102" s="11">
        <v>8045.74</v>
      </c>
      <c r="N102" s="12">
        <v>14875.15</v>
      </c>
      <c r="O102" s="12">
        <v>19521.080000000002</v>
      </c>
    </row>
    <row r="103" spans="1:15">
      <c r="A103" t="s">
        <v>205</v>
      </c>
      <c r="B103" t="s">
        <v>63</v>
      </c>
      <c r="C103" s="9">
        <v>31412</v>
      </c>
      <c r="D103">
        <v>40</v>
      </c>
      <c r="E103" t="s">
        <v>17</v>
      </c>
      <c r="F103" t="s">
        <v>74</v>
      </c>
      <c r="G103" s="9">
        <v>45155</v>
      </c>
      <c r="H103" s="9">
        <v>45696</v>
      </c>
      <c r="I103">
        <v>23</v>
      </c>
      <c r="J103" t="s">
        <v>32</v>
      </c>
      <c r="K103">
        <v>3</v>
      </c>
      <c r="L103">
        <v>0</v>
      </c>
      <c r="M103" s="11">
        <v>21023.05</v>
      </c>
      <c r="N103" s="12">
        <v>5348.81</v>
      </c>
      <c r="O103" s="12">
        <v>14899.97</v>
      </c>
    </row>
    <row r="104" spans="1:15">
      <c r="A104" t="s">
        <v>206</v>
      </c>
      <c r="B104" t="s">
        <v>207</v>
      </c>
      <c r="C104" s="9">
        <v>35795</v>
      </c>
      <c r="D104">
        <v>28</v>
      </c>
      <c r="E104" t="s">
        <v>21</v>
      </c>
      <c r="F104" t="s">
        <v>49</v>
      </c>
      <c r="G104" s="9">
        <v>45176</v>
      </c>
      <c r="H104" s="9">
        <v>45546</v>
      </c>
      <c r="I104">
        <v>4</v>
      </c>
      <c r="J104" t="s">
        <v>26</v>
      </c>
      <c r="K104">
        <v>7</v>
      </c>
      <c r="L104">
        <v>3</v>
      </c>
      <c r="M104" s="11">
        <v>26095.19</v>
      </c>
      <c r="N104" s="12">
        <v>662.8</v>
      </c>
      <c r="O104" s="12">
        <v>13715.08</v>
      </c>
    </row>
    <row r="105" spans="1:15">
      <c r="A105" t="s">
        <v>208</v>
      </c>
      <c r="B105" t="s">
        <v>209</v>
      </c>
      <c r="C105" s="9">
        <v>40909</v>
      </c>
      <c r="D105">
        <v>14</v>
      </c>
      <c r="E105" t="s">
        <v>21</v>
      </c>
      <c r="F105" t="s">
        <v>18</v>
      </c>
      <c r="G105" s="9">
        <v>45317</v>
      </c>
      <c r="H105" s="9">
        <v>45211</v>
      </c>
      <c r="I105">
        <v>12</v>
      </c>
      <c r="J105" t="s">
        <v>32</v>
      </c>
      <c r="K105">
        <v>8</v>
      </c>
      <c r="L105">
        <v>5</v>
      </c>
      <c r="M105" s="11">
        <v>8284.74</v>
      </c>
      <c r="N105" s="12">
        <v>5232.93</v>
      </c>
      <c r="O105" s="12">
        <v>3544.73</v>
      </c>
    </row>
    <row r="106" spans="1:15">
      <c r="A106" t="s">
        <v>210</v>
      </c>
      <c r="B106" t="s">
        <v>211</v>
      </c>
      <c r="C106" s="9">
        <v>29951</v>
      </c>
      <c r="D106">
        <v>44</v>
      </c>
      <c r="E106" t="s">
        <v>17</v>
      </c>
      <c r="F106" t="s">
        <v>22</v>
      </c>
      <c r="G106" s="9">
        <v>45647</v>
      </c>
      <c r="H106" s="9">
        <v>45489</v>
      </c>
      <c r="I106">
        <v>12</v>
      </c>
      <c r="J106" t="s">
        <v>26</v>
      </c>
      <c r="K106">
        <v>14</v>
      </c>
      <c r="L106">
        <v>5</v>
      </c>
      <c r="M106" s="11">
        <v>21060.19</v>
      </c>
      <c r="N106" s="12">
        <v>13673.64</v>
      </c>
      <c r="O106" s="12">
        <v>5607.01</v>
      </c>
    </row>
    <row r="107" spans="1:15">
      <c r="A107" t="s">
        <v>212</v>
      </c>
      <c r="B107" t="s">
        <v>184</v>
      </c>
      <c r="C107" s="9">
        <v>22646</v>
      </c>
      <c r="D107">
        <v>64</v>
      </c>
      <c r="E107" t="s">
        <v>21</v>
      </c>
      <c r="F107" t="s">
        <v>5184</v>
      </c>
      <c r="G107" s="9">
        <v>45108</v>
      </c>
      <c r="H107" s="9">
        <v>44962</v>
      </c>
      <c r="I107">
        <v>0</v>
      </c>
      <c r="J107" t="s">
        <v>35</v>
      </c>
      <c r="K107">
        <v>9</v>
      </c>
      <c r="L107">
        <v>1</v>
      </c>
      <c r="M107" s="11">
        <v>12737.58</v>
      </c>
      <c r="N107" s="12">
        <v>1250.83</v>
      </c>
      <c r="O107" s="12">
        <v>12060.88</v>
      </c>
    </row>
    <row r="108" spans="1:15">
      <c r="A108" t="s">
        <v>213</v>
      </c>
      <c r="B108" t="s">
        <v>93</v>
      </c>
      <c r="C108" s="9">
        <v>13880</v>
      </c>
      <c r="D108">
        <v>88</v>
      </c>
      <c r="E108" t="s">
        <v>21</v>
      </c>
      <c r="F108" t="s">
        <v>29</v>
      </c>
      <c r="G108" s="9">
        <v>45193</v>
      </c>
      <c r="H108" s="9">
        <v>45151</v>
      </c>
      <c r="I108">
        <v>13</v>
      </c>
      <c r="J108" t="s">
        <v>32</v>
      </c>
      <c r="K108">
        <v>8</v>
      </c>
      <c r="L108">
        <v>8</v>
      </c>
      <c r="M108" s="11">
        <v>8713.59</v>
      </c>
      <c r="N108" s="12">
        <v>9704.1299999999992</v>
      </c>
      <c r="O108" s="12">
        <v>15891.49</v>
      </c>
    </row>
    <row r="109" spans="1:15">
      <c r="A109" t="s">
        <v>214</v>
      </c>
      <c r="B109" t="s">
        <v>215</v>
      </c>
      <c r="C109" s="9">
        <v>20455</v>
      </c>
      <c r="D109">
        <v>70</v>
      </c>
      <c r="E109" t="s">
        <v>17</v>
      </c>
      <c r="F109" t="s">
        <v>29</v>
      </c>
      <c r="G109" s="9">
        <v>45207</v>
      </c>
      <c r="H109" s="9">
        <v>45595</v>
      </c>
      <c r="I109">
        <v>12</v>
      </c>
      <c r="J109" t="s">
        <v>32</v>
      </c>
      <c r="K109">
        <v>7</v>
      </c>
      <c r="L109">
        <v>0</v>
      </c>
      <c r="M109" s="11">
        <v>18443.88</v>
      </c>
      <c r="N109" s="12">
        <v>6347.42</v>
      </c>
      <c r="O109" s="12">
        <v>18614.310000000001</v>
      </c>
    </row>
    <row r="110" spans="1:15">
      <c r="A110" t="s">
        <v>216</v>
      </c>
      <c r="B110" t="s">
        <v>48</v>
      </c>
      <c r="C110" s="9">
        <v>43100</v>
      </c>
      <c r="D110">
        <v>8</v>
      </c>
      <c r="E110" t="s">
        <v>21</v>
      </c>
      <c r="F110" t="s">
        <v>5184</v>
      </c>
      <c r="G110" s="9">
        <v>45593</v>
      </c>
      <c r="H110" s="9">
        <v>45320</v>
      </c>
      <c r="I110">
        <v>22</v>
      </c>
      <c r="J110" t="s">
        <v>26</v>
      </c>
      <c r="K110">
        <v>1</v>
      </c>
      <c r="L110">
        <v>3</v>
      </c>
      <c r="M110" s="11">
        <v>28152.14</v>
      </c>
      <c r="N110" s="12">
        <v>13823.59</v>
      </c>
      <c r="O110" s="12">
        <v>13924.31</v>
      </c>
    </row>
    <row r="111" spans="1:15">
      <c r="A111" t="s">
        <v>217</v>
      </c>
      <c r="B111" t="s">
        <v>48</v>
      </c>
      <c r="C111" s="9">
        <v>14246</v>
      </c>
      <c r="D111">
        <v>87</v>
      </c>
      <c r="E111" t="s">
        <v>17</v>
      </c>
      <c r="F111" t="s">
        <v>49</v>
      </c>
      <c r="G111" s="9">
        <v>45009</v>
      </c>
      <c r="H111" s="9">
        <v>45335</v>
      </c>
      <c r="I111">
        <v>30</v>
      </c>
      <c r="J111" t="s">
        <v>26</v>
      </c>
      <c r="K111">
        <v>4</v>
      </c>
      <c r="L111">
        <v>3</v>
      </c>
      <c r="M111" s="11">
        <v>10226.59</v>
      </c>
      <c r="N111" s="12">
        <v>13928.6</v>
      </c>
      <c r="O111" s="12">
        <v>8314.6</v>
      </c>
    </row>
    <row r="112" spans="1:15">
      <c r="A112" t="s">
        <v>218</v>
      </c>
      <c r="B112" t="s">
        <v>100</v>
      </c>
      <c r="C112" s="9">
        <v>46022</v>
      </c>
      <c r="D112">
        <v>0</v>
      </c>
      <c r="E112" t="s">
        <v>17</v>
      </c>
      <c r="F112" t="s">
        <v>22</v>
      </c>
      <c r="G112" s="9">
        <v>45112</v>
      </c>
      <c r="H112" s="9">
        <v>45630</v>
      </c>
      <c r="I112">
        <v>11</v>
      </c>
      <c r="J112" t="s">
        <v>26</v>
      </c>
      <c r="K112">
        <v>13</v>
      </c>
      <c r="L112">
        <v>1</v>
      </c>
      <c r="M112" s="11">
        <v>22664.12</v>
      </c>
      <c r="N112" s="12">
        <v>11778.67</v>
      </c>
      <c r="O112" s="12">
        <v>13790.67</v>
      </c>
    </row>
    <row r="113" spans="1:15">
      <c r="A113" t="s">
        <v>219</v>
      </c>
      <c r="B113" t="s">
        <v>149</v>
      </c>
      <c r="C113" s="9">
        <v>43466</v>
      </c>
      <c r="D113">
        <v>7</v>
      </c>
      <c r="E113" t="s">
        <v>17</v>
      </c>
      <c r="F113" t="s">
        <v>74</v>
      </c>
      <c r="G113" s="9">
        <v>45577</v>
      </c>
      <c r="H113" s="9">
        <v>45315</v>
      </c>
      <c r="I113">
        <v>21</v>
      </c>
      <c r="J113" t="s">
        <v>26</v>
      </c>
      <c r="K113">
        <v>11</v>
      </c>
      <c r="L113">
        <v>7</v>
      </c>
      <c r="M113" s="11">
        <v>9098.2900000000009</v>
      </c>
      <c r="N113" s="12">
        <v>1477.8</v>
      </c>
      <c r="O113" s="12">
        <v>1290.42</v>
      </c>
    </row>
    <row r="114" spans="1:15">
      <c r="A114" t="s">
        <v>220</v>
      </c>
      <c r="B114" t="s">
        <v>170</v>
      </c>
      <c r="C114" s="9">
        <v>14246</v>
      </c>
      <c r="D114">
        <v>87</v>
      </c>
      <c r="E114" t="s">
        <v>21</v>
      </c>
      <c r="F114" t="s">
        <v>5184</v>
      </c>
      <c r="G114" s="9">
        <v>45493</v>
      </c>
      <c r="H114" s="9">
        <v>45623</v>
      </c>
      <c r="I114">
        <v>8</v>
      </c>
      <c r="J114" t="s">
        <v>32</v>
      </c>
      <c r="K114">
        <v>1</v>
      </c>
      <c r="L114">
        <v>1</v>
      </c>
      <c r="M114" s="11">
        <v>24017.99</v>
      </c>
      <c r="N114" s="12">
        <v>370.72</v>
      </c>
      <c r="O114" s="12">
        <v>11961.66</v>
      </c>
    </row>
    <row r="115" spans="1:15">
      <c r="A115" t="s">
        <v>221</v>
      </c>
      <c r="B115" t="s">
        <v>63</v>
      </c>
      <c r="C115" s="9">
        <v>23377</v>
      </c>
      <c r="D115">
        <v>62</v>
      </c>
      <c r="E115" t="s">
        <v>21</v>
      </c>
      <c r="F115" t="s">
        <v>29</v>
      </c>
      <c r="G115" s="9">
        <v>45457</v>
      </c>
      <c r="H115" s="9">
        <v>45676</v>
      </c>
      <c r="I115">
        <v>0</v>
      </c>
      <c r="J115" t="s">
        <v>35</v>
      </c>
      <c r="K115">
        <v>13</v>
      </c>
      <c r="L115">
        <v>1</v>
      </c>
      <c r="M115" s="11">
        <v>22679.53</v>
      </c>
      <c r="N115" s="12">
        <v>2048.85</v>
      </c>
      <c r="O115" s="12">
        <v>17881.96</v>
      </c>
    </row>
    <row r="116" spans="1:15">
      <c r="A116" t="s">
        <v>222</v>
      </c>
      <c r="B116" t="s">
        <v>223</v>
      </c>
      <c r="C116" s="9">
        <v>42370</v>
      </c>
      <c r="D116">
        <v>10</v>
      </c>
      <c r="E116" t="s">
        <v>17</v>
      </c>
      <c r="F116" t="s">
        <v>74</v>
      </c>
      <c r="G116" s="9">
        <v>45274</v>
      </c>
      <c r="H116" s="9">
        <v>45224</v>
      </c>
      <c r="I116">
        <v>6</v>
      </c>
      <c r="J116" t="s">
        <v>26</v>
      </c>
      <c r="K116">
        <v>10</v>
      </c>
      <c r="L116">
        <v>1</v>
      </c>
      <c r="M116" s="11">
        <v>22851.8</v>
      </c>
      <c r="N116" s="12">
        <v>4827.3599999999997</v>
      </c>
      <c r="O116" s="12">
        <v>12702.62</v>
      </c>
    </row>
    <row r="117" spans="1:15">
      <c r="A117" t="s">
        <v>224</v>
      </c>
      <c r="B117" t="s">
        <v>174</v>
      </c>
      <c r="C117" s="9">
        <f t="shared" ref="C117:C118" si="0">DATE(2026-D77,1,1)</f>
        <v>26665</v>
      </c>
      <c r="D117">
        <v>80</v>
      </c>
      <c r="E117" t="s">
        <v>21</v>
      </c>
      <c r="F117" t="s">
        <v>49</v>
      </c>
      <c r="G117" s="9">
        <v>45349</v>
      </c>
      <c r="H117" s="9">
        <v>45250</v>
      </c>
      <c r="I117">
        <v>3</v>
      </c>
      <c r="J117" t="s">
        <v>32</v>
      </c>
      <c r="K117">
        <v>7</v>
      </c>
      <c r="L117">
        <v>0</v>
      </c>
      <c r="M117" s="11">
        <v>29930.1</v>
      </c>
      <c r="N117" s="12">
        <v>3621.48</v>
      </c>
      <c r="O117" s="12">
        <v>51.56</v>
      </c>
    </row>
    <row r="118" spans="1:15">
      <c r="A118" t="s">
        <v>225</v>
      </c>
      <c r="B118" t="s">
        <v>226</v>
      </c>
      <c r="C118" s="9">
        <f t="shared" si="0"/>
        <v>12420</v>
      </c>
      <c r="D118">
        <v>7</v>
      </c>
      <c r="E118" t="s">
        <v>21</v>
      </c>
      <c r="F118" t="s">
        <v>29</v>
      </c>
      <c r="G118" s="9">
        <v>45380</v>
      </c>
      <c r="H118" s="9">
        <v>45743</v>
      </c>
      <c r="I118">
        <v>28</v>
      </c>
      <c r="J118" t="s">
        <v>32</v>
      </c>
      <c r="K118">
        <v>12</v>
      </c>
      <c r="L118">
        <v>4</v>
      </c>
      <c r="M118" s="11">
        <v>3785.79</v>
      </c>
      <c r="N118" s="12">
        <v>5546.39</v>
      </c>
      <c r="O118" s="12">
        <v>13859.83</v>
      </c>
    </row>
    <row r="119" spans="1:15">
      <c r="A119" t="s">
        <v>227</v>
      </c>
      <c r="B119" t="s">
        <v>151</v>
      </c>
      <c r="C119" s="9">
        <v>33604</v>
      </c>
      <c r="D119">
        <v>34</v>
      </c>
      <c r="E119" t="s">
        <v>21</v>
      </c>
      <c r="F119" t="s">
        <v>25</v>
      </c>
      <c r="G119" s="9">
        <v>45193</v>
      </c>
      <c r="H119" s="9">
        <v>45781</v>
      </c>
      <c r="I119">
        <v>13</v>
      </c>
      <c r="J119" t="s">
        <v>32</v>
      </c>
      <c r="K119">
        <v>10</v>
      </c>
      <c r="L119">
        <v>3</v>
      </c>
      <c r="M119" s="11">
        <v>11359.6</v>
      </c>
      <c r="N119" s="12">
        <v>2146.16</v>
      </c>
      <c r="O119" s="12">
        <v>14501.53</v>
      </c>
    </row>
    <row r="120" spans="1:15">
      <c r="A120" t="s">
        <v>228</v>
      </c>
      <c r="B120" t="s">
        <v>229</v>
      </c>
      <c r="C120" s="9">
        <v>33604</v>
      </c>
      <c r="D120">
        <v>34</v>
      </c>
      <c r="E120" t="s">
        <v>21</v>
      </c>
      <c r="F120" t="s">
        <v>18</v>
      </c>
      <c r="G120" s="9">
        <v>45433</v>
      </c>
      <c r="H120" s="9">
        <v>45415</v>
      </c>
      <c r="I120">
        <v>8</v>
      </c>
      <c r="J120" t="s">
        <v>26</v>
      </c>
      <c r="K120">
        <v>1</v>
      </c>
      <c r="L120">
        <v>1</v>
      </c>
      <c r="M120" s="11">
        <v>18739.77</v>
      </c>
      <c r="N120" s="12">
        <v>11287.55</v>
      </c>
      <c r="O120" s="12">
        <v>10778.71</v>
      </c>
    </row>
    <row r="121" spans="1:15">
      <c r="A121" t="s">
        <v>230</v>
      </c>
      <c r="B121" t="s">
        <v>78</v>
      </c>
      <c r="C121" s="9">
        <v>34334</v>
      </c>
      <c r="D121">
        <v>32</v>
      </c>
      <c r="E121" t="s">
        <v>21</v>
      </c>
      <c r="F121" t="s">
        <v>74</v>
      </c>
      <c r="G121" s="9">
        <v>45068</v>
      </c>
      <c r="H121" s="9">
        <v>45497</v>
      </c>
      <c r="I121">
        <v>14</v>
      </c>
      <c r="J121" t="s">
        <v>35</v>
      </c>
      <c r="K121">
        <v>0</v>
      </c>
      <c r="L121">
        <v>0</v>
      </c>
      <c r="M121" s="11">
        <v>17509.5</v>
      </c>
      <c r="N121" s="12">
        <v>12679.45</v>
      </c>
      <c r="O121" s="12">
        <v>16303.37</v>
      </c>
    </row>
    <row r="122" spans="1:15">
      <c r="A122" t="s">
        <v>231</v>
      </c>
      <c r="B122" t="s">
        <v>232</v>
      </c>
      <c r="C122" s="9">
        <v>44561</v>
      </c>
      <c r="D122">
        <v>4</v>
      </c>
      <c r="E122" t="s">
        <v>17</v>
      </c>
      <c r="F122" t="s">
        <v>5184</v>
      </c>
      <c r="G122" s="9">
        <v>45242</v>
      </c>
      <c r="H122" s="9">
        <v>44966</v>
      </c>
      <c r="I122">
        <v>0</v>
      </c>
      <c r="J122" t="s">
        <v>32</v>
      </c>
      <c r="K122">
        <v>14</v>
      </c>
      <c r="L122">
        <v>0</v>
      </c>
      <c r="M122" s="11">
        <v>23309.31</v>
      </c>
      <c r="N122" s="12">
        <v>7319.29</v>
      </c>
      <c r="O122" s="12">
        <v>3966.05</v>
      </c>
    </row>
    <row r="123" spans="1:15">
      <c r="A123" t="s">
        <v>233</v>
      </c>
      <c r="B123" t="s">
        <v>16</v>
      </c>
      <c r="C123" s="9">
        <v>31412</v>
      </c>
      <c r="D123">
        <v>40</v>
      </c>
      <c r="E123" t="s">
        <v>21</v>
      </c>
      <c r="F123" t="s">
        <v>22</v>
      </c>
      <c r="G123" s="9">
        <v>45602</v>
      </c>
      <c r="H123" s="9">
        <v>45432</v>
      </c>
      <c r="I123">
        <v>16</v>
      </c>
      <c r="J123" t="s">
        <v>26</v>
      </c>
      <c r="K123">
        <v>6</v>
      </c>
      <c r="L123">
        <v>1</v>
      </c>
      <c r="M123" s="11">
        <v>930.74</v>
      </c>
      <c r="N123" s="12">
        <v>14347.9</v>
      </c>
      <c r="O123" s="12">
        <v>8120.48</v>
      </c>
    </row>
    <row r="124" spans="1:15">
      <c r="A124" t="s">
        <v>234</v>
      </c>
      <c r="B124" t="s">
        <v>204</v>
      </c>
      <c r="C124" s="9">
        <v>36161</v>
      </c>
      <c r="D124">
        <v>27</v>
      </c>
      <c r="E124" t="s">
        <v>21</v>
      </c>
      <c r="F124" t="s">
        <v>74</v>
      </c>
      <c r="G124" s="9">
        <v>45158</v>
      </c>
      <c r="H124" s="9">
        <v>45430</v>
      </c>
      <c r="I124">
        <v>21</v>
      </c>
      <c r="J124" t="s">
        <v>26</v>
      </c>
      <c r="K124">
        <v>14</v>
      </c>
      <c r="L124">
        <v>0</v>
      </c>
      <c r="M124" s="11">
        <v>21004.06</v>
      </c>
      <c r="N124" s="12">
        <v>1805.17</v>
      </c>
      <c r="O124" s="12">
        <v>16132.48</v>
      </c>
    </row>
    <row r="125" spans="1:15">
      <c r="A125" t="s">
        <v>235</v>
      </c>
      <c r="B125" t="s">
        <v>71</v>
      </c>
      <c r="C125" s="9">
        <v>43831</v>
      </c>
      <c r="D125">
        <v>6</v>
      </c>
      <c r="E125" t="s">
        <v>17</v>
      </c>
      <c r="F125" t="s">
        <v>74</v>
      </c>
      <c r="G125" s="9">
        <v>45223</v>
      </c>
      <c r="H125" s="9">
        <v>45680</v>
      </c>
      <c r="I125">
        <v>39</v>
      </c>
      <c r="J125" t="s">
        <v>32</v>
      </c>
      <c r="K125">
        <v>1</v>
      </c>
      <c r="L125">
        <v>8</v>
      </c>
      <c r="M125" s="11">
        <v>22000.58</v>
      </c>
      <c r="N125" s="12">
        <v>1587.21</v>
      </c>
      <c r="O125" s="12">
        <v>12034.17</v>
      </c>
    </row>
    <row r="126" spans="1:15">
      <c r="A126" t="s">
        <v>236</v>
      </c>
      <c r="B126" t="s">
        <v>237</v>
      </c>
      <c r="C126" s="9">
        <v>19724</v>
      </c>
      <c r="D126">
        <v>72</v>
      </c>
      <c r="E126" t="s">
        <v>5185</v>
      </c>
      <c r="F126" t="s">
        <v>74</v>
      </c>
      <c r="G126" s="9">
        <v>45498</v>
      </c>
      <c r="H126" s="9">
        <v>45464</v>
      </c>
      <c r="I126">
        <v>5</v>
      </c>
      <c r="J126" t="s">
        <v>35</v>
      </c>
      <c r="K126">
        <v>13</v>
      </c>
      <c r="L126">
        <v>1</v>
      </c>
      <c r="M126" s="11">
        <v>1363.58</v>
      </c>
      <c r="N126" s="12">
        <v>3005.99</v>
      </c>
      <c r="O126" s="12">
        <v>19886.740000000002</v>
      </c>
    </row>
    <row r="127" spans="1:15">
      <c r="A127" t="s">
        <v>238</v>
      </c>
      <c r="B127" t="s">
        <v>48</v>
      </c>
      <c r="C127" s="9">
        <v>20090</v>
      </c>
      <c r="D127">
        <v>71</v>
      </c>
      <c r="E127" t="s">
        <v>21</v>
      </c>
      <c r="F127" t="s">
        <v>5184</v>
      </c>
      <c r="G127" s="9">
        <v>44948</v>
      </c>
      <c r="H127" s="9">
        <v>45243</v>
      </c>
      <c r="I127">
        <v>33</v>
      </c>
      <c r="J127" t="s">
        <v>26</v>
      </c>
      <c r="K127">
        <v>3</v>
      </c>
      <c r="L127">
        <v>2</v>
      </c>
      <c r="M127" s="11">
        <v>15929.81</v>
      </c>
      <c r="N127" s="12">
        <v>14728.69</v>
      </c>
      <c r="O127" s="12">
        <v>1292.21</v>
      </c>
    </row>
    <row r="128" spans="1:15">
      <c r="A128" t="s">
        <v>239</v>
      </c>
      <c r="B128" t="s">
        <v>240</v>
      </c>
      <c r="C128" s="9">
        <v>42005</v>
      </c>
      <c r="D128">
        <v>11</v>
      </c>
      <c r="E128" t="s">
        <v>21</v>
      </c>
      <c r="F128" t="s">
        <v>49</v>
      </c>
      <c r="G128" s="9">
        <v>45310</v>
      </c>
      <c r="H128" s="9">
        <v>45423</v>
      </c>
      <c r="I128">
        <v>37</v>
      </c>
      <c r="J128" t="s">
        <v>32</v>
      </c>
      <c r="K128">
        <v>10</v>
      </c>
      <c r="L128">
        <v>8</v>
      </c>
      <c r="M128" s="11">
        <v>6972.28</v>
      </c>
      <c r="N128" s="12">
        <v>6247.47</v>
      </c>
      <c r="O128" s="12">
        <v>4810.6499999999996</v>
      </c>
    </row>
    <row r="129" spans="1:15">
      <c r="A129" t="s">
        <v>241</v>
      </c>
      <c r="B129" t="s">
        <v>242</v>
      </c>
      <c r="C129" s="9">
        <v>33969</v>
      </c>
      <c r="D129">
        <f ca="1">DATEDIF(C80,TODAY(),"Y")</f>
        <v>17</v>
      </c>
      <c r="E129" t="s">
        <v>17</v>
      </c>
      <c r="F129" t="s">
        <v>49</v>
      </c>
      <c r="G129" s="9">
        <v>45052</v>
      </c>
      <c r="H129" s="9">
        <v>45044</v>
      </c>
      <c r="I129">
        <v>1</v>
      </c>
      <c r="J129" t="s">
        <v>32</v>
      </c>
      <c r="K129">
        <v>4</v>
      </c>
      <c r="L129">
        <v>4</v>
      </c>
      <c r="M129" s="11">
        <v>23949.63</v>
      </c>
      <c r="N129" s="12">
        <v>13861.59</v>
      </c>
      <c r="O129" s="12">
        <v>3902.42</v>
      </c>
    </row>
    <row r="130" spans="1:15">
      <c r="A130" t="s">
        <v>243</v>
      </c>
      <c r="B130" t="s">
        <v>244</v>
      </c>
      <c r="C130" s="9">
        <v>34334</v>
      </c>
      <c r="D130">
        <v>32</v>
      </c>
      <c r="E130" t="s">
        <v>17</v>
      </c>
      <c r="F130" t="s">
        <v>22</v>
      </c>
      <c r="G130" s="9">
        <v>45029</v>
      </c>
      <c r="H130" s="9">
        <v>45269</v>
      </c>
      <c r="I130">
        <v>20</v>
      </c>
      <c r="J130" t="s">
        <v>26</v>
      </c>
      <c r="K130">
        <v>13</v>
      </c>
      <c r="L130">
        <v>7</v>
      </c>
      <c r="M130" s="11">
        <v>1013.21</v>
      </c>
      <c r="N130" s="12">
        <v>3030.15</v>
      </c>
      <c r="O130" s="12">
        <v>19525.48</v>
      </c>
    </row>
    <row r="131" spans="1:15">
      <c r="A131" t="s">
        <v>245</v>
      </c>
      <c r="B131" t="s">
        <v>246</v>
      </c>
      <c r="C131" s="9">
        <v>28856</v>
      </c>
      <c r="D131">
        <v>47</v>
      </c>
      <c r="E131" t="s">
        <v>17</v>
      </c>
      <c r="F131" t="s">
        <v>49</v>
      </c>
      <c r="G131" s="9">
        <v>45036</v>
      </c>
      <c r="H131" s="9">
        <v>45809</v>
      </c>
      <c r="I131">
        <v>37</v>
      </c>
      <c r="J131" t="s">
        <v>35</v>
      </c>
      <c r="K131">
        <v>10</v>
      </c>
      <c r="L131">
        <v>6</v>
      </c>
      <c r="M131" s="11">
        <v>3958.01</v>
      </c>
      <c r="N131" s="12">
        <v>12691.55</v>
      </c>
      <c r="O131" s="12">
        <v>17372.18</v>
      </c>
    </row>
    <row r="132" spans="1:15">
      <c r="A132" t="s">
        <v>247</v>
      </c>
      <c r="B132" t="s">
        <v>24</v>
      </c>
      <c r="C132" s="9">
        <f>DATE(2026-D92,1,1)</f>
        <v>14611</v>
      </c>
      <c r="D132">
        <v>22</v>
      </c>
      <c r="E132" t="s">
        <v>17</v>
      </c>
      <c r="F132" t="s">
        <v>5184</v>
      </c>
      <c r="G132" s="9">
        <v>45496</v>
      </c>
      <c r="H132" s="9">
        <v>45167</v>
      </c>
      <c r="I132">
        <v>27</v>
      </c>
      <c r="J132" t="s">
        <v>32</v>
      </c>
      <c r="K132">
        <v>8</v>
      </c>
      <c r="L132">
        <v>5</v>
      </c>
      <c r="M132" s="11">
        <v>2685.84</v>
      </c>
      <c r="N132" s="12">
        <v>4650.28</v>
      </c>
      <c r="O132" s="12">
        <v>2575.7800000000002</v>
      </c>
    </row>
    <row r="133" spans="1:15">
      <c r="A133" t="s">
        <v>248</v>
      </c>
      <c r="B133" t="s">
        <v>249</v>
      </c>
      <c r="C133" s="9">
        <v>23742</v>
      </c>
      <c r="D133">
        <v>61</v>
      </c>
      <c r="E133" t="s">
        <v>21</v>
      </c>
      <c r="F133" t="s">
        <v>22</v>
      </c>
      <c r="G133" s="9">
        <v>45398</v>
      </c>
      <c r="H133" s="9">
        <v>45614</v>
      </c>
      <c r="I133">
        <v>22</v>
      </c>
      <c r="J133" t="s">
        <v>32</v>
      </c>
      <c r="K133">
        <v>13</v>
      </c>
      <c r="L133">
        <v>1</v>
      </c>
      <c r="M133" s="11">
        <v>1489.14</v>
      </c>
      <c r="N133" s="12">
        <v>11015.99</v>
      </c>
      <c r="O133" s="12">
        <v>7011.46</v>
      </c>
    </row>
    <row r="134" spans="1:15">
      <c r="A134" t="s">
        <v>250</v>
      </c>
      <c r="B134" t="s">
        <v>129</v>
      </c>
      <c r="C134" s="9">
        <v>14246</v>
      </c>
      <c r="D134">
        <v>87</v>
      </c>
      <c r="E134" t="s">
        <v>17</v>
      </c>
      <c r="F134" t="s">
        <v>22</v>
      </c>
      <c r="G134" s="9">
        <v>44991</v>
      </c>
      <c r="H134" s="9">
        <v>45372</v>
      </c>
      <c r="I134">
        <v>4</v>
      </c>
      <c r="J134" t="s">
        <v>32</v>
      </c>
      <c r="K134">
        <v>12</v>
      </c>
      <c r="L134">
        <v>3</v>
      </c>
      <c r="M134" s="11">
        <v>17802.25</v>
      </c>
      <c r="N134" s="12">
        <v>14616.93</v>
      </c>
      <c r="O134" s="12">
        <v>957.2</v>
      </c>
    </row>
    <row r="135" spans="1:15">
      <c r="A135" t="s">
        <v>251</v>
      </c>
      <c r="B135" t="s">
        <v>252</v>
      </c>
      <c r="C135" s="9">
        <f>DATE(2026-D95,1,1)</f>
        <v>15342</v>
      </c>
      <c r="D135">
        <v>36</v>
      </c>
      <c r="E135" t="s">
        <v>21</v>
      </c>
      <c r="F135" t="s">
        <v>49</v>
      </c>
      <c r="G135" s="9">
        <v>45398</v>
      </c>
      <c r="H135" s="9">
        <v>45779</v>
      </c>
      <c r="I135">
        <v>25</v>
      </c>
      <c r="J135" t="s">
        <v>35</v>
      </c>
      <c r="K135">
        <v>8</v>
      </c>
      <c r="L135">
        <v>8</v>
      </c>
      <c r="M135" s="11">
        <v>0</v>
      </c>
      <c r="N135" s="12">
        <v>13995.37</v>
      </c>
      <c r="O135" s="12">
        <v>12614.6</v>
      </c>
    </row>
    <row r="136" spans="1:15">
      <c r="A136" t="s">
        <v>253</v>
      </c>
      <c r="B136" t="s">
        <v>254</v>
      </c>
      <c r="C136" s="9">
        <v>30317</v>
      </c>
      <c r="D136">
        <v>43</v>
      </c>
      <c r="E136" t="s">
        <v>17</v>
      </c>
      <c r="F136" t="s">
        <v>29</v>
      </c>
      <c r="G136" s="9">
        <v>45496</v>
      </c>
      <c r="H136" s="9">
        <v>45667</v>
      </c>
      <c r="I136">
        <v>38</v>
      </c>
      <c r="J136" t="s">
        <v>26</v>
      </c>
      <c r="K136">
        <v>1</v>
      </c>
      <c r="L136">
        <v>6</v>
      </c>
      <c r="M136" s="11">
        <v>15084.68</v>
      </c>
      <c r="N136" s="12">
        <v>12469.92</v>
      </c>
      <c r="O136" s="12">
        <v>6557.01</v>
      </c>
    </row>
    <row r="137" spans="1:15">
      <c r="A137" t="s">
        <v>255</v>
      </c>
      <c r="B137" t="s">
        <v>31</v>
      </c>
      <c r="C137" s="9">
        <v>14976</v>
      </c>
      <c r="D137">
        <v>85</v>
      </c>
      <c r="E137" t="s">
        <v>17</v>
      </c>
      <c r="F137" t="s">
        <v>49</v>
      </c>
      <c r="G137" s="9">
        <v>45596</v>
      </c>
      <c r="H137" s="9">
        <v>45414</v>
      </c>
      <c r="I137">
        <v>14</v>
      </c>
      <c r="J137" t="s">
        <v>32</v>
      </c>
      <c r="K137">
        <v>5</v>
      </c>
      <c r="L137">
        <v>2</v>
      </c>
      <c r="M137" s="11">
        <v>5922.74</v>
      </c>
      <c r="N137" s="12">
        <v>753.09</v>
      </c>
      <c r="O137" s="12">
        <v>5077.04</v>
      </c>
    </row>
    <row r="138" spans="1:15">
      <c r="A138" t="s">
        <v>256</v>
      </c>
      <c r="B138" t="s">
        <v>112</v>
      </c>
      <c r="C138" s="9">
        <v>13150</v>
      </c>
      <c r="D138">
        <f ca="1">DATEDIF(C89,TODAY(),"Y")</f>
        <v>14</v>
      </c>
      <c r="E138" t="s">
        <v>5185</v>
      </c>
      <c r="F138" t="s">
        <v>29</v>
      </c>
      <c r="G138" s="9">
        <v>45002</v>
      </c>
      <c r="H138" s="9">
        <v>45692</v>
      </c>
      <c r="I138">
        <v>29</v>
      </c>
      <c r="J138" t="s">
        <v>32</v>
      </c>
      <c r="K138">
        <v>9</v>
      </c>
      <c r="L138">
        <v>5</v>
      </c>
      <c r="M138" s="11">
        <v>9985.7900000000009</v>
      </c>
      <c r="N138" s="12">
        <v>9116.5499999999993</v>
      </c>
      <c r="O138" s="12">
        <v>10414.66</v>
      </c>
    </row>
    <row r="139" spans="1:15">
      <c r="A139" t="s">
        <v>257</v>
      </c>
      <c r="B139" t="s">
        <v>187</v>
      </c>
      <c r="C139" s="9">
        <v>33604</v>
      </c>
      <c r="D139">
        <v>34</v>
      </c>
      <c r="E139" t="s">
        <v>21</v>
      </c>
      <c r="F139" t="s">
        <v>25</v>
      </c>
      <c r="G139" s="9">
        <v>44945</v>
      </c>
      <c r="H139" s="9">
        <v>45338</v>
      </c>
      <c r="I139">
        <v>2</v>
      </c>
      <c r="J139" t="s">
        <v>32</v>
      </c>
      <c r="K139">
        <v>5</v>
      </c>
      <c r="L139">
        <v>7</v>
      </c>
      <c r="M139" s="11">
        <v>10491.17</v>
      </c>
      <c r="N139" s="12">
        <v>12531.72</v>
      </c>
      <c r="O139" s="12">
        <v>15890.59</v>
      </c>
    </row>
    <row r="140" spans="1:15">
      <c r="A140" t="s">
        <v>258</v>
      </c>
      <c r="B140" t="s">
        <v>223</v>
      </c>
      <c r="C140" s="9">
        <v>22646</v>
      </c>
      <c r="D140">
        <v>64</v>
      </c>
      <c r="E140" t="s">
        <v>21</v>
      </c>
      <c r="F140" t="s">
        <v>49</v>
      </c>
      <c r="G140" s="9">
        <v>45310</v>
      </c>
      <c r="H140" s="9">
        <v>45819</v>
      </c>
      <c r="I140">
        <v>24</v>
      </c>
      <c r="J140" t="s">
        <v>35</v>
      </c>
      <c r="K140">
        <v>13</v>
      </c>
      <c r="L140">
        <v>7</v>
      </c>
      <c r="M140" s="11">
        <v>13274.88</v>
      </c>
      <c r="N140" s="12">
        <v>5989.9</v>
      </c>
      <c r="O140" s="12">
        <v>8018.74</v>
      </c>
    </row>
    <row r="141" spans="1:15">
      <c r="A141" t="s">
        <v>259</v>
      </c>
      <c r="B141" t="s">
        <v>189</v>
      </c>
      <c r="C141" s="9">
        <v>29221</v>
      </c>
      <c r="D141">
        <v>46</v>
      </c>
      <c r="E141" t="s">
        <v>17</v>
      </c>
      <c r="F141" t="s">
        <v>25</v>
      </c>
      <c r="G141" s="9">
        <v>45116</v>
      </c>
      <c r="H141" s="9">
        <v>45550</v>
      </c>
      <c r="I141">
        <v>33</v>
      </c>
      <c r="J141" t="s">
        <v>35</v>
      </c>
      <c r="K141">
        <v>3</v>
      </c>
      <c r="L141">
        <v>7</v>
      </c>
      <c r="M141" s="11">
        <v>12326.42</v>
      </c>
      <c r="N141" s="12">
        <v>10967.82</v>
      </c>
      <c r="O141" s="12">
        <v>15124.72</v>
      </c>
    </row>
    <row r="142" spans="1:15">
      <c r="A142" t="s">
        <v>260</v>
      </c>
      <c r="B142" t="s">
        <v>261</v>
      </c>
      <c r="C142" s="9">
        <v>17898</v>
      </c>
      <c r="D142">
        <v>77</v>
      </c>
      <c r="E142" t="s">
        <v>17</v>
      </c>
      <c r="F142" t="s">
        <v>49</v>
      </c>
      <c r="G142" s="9">
        <v>45286</v>
      </c>
      <c r="H142" s="9">
        <v>45680</v>
      </c>
      <c r="I142">
        <v>4</v>
      </c>
      <c r="J142" t="s">
        <v>35</v>
      </c>
      <c r="K142">
        <v>7</v>
      </c>
      <c r="L142">
        <v>7</v>
      </c>
      <c r="M142" s="11">
        <v>19970.11</v>
      </c>
      <c r="N142" s="12">
        <v>2071.6999999999998</v>
      </c>
      <c r="O142" s="12">
        <v>8867.26</v>
      </c>
    </row>
    <row r="143" spans="1:15">
      <c r="A143" t="s">
        <v>262</v>
      </c>
      <c r="B143" t="s">
        <v>71</v>
      </c>
      <c r="C143" s="9">
        <f>DATE(2026-D103,1,1)</f>
        <v>31413</v>
      </c>
      <c r="D143">
        <v>2</v>
      </c>
      <c r="E143" t="s">
        <v>17</v>
      </c>
      <c r="F143" t="s">
        <v>25</v>
      </c>
      <c r="G143" s="9">
        <v>45378</v>
      </c>
      <c r="H143" s="9">
        <v>45663</v>
      </c>
      <c r="I143">
        <v>0</v>
      </c>
      <c r="J143" t="s">
        <v>26</v>
      </c>
      <c r="K143">
        <v>14</v>
      </c>
      <c r="L143">
        <v>9</v>
      </c>
      <c r="M143" s="11">
        <v>9867.32</v>
      </c>
      <c r="N143" s="12">
        <v>2651.48</v>
      </c>
      <c r="O143" s="12">
        <v>4211.8900000000003</v>
      </c>
    </row>
    <row r="144" spans="1:15">
      <c r="A144" t="s">
        <v>263</v>
      </c>
      <c r="B144" t="s">
        <v>264</v>
      </c>
      <c r="C144" s="9">
        <v>46022</v>
      </c>
      <c r="D144">
        <v>0</v>
      </c>
      <c r="E144" t="s">
        <v>21</v>
      </c>
      <c r="F144" t="s">
        <v>18</v>
      </c>
      <c r="G144" s="9">
        <v>45005</v>
      </c>
      <c r="H144" s="9">
        <v>45225</v>
      </c>
      <c r="I144">
        <v>27</v>
      </c>
      <c r="J144" t="s">
        <v>35</v>
      </c>
      <c r="K144">
        <v>9</v>
      </c>
      <c r="L144">
        <v>5</v>
      </c>
      <c r="M144" s="11">
        <v>19720.439999999999</v>
      </c>
      <c r="N144" s="12">
        <v>9655.64</v>
      </c>
      <c r="O144" s="12">
        <v>8868.74</v>
      </c>
    </row>
    <row r="145" spans="1:15">
      <c r="A145" t="s">
        <v>265</v>
      </c>
      <c r="B145" t="s">
        <v>37</v>
      </c>
      <c r="C145" s="9">
        <v>44561</v>
      </c>
      <c r="D145">
        <v>4</v>
      </c>
      <c r="E145" t="s">
        <v>21</v>
      </c>
      <c r="F145" t="s">
        <v>25</v>
      </c>
      <c r="G145" s="9">
        <v>45522</v>
      </c>
      <c r="H145" s="9">
        <v>44979</v>
      </c>
      <c r="I145">
        <v>2</v>
      </c>
      <c r="J145" t="s">
        <v>32</v>
      </c>
      <c r="K145">
        <v>0</v>
      </c>
      <c r="L145">
        <v>9</v>
      </c>
      <c r="M145" s="11">
        <v>16176.59</v>
      </c>
      <c r="N145" s="12">
        <v>6556.67</v>
      </c>
      <c r="O145" s="12">
        <v>10714.9</v>
      </c>
    </row>
    <row r="146" spans="1:15">
      <c r="A146" t="s">
        <v>266</v>
      </c>
      <c r="B146" t="s">
        <v>240</v>
      </c>
      <c r="C146" s="9">
        <v>13515</v>
      </c>
      <c r="D146">
        <v>89</v>
      </c>
      <c r="E146" t="s">
        <v>17</v>
      </c>
      <c r="F146" t="s">
        <v>29</v>
      </c>
      <c r="G146" s="9">
        <v>45098</v>
      </c>
      <c r="H146" s="9">
        <v>45660</v>
      </c>
      <c r="I146">
        <v>31</v>
      </c>
      <c r="J146" t="s">
        <v>32</v>
      </c>
      <c r="K146">
        <v>3</v>
      </c>
      <c r="L146">
        <v>2</v>
      </c>
      <c r="M146" s="11">
        <v>979.52</v>
      </c>
      <c r="N146" s="12">
        <v>3273.77</v>
      </c>
      <c r="O146" s="12">
        <v>9177.75</v>
      </c>
    </row>
    <row r="147" spans="1:15">
      <c r="A147" t="s">
        <v>267</v>
      </c>
      <c r="B147" t="s">
        <v>268</v>
      </c>
      <c r="C147" s="9">
        <v>41274</v>
      </c>
      <c r="D147">
        <v>13</v>
      </c>
      <c r="E147" t="s">
        <v>21</v>
      </c>
      <c r="F147" t="s">
        <v>74</v>
      </c>
      <c r="G147" s="9">
        <v>45138</v>
      </c>
      <c r="H147" s="9">
        <v>45231</v>
      </c>
      <c r="I147">
        <v>35</v>
      </c>
      <c r="J147" t="s">
        <v>26</v>
      </c>
      <c r="K147">
        <v>0</v>
      </c>
      <c r="L147">
        <v>8</v>
      </c>
      <c r="M147" s="11">
        <v>27550</v>
      </c>
      <c r="N147" s="12">
        <v>4243.1099999999997</v>
      </c>
      <c r="O147" s="12">
        <v>5413.92</v>
      </c>
    </row>
    <row r="148" spans="1:15">
      <c r="A148" t="s">
        <v>269</v>
      </c>
      <c r="B148" t="s">
        <v>204</v>
      </c>
      <c r="C148" s="9">
        <v>36526</v>
      </c>
      <c r="D148">
        <v>26</v>
      </c>
      <c r="E148" t="s">
        <v>17</v>
      </c>
      <c r="F148" t="s">
        <v>22</v>
      </c>
      <c r="G148" s="9">
        <v>45371</v>
      </c>
      <c r="H148" s="9">
        <v>45215</v>
      </c>
      <c r="I148">
        <v>33</v>
      </c>
      <c r="J148" t="s">
        <v>26</v>
      </c>
      <c r="K148">
        <v>12</v>
      </c>
      <c r="L148">
        <v>2</v>
      </c>
      <c r="M148" s="11">
        <v>4927.7</v>
      </c>
      <c r="N148" s="12">
        <v>9283.7800000000007</v>
      </c>
      <c r="O148" s="12">
        <v>3620.55</v>
      </c>
    </row>
    <row r="149" spans="1:15">
      <c r="A149" t="s">
        <v>270</v>
      </c>
      <c r="B149" t="s">
        <v>135</v>
      </c>
      <c r="C149" s="9">
        <v>43100</v>
      </c>
      <c r="D149">
        <v>8</v>
      </c>
      <c r="E149" t="s">
        <v>21</v>
      </c>
      <c r="F149" t="s">
        <v>25</v>
      </c>
      <c r="G149" s="9">
        <v>45075</v>
      </c>
      <c r="H149" s="9">
        <v>45591</v>
      </c>
      <c r="I149">
        <v>30</v>
      </c>
      <c r="J149" t="s">
        <v>26</v>
      </c>
      <c r="K149">
        <v>0</v>
      </c>
      <c r="L149">
        <v>3</v>
      </c>
      <c r="M149" s="11">
        <v>13271.63</v>
      </c>
      <c r="N149" s="12">
        <v>10880.56</v>
      </c>
      <c r="O149" s="12">
        <v>18933.740000000002</v>
      </c>
    </row>
    <row r="150" spans="1:15">
      <c r="A150" t="s">
        <v>271</v>
      </c>
      <c r="B150" t="s">
        <v>127</v>
      </c>
      <c r="C150" s="9">
        <v>17533</v>
      </c>
      <c r="D150">
        <v>78</v>
      </c>
      <c r="E150" t="s">
        <v>17</v>
      </c>
      <c r="F150" t="s">
        <v>74</v>
      </c>
      <c r="G150" s="9">
        <v>44936</v>
      </c>
      <c r="H150" s="9">
        <v>45826</v>
      </c>
      <c r="I150">
        <v>13</v>
      </c>
      <c r="J150" t="s">
        <v>32</v>
      </c>
      <c r="K150">
        <v>14</v>
      </c>
      <c r="L150">
        <v>9</v>
      </c>
      <c r="M150" s="11">
        <v>28401.71</v>
      </c>
      <c r="N150" s="12">
        <v>3114.21</v>
      </c>
      <c r="O150" s="12">
        <v>5879.47</v>
      </c>
    </row>
    <row r="151" spans="1:15">
      <c r="A151" t="s">
        <v>272</v>
      </c>
      <c r="B151" t="s">
        <v>273</v>
      </c>
      <c r="C151" s="9">
        <v>40909</v>
      </c>
      <c r="D151">
        <v>14</v>
      </c>
      <c r="E151" t="s">
        <v>17</v>
      </c>
      <c r="F151" t="s">
        <v>5184</v>
      </c>
      <c r="G151" s="9">
        <v>45468</v>
      </c>
      <c r="H151" s="9">
        <v>45045</v>
      </c>
      <c r="I151">
        <v>35</v>
      </c>
      <c r="J151" t="s">
        <v>35</v>
      </c>
      <c r="K151">
        <v>10</v>
      </c>
      <c r="L151">
        <v>0</v>
      </c>
      <c r="M151" s="11">
        <v>7043.66</v>
      </c>
      <c r="N151" s="12">
        <v>14327.91</v>
      </c>
      <c r="O151" s="12">
        <v>14077.93</v>
      </c>
    </row>
    <row r="152" spans="1:15">
      <c r="A152" t="s">
        <v>274</v>
      </c>
      <c r="B152" t="s">
        <v>275</v>
      </c>
      <c r="C152" s="9">
        <v>13515</v>
      </c>
      <c r="D152">
        <v>89</v>
      </c>
      <c r="E152" t="s">
        <v>17</v>
      </c>
      <c r="F152" t="s">
        <v>18</v>
      </c>
      <c r="G152" s="9">
        <v>44981</v>
      </c>
      <c r="H152" s="9">
        <v>45351</v>
      </c>
      <c r="I152">
        <v>8</v>
      </c>
      <c r="J152" t="s">
        <v>32</v>
      </c>
      <c r="K152">
        <v>9</v>
      </c>
      <c r="L152">
        <v>1</v>
      </c>
      <c r="M152" s="11">
        <v>176.02</v>
      </c>
      <c r="N152" s="12">
        <v>122.68</v>
      </c>
      <c r="O152" s="12">
        <v>6747.96</v>
      </c>
    </row>
    <row r="153" spans="1:15">
      <c r="A153" t="s">
        <v>276</v>
      </c>
      <c r="B153" t="s">
        <v>34</v>
      </c>
      <c r="C153" s="9">
        <v>31047</v>
      </c>
      <c r="D153">
        <v>41</v>
      </c>
      <c r="E153" t="s">
        <v>21</v>
      </c>
      <c r="F153" t="s">
        <v>18</v>
      </c>
      <c r="G153" s="9">
        <v>45565</v>
      </c>
      <c r="H153" s="9">
        <v>45718</v>
      </c>
      <c r="I153">
        <v>5</v>
      </c>
      <c r="J153" t="s">
        <v>32</v>
      </c>
      <c r="K153">
        <v>7</v>
      </c>
      <c r="L153">
        <v>5</v>
      </c>
      <c r="M153" s="11">
        <v>14446.52</v>
      </c>
      <c r="N153" s="12">
        <v>10500.93</v>
      </c>
      <c r="O153" s="12">
        <v>19389.82</v>
      </c>
    </row>
    <row r="154" spans="1:15">
      <c r="A154" t="s">
        <v>277</v>
      </c>
      <c r="B154" t="s">
        <v>278</v>
      </c>
      <c r="C154" s="9">
        <v>18263</v>
      </c>
      <c r="D154">
        <f ca="1">DATEDIF(C105,TODAY(),"Y")</f>
        <v>14</v>
      </c>
      <c r="E154" t="s">
        <v>17</v>
      </c>
      <c r="F154" t="s">
        <v>5184</v>
      </c>
      <c r="G154" s="9">
        <v>45106</v>
      </c>
      <c r="H154" s="9">
        <v>45574</v>
      </c>
      <c r="I154">
        <v>2</v>
      </c>
      <c r="J154" t="s">
        <v>35</v>
      </c>
      <c r="K154">
        <v>5</v>
      </c>
      <c r="L154">
        <v>0</v>
      </c>
      <c r="M154" s="11">
        <v>6329.9</v>
      </c>
      <c r="N154" s="12">
        <v>4365.01</v>
      </c>
      <c r="O154" s="12">
        <v>19764.400000000001</v>
      </c>
    </row>
    <row r="155" spans="1:15">
      <c r="A155" t="s">
        <v>279</v>
      </c>
      <c r="B155" t="s">
        <v>252</v>
      </c>
      <c r="C155" s="9">
        <v>27760</v>
      </c>
      <c r="D155">
        <v>50</v>
      </c>
      <c r="E155" t="s">
        <v>21</v>
      </c>
      <c r="F155" t="s">
        <v>5184</v>
      </c>
      <c r="G155" s="9">
        <v>45307</v>
      </c>
      <c r="H155" s="9">
        <v>45136</v>
      </c>
      <c r="I155">
        <v>11</v>
      </c>
      <c r="J155" t="s">
        <v>32</v>
      </c>
      <c r="K155">
        <v>2</v>
      </c>
      <c r="L155">
        <v>8</v>
      </c>
      <c r="M155" s="11">
        <v>17251.84</v>
      </c>
      <c r="N155" s="12">
        <v>7177.72</v>
      </c>
      <c r="O155" s="12">
        <v>16484.439999999999</v>
      </c>
    </row>
    <row r="156" spans="1:15">
      <c r="A156" t="s">
        <v>280</v>
      </c>
      <c r="B156" t="s">
        <v>63</v>
      </c>
      <c r="C156" s="9">
        <v>23377</v>
      </c>
      <c r="D156">
        <v>62</v>
      </c>
      <c r="E156" t="s">
        <v>17</v>
      </c>
      <c r="F156" t="s">
        <v>5184</v>
      </c>
      <c r="G156" s="9">
        <v>45348</v>
      </c>
      <c r="H156" s="9">
        <v>45054</v>
      </c>
      <c r="I156">
        <v>27</v>
      </c>
      <c r="J156" t="s">
        <v>26</v>
      </c>
      <c r="K156">
        <v>14</v>
      </c>
      <c r="L156">
        <v>7</v>
      </c>
      <c r="M156" s="11">
        <v>24421.8</v>
      </c>
      <c r="N156" s="12">
        <v>8547.7099999999991</v>
      </c>
      <c r="O156" s="12">
        <v>11587.62</v>
      </c>
    </row>
    <row r="157" spans="1:15">
      <c r="A157" t="s">
        <v>281</v>
      </c>
      <c r="B157" t="s">
        <v>153</v>
      </c>
      <c r="C157" s="9">
        <v>27395</v>
      </c>
      <c r="D157">
        <v>51</v>
      </c>
      <c r="E157" t="s">
        <v>21</v>
      </c>
      <c r="F157" t="s">
        <v>29</v>
      </c>
      <c r="G157" s="9">
        <v>45377</v>
      </c>
      <c r="H157" s="9">
        <v>45220</v>
      </c>
      <c r="I157">
        <v>18</v>
      </c>
      <c r="J157" t="s">
        <v>26</v>
      </c>
      <c r="K157">
        <v>12</v>
      </c>
      <c r="L157">
        <v>1</v>
      </c>
      <c r="M157" s="11">
        <v>15092.21</v>
      </c>
      <c r="N157" s="12">
        <v>8422.83</v>
      </c>
      <c r="O157" s="12">
        <v>10795.55</v>
      </c>
    </row>
    <row r="158" spans="1:15">
      <c r="A158" t="s">
        <v>282</v>
      </c>
      <c r="B158" t="s">
        <v>82</v>
      </c>
      <c r="C158" s="9">
        <v>44927</v>
      </c>
      <c r="D158">
        <v>3</v>
      </c>
      <c r="E158" t="s">
        <v>21</v>
      </c>
      <c r="F158" t="s">
        <v>5184</v>
      </c>
      <c r="G158" s="9">
        <v>45019</v>
      </c>
      <c r="H158" s="9">
        <v>45446</v>
      </c>
      <c r="I158">
        <v>18</v>
      </c>
      <c r="J158" t="s">
        <v>32</v>
      </c>
      <c r="K158">
        <v>9</v>
      </c>
      <c r="L158">
        <v>1</v>
      </c>
      <c r="M158" s="11">
        <v>19173.400000000001</v>
      </c>
      <c r="N158" s="12">
        <v>11644.17</v>
      </c>
      <c r="O158" s="12">
        <v>6512.12</v>
      </c>
    </row>
    <row r="159" spans="1:15">
      <c r="A159" t="s">
        <v>283</v>
      </c>
      <c r="B159" t="s">
        <v>284</v>
      </c>
      <c r="C159" s="9">
        <v>12054</v>
      </c>
      <c r="D159">
        <v>93</v>
      </c>
      <c r="E159" t="s">
        <v>21</v>
      </c>
      <c r="F159" t="s">
        <v>29</v>
      </c>
      <c r="G159" s="9">
        <v>45446</v>
      </c>
      <c r="H159" s="9">
        <v>45149</v>
      </c>
      <c r="I159">
        <v>31</v>
      </c>
      <c r="J159" t="s">
        <v>35</v>
      </c>
      <c r="K159">
        <v>12</v>
      </c>
      <c r="L159">
        <v>7</v>
      </c>
      <c r="M159" s="11">
        <v>19817.650000000001</v>
      </c>
      <c r="N159" s="12">
        <v>12357.46</v>
      </c>
      <c r="O159" s="12">
        <v>2352.77</v>
      </c>
    </row>
    <row r="160" spans="1:15">
      <c r="A160" t="s">
        <v>285</v>
      </c>
      <c r="B160" t="s">
        <v>286</v>
      </c>
      <c r="C160" s="9">
        <v>37987</v>
      </c>
      <c r="D160">
        <v>22</v>
      </c>
      <c r="E160" t="s">
        <v>21</v>
      </c>
      <c r="F160" t="s">
        <v>25</v>
      </c>
      <c r="G160" s="9">
        <v>45339</v>
      </c>
      <c r="H160" s="9">
        <v>45004</v>
      </c>
      <c r="I160">
        <v>35</v>
      </c>
      <c r="J160" t="s">
        <v>26</v>
      </c>
      <c r="K160">
        <v>6</v>
      </c>
      <c r="L160">
        <v>7</v>
      </c>
      <c r="M160" s="11">
        <v>24526.3</v>
      </c>
      <c r="N160" s="12">
        <v>1100.24</v>
      </c>
      <c r="O160" s="12">
        <v>1489.13</v>
      </c>
    </row>
    <row r="161" spans="1:15">
      <c r="A161" t="s">
        <v>287</v>
      </c>
      <c r="B161" t="s">
        <v>37</v>
      </c>
      <c r="C161" s="9">
        <v>40909</v>
      </c>
      <c r="D161">
        <v>14</v>
      </c>
      <c r="E161" t="s">
        <v>5185</v>
      </c>
      <c r="F161" t="s">
        <v>49</v>
      </c>
      <c r="G161" s="9">
        <v>45320</v>
      </c>
      <c r="H161" s="9">
        <v>45265</v>
      </c>
      <c r="I161">
        <v>23</v>
      </c>
      <c r="J161" t="s">
        <v>32</v>
      </c>
      <c r="K161">
        <v>9</v>
      </c>
      <c r="L161">
        <v>0</v>
      </c>
      <c r="M161" s="11">
        <v>20481.77</v>
      </c>
      <c r="N161" s="12">
        <v>10545.13</v>
      </c>
      <c r="O161" s="12">
        <v>9255.49</v>
      </c>
    </row>
    <row r="162" spans="1:15">
      <c r="A162" t="s">
        <v>288</v>
      </c>
      <c r="B162" t="s">
        <v>289</v>
      </c>
      <c r="C162" s="9">
        <v>30682</v>
      </c>
      <c r="D162">
        <v>42</v>
      </c>
      <c r="E162" t="s">
        <v>21</v>
      </c>
      <c r="F162" t="s">
        <v>5184</v>
      </c>
      <c r="G162" s="9">
        <v>45257</v>
      </c>
      <c r="H162" s="9">
        <v>45790</v>
      </c>
      <c r="I162">
        <v>38</v>
      </c>
      <c r="J162" t="s">
        <v>32</v>
      </c>
      <c r="K162">
        <v>9</v>
      </c>
      <c r="L162">
        <v>4</v>
      </c>
      <c r="M162" s="11">
        <v>29273.25</v>
      </c>
      <c r="N162" s="12">
        <v>5985.86</v>
      </c>
      <c r="O162" s="12">
        <v>19573.650000000001</v>
      </c>
    </row>
    <row r="163" spans="1:15">
      <c r="A163" t="s">
        <v>290</v>
      </c>
      <c r="B163" t="s">
        <v>201</v>
      </c>
      <c r="C163" s="9">
        <v>35795</v>
      </c>
      <c r="D163">
        <v>28</v>
      </c>
      <c r="E163" t="s">
        <v>17</v>
      </c>
      <c r="F163" t="s">
        <v>5184</v>
      </c>
      <c r="G163" s="9">
        <v>45634</v>
      </c>
      <c r="H163" s="9">
        <v>45717</v>
      </c>
      <c r="I163">
        <v>11</v>
      </c>
      <c r="J163" t="s">
        <v>32</v>
      </c>
      <c r="K163">
        <v>11</v>
      </c>
      <c r="L163">
        <v>1</v>
      </c>
      <c r="M163" s="11">
        <v>13414.44</v>
      </c>
      <c r="N163" s="12">
        <v>12278.84</v>
      </c>
      <c r="O163" s="12">
        <v>4862.25</v>
      </c>
    </row>
    <row r="164" spans="1:15">
      <c r="A164" t="s">
        <v>291</v>
      </c>
      <c r="B164" t="s">
        <v>292</v>
      </c>
      <c r="C164" s="9">
        <v>33239</v>
      </c>
      <c r="D164">
        <v>35</v>
      </c>
      <c r="E164" t="s">
        <v>5185</v>
      </c>
      <c r="F164" t="s">
        <v>18</v>
      </c>
      <c r="G164" s="9">
        <v>45359</v>
      </c>
      <c r="H164" s="9">
        <v>45773</v>
      </c>
      <c r="I164">
        <v>37</v>
      </c>
      <c r="J164" t="s">
        <v>35</v>
      </c>
      <c r="K164">
        <v>2</v>
      </c>
      <c r="L164">
        <v>0</v>
      </c>
      <c r="M164" s="11">
        <v>0</v>
      </c>
      <c r="N164" s="12">
        <v>9133.36</v>
      </c>
      <c r="O164" s="12">
        <v>8160.14</v>
      </c>
    </row>
    <row r="165" spans="1:15">
      <c r="A165" t="s">
        <v>293</v>
      </c>
      <c r="B165" t="s">
        <v>286</v>
      </c>
      <c r="C165" s="9">
        <v>41639</v>
      </c>
      <c r="D165">
        <v>12</v>
      </c>
      <c r="E165" t="s">
        <v>21</v>
      </c>
      <c r="F165" t="s">
        <v>74</v>
      </c>
      <c r="G165" s="9">
        <v>45089</v>
      </c>
      <c r="H165" s="9">
        <v>45777</v>
      </c>
      <c r="I165">
        <v>32</v>
      </c>
      <c r="J165" t="s">
        <v>35</v>
      </c>
      <c r="K165">
        <v>14</v>
      </c>
      <c r="L165">
        <v>2</v>
      </c>
      <c r="M165" s="11">
        <v>11517.82</v>
      </c>
      <c r="N165" s="12">
        <v>153.55000000000001</v>
      </c>
      <c r="O165" s="12">
        <v>12792.53</v>
      </c>
    </row>
    <row r="166" spans="1:15">
      <c r="A166" t="s">
        <v>294</v>
      </c>
      <c r="B166" t="s">
        <v>209</v>
      </c>
      <c r="C166" s="9">
        <v>34700</v>
      </c>
      <c r="D166">
        <v>31</v>
      </c>
      <c r="E166" t="s">
        <v>17</v>
      </c>
      <c r="F166" t="s">
        <v>49</v>
      </c>
      <c r="G166" s="9">
        <v>44966</v>
      </c>
      <c r="H166" s="9">
        <v>45666</v>
      </c>
      <c r="I166">
        <v>39</v>
      </c>
      <c r="J166" t="s">
        <v>35</v>
      </c>
      <c r="K166">
        <v>1</v>
      </c>
      <c r="L166">
        <v>2</v>
      </c>
      <c r="M166" s="11">
        <v>25116.28</v>
      </c>
      <c r="N166" s="12">
        <v>9996.98</v>
      </c>
      <c r="O166" s="12">
        <v>6956.38</v>
      </c>
    </row>
    <row r="167" spans="1:15">
      <c r="A167" t="s">
        <v>295</v>
      </c>
      <c r="B167" t="s">
        <v>286</v>
      </c>
      <c r="C167" s="9">
        <v>20455</v>
      </c>
      <c r="D167">
        <v>70</v>
      </c>
      <c r="E167" t="s">
        <v>21</v>
      </c>
      <c r="F167" t="s">
        <v>18</v>
      </c>
      <c r="G167" s="9">
        <v>45011</v>
      </c>
      <c r="H167" s="9">
        <v>45202</v>
      </c>
      <c r="I167">
        <v>15</v>
      </c>
      <c r="J167" t="s">
        <v>26</v>
      </c>
      <c r="K167">
        <v>10</v>
      </c>
      <c r="L167">
        <v>9</v>
      </c>
      <c r="M167" s="11">
        <v>3558.56</v>
      </c>
      <c r="N167" s="12">
        <v>13885.65</v>
      </c>
      <c r="O167" s="12">
        <v>27.04</v>
      </c>
    </row>
    <row r="168" spans="1:15">
      <c r="A168" t="s">
        <v>296</v>
      </c>
      <c r="B168" t="s">
        <v>51</v>
      </c>
      <c r="C168" s="9">
        <v>24838</v>
      </c>
      <c r="D168">
        <v>58</v>
      </c>
      <c r="E168" t="s">
        <v>21</v>
      </c>
      <c r="F168" t="s">
        <v>25</v>
      </c>
      <c r="G168" s="9">
        <v>45516</v>
      </c>
      <c r="H168" s="9">
        <v>45790</v>
      </c>
      <c r="I168">
        <v>17</v>
      </c>
      <c r="J168" t="s">
        <v>32</v>
      </c>
      <c r="K168">
        <v>12</v>
      </c>
      <c r="L168">
        <v>8</v>
      </c>
      <c r="M168" s="11">
        <v>21946.17</v>
      </c>
      <c r="N168" s="12">
        <v>1246.45</v>
      </c>
      <c r="O168" s="12">
        <v>7863.96</v>
      </c>
    </row>
    <row r="169" spans="1:15">
      <c r="A169" t="s">
        <v>297</v>
      </c>
      <c r="B169" t="s">
        <v>284</v>
      </c>
      <c r="C169" s="9">
        <v>14976</v>
      </c>
      <c r="D169">
        <v>85</v>
      </c>
      <c r="E169" t="s">
        <v>21</v>
      </c>
      <c r="F169" t="s">
        <v>5184</v>
      </c>
      <c r="G169" s="9">
        <v>45651</v>
      </c>
      <c r="H169" s="9">
        <v>45734</v>
      </c>
      <c r="I169">
        <v>6</v>
      </c>
      <c r="J169" t="s">
        <v>32</v>
      </c>
      <c r="K169">
        <v>8</v>
      </c>
      <c r="L169">
        <v>9</v>
      </c>
      <c r="M169" s="11">
        <v>15837.67</v>
      </c>
      <c r="N169" s="12">
        <v>7413.46</v>
      </c>
      <c r="O169" s="12">
        <v>16073.29</v>
      </c>
    </row>
    <row r="170" spans="1:15">
      <c r="A170" t="s">
        <v>298</v>
      </c>
      <c r="B170" t="s">
        <v>278</v>
      </c>
      <c r="C170" s="9">
        <v>36161</v>
      </c>
      <c r="D170">
        <v>27</v>
      </c>
      <c r="E170" t="s">
        <v>17</v>
      </c>
      <c r="F170" t="s">
        <v>18</v>
      </c>
      <c r="G170" s="9">
        <v>45017</v>
      </c>
      <c r="H170" s="9">
        <v>45044</v>
      </c>
      <c r="I170">
        <v>38</v>
      </c>
      <c r="J170" t="s">
        <v>35</v>
      </c>
      <c r="K170">
        <v>12</v>
      </c>
      <c r="L170">
        <v>0</v>
      </c>
      <c r="M170" s="11">
        <v>26970.32</v>
      </c>
      <c r="N170" s="12">
        <v>9387.7999999999993</v>
      </c>
      <c r="O170" s="12">
        <v>18873.599999999999</v>
      </c>
    </row>
    <row r="171" spans="1:15">
      <c r="A171" t="s">
        <v>299</v>
      </c>
      <c r="B171" t="s">
        <v>300</v>
      </c>
      <c r="C171" s="9">
        <v>22281</v>
      </c>
      <c r="D171">
        <v>65</v>
      </c>
      <c r="E171" t="s">
        <v>21</v>
      </c>
      <c r="F171" t="s">
        <v>29</v>
      </c>
      <c r="G171" s="9">
        <v>45410</v>
      </c>
      <c r="H171" s="9">
        <v>45219</v>
      </c>
      <c r="I171">
        <v>30</v>
      </c>
      <c r="J171" t="s">
        <v>32</v>
      </c>
      <c r="K171">
        <v>1</v>
      </c>
      <c r="L171">
        <v>1</v>
      </c>
      <c r="M171" s="11">
        <v>21801.279999999999</v>
      </c>
      <c r="N171" s="12">
        <v>2937.95</v>
      </c>
      <c r="O171" s="12">
        <v>5429.33</v>
      </c>
    </row>
    <row r="172" spans="1:15">
      <c r="A172" t="s">
        <v>301</v>
      </c>
      <c r="B172" t="s">
        <v>302</v>
      </c>
      <c r="C172" s="9">
        <v>31047</v>
      </c>
      <c r="D172">
        <v>41</v>
      </c>
      <c r="E172" t="s">
        <v>17</v>
      </c>
      <c r="F172" t="s">
        <v>74</v>
      </c>
      <c r="G172" s="9">
        <v>45311</v>
      </c>
      <c r="H172" s="9">
        <v>45198</v>
      </c>
      <c r="I172">
        <v>1</v>
      </c>
      <c r="J172" t="s">
        <v>26</v>
      </c>
      <c r="K172">
        <v>8</v>
      </c>
      <c r="L172">
        <v>8</v>
      </c>
      <c r="M172" s="11">
        <v>19645.990000000002</v>
      </c>
      <c r="N172" s="12">
        <v>9760.3700000000008</v>
      </c>
      <c r="O172" s="12">
        <v>18425.080000000002</v>
      </c>
    </row>
    <row r="173" spans="1:15">
      <c r="A173" t="s">
        <v>303</v>
      </c>
      <c r="B173" t="s">
        <v>71</v>
      </c>
      <c r="C173" s="9">
        <v>29951</v>
      </c>
      <c r="D173">
        <v>44</v>
      </c>
      <c r="E173" t="s">
        <v>17</v>
      </c>
      <c r="F173" t="s">
        <v>74</v>
      </c>
      <c r="G173" s="9">
        <v>45119</v>
      </c>
      <c r="H173" s="9">
        <v>45374</v>
      </c>
      <c r="I173">
        <v>1</v>
      </c>
      <c r="J173" t="s">
        <v>32</v>
      </c>
      <c r="K173">
        <v>10</v>
      </c>
      <c r="L173">
        <v>4</v>
      </c>
      <c r="M173" s="11">
        <v>26549.78</v>
      </c>
      <c r="N173" s="12">
        <v>746.98</v>
      </c>
      <c r="O173" s="12">
        <v>17329.689999999999</v>
      </c>
    </row>
    <row r="174" spans="1:15">
      <c r="A174" t="s">
        <v>304</v>
      </c>
      <c r="B174" t="s">
        <v>192</v>
      </c>
      <c r="C174" s="9">
        <v>23742</v>
      </c>
      <c r="D174">
        <v>61</v>
      </c>
      <c r="E174" t="s">
        <v>17</v>
      </c>
      <c r="F174" t="s">
        <v>29</v>
      </c>
      <c r="G174" s="9">
        <v>45179</v>
      </c>
      <c r="H174" s="9">
        <v>45084</v>
      </c>
      <c r="I174">
        <v>13</v>
      </c>
      <c r="J174" t="s">
        <v>32</v>
      </c>
      <c r="K174">
        <v>1</v>
      </c>
      <c r="L174">
        <v>8</v>
      </c>
      <c r="M174" s="11">
        <v>27200.71</v>
      </c>
      <c r="N174" s="12">
        <v>13585.19</v>
      </c>
      <c r="O174" s="12">
        <v>8075.15</v>
      </c>
    </row>
    <row r="175" spans="1:15">
      <c r="A175" t="s">
        <v>305</v>
      </c>
      <c r="B175" t="s">
        <v>306</v>
      </c>
      <c r="C175" s="9">
        <v>25568</v>
      </c>
      <c r="D175">
        <v>56</v>
      </c>
      <c r="E175" t="s">
        <v>21</v>
      </c>
      <c r="F175" t="s">
        <v>5184</v>
      </c>
      <c r="G175" s="9">
        <v>45581</v>
      </c>
      <c r="H175" s="9">
        <v>45499</v>
      </c>
      <c r="I175">
        <v>23</v>
      </c>
      <c r="J175" t="s">
        <v>32</v>
      </c>
      <c r="K175">
        <v>0</v>
      </c>
      <c r="L175">
        <v>5</v>
      </c>
      <c r="M175" s="11">
        <v>11239.96</v>
      </c>
      <c r="N175" s="12">
        <v>11439.81</v>
      </c>
      <c r="O175" s="12">
        <v>5.98</v>
      </c>
    </row>
    <row r="176" spans="1:15">
      <c r="A176" t="s">
        <v>307</v>
      </c>
      <c r="B176" t="s">
        <v>105</v>
      </c>
      <c r="C176" s="9">
        <v>44196</v>
      </c>
      <c r="D176">
        <v>5</v>
      </c>
      <c r="E176" t="s">
        <v>17</v>
      </c>
      <c r="F176" t="s">
        <v>5184</v>
      </c>
      <c r="G176" s="9">
        <v>45170</v>
      </c>
      <c r="H176" s="9">
        <v>45111</v>
      </c>
      <c r="I176">
        <v>3</v>
      </c>
      <c r="J176" t="s">
        <v>26</v>
      </c>
      <c r="K176">
        <v>0</v>
      </c>
      <c r="L176">
        <v>9</v>
      </c>
      <c r="M176" s="11">
        <v>27799.34</v>
      </c>
      <c r="N176" s="12">
        <v>14115.35</v>
      </c>
      <c r="O176" s="12">
        <v>16882.009999999998</v>
      </c>
    </row>
    <row r="177" spans="1:15">
      <c r="A177" t="s">
        <v>308</v>
      </c>
      <c r="B177" t="s">
        <v>309</v>
      </c>
      <c r="C177" s="9">
        <v>36161</v>
      </c>
      <c r="D177">
        <v>27</v>
      </c>
      <c r="E177" t="s">
        <v>17</v>
      </c>
      <c r="F177" t="s">
        <v>49</v>
      </c>
      <c r="G177" s="9">
        <v>45650</v>
      </c>
      <c r="H177" s="9">
        <v>45351</v>
      </c>
      <c r="I177">
        <v>34</v>
      </c>
      <c r="J177" t="s">
        <v>35</v>
      </c>
      <c r="K177">
        <v>5</v>
      </c>
      <c r="L177">
        <v>9</v>
      </c>
      <c r="M177" s="11">
        <v>1168.29</v>
      </c>
      <c r="N177" s="12">
        <v>6276.4</v>
      </c>
      <c r="O177" s="12">
        <v>5664.13</v>
      </c>
    </row>
    <row r="178" spans="1:15">
      <c r="A178" t="s">
        <v>310</v>
      </c>
      <c r="B178" t="s">
        <v>16</v>
      </c>
      <c r="C178" s="9">
        <v>36161</v>
      </c>
      <c r="D178">
        <v>27</v>
      </c>
      <c r="E178" t="s">
        <v>17</v>
      </c>
      <c r="F178" t="s">
        <v>29</v>
      </c>
      <c r="G178" s="9">
        <v>45633</v>
      </c>
      <c r="H178" s="9">
        <v>45583</v>
      </c>
      <c r="I178">
        <v>19</v>
      </c>
      <c r="J178" t="s">
        <v>26</v>
      </c>
      <c r="K178">
        <v>14</v>
      </c>
      <c r="L178">
        <v>2</v>
      </c>
      <c r="M178" s="11">
        <v>22758.28</v>
      </c>
      <c r="N178" s="12">
        <v>513.05999999999995</v>
      </c>
      <c r="O178" s="12">
        <v>15093.32</v>
      </c>
    </row>
    <row r="179" spans="1:15">
      <c r="A179" t="s">
        <v>311</v>
      </c>
      <c r="B179" t="s">
        <v>261</v>
      </c>
      <c r="C179" s="9">
        <v>30317</v>
      </c>
      <c r="D179">
        <v>43</v>
      </c>
      <c r="E179" t="s">
        <v>17</v>
      </c>
      <c r="F179" t="s">
        <v>5184</v>
      </c>
      <c r="G179" s="9">
        <v>45196</v>
      </c>
      <c r="H179" s="9">
        <v>45600</v>
      </c>
      <c r="I179">
        <v>39</v>
      </c>
      <c r="J179" t="s">
        <v>32</v>
      </c>
      <c r="K179">
        <v>11</v>
      </c>
      <c r="L179">
        <v>7</v>
      </c>
      <c r="M179" s="11">
        <v>0</v>
      </c>
      <c r="N179" s="12">
        <v>5123.01</v>
      </c>
      <c r="O179" s="12">
        <v>11387.44</v>
      </c>
    </row>
    <row r="180" spans="1:15">
      <c r="A180" t="s">
        <v>312</v>
      </c>
      <c r="B180" t="s">
        <v>80</v>
      </c>
      <c r="C180" s="9">
        <v>15707</v>
      </c>
      <c r="D180">
        <v>83</v>
      </c>
      <c r="E180" t="s">
        <v>17</v>
      </c>
      <c r="F180" t="s">
        <v>74</v>
      </c>
      <c r="G180" s="9">
        <v>44945</v>
      </c>
      <c r="H180" s="9">
        <v>45528</v>
      </c>
      <c r="I180">
        <v>36</v>
      </c>
      <c r="J180" t="s">
        <v>32</v>
      </c>
      <c r="K180">
        <v>2</v>
      </c>
      <c r="L180">
        <v>8</v>
      </c>
      <c r="M180" s="11">
        <v>14365.61</v>
      </c>
      <c r="N180" s="12">
        <v>7736.27</v>
      </c>
      <c r="O180" s="12">
        <v>4355.46</v>
      </c>
    </row>
    <row r="181" spans="1:15">
      <c r="A181" t="s">
        <v>313</v>
      </c>
      <c r="B181" t="s">
        <v>174</v>
      </c>
      <c r="C181" s="9">
        <v>35430</v>
      </c>
      <c r="D181">
        <v>29</v>
      </c>
      <c r="E181" t="s">
        <v>21</v>
      </c>
      <c r="F181" t="s">
        <v>5184</v>
      </c>
      <c r="G181" s="9">
        <v>44966</v>
      </c>
      <c r="H181" s="9">
        <v>44943</v>
      </c>
      <c r="I181">
        <v>4</v>
      </c>
      <c r="J181" t="s">
        <v>32</v>
      </c>
      <c r="K181">
        <v>8</v>
      </c>
      <c r="L181">
        <v>1</v>
      </c>
      <c r="M181" s="11">
        <v>24990.37</v>
      </c>
      <c r="N181" s="12">
        <v>14038.08</v>
      </c>
      <c r="O181" s="12">
        <v>12929.05</v>
      </c>
    </row>
    <row r="182" spans="1:15">
      <c r="A182" t="s">
        <v>314</v>
      </c>
      <c r="B182" t="s">
        <v>275</v>
      </c>
      <c r="C182" s="9">
        <v>23742</v>
      </c>
      <c r="D182">
        <v>61</v>
      </c>
      <c r="E182" t="s">
        <v>21</v>
      </c>
      <c r="F182" t="s">
        <v>25</v>
      </c>
      <c r="G182" s="9">
        <v>45536</v>
      </c>
      <c r="H182" s="9">
        <v>45688</v>
      </c>
      <c r="I182">
        <v>39</v>
      </c>
      <c r="J182" t="s">
        <v>32</v>
      </c>
      <c r="K182">
        <v>10</v>
      </c>
      <c r="L182">
        <v>8</v>
      </c>
      <c r="M182" s="11">
        <v>18929.68</v>
      </c>
      <c r="N182" s="12">
        <v>13246</v>
      </c>
      <c r="O182" s="12">
        <v>15273.29</v>
      </c>
    </row>
    <row r="183" spans="1:15">
      <c r="A183" t="s">
        <v>315</v>
      </c>
      <c r="B183" t="s">
        <v>151</v>
      </c>
      <c r="C183" s="9">
        <v>18994</v>
      </c>
      <c r="D183">
        <v>74</v>
      </c>
      <c r="E183" t="s">
        <v>21</v>
      </c>
      <c r="F183" t="s">
        <v>5184</v>
      </c>
      <c r="G183" s="9">
        <v>45442</v>
      </c>
      <c r="H183" s="9">
        <v>45025</v>
      </c>
      <c r="I183">
        <v>27</v>
      </c>
      <c r="J183" t="s">
        <v>26</v>
      </c>
      <c r="K183">
        <v>7</v>
      </c>
      <c r="L183">
        <v>3</v>
      </c>
      <c r="M183" s="11">
        <v>13453.48</v>
      </c>
      <c r="N183" s="12">
        <v>8911.08</v>
      </c>
      <c r="O183" s="12">
        <v>9436.35</v>
      </c>
    </row>
    <row r="184" spans="1:15">
      <c r="A184" t="s">
        <v>316</v>
      </c>
      <c r="B184" t="s">
        <v>242</v>
      </c>
      <c r="C184" s="9">
        <v>12785</v>
      </c>
      <c r="D184">
        <v>91</v>
      </c>
      <c r="E184" t="s">
        <v>21</v>
      </c>
      <c r="F184" t="s">
        <v>49</v>
      </c>
      <c r="G184" s="9">
        <v>44959</v>
      </c>
      <c r="H184" s="9">
        <v>45543</v>
      </c>
      <c r="I184">
        <v>7</v>
      </c>
      <c r="J184" t="s">
        <v>26</v>
      </c>
      <c r="K184">
        <v>0</v>
      </c>
      <c r="L184">
        <v>7</v>
      </c>
      <c r="M184" s="11">
        <v>0</v>
      </c>
      <c r="N184" s="12">
        <v>10946.28</v>
      </c>
      <c r="O184" s="12">
        <v>14933</v>
      </c>
    </row>
    <row r="185" spans="1:15">
      <c r="A185" t="s">
        <v>317</v>
      </c>
      <c r="B185" t="s">
        <v>67</v>
      </c>
      <c r="C185" s="9">
        <v>13880</v>
      </c>
      <c r="D185">
        <v>88</v>
      </c>
      <c r="E185" t="s">
        <v>21</v>
      </c>
      <c r="F185" t="s">
        <v>22</v>
      </c>
      <c r="G185" s="9">
        <v>45603</v>
      </c>
      <c r="H185" s="9">
        <v>45227</v>
      </c>
      <c r="I185">
        <v>12</v>
      </c>
      <c r="J185" t="s">
        <v>26</v>
      </c>
      <c r="K185">
        <v>14</v>
      </c>
      <c r="L185">
        <v>4</v>
      </c>
      <c r="M185" s="11">
        <v>28147.58</v>
      </c>
      <c r="N185" s="12">
        <v>14308.47</v>
      </c>
      <c r="O185" s="12">
        <v>8039.93</v>
      </c>
    </row>
    <row r="186" spans="1:15">
      <c r="A186" t="s">
        <v>318</v>
      </c>
      <c r="B186" t="s">
        <v>211</v>
      </c>
      <c r="C186" s="9">
        <v>23742</v>
      </c>
      <c r="D186">
        <v>61</v>
      </c>
      <c r="E186" t="s">
        <v>21</v>
      </c>
      <c r="F186" t="s">
        <v>18</v>
      </c>
      <c r="G186" s="9">
        <v>45376</v>
      </c>
      <c r="H186" s="9">
        <v>45674</v>
      </c>
      <c r="I186">
        <v>3</v>
      </c>
      <c r="J186" t="s">
        <v>32</v>
      </c>
      <c r="K186">
        <v>7</v>
      </c>
      <c r="L186">
        <v>5</v>
      </c>
      <c r="M186" s="11">
        <v>9640.56</v>
      </c>
      <c r="N186" s="12">
        <v>12758.87</v>
      </c>
      <c r="O186" s="12">
        <v>19603.060000000001</v>
      </c>
    </row>
    <row r="187" spans="1:15">
      <c r="A187" t="s">
        <v>319</v>
      </c>
      <c r="B187" t="s">
        <v>249</v>
      </c>
      <c r="C187" s="9">
        <v>46022</v>
      </c>
      <c r="D187">
        <v>0</v>
      </c>
      <c r="E187" t="s">
        <v>21</v>
      </c>
      <c r="F187" t="s">
        <v>22</v>
      </c>
      <c r="G187" s="9">
        <v>45465</v>
      </c>
      <c r="H187" s="9">
        <v>45349</v>
      </c>
      <c r="I187">
        <v>21</v>
      </c>
      <c r="J187" t="s">
        <v>26</v>
      </c>
      <c r="K187">
        <v>4</v>
      </c>
      <c r="L187">
        <v>3</v>
      </c>
      <c r="M187" s="11">
        <v>2585.4299999999998</v>
      </c>
      <c r="N187" s="12">
        <v>9882.2900000000009</v>
      </c>
      <c r="O187" s="12">
        <v>4720.1499999999996</v>
      </c>
    </row>
    <row r="188" spans="1:15">
      <c r="A188" t="s">
        <v>320</v>
      </c>
      <c r="B188" t="s">
        <v>117</v>
      </c>
      <c r="C188" s="9">
        <v>36526</v>
      </c>
      <c r="D188">
        <v>26</v>
      </c>
      <c r="E188" t="s">
        <v>5185</v>
      </c>
      <c r="F188" t="s">
        <v>25</v>
      </c>
      <c r="G188" s="9">
        <v>45611</v>
      </c>
      <c r="H188" s="9">
        <v>45234</v>
      </c>
      <c r="I188">
        <v>1</v>
      </c>
      <c r="J188" t="s">
        <v>35</v>
      </c>
      <c r="K188">
        <v>8</v>
      </c>
      <c r="L188">
        <v>4</v>
      </c>
      <c r="M188" s="11">
        <v>16706.48</v>
      </c>
      <c r="N188" s="12">
        <v>8100.83</v>
      </c>
      <c r="O188" s="12">
        <v>15534.88</v>
      </c>
    </row>
    <row r="189" spans="1:15">
      <c r="A189" t="s">
        <v>321</v>
      </c>
      <c r="B189" t="s">
        <v>273</v>
      </c>
      <c r="C189" s="9">
        <v>23742</v>
      </c>
      <c r="D189">
        <v>61</v>
      </c>
      <c r="E189" t="s">
        <v>21</v>
      </c>
      <c r="F189" t="s">
        <v>22</v>
      </c>
      <c r="G189" s="9">
        <v>45551</v>
      </c>
      <c r="H189" s="9">
        <v>45201</v>
      </c>
      <c r="I189">
        <v>37</v>
      </c>
      <c r="J189" t="s">
        <v>32</v>
      </c>
      <c r="K189">
        <v>6</v>
      </c>
      <c r="L189">
        <v>0</v>
      </c>
      <c r="M189" s="11">
        <v>11891.53</v>
      </c>
      <c r="N189" s="12">
        <v>7140.61</v>
      </c>
      <c r="O189" s="12">
        <v>14967</v>
      </c>
    </row>
    <row r="190" spans="1:15">
      <c r="A190" t="s">
        <v>322</v>
      </c>
      <c r="B190" t="s">
        <v>211</v>
      </c>
      <c r="C190" s="9">
        <v>18263</v>
      </c>
      <c r="D190">
        <v>76</v>
      </c>
      <c r="E190" t="s">
        <v>17</v>
      </c>
      <c r="F190" t="s">
        <v>5184</v>
      </c>
      <c r="G190" s="9">
        <v>45533</v>
      </c>
      <c r="H190" s="9">
        <v>45188</v>
      </c>
      <c r="I190">
        <v>12</v>
      </c>
      <c r="J190" t="s">
        <v>35</v>
      </c>
      <c r="K190">
        <v>5</v>
      </c>
      <c r="L190">
        <v>2</v>
      </c>
      <c r="M190" s="11">
        <v>17510.59</v>
      </c>
      <c r="N190" s="12">
        <v>11349.15</v>
      </c>
      <c r="O190" s="12">
        <v>10541.8</v>
      </c>
    </row>
    <row r="191" spans="1:15">
      <c r="A191" t="s">
        <v>323</v>
      </c>
      <c r="B191" t="s">
        <v>187</v>
      </c>
      <c r="C191" s="9">
        <v>45292</v>
      </c>
      <c r="D191">
        <v>2</v>
      </c>
      <c r="E191" t="s">
        <v>17</v>
      </c>
      <c r="F191" t="s">
        <v>49</v>
      </c>
      <c r="G191" s="9">
        <v>45245</v>
      </c>
      <c r="H191" s="9">
        <v>45166</v>
      </c>
      <c r="I191">
        <v>18</v>
      </c>
      <c r="J191" t="s">
        <v>32</v>
      </c>
      <c r="K191">
        <v>9</v>
      </c>
      <c r="L191">
        <v>3</v>
      </c>
      <c r="M191" s="11">
        <v>6622.66</v>
      </c>
      <c r="N191" s="12">
        <v>12131.6</v>
      </c>
      <c r="O191" s="12">
        <v>6941.8</v>
      </c>
    </row>
    <row r="192" spans="1:15">
      <c r="A192" t="s">
        <v>324</v>
      </c>
      <c r="B192" t="s">
        <v>159</v>
      </c>
      <c r="C192" s="9">
        <v>20820</v>
      </c>
      <c r="D192">
        <v>69</v>
      </c>
      <c r="E192" t="s">
        <v>17</v>
      </c>
      <c r="F192" t="s">
        <v>74</v>
      </c>
      <c r="G192" s="9">
        <v>45572</v>
      </c>
      <c r="H192" s="9">
        <v>45701</v>
      </c>
      <c r="I192">
        <v>15</v>
      </c>
      <c r="J192" t="s">
        <v>26</v>
      </c>
      <c r="K192">
        <v>11</v>
      </c>
      <c r="L192">
        <v>0</v>
      </c>
      <c r="M192" s="11">
        <v>11051.23</v>
      </c>
      <c r="N192" s="12">
        <v>3264.66</v>
      </c>
      <c r="O192" s="12">
        <v>8859.77</v>
      </c>
    </row>
    <row r="193" spans="1:15">
      <c r="A193" t="s">
        <v>325</v>
      </c>
      <c r="B193" t="s">
        <v>326</v>
      </c>
      <c r="C193" s="9">
        <v>20090</v>
      </c>
      <c r="D193">
        <v>71</v>
      </c>
      <c r="E193" t="s">
        <v>17</v>
      </c>
      <c r="F193" t="s">
        <v>74</v>
      </c>
      <c r="G193" s="9">
        <v>45050</v>
      </c>
      <c r="H193" s="9">
        <v>45259</v>
      </c>
      <c r="I193">
        <v>2</v>
      </c>
      <c r="J193" t="s">
        <v>32</v>
      </c>
      <c r="K193">
        <v>6</v>
      </c>
      <c r="L193">
        <v>2</v>
      </c>
      <c r="M193" s="11">
        <v>29161.51</v>
      </c>
      <c r="N193" s="12">
        <v>7110.38</v>
      </c>
      <c r="O193" s="12">
        <v>12552.7</v>
      </c>
    </row>
    <row r="194" spans="1:15">
      <c r="A194" t="s">
        <v>327</v>
      </c>
      <c r="B194" t="s">
        <v>328</v>
      </c>
      <c r="C194" s="9">
        <v>36526</v>
      </c>
      <c r="D194">
        <f ca="1">DATEDIF(C145,TODAY(),"Y")</f>
        <v>4</v>
      </c>
      <c r="E194" t="s">
        <v>21</v>
      </c>
      <c r="F194" t="s">
        <v>25</v>
      </c>
      <c r="G194" s="9">
        <v>45298</v>
      </c>
      <c r="H194" s="9">
        <v>45042</v>
      </c>
      <c r="I194">
        <v>22</v>
      </c>
      <c r="J194" t="s">
        <v>26</v>
      </c>
      <c r="K194">
        <v>11</v>
      </c>
      <c r="L194">
        <v>3</v>
      </c>
      <c r="M194" s="11">
        <v>0</v>
      </c>
      <c r="N194" s="12">
        <v>11567.29</v>
      </c>
      <c r="O194" s="12">
        <v>10560.03</v>
      </c>
    </row>
    <row r="195" spans="1:15">
      <c r="A195" t="s">
        <v>329</v>
      </c>
      <c r="B195" t="s">
        <v>209</v>
      </c>
      <c r="C195" s="9">
        <v>43100</v>
      </c>
      <c r="D195">
        <v>8</v>
      </c>
      <c r="E195" t="s">
        <v>21</v>
      </c>
      <c r="F195" t="s">
        <v>22</v>
      </c>
      <c r="G195" s="9">
        <v>45277</v>
      </c>
      <c r="H195" s="9">
        <v>45195</v>
      </c>
      <c r="I195">
        <v>33</v>
      </c>
      <c r="J195" t="s">
        <v>26</v>
      </c>
      <c r="K195">
        <v>14</v>
      </c>
      <c r="L195">
        <v>8</v>
      </c>
      <c r="M195" s="11">
        <v>25863.64</v>
      </c>
      <c r="N195" s="12">
        <v>10135.61</v>
      </c>
      <c r="O195" s="12">
        <v>15206.96</v>
      </c>
    </row>
    <row r="196" spans="1:15">
      <c r="A196" t="s">
        <v>330</v>
      </c>
      <c r="B196" t="s">
        <v>80</v>
      </c>
      <c r="C196" s="9">
        <v>23742</v>
      </c>
      <c r="D196">
        <v>61</v>
      </c>
      <c r="E196" t="s">
        <v>21</v>
      </c>
      <c r="F196" t="s">
        <v>49</v>
      </c>
      <c r="G196" s="9">
        <v>45249</v>
      </c>
      <c r="H196" s="9">
        <v>44939</v>
      </c>
      <c r="I196">
        <v>7</v>
      </c>
      <c r="J196" t="s">
        <v>32</v>
      </c>
      <c r="K196">
        <v>11</v>
      </c>
      <c r="L196">
        <v>2</v>
      </c>
      <c r="M196" s="11">
        <v>23263.19</v>
      </c>
      <c r="N196" s="12">
        <v>8873.65</v>
      </c>
      <c r="O196" s="12">
        <v>7149.7</v>
      </c>
    </row>
    <row r="197" spans="1:15">
      <c r="A197" t="s">
        <v>331</v>
      </c>
      <c r="B197" t="s">
        <v>332</v>
      </c>
      <c r="C197" s="9">
        <v>32873</v>
      </c>
      <c r="D197">
        <f ca="1">DATEDIF(C148,TODAY(),"Y")</f>
        <v>26</v>
      </c>
      <c r="E197" t="s">
        <v>21</v>
      </c>
      <c r="F197" t="s">
        <v>18</v>
      </c>
      <c r="G197" s="9">
        <v>45414</v>
      </c>
      <c r="H197" s="9">
        <v>45000</v>
      </c>
      <c r="I197">
        <v>20</v>
      </c>
      <c r="J197" t="s">
        <v>32</v>
      </c>
      <c r="K197">
        <v>7</v>
      </c>
      <c r="L197">
        <v>2</v>
      </c>
      <c r="M197" s="11">
        <v>4275.07</v>
      </c>
      <c r="N197" s="12">
        <v>4855.8999999999996</v>
      </c>
      <c r="O197" s="12">
        <v>2055.63</v>
      </c>
    </row>
    <row r="198" spans="1:15">
      <c r="A198" t="s">
        <v>333</v>
      </c>
      <c r="B198" t="s">
        <v>143</v>
      </c>
      <c r="C198" s="9">
        <v>27760</v>
      </c>
      <c r="D198">
        <v>50</v>
      </c>
      <c r="E198" t="s">
        <v>17</v>
      </c>
      <c r="F198" t="s">
        <v>5184</v>
      </c>
      <c r="G198" s="9">
        <v>45377</v>
      </c>
      <c r="H198" s="9">
        <v>45801</v>
      </c>
      <c r="I198">
        <v>21</v>
      </c>
      <c r="J198" t="s">
        <v>35</v>
      </c>
      <c r="K198">
        <v>10</v>
      </c>
      <c r="L198">
        <v>3</v>
      </c>
      <c r="M198" s="11">
        <v>13741.38</v>
      </c>
      <c r="N198" s="12">
        <v>9138.2800000000007</v>
      </c>
      <c r="O198" s="12">
        <v>10062.459999999999</v>
      </c>
    </row>
    <row r="199" spans="1:15">
      <c r="A199" t="s">
        <v>334</v>
      </c>
      <c r="B199" t="s">
        <v>143</v>
      </c>
      <c r="C199" s="9">
        <v>30317</v>
      </c>
      <c r="D199">
        <v>43</v>
      </c>
      <c r="E199" t="s">
        <v>17</v>
      </c>
      <c r="F199" t="s">
        <v>22</v>
      </c>
      <c r="G199" s="9">
        <v>45279</v>
      </c>
      <c r="H199" s="9">
        <v>45333</v>
      </c>
      <c r="I199">
        <v>7</v>
      </c>
      <c r="J199" t="s">
        <v>35</v>
      </c>
      <c r="K199">
        <v>13</v>
      </c>
      <c r="L199">
        <v>8</v>
      </c>
      <c r="M199" s="11">
        <v>0</v>
      </c>
      <c r="N199" s="12">
        <v>9182.17</v>
      </c>
      <c r="O199" s="12">
        <v>5106.1400000000003</v>
      </c>
    </row>
    <row r="200" spans="1:15">
      <c r="A200" t="s">
        <v>335</v>
      </c>
      <c r="B200" t="s">
        <v>336</v>
      </c>
      <c r="C200" s="9">
        <v>37622</v>
      </c>
      <c r="D200">
        <v>23</v>
      </c>
      <c r="E200" t="s">
        <v>21</v>
      </c>
      <c r="F200" t="s">
        <v>22</v>
      </c>
      <c r="G200" s="9">
        <v>45042</v>
      </c>
      <c r="H200" s="9">
        <v>45744</v>
      </c>
      <c r="I200">
        <v>3</v>
      </c>
      <c r="J200" t="s">
        <v>35</v>
      </c>
      <c r="K200">
        <v>11</v>
      </c>
      <c r="L200">
        <v>8</v>
      </c>
      <c r="M200" s="11">
        <v>7483.91</v>
      </c>
      <c r="N200" s="12">
        <v>6486.5</v>
      </c>
      <c r="O200" s="12">
        <v>12294.43</v>
      </c>
    </row>
    <row r="201" spans="1:15">
      <c r="A201" t="s">
        <v>337</v>
      </c>
      <c r="B201" t="s">
        <v>338</v>
      </c>
      <c r="C201" s="9">
        <v>17533</v>
      </c>
      <c r="D201">
        <v>78</v>
      </c>
      <c r="E201" t="s">
        <v>21</v>
      </c>
      <c r="F201" t="s">
        <v>18</v>
      </c>
      <c r="G201" s="9">
        <v>44939</v>
      </c>
      <c r="H201" s="9">
        <v>45105</v>
      </c>
      <c r="I201">
        <v>10</v>
      </c>
      <c r="J201" t="s">
        <v>35</v>
      </c>
      <c r="K201">
        <v>14</v>
      </c>
      <c r="L201">
        <v>0</v>
      </c>
      <c r="M201" s="11">
        <v>508.76</v>
      </c>
      <c r="N201" s="12">
        <v>14404.5</v>
      </c>
      <c r="O201" s="12">
        <v>10358.49</v>
      </c>
    </row>
    <row r="202" spans="1:15">
      <c r="A202" t="s">
        <v>339</v>
      </c>
      <c r="B202" t="s">
        <v>223</v>
      </c>
      <c r="C202" s="9">
        <f>DATE(2026-D162,1,1)</f>
        <v>30682</v>
      </c>
      <c r="D202">
        <v>58</v>
      </c>
      <c r="E202" t="s">
        <v>21</v>
      </c>
      <c r="F202" t="s">
        <v>29</v>
      </c>
      <c r="G202" s="9">
        <v>45246</v>
      </c>
      <c r="H202" s="9">
        <v>45699</v>
      </c>
      <c r="I202">
        <v>18</v>
      </c>
      <c r="J202" t="s">
        <v>35</v>
      </c>
      <c r="K202">
        <v>14</v>
      </c>
      <c r="L202">
        <v>7</v>
      </c>
      <c r="M202" s="11">
        <v>12252.02</v>
      </c>
      <c r="N202" s="12">
        <v>9796.82</v>
      </c>
      <c r="O202" s="12">
        <v>15552.85</v>
      </c>
    </row>
    <row r="203" spans="1:15">
      <c r="A203" t="s">
        <v>340</v>
      </c>
      <c r="B203" t="s">
        <v>341</v>
      </c>
      <c r="C203" s="9">
        <v>34700</v>
      </c>
      <c r="D203">
        <v>31</v>
      </c>
      <c r="E203" t="s">
        <v>21</v>
      </c>
      <c r="F203" t="s">
        <v>5184</v>
      </c>
      <c r="G203" s="9">
        <v>45091</v>
      </c>
      <c r="H203" s="9">
        <v>45186</v>
      </c>
      <c r="I203">
        <v>29</v>
      </c>
      <c r="J203" t="s">
        <v>32</v>
      </c>
      <c r="K203">
        <v>6</v>
      </c>
      <c r="L203">
        <v>9</v>
      </c>
      <c r="M203" s="11">
        <v>12466.81</v>
      </c>
      <c r="N203" s="12">
        <v>12760.46</v>
      </c>
      <c r="O203" s="12">
        <v>11462.07</v>
      </c>
    </row>
    <row r="204" spans="1:15">
      <c r="A204" t="s">
        <v>342</v>
      </c>
      <c r="B204" t="s">
        <v>343</v>
      </c>
      <c r="C204" s="9">
        <v>14246</v>
      </c>
      <c r="D204">
        <v>87</v>
      </c>
      <c r="E204" t="s">
        <v>17</v>
      </c>
      <c r="F204" t="s">
        <v>25</v>
      </c>
      <c r="G204" s="9">
        <v>45646</v>
      </c>
      <c r="H204" s="9">
        <v>45327</v>
      </c>
      <c r="I204">
        <v>12</v>
      </c>
      <c r="J204" t="s">
        <v>32</v>
      </c>
      <c r="K204">
        <v>4</v>
      </c>
      <c r="L204">
        <v>0</v>
      </c>
      <c r="M204" s="11">
        <v>1485.56</v>
      </c>
      <c r="N204" s="12">
        <v>1934.37</v>
      </c>
      <c r="O204" s="12">
        <v>8558.27</v>
      </c>
    </row>
    <row r="205" spans="1:15">
      <c r="A205" t="s">
        <v>344</v>
      </c>
      <c r="B205" t="s">
        <v>261</v>
      </c>
      <c r="C205" s="9">
        <v>27395</v>
      </c>
      <c r="D205">
        <v>51</v>
      </c>
      <c r="E205" t="s">
        <v>21</v>
      </c>
      <c r="F205" t="s">
        <v>5184</v>
      </c>
      <c r="G205" s="9">
        <v>45011</v>
      </c>
      <c r="H205" s="9">
        <v>45197</v>
      </c>
      <c r="I205">
        <v>1</v>
      </c>
      <c r="J205" t="s">
        <v>26</v>
      </c>
      <c r="K205">
        <v>6</v>
      </c>
      <c r="L205">
        <v>1</v>
      </c>
      <c r="M205" s="11">
        <v>9278.7800000000007</v>
      </c>
      <c r="N205" s="12">
        <v>11351.69</v>
      </c>
      <c r="O205" s="12">
        <v>2309.11</v>
      </c>
    </row>
    <row r="206" spans="1:15">
      <c r="A206" t="s">
        <v>345</v>
      </c>
      <c r="B206" t="s">
        <v>123</v>
      </c>
      <c r="C206" s="9">
        <v>23742</v>
      </c>
      <c r="D206">
        <f ca="1">DATEDIF(C157,TODAY(),"Y")</f>
        <v>51</v>
      </c>
      <c r="E206" t="s">
        <v>17</v>
      </c>
      <c r="F206" t="s">
        <v>49</v>
      </c>
      <c r="G206" s="9">
        <v>45174</v>
      </c>
      <c r="H206" s="9">
        <v>45759</v>
      </c>
      <c r="I206">
        <v>12</v>
      </c>
      <c r="J206" t="s">
        <v>26</v>
      </c>
      <c r="K206">
        <v>6</v>
      </c>
      <c r="L206">
        <v>9</v>
      </c>
      <c r="M206" s="11">
        <v>27477.65</v>
      </c>
      <c r="N206" s="12">
        <v>9028.0400000000009</v>
      </c>
      <c r="O206" s="12">
        <v>2314.84</v>
      </c>
    </row>
    <row r="207" spans="1:15">
      <c r="A207" t="s">
        <v>346</v>
      </c>
      <c r="B207" t="s">
        <v>135</v>
      </c>
      <c r="C207" s="9">
        <v>25203</v>
      </c>
      <c r="D207">
        <v>57</v>
      </c>
      <c r="E207" t="s">
        <v>21</v>
      </c>
      <c r="F207" t="s">
        <v>25</v>
      </c>
      <c r="G207" s="9">
        <v>45358</v>
      </c>
      <c r="H207" s="9">
        <v>45559</v>
      </c>
      <c r="I207">
        <v>14</v>
      </c>
      <c r="J207" t="s">
        <v>35</v>
      </c>
      <c r="K207">
        <v>0</v>
      </c>
      <c r="L207">
        <v>4</v>
      </c>
      <c r="M207" s="11">
        <v>7134.05</v>
      </c>
      <c r="N207" s="12">
        <v>4624.16</v>
      </c>
      <c r="O207" s="12">
        <v>12771.06</v>
      </c>
    </row>
    <row r="208" spans="1:15">
      <c r="A208" t="s">
        <v>347</v>
      </c>
      <c r="B208" t="s">
        <v>348</v>
      </c>
      <c r="C208" s="9">
        <v>27395</v>
      </c>
      <c r="D208">
        <v>51</v>
      </c>
      <c r="E208" t="s">
        <v>21</v>
      </c>
      <c r="F208" t="s">
        <v>18</v>
      </c>
      <c r="G208" s="9">
        <v>45494</v>
      </c>
      <c r="H208" s="9">
        <v>45608</v>
      </c>
      <c r="I208">
        <v>17</v>
      </c>
      <c r="J208" t="s">
        <v>26</v>
      </c>
      <c r="K208">
        <v>0</v>
      </c>
      <c r="L208">
        <v>5</v>
      </c>
      <c r="M208" s="11">
        <v>0</v>
      </c>
      <c r="N208" s="12">
        <v>2045.43</v>
      </c>
      <c r="O208" s="12">
        <v>17603.14</v>
      </c>
    </row>
    <row r="209" spans="1:15">
      <c r="A209" t="s">
        <v>349</v>
      </c>
      <c r="B209" t="s">
        <v>350</v>
      </c>
      <c r="C209" s="9">
        <v>42005</v>
      </c>
      <c r="D209">
        <v>11</v>
      </c>
      <c r="E209" t="s">
        <v>17</v>
      </c>
      <c r="F209" t="s">
        <v>49</v>
      </c>
      <c r="G209" s="9">
        <v>45610</v>
      </c>
      <c r="H209" s="9">
        <v>45413</v>
      </c>
      <c r="I209">
        <v>3</v>
      </c>
      <c r="J209" t="s">
        <v>32</v>
      </c>
      <c r="K209">
        <v>9</v>
      </c>
      <c r="L209">
        <v>1</v>
      </c>
      <c r="M209" s="11">
        <v>14380.4</v>
      </c>
      <c r="N209" s="12">
        <v>5694.71</v>
      </c>
      <c r="O209" s="12">
        <v>8237.23</v>
      </c>
    </row>
    <row r="210" spans="1:15">
      <c r="A210" t="s">
        <v>351</v>
      </c>
      <c r="B210" t="s">
        <v>129</v>
      </c>
      <c r="C210" s="9">
        <v>32143</v>
      </c>
      <c r="D210">
        <v>38</v>
      </c>
      <c r="E210" t="s">
        <v>17</v>
      </c>
      <c r="F210" t="s">
        <v>74</v>
      </c>
      <c r="G210" s="9">
        <v>45579</v>
      </c>
      <c r="H210" s="9">
        <v>45507</v>
      </c>
      <c r="I210">
        <v>12</v>
      </c>
      <c r="J210" t="s">
        <v>32</v>
      </c>
      <c r="K210">
        <v>14</v>
      </c>
      <c r="L210">
        <v>9</v>
      </c>
      <c r="M210" s="11">
        <v>25794.84</v>
      </c>
      <c r="N210" s="12">
        <v>6620.66</v>
      </c>
      <c r="O210" s="12">
        <v>10568.86</v>
      </c>
    </row>
    <row r="211" spans="1:15">
      <c r="A211" t="s">
        <v>352</v>
      </c>
      <c r="B211" t="s">
        <v>67</v>
      </c>
      <c r="C211" s="9">
        <v>45657</v>
      </c>
      <c r="D211">
        <v>1</v>
      </c>
      <c r="E211" t="s">
        <v>5185</v>
      </c>
      <c r="F211" t="s">
        <v>74</v>
      </c>
      <c r="G211" s="9">
        <v>45570</v>
      </c>
      <c r="H211" s="9">
        <v>44986</v>
      </c>
      <c r="I211">
        <v>14</v>
      </c>
      <c r="J211" t="s">
        <v>26</v>
      </c>
      <c r="K211">
        <v>1</v>
      </c>
      <c r="L211">
        <v>4</v>
      </c>
      <c r="M211" s="11">
        <v>0</v>
      </c>
      <c r="N211" s="12">
        <v>2111.44</v>
      </c>
      <c r="O211" s="12">
        <v>11783.37</v>
      </c>
    </row>
    <row r="212" spans="1:15">
      <c r="A212" t="s">
        <v>353</v>
      </c>
      <c r="B212" t="s">
        <v>292</v>
      </c>
      <c r="C212" s="9">
        <v>45292</v>
      </c>
      <c r="D212">
        <v>2</v>
      </c>
      <c r="E212" t="s">
        <v>17</v>
      </c>
      <c r="F212" t="s">
        <v>5184</v>
      </c>
      <c r="G212" s="9">
        <v>45405</v>
      </c>
      <c r="H212" s="9">
        <v>45569</v>
      </c>
      <c r="I212">
        <v>23</v>
      </c>
      <c r="J212" t="s">
        <v>35</v>
      </c>
      <c r="K212">
        <v>8</v>
      </c>
      <c r="L212">
        <v>2</v>
      </c>
      <c r="M212" s="11">
        <v>0</v>
      </c>
      <c r="N212" s="12">
        <v>10051.9</v>
      </c>
      <c r="O212" s="12">
        <v>9493.68</v>
      </c>
    </row>
    <row r="213" spans="1:15">
      <c r="A213" t="s">
        <v>354</v>
      </c>
      <c r="B213" t="s">
        <v>95</v>
      </c>
      <c r="C213" s="9">
        <v>25934</v>
      </c>
      <c r="D213">
        <v>55</v>
      </c>
      <c r="E213" t="s">
        <v>21</v>
      </c>
      <c r="F213" t="s">
        <v>49</v>
      </c>
      <c r="G213" s="9">
        <v>45639</v>
      </c>
      <c r="H213" s="9">
        <v>45814</v>
      </c>
      <c r="I213">
        <v>19</v>
      </c>
      <c r="J213" t="s">
        <v>32</v>
      </c>
      <c r="K213">
        <v>0</v>
      </c>
      <c r="L213">
        <v>6</v>
      </c>
      <c r="M213" s="11">
        <v>3857.5</v>
      </c>
      <c r="N213" s="12">
        <v>4606.6400000000003</v>
      </c>
      <c r="O213" s="12">
        <v>1097.23</v>
      </c>
    </row>
    <row r="214" spans="1:15">
      <c r="A214" t="s">
        <v>355</v>
      </c>
      <c r="B214" t="s">
        <v>356</v>
      </c>
      <c r="C214" s="9">
        <v>16802</v>
      </c>
      <c r="D214">
        <v>80</v>
      </c>
      <c r="E214" t="s">
        <v>21</v>
      </c>
      <c r="F214" t="s">
        <v>25</v>
      </c>
      <c r="G214" s="9">
        <v>45294</v>
      </c>
      <c r="H214" s="9">
        <v>45193</v>
      </c>
      <c r="I214">
        <v>6</v>
      </c>
      <c r="J214" t="s">
        <v>32</v>
      </c>
      <c r="K214">
        <v>5</v>
      </c>
      <c r="L214">
        <v>0</v>
      </c>
      <c r="M214" s="11">
        <v>16503.36</v>
      </c>
      <c r="N214" s="12">
        <v>12090.59</v>
      </c>
      <c r="O214" s="12">
        <v>11741.7</v>
      </c>
    </row>
    <row r="215" spans="1:15">
      <c r="A215" t="s">
        <v>357</v>
      </c>
      <c r="B215" t="s">
        <v>252</v>
      </c>
      <c r="C215" s="9">
        <v>24838</v>
      </c>
      <c r="D215">
        <v>58</v>
      </c>
      <c r="E215" t="s">
        <v>17</v>
      </c>
      <c r="F215" t="s">
        <v>25</v>
      </c>
      <c r="G215" s="9">
        <v>45283</v>
      </c>
      <c r="H215" s="9">
        <v>45002</v>
      </c>
      <c r="I215">
        <v>9</v>
      </c>
      <c r="J215" t="s">
        <v>32</v>
      </c>
      <c r="K215">
        <v>9</v>
      </c>
      <c r="L215">
        <v>4</v>
      </c>
      <c r="M215" s="11">
        <v>917.22</v>
      </c>
      <c r="N215" s="12">
        <v>9725.23</v>
      </c>
      <c r="O215" s="12">
        <v>2655.76</v>
      </c>
    </row>
    <row r="216" spans="1:15">
      <c r="A216" t="s">
        <v>358</v>
      </c>
      <c r="B216" t="s">
        <v>189</v>
      </c>
      <c r="C216" s="9">
        <v>45657</v>
      </c>
      <c r="D216">
        <v>1</v>
      </c>
      <c r="E216" t="s">
        <v>17</v>
      </c>
      <c r="F216" t="s">
        <v>74</v>
      </c>
      <c r="G216" s="9">
        <v>45334</v>
      </c>
      <c r="H216" s="9">
        <v>45017</v>
      </c>
      <c r="I216">
        <v>19</v>
      </c>
      <c r="J216" t="s">
        <v>26</v>
      </c>
      <c r="K216">
        <v>1</v>
      </c>
      <c r="L216">
        <v>2</v>
      </c>
      <c r="M216" s="11">
        <v>11502.69</v>
      </c>
      <c r="N216" s="12">
        <v>4657.54</v>
      </c>
      <c r="O216" s="12">
        <v>11071.66</v>
      </c>
    </row>
    <row r="217" spans="1:15">
      <c r="A217" t="s">
        <v>359</v>
      </c>
      <c r="B217" t="s">
        <v>57</v>
      </c>
      <c r="C217" s="9">
        <v>45657</v>
      </c>
      <c r="D217">
        <v>1</v>
      </c>
      <c r="E217" t="s">
        <v>17</v>
      </c>
      <c r="F217" t="s">
        <v>74</v>
      </c>
      <c r="G217" s="9">
        <v>45271</v>
      </c>
      <c r="H217" s="9">
        <v>45432</v>
      </c>
      <c r="I217">
        <v>20</v>
      </c>
      <c r="J217" t="s">
        <v>35</v>
      </c>
      <c r="K217">
        <v>2</v>
      </c>
      <c r="L217">
        <v>1</v>
      </c>
      <c r="M217" s="11">
        <v>11669.84</v>
      </c>
      <c r="N217" s="12">
        <v>5400.29</v>
      </c>
      <c r="O217" s="12">
        <v>15485.08</v>
      </c>
    </row>
    <row r="218" spans="1:15">
      <c r="A218" t="s">
        <v>360</v>
      </c>
      <c r="B218" t="s">
        <v>149</v>
      </c>
      <c r="C218" s="9">
        <v>12785</v>
      </c>
      <c r="D218">
        <v>91</v>
      </c>
      <c r="E218" t="s">
        <v>21</v>
      </c>
      <c r="F218" t="s">
        <v>18</v>
      </c>
      <c r="G218" s="9">
        <v>45105</v>
      </c>
      <c r="H218" s="9">
        <v>45284</v>
      </c>
      <c r="I218">
        <v>34</v>
      </c>
      <c r="J218" t="s">
        <v>26</v>
      </c>
      <c r="K218">
        <v>2</v>
      </c>
      <c r="L218">
        <v>2</v>
      </c>
      <c r="M218" s="11">
        <v>5488.16</v>
      </c>
      <c r="N218" s="12">
        <v>14132.21</v>
      </c>
      <c r="O218" s="12">
        <v>9.51</v>
      </c>
    </row>
    <row r="219" spans="1:15">
      <c r="A219" t="s">
        <v>361</v>
      </c>
      <c r="B219" t="s">
        <v>300</v>
      </c>
      <c r="C219" s="9">
        <v>26664</v>
      </c>
      <c r="D219">
        <v>53</v>
      </c>
      <c r="E219" t="s">
        <v>5185</v>
      </c>
      <c r="F219" t="s">
        <v>49</v>
      </c>
      <c r="G219" s="9">
        <v>45351</v>
      </c>
      <c r="H219" s="9">
        <v>45081</v>
      </c>
      <c r="I219">
        <v>11</v>
      </c>
      <c r="J219" t="s">
        <v>35</v>
      </c>
      <c r="K219">
        <v>2</v>
      </c>
      <c r="L219">
        <v>9</v>
      </c>
      <c r="M219" s="11">
        <v>8680.8700000000008</v>
      </c>
      <c r="N219" s="12">
        <v>14221.79</v>
      </c>
      <c r="O219" s="12">
        <v>8552.57</v>
      </c>
    </row>
    <row r="220" spans="1:15">
      <c r="A220" t="s">
        <v>362</v>
      </c>
      <c r="B220" t="s">
        <v>117</v>
      </c>
      <c r="C220" s="9">
        <v>14611</v>
      </c>
      <c r="D220">
        <v>86</v>
      </c>
      <c r="E220" t="s">
        <v>21</v>
      </c>
      <c r="F220" t="s">
        <v>25</v>
      </c>
      <c r="G220" s="9">
        <v>45467</v>
      </c>
      <c r="H220" s="9">
        <v>45145</v>
      </c>
      <c r="I220">
        <v>21</v>
      </c>
      <c r="J220" t="s">
        <v>35</v>
      </c>
      <c r="K220">
        <v>0</v>
      </c>
      <c r="L220">
        <v>3</v>
      </c>
      <c r="M220" s="11">
        <v>9563.42</v>
      </c>
      <c r="N220" s="12">
        <v>6275.56</v>
      </c>
      <c r="O220" s="12">
        <v>14888.37</v>
      </c>
    </row>
    <row r="221" spans="1:15">
      <c r="A221" t="s">
        <v>363</v>
      </c>
      <c r="B221" t="s">
        <v>302</v>
      </c>
      <c r="C221" s="9">
        <v>46022</v>
      </c>
      <c r="D221">
        <v>0</v>
      </c>
      <c r="E221" t="s">
        <v>17</v>
      </c>
      <c r="F221" t="s">
        <v>18</v>
      </c>
      <c r="G221" s="9">
        <v>45369</v>
      </c>
      <c r="H221" s="9">
        <v>45413</v>
      </c>
      <c r="I221">
        <v>5</v>
      </c>
      <c r="J221" t="s">
        <v>32</v>
      </c>
      <c r="K221">
        <v>9</v>
      </c>
      <c r="L221">
        <v>1</v>
      </c>
      <c r="M221" s="11">
        <v>141.36000000000001</v>
      </c>
      <c r="N221" s="12">
        <v>10187.549999999999</v>
      </c>
      <c r="O221" s="12">
        <v>10523.58</v>
      </c>
    </row>
    <row r="222" spans="1:15">
      <c r="A222" t="s">
        <v>364</v>
      </c>
      <c r="B222" t="s">
        <v>112</v>
      </c>
      <c r="C222" s="9">
        <f>DATE(2026-D182,1,1)</f>
        <v>23743</v>
      </c>
      <c r="D222">
        <v>18</v>
      </c>
      <c r="E222" t="s">
        <v>17</v>
      </c>
      <c r="F222" t="s">
        <v>25</v>
      </c>
      <c r="G222" s="9">
        <v>45232</v>
      </c>
      <c r="H222" s="9">
        <v>45467</v>
      </c>
      <c r="I222">
        <v>23</v>
      </c>
      <c r="J222" t="s">
        <v>32</v>
      </c>
      <c r="K222">
        <v>4</v>
      </c>
      <c r="L222">
        <v>1</v>
      </c>
      <c r="M222" s="11">
        <v>24079.69</v>
      </c>
      <c r="N222" s="12">
        <v>14699.58</v>
      </c>
      <c r="O222" s="12">
        <v>4629.67</v>
      </c>
    </row>
    <row r="223" spans="1:15">
      <c r="A223" t="s">
        <v>365</v>
      </c>
      <c r="B223" t="s">
        <v>336</v>
      </c>
      <c r="C223" s="9">
        <v>45657</v>
      </c>
      <c r="D223">
        <v>1</v>
      </c>
      <c r="E223" t="s">
        <v>21</v>
      </c>
      <c r="F223" t="s">
        <v>74</v>
      </c>
      <c r="G223" s="9">
        <v>45293</v>
      </c>
      <c r="H223" s="9">
        <v>45057</v>
      </c>
      <c r="I223">
        <v>29</v>
      </c>
      <c r="J223" t="s">
        <v>32</v>
      </c>
      <c r="K223">
        <v>1</v>
      </c>
      <c r="L223">
        <v>2</v>
      </c>
      <c r="M223" s="11">
        <v>28702.11</v>
      </c>
      <c r="N223" s="12">
        <v>14910.77</v>
      </c>
      <c r="O223" s="12">
        <v>13921.1</v>
      </c>
    </row>
    <row r="224" spans="1:15">
      <c r="A224" t="s">
        <v>366</v>
      </c>
      <c r="B224" t="s">
        <v>367</v>
      </c>
      <c r="C224" s="9">
        <v>27029</v>
      </c>
      <c r="D224">
        <v>52</v>
      </c>
      <c r="E224" t="s">
        <v>17</v>
      </c>
      <c r="F224" t="s">
        <v>49</v>
      </c>
      <c r="G224" s="9">
        <v>44962</v>
      </c>
      <c r="H224" s="9">
        <v>44993</v>
      </c>
      <c r="I224">
        <v>25</v>
      </c>
      <c r="J224" t="s">
        <v>26</v>
      </c>
      <c r="K224">
        <v>10</v>
      </c>
      <c r="L224">
        <v>1</v>
      </c>
      <c r="M224" s="11">
        <v>8322.6299999999992</v>
      </c>
      <c r="N224" s="12">
        <v>1082.01</v>
      </c>
      <c r="O224" s="12">
        <v>15647.79</v>
      </c>
    </row>
    <row r="225" spans="1:15">
      <c r="A225" t="s">
        <v>368</v>
      </c>
      <c r="B225" t="s">
        <v>100</v>
      </c>
      <c r="C225" s="9">
        <v>30317</v>
      </c>
      <c r="D225">
        <v>43</v>
      </c>
      <c r="E225" t="s">
        <v>21</v>
      </c>
      <c r="F225" t="s">
        <v>29</v>
      </c>
      <c r="G225" s="9">
        <v>45389</v>
      </c>
      <c r="H225" s="9">
        <v>45071</v>
      </c>
      <c r="I225">
        <v>29</v>
      </c>
      <c r="J225" t="s">
        <v>26</v>
      </c>
      <c r="K225">
        <v>12</v>
      </c>
      <c r="L225">
        <v>5</v>
      </c>
      <c r="M225" s="11">
        <v>2915.56</v>
      </c>
      <c r="N225" s="12">
        <v>8302.49</v>
      </c>
      <c r="O225" s="12">
        <v>7186.76</v>
      </c>
    </row>
    <row r="226" spans="1:15">
      <c r="A226" t="s">
        <v>369</v>
      </c>
      <c r="B226" t="s">
        <v>59</v>
      </c>
      <c r="C226" s="9">
        <v>13515</v>
      </c>
      <c r="D226">
        <v>89</v>
      </c>
      <c r="E226" t="s">
        <v>5185</v>
      </c>
      <c r="F226" t="s">
        <v>49</v>
      </c>
      <c r="G226" s="9">
        <v>45547</v>
      </c>
      <c r="H226" s="9">
        <v>45307</v>
      </c>
      <c r="I226">
        <v>19</v>
      </c>
      <c r="J226" t="s">
        <v>35</v>
      </c>
      <c r="K226">
        <v>3</v>
      </c>
      <c r="L226">
        <v>1</v>
      </c>
      <c r="M226" s="11">
        <v>28583.34</v>
      </c>
      <c r="N226" s="12">
        <v>10899.26</v>
      </c>
      <c r="O226" s="12">
        <v>5877.75</v>
      </c>
    </row>
    <row r="227" spans="1:15">
      <c r="A227" t="s">
        <v>370</v>
      </c>
      <c r="B227" t="s">
        <v>209</v>
      </c>
      <c r="C227" s="9">
        <v>34700</v>
      </c>
      <c r="D227">
        <v>31</v>
      </c>
      <c r="E227" t="s">
        <v>21</v>
      </c>
      <c r="F227" t="s">
        <v>22</v>
      </c>
      <c r="G227" s="9">
        <v>45072</v>
      </c>
      <c r="H227" s="9">
        <v>45240</v>
      </c>
      <c r="I227">
        <v>6</v>
      </c>
      <c r="J227" t="s">
        <v>32</v>
      </c>
      <c r="K227">
        <v>0</v>
      </c>
      <c r="L227">
        <v>0</v>
      </c>
      <c r="M227" s="11">
        <v>22086.81</v>
      </c>
      <c r="N227" s="12">
        <v>2802.99</v>
      </c>
      <c r="O227" s="12">
        <v>10857.28</v>
      </c>
    </row>
    <row r="228" spans="1:15">
      <c r="A228" t="s">
        <v>371</v>
      </c>
      <c r="B228" t="s">
        <v>372</v>
      </c>
      <c r="C228" s="9">
        <v>20820</v>
      </c>
      <c r="D228">
        <v>69</v>
      </c>
      <c r="E228" t="s">
        <v>17</v>
      </c>
      <c r="F228" t="s">
        <v>29</v>
      </c>
      <c r="G228" s="9">
        <v>45072</v>
      </c>
      <c r="H228" s="9">
        <v>45334</v>
      </c>
      <c r="I228">
        <v>0</v>
      </c>
      <c r="J228" t="s">
        <v>35</v>
      </c>
      <c r="K228">
        <v>7</v>
      </c>
      <c r="L228">
        <v>7</v>
      </c>
      <c r="M228" s="11">
        <v>26679.84</v>
      </c>
      <c r="N228" s="12">
        <v>12328.58</v>
      </c>
      <c r="O228" s="12">
        <v>7245</v>
      </c>
    </row>
    <row r="229" spans="1:15">
      <c r="A229" t="s">
        <v>373</v>
      </c>
      <c r="B229" t="s">
        <v>78</v>
      </c>
      <c r="C229" s="9">
        <v>34700</v>
      </c>
      <c r="D229">
        <v>31</v>
      </c>
      <c r="E229" t="s">
        <v>21</v>
      </c>
      <c r="F229" t="s">
        <v>5184</v>
      </c>
      <c r="G229" s="9">
        <v>45306</v>
      </c>
      <c r="H229" s="9">
        <v>45334</v>
      </c>
      <c r="I229">
        <v>22</v>
      </c>
      <c r="J229" t="s">
        <v>32</v>
      </c>
      <c r="K229">
        <v>0</v>
      </c>
      <c r="L229">
        <v>9</v>
      </c>
      <c r="M229" s="11">
        <v>10506.72</v>
      </c>
      <c r="N229" s="12">
        <v>7026.82</v>
      </c>
      <c r="O229" s="12">
        <v>16702.330000000002</v>
      </c>
    </row>
    <row r="230" spans="1:15">
      <c r="A230" t="s">
        <v>374</v>
      </c>
      <c r="B230" t="s">
        <v>356</v>
      </c>
      <c r="C230" s="9">
        <v>21551</v>
      </c>
      <c r="D230">
        <v>67</v>
      </c>
      <c r="E230" t="s">
        <v>17</v>
      </c>
      <c r="F230" t="s">
        <v>5184</v>
      </c>
      <c r="G230" s="9">
        <v>45094</v>
      </c>
      <c r="H230" s="9">
        <v>45204</v>
      </c>
      <c r="I230">
        <v>36</v>
      </c>
      <c r="J230" t="s">
        <v>32</v>
      </c>
      <c r="K230">
        <v>4</v>
      </c>
      <c r="L230">
        <v>3</v>
      </c>
      <c r="M230" s="11">
        <v>14263.9</v>
      </c>
      <c r="N230" s="12">
        <v>7466.27</v>
      </c>
      <c r="O230" s="12">
        <v>15558.91</v>
      </c>
    </row>
    <row r="231" spans="1:15">
      <c r="A231" t="s">
        <v>375</v>
      </c>
      <c r="B231" t="s">
        <v>65</v>
      </c>
      <c r="C231" s="9">
        <v>26299</v>
      </c>
      <c r="D231">
        <v>54</v>
      </c>
      <c r="E231" t="s">
        <v>17</v>
      </c>
      <c r="F231" t="s">
        <v>18</v>
      </c>
      <c r="G231" s="9">
        <v>45201</v>
      </c>
      <c r="H231" s="9">
        <v>45542</v>
      </c>
      <c r="I231">
        <v>9</v>
      </c>
      <c r="J231" t="s">
        <v>35</v>
      </c>
      <c r="K231">
        <v>2</v>
      </c>
      <c r="L231">
        <v>1</v>
      </c>
      <c r="M231" s="11">
        <v>27872.31</v>
      </c>
      <c r="N231" s="12">
        <v>4114.8500000000004</v>
      </c>
      <c r="O231" s="12">
        <v>6168.95</v>
      </c>
    </row>
    <row r="232" spans="1:15">
      <c r="A232" t="s">
        <v>376</v>
      </c>
      <c r="B232" t="s">
        <v>149</v>
      </c>
      <c r="C232" s="9">
        <v>18994</v>
      </c>
      <c r="D232">
        <v>74</v>
      </c>
      <c r="E232" t="s">
        <v>21</v>
      </c>
      <c r="F232" t="s">
        <v>29</v>
      </c>
      <c r="G232" s="9">
        <v>45013</v>
      </c>
      <c r="H232" s="9">
        <v>45336</v>
      </c>
      <c r="I232">
        <v>26</v>
      </c>
      <c r="J232" t="s">
        <v>35</v>
      </c>
      <c r="K232">
        <v>12</v>
      </c>
      <c r="L232">
        <v>3</v>
      </c>
      <c r="M232" s="11">
        <v>13516.35</v>
      </c>
      <c r="N232" s="12">
        <v>4502.21</v>
      </c>
      <c r="O232" s="12">
        <v>9085.27</v>
      </c>
    </row>
    <row r="233" spans="1:15">
      <c r="A233" t="s">
        <v>377</v>
      </c>
      <c r="B233" t="s">
        <v>34</v>
      </c>
      <c r="C233" s="9">
        <v>25934</v>
      </c>
      <c r="D233">
        <v>55</v>
      </c>
      <c r="E233" t="s">
        <v>21</v>
      </c>
      <c r="F233" t="s">
        <v>29</v>
      </c>
      <c r="G233" s="9">
        <v>45080</v>
      </c>
      <c r="H233" s="9">
        <v>45241</v>
      </c>
      <c r="I233">
        <v>0</v>
      </c>
      <c r="J233" t="s">
        <v>35</v>
      </c>
      <c r="K233">
        <v>4</v>
      </c>
      <c r="L233">
        <v>1</v>
      </c>
      <c r="M233" s="11">
        <v>19998.91</v>
      </c>
      <c r="N233" s="12">
        <v>1262.5999999999999</v>
      </c>
      <c r="O233" s="12">
        <v>17778.71</v>
      </c>
    </row>
    <row r="234" spans="1:15">
      <c r="A234" t="s">
        <v>378</v>
      </c>
      <c r="B234" t="s">
        <v>379</v>
      </c>
      <c r="C234" s="9">
        <v>40178</v>
      </c>
      <c r="D234">
        <v>16</v>
      </c>
      <c r="E234" t="s">
        <v>17</v>
      </c>
      <c r="F234" t="s">
        <v>18</v>
      </c>
      <c r="G234" s="9">
        <v>45423</v>
      </c>
      <c r="H234" s="9">
        <v>45476</v>
      </c>
      <c r="I234">
        <v>38</v>
      </c>
      <c r="J234" t="s">
        <v>35</v>
      </c>
      <c r="K234">
        <v>13</v>
      </c>
      <c r="L234">
        <v>4</v>
      </c>
      <c r="M234" s="11">
        <v>20996.36</v>
      </c>
      <c r="N234" s="12">
        <v>13972.74</v>
      </c>
      <c r="O234" s="12">
        <v>2862.27</v>
      </c>
    </row>
    <row r="235" spans="1:15">
      <c r="A235" t="s">
        <v>380</v>
      </c>
      <c r="B235" t="s">
        <v>232</v>
      </c>
      <c r="C235" s="9">
        <v>32508</v>
      </c>
      <c r="D235">
        <v>37</v>
      </c>
      <c r="E235" t="s">
        <v>21</v>
      </c>
      <c r="F235" t="s">
        <v>49</v>
      </c>
      <c r="G235" s="9">
        <v>45241</v>
      </c>
      <c r="H235" s="9">
        <v>45176</v>
      </c>
      <c r="I235">
        <v>20</v>
      </c>
      <c r="J235" t="s">
        <v>35</v>
      </c>
      <c r="K235">
        <v>0</v>
      </c>
      <c r="L235">
        <v>6</v>
      </c>
      <c r="M235" s="11">
        <v>25031.97</v>
      </c>
      <c r="N235" s="12">
        <v>5728</v>
      </c>
      <c r="O235" s="12">
        <v>15060.07</v>
      </c>
    </row>
    <row r="236" spans="1:15">
      <c r="A236" t="s">
        <v>381</v>
      </c>
      <c r="B236" t="s">
        <v>240</v>
      </c>
      <c r="C236" s="9">
        <v>37622</v>
      </c>
      <c r="D236">
        <f ca="1">DATEDIF(C187,TODAY(),"Y")</f>
        <v>0</v>
      </c>
      <c r="E236" t="s">
        <v>17</v>
      </c>
      <c r="F236" t="s">
        <v>18</v>
      </c>
      <c r="G236" s="9">
        <v>45536</v>
      </c>
      <c r="H236" s="9">
        <v>45388</v>
      </c>
      <c r="I236">
        <v>20</v>
      </c>
      <c r="J236" t="s">
        <v>32</v>
      </c>
      <c r="K236">
        <v>10</v>
      </c>
      <c r="L236">
        <v>5</v>
      </c>
      <c r="M236" s="11">
        <v>29242.959999999999</v>
      </c>
      <c r="N236" s="12">
        <v>2433.4499999999998</v>
      </c>
      <c r="O236" s="12">
        <v>6267.76</v>
      </c>
    </row>
    <row r="237" spans="1:15">
      <c r="A237" t="s">
        <v>382</v>
      </c>
      <c r="B237" t="s">
        <v>198</v>
      </c>
      <c r="C237" s="9">
        <v>21185</v>
      </c>
      <c r="D237">
        <v>68</v>
      </c>
      <c r="E237" t="s">
        <v>21</v>
      </c>
      <c r="F237" t="s">
        <v>22</v>
      </c>
      <c r="G237" s="9">
        <v>45649</v>
      </c>
      <c r="H237" s="9">
        <v>45326</v>
      </c>
      <c r="I237">
        <v>15</v>
      </c>
      <c r="J237" t="s">
        <v>32</v>
      </c>
      <c r="K237">
        <v>0</v>
      </c>
      <c r="L237">
        <v>1</v>
      </c>
      <c r="M237" s="11">
        <v>9714.43</v>
      </c>
      <c r="N237" s="12">
        <v>2135.3200000000002</v>
      </c>
      <c r="O237" s="12">
        <v>2301.4899999999998</v>
      </c>
    </row>
    <row r="238" spans="1:15">
      <c r="A238" t="s">
        <v>383</v>
      </c>
      <c r="B238" t="s">
        <v>278</v>
      </c>
      <c r="C238" s="9">
        <v>20820</v>
      </c>
      <c r="D238">
        <v>69</v>
      </c>
      <c r="E238" t="s">
        <v>17</v>
      </c>
      <c r="F238" t="s">
        <v>74</v>
      </c>
      <c r="G238" s="9">
        <v>45486</v>
      </c>
      <c r="H238" s="9">
        <v>45595</v>
      </c>
      <c r="I238">
        <v>8</v>
      </c>
      <c r="J238" t="s">
        <v>32</v>
      </c>
      <c r="K238">
        <v>10</v>
      </c>
      <c r="L238">
        <v>3</v>
      </c>
      <c r="M238" s="11">
        <v>0</v>
      </c>
      <c r="N238" s="12">
        <v>6111.09</v>
      </c>
      <c r="O238" s="12">
        <v>2251.2800000000002</v>
      </c>
    </row>
    <row r="239" spans="1:15">
      <c r="A239" t="s">
        <v>384</v>
      </c>
      <c r="B239" t="s">
        <v>53</v>
      </c>
      <c r="C239" s="9">
        <v>14976</v>
      </c>
      <c r="D239">
        <v>85</v>
      </c>
      <c r="E239" t="s">
        <v>21</v>
      </c>
      <c r="F239" t="s">
        <v>5184</v>
      </c>
      <c r="G239" s="9">
        <v>45200</v>
      </c>
      <c r="H239" s="9">
        <v>45378</v>
      </c>
      <c r="I239">
        <v>33</v>
      </c>
      <c r="J239" t="s">
        <v>26</v>
      </c>
      <c r="K239">
        <v>5</v>
      </c>
      <c r="L239">
        <v>7</v>
      </c>
      <c r="M239" s="11">
        <v>1870.03</v>
      </c>
      <c r="N239" s="12">
        <v>9483.1200000000008</v>
      </c>
      <c r="O239" s="12">
        <v>5453.38</v>
      </c>
    </row>
    <row r="240" spans="1:15">
      <c r="A240" t="s">
        <v>385</v>
      </c>
      <c r="B240" t="s">
        <v>108</v>
      </c>
      <c r="C240" s="9">
        <v>42370</v>
      </c>
      <c r="D240">
        <f ca="1">DATEDIF(C191,TODAY(),"Y")</f>
        <v>2</v>
      </c>
      <c r="E240" t="s">
        <v>21</v>
      </c>
      <c r="F240" t="s">
        <v>74</v>
      </c>
      <c r="G240" s="9">
        <v>45632</v>
      </c>
      <c r="H240" s="9">
        <v>45398</v>
      </c>
      <c r="I240">
        <v>23</v>
      </c>
      <c r="J240" t="s">
        <v>32</v>
      </c>
      <c r="K240">
        <v>14</v>
      </c>
      <c r="L240">
        <v>6</v>
      </c>
      <c r="M240" s="11">
        <v>25624.39</v>
      </c>
      <c r="N240" s="12">
        <v>11666.73</v>
      </c>
      <c r="O240" s="12">
        <v>10916.4</v>
      </c>
    </row>
    <row r="241" spans="1:15">
      <c r="A241" t="s">
        <v>386</v>
      </c>
      <c r="B241" t="s">
        <v>387</v>
      </c>
      <c r="C241" s="9">
        <v>40544</v>
      </c>
      <c r="D241">
        <v>15</v>
      </c>
      <c r="E241" t="s">
        <v>21</v>
      </c>
      <c r="F241" t="s">
        <v>5184</v>
      </c>
      <c r="G241" s="9">
        <v>45188</v>
      </c>
      <c r="H241" s="9">
        <v>45571</v>
      </c>
      <c r="I241">
        <v>5</v>
      </c>
      <c r="J241" t="s">
        <v>32</v>
      </c>
      <c r="K241">
        <v>1</v>
      </c>
      <c r="L241">
        <v>6</v>
      </c>
      <c r="M241" s="11">
        <v>8426.74</v>
      </c>
      <c r="N241" s="12">
        <v>13869.07</v>
      </c>
      <c r="O241" s="12">
        <v>18148.59</v>
      </c>
    </row>
    <row r="242" spans="1:15">
      <c r="A242" t="s">
        <v>388</v>
      </c>
      <c r="B242" t="s">
        <v>372</v>
      </c>
      <c r="C242" s="9">
        <v>19724</v>
      </c>
      <c r="D242">
        <v>72</v>
      </c>
      <c r="E242" t="s">
        <v>21</v>
      </c>
      <c r="F242" t="s">
        <v>29</v>
      </c>
      <c r="G242" s="9">
        <v>45413</v>
      </c>
      <c r="H242" s="9">
        <v>45486</v>
      </c>
      <c r="I242">
        <v>25</v>
      </c>
      <c r="J242" t="s">
        <v>32</v>
      </c>
      <c r="K242">
        <v>1</v>
      </c>
      <c r="L242">
        <v>3</v>
      </c>
      <c r="M242" s="11">
        <v>1013.19</v>
      </c>
      <c r="N242" s="12">
        <v>9535.5300000000007</v>
      </c>
      <c r="O242" s="12">
        <v>5990.2</v>
      </c>
    </row>
    <row r="243" spans="1:15">
      <c r="A243" t="s">
        <v>389</v>
      </c>
      <c r="B243" t="s">
        <v>174</v>
      </c>
      <c r="C243" s="9">
        <v>24838</v>
      </c>
      <c r="D243">
        <v>58</v>
      </c>
      <c r="E243" t="s">
        <v>21</v>
      </c>
      <c r="F243" t="s">
        <v>18</v>
      </c>
      <c r="G243" s="9">
        <v>45380</v>
      </c>
      <c r="H243" s="9">
        <v>45361</v>
      </c>
      <c r="I243">
        <v>15</v>
      </c>
      <c r="J243" t="s">
        <v>35</v>
      </c>
      <c r="K243">
        <v>13</v>
      </c>
      <c r="L243">
        <v>0</v>
      </c>
      <c r="M243" s="11">
        <v>25890.75</v>
      </c>
      <c r="N243" s="12">
        <v>6309.93</v>
      </c>
      <c r="O243" s="12">
        <v>3904.48</v>
      </c>
    </row>
    <row r="244" spans="1:15">
      <c r="A244" t="s">
        <v>390</v>
      </c>
      <c r="B244" t="s">
        <v>237</v>
      </c>
      <c r="C244" s="9">
        <v>20820</v>
      </c>
      <c r="D244">
        <v>69</v>
      </c>
      <c r="E244" t="s">
        <v>17</v>
      </c>
      <c r="F244" t="s">
        <v>18</v>
      </c>
      <c r="G244" s="9">
        <v>45369</v>
      </c>
      <c r="H244" s="9">
        <v>45373</v>
      </c>
      <c r="I244">
        <v>10</v>
      </c>
      <c r="J244" t="s">
        <v>32</v>
      </c>
      <c r="K244">
        <v>13</v>
      </c>
      <c r="L244">
        <v>6</v>
      </c>
      <c r="M244" s="11">
        <v>15052.24</v>
      </c>
      <c r="N244" s="12">
        <v>6329.2</v>
      </c>
      <c r="O244" s="12">
        <v>9520.9699999999993</v>
      </c>
    </row>
    <row r="245" spans="1:15">
      <c r="A245" t="s">
        <v>391</v>
      </c>
      <c r="B245" t="s">
        <v>392</v>
      </c>
      <c r="C245" s="9">
        <v>17168</v>
      </c>
      <c r="D245">
        <v>79</v>
      </c>
      <c r="E245" t="s">
        <v>17</v>
      </c>
      <c r="F245" t="s">
        <v>18</v>
      </c>
      <c r="G245" s="9">
        <v>45188</v>
      </c>
      <c r="H245" s="9">
        <v>45634</v>
      </c>
      <c r="I245">
        <v>33</v>
      </c>
      <c r="J245" t="s">
        <v>35</v>
      </c>
      <c r="K245">
        <v>5</v>
      </c>
      <c r="L245">
        <v>5</v>
      </c>
      <c r="M245" s="11">
        <v>25068.55</v>
      </c>
      <c r="N245" s="12">
        <v>8615.65</v>
      </c>
      <c r="O245" s="12">
        <v>3048.24</v>
      </c>
    </row>
    <row r="246" spans="1:15">
      <c r="A246" t="s">
        <v>393</v>
      </c>
      <c r="B246" t="s">
        <v>309</v>
      </c>
      <c r="C246" s="9">
        <v>12419</v>
      </c>
      <c r="D246">
        <v>92</v>
      </c>
      <c r="E246" t="s">
        <v>17</v>
      </c>
      <c r="F246" t="s">
        <v>22</v>
      </c>
      <c r="G246" s="9">
        <v>45469</v>
      </c>
      <c r="H246" s="9">
        <v>45030</v>
      </c>
      <c r="I246">
        <v>39</v>
      </c>
      <c r="J246" t="s">
        <v>35</v>
      </c>
      <c r="K246">
        <v>6</v>
      </c>
      <c r="L246">
        <v>7</v>
      </c>
      <c r="M246" s="11">
        <v>16411.7</v>
      </c>
      <c r="N246" s="12">
        <v>8070.61</v>
      </c>
      <c r="O246" s="12">
        <v>5360.99</v>
      </c>
    </row>
    <row r="247" spans="1:15">
      <c r="A247" t="s">
        <v>394</v>
      </c>
      <c r="B247" t="s">
        <v>172</v>
      </c>
      <c r="C247" s="9">
        <v>45292</v>
      </c>
      <c r="D247">
        <v>2</v>
      </c>
      <c r="E247" t="s">
        <v>17</v>
      </c>
      <c r="F247" t="s">
        <v>22</v>
      </c>
      <c r="G247" s="9">
        <v>45031</v>
      </c>
      <c r="H247" s="9">
        <v>45255</v>
      </c>
      <c r="I247">
        <v>37</v>
      </c>
      <c r="J247" t="s">
        <v>32</v>
      </c>
      <c r="K247">
        <v>5</v>
      </c>
      <c r="L247">
        <v>4</v>
      </c>
      <c r="M247" s="11">
        <v>9068.76</v>
      </c>
      <c r="N247" s="12">
        <v>9612.2199999999993</v>
      </c>
      <c r="O247" s="12">
        <v>19731.29</v>
      </c>
    </row>
    <row r="248" spans="1:15">
      <c r="A248" t="s">
        <v>395</v>
      </c>
      <c r="B248" t="s">
        <v>350</v>
      </c>
      <c r="C248" s="9">
        <v>39083</v>
      </c>
      <c r="D248">
        <v>19</v>
      </c>
      <c r="E248" t="s">
        <v>21</v>
      </c>
      <c r="F248" t="s">
        <v>49</v>
      </c>
      <c r="G248" s="9">
        <v>45276</v>
      </c>
      <c r="H248" s="9">
        <v>45610</v>
      </c>
      <c r="I248">
        <v>9</v>
      </c>
      <c r="J248" t="s">
        <v>32</v>
      </c>
      <c r="K248">
        <v>1</v>
      </c>
      <c r="L248">
        <v>7</v>
      </c>
      <c r="M248" s="11">
        <v>3458.34</v>
      </c>
      <c r="N248" s="12">
        <v>7551.16</v>
      </c>
      <c r="O248" s="12">
        <v>11116.82</v>
      </c>
    </row>
    <row r="249" spans="1:15">
      <c r="A249" t="s">
        <v>396</v>
      </c>
      <c r="B249" t="s">
        <v>397</v>
      </c>
      <c r="C249" s="9">
        <v>24838</v>
      </c>
      <c r="D249">
        <v>58</v>
      </c>
      <c r="E249" t="s">
        <v>17</v>
      </c>
      <c r="F249" t="s">
        <v>25</v>
      </c>
      <c r="G249" s="9">
        <v>45364</v>
      </c>
      <c r="H249" s="9">
        <v>45528</v>
      </c>
      <c r="I249">
        <v>19</v>
      </c>
      <c r="J249" t="s">
        <v>35</v>
      </c>
      <c r="K249">
        <v>1</v>
      </c>
      <c r="L249">
        <v>9</v>
      </c>
      <c r="M249" s="11">
        <v>12833.43</v>
      </c>
      <c r="N249" s="12">
        <v>884.86</v>
      </c>
      <c r="O249" s="12">
        <v>15656.59</v>
      </c>
    </row>
    <row r="250" spans="1:15">
      <c r="A250" t="s">
        <v>398</v>
      </c>
      <c r="B250" t="s">
        <v>300</v>
      </c>
      <c r="C250" s="9">
        <v>33239</v>
      </c>
      <c r="D250">
        <v>35</v>
      </c>
      <c r="E250" t="s">
        <v>21</v>
      </c>
      <c r="F250" t="s">
        <v>5184</v>
      </c>
      <c r="G250" s="9">
        <v>45095</v>
      </c>
      <c r="H250" s="9">
        <v>45173</v>
      </c>
      <c r="I250">
        <v>1</v>
      </c>
      <c r="J250" t="s">
        <v>32</v>
      </c>
      <c r="K250">
        <v>5</v>
      </c>
      <c r="L250">
        <v>7</v>
      </c>
      <c r="M250" s="11">
        <v>0</v>
      </c>
      <c r="N250" s="12">
        <v>7510.93</v>
      </c>
      <c r="O250" s="12">
        <v>4157.38</v>
      </c>
    </row>
    <row r="251" spans="1:15">
      <c r="A251" t="s">
        <v>399</v>
      </c>
      <c r="B251" t="s">
        <v>273</v>
      </c>
      <c r="C251" s="9">
        <v>39448</v>
      </c>
      <c r="D251">
        <v>18</v>
      </c>
      <c r="E251" t="s">
        <v>17</v>
      </c>
      <c r="F251" t="s">
        <v>25</v>
      </c>
      <c r="G251" s="9">
        <v>45269</v>
      </c>
      <c r="H251" s="9">
        <v>44985</v>
      </c>
      <c r="I251">
        <v>37</v>
      </c>
      <c r="J251" t="s">
        <v>35</v>
      </c>
      <c r="K251">
        <v>1</v>
      </c>
      <c r="L251">
        <v>8</v>
      </c>
      <c r="M251" s="11">
        <v>17875.009999999998</v>
      </c>
      <c r="N251" s="12">
        <v>338</v>
      </c>
      <c r="O251" s="12">
        <v>10353.370000000001</v>
      </c>
    </row>
    <row r="252" spans="1:15">
      <c r="A252" t="s">
        <v>400</v>
      </c>
      <c r="B252" t="s">
        <v>57</v>
      </c>
      <c r="C252" s="9">
        <v>13515</v>
      </c>
      <c r="D252">
        <v>89</v>
      </c>
      <c r="E252" t="s">
        <v>21</v>
      </c>
      <c r="F252" t="s">
        <v>25</v>
      </c>
      <c r="G252" s="9">
        <v>45156</v>
      </c>
      <c r="H252" s="9">
        <v>45032</v>
      </c>
      <c r="I252">
        <v>25</v>
      </c>
      <c r="J252" t="s">
        <v>35</v>
      </c>
      <c r="K252">
        <v>11</v>
      </c>
      <c r="L252">
        <v>0</v>
      </c>
      <c r="M252" s="11">
        <v>12543.77</v>
      </c>
      <c r="N252" s="12">
        <v>2709.12</v>
      </c>
      <c r="O252" s="12">
        <v>10161.629999999999</v>
      </c>
    </row>
    <row r="253" spans="1:15">
      <c r="A253" t="s">
        <v>401</v>
      </c>
      <c r="B253" t="s">
        <v>157</v>
      </c>
      <c r="C253" s="9">
        <v>21916</v>
      </c>
      <c r="D253">
        <v>66</v>
      </c>
      <c r="E253" t="s">
        <v>21</v>
      </c>
      <c r="F253" t="s">
        <v>5184</v>
      </c>
      <c r="G253" s="9">
        <v>44949</v>
      </c>
      <c r="H253" s="9">
        <v>45619</v>
      </c>
      <c r="I253">
        <v>10</v>
      </c>
      <c r="J253" t="s">
        <v>35</v>
      </c>
      <c r="K253">
        <v>0</v>
      </c>
      <c r="L253">
        <v>2</v>
      </c>
      <c r="M253" s="11">
        <v>3816.47</v>
      </c>
      <c r="N253" s="12">
        <v>5811.42</v>
      </c>
      <c r="O253" s="12">
        <v>16234.62</v>
      </c>
    </row>
    <row r="254" spans="1:15">
      <c r="A254" t="s">
        <v>402</v>
      </c>
      <c r="B254" t="s">
        <v>57</v>
      </c>
      <c r="C254" s="9">
        <v>39448</v>
      </c>
      <c r="D254">
        <v>18</v>
      </c>
      <c r="E254" t="s">
        <v>21</v>
      </c>
      <c r="F254" t="s">
        <v>49</v>
      </c>
      <c r="G254" s="9">
        <v>45602</v>
      </c>
      <c r="H254" s="9">
        <v>44996</v>
      </c>
      <c r="I254">
        <v>30</v>
      </c>
      <c r="J254" t="s">
        <v>26</v>
      </c>
      <c r="K254">
        <v>12</v>
      </c>
      <c r="L254">
        <v>5</v>
      </c>
      <c r="M254" s="11">
        <v>15672.15</v>
      </c>
      <c r="N254" s="12">
        <v>8269.6200000000008</v>
      </c>
      <c r="O254" s="12">
        <v>333.59</v>
      </c>
    </row>
    <row r="255" spans="1:15">
      <c r="A255" t="s">
        <v>403</v>
      </c>
      <c r="B255" t="s">
        <v>232</v>
      </c>
      <c r="C255" s="9">
        <v>39083</v>
      </c>
      <c r="D255">
        <v>19</v>
      </c>
      <c r="E255" t="s">
        <v>17</v>
      </c>
      <c r="F255" t="s">
        <v>18</v>
      </c>
      <c r="G255" s="9">
        <v>45207</v>
      </c>
      <c r="H255" s="9">
        <v>45229</v>
      </c>
      <c r="I255">
        <v>0</v>
      </c>
      <c r="J255" t="s">
        <v>32</v>
      </c>
      <c r="K255">
        <v>5</v>
      </c>
      <c r="L255">
        <v>3</v>
      </c>
      <c r="M255" s="11">
        <v>23927.78</v>
      </c>
      <c r="N255" s="12">
        <v>2772.27</v>
      </c>
      <c r="O255" s="12">
        <v>17195.64</v>
      </c>
    </row>
    <row r="256" spans="1:15">
      <c r="A256" t="s">
        <v>404</v>
      </c>
      <c r="B256" t="s">
        <v>249</v>
      </c>
      <c r="C256" s="9">
        <v>20455</v>
      </c>
      <c r="D256">
        <v>70</v>
      </c>
      <c r="E256" t="s">
        <v>21</v>
      </c>
      <c r="F256" t="s">
        <v>25</v>
      </c>
      <c r="G256" s="9">
        <v>45445</v>
      </c>
      <c r="H256" s="9">
        <v>45080</v>
      </c>
      <c r="I256">
        <v>31</v>
      </c>
      <c r="J256" t="s">
        <v>32</v>
      </c>
      <c r="K256">
        <v>1</v>
      </c>
      <c r="L256">
        <v>7</v>
      </c>
      <c r="M256" s="11">
        <v>29231.41</v>
      </c>
      <c r="N256" s="12">
        <v>4144.51</v>
      </c>
      <c r="O256" s="12">
        <v>1499.86</v>
      </c>
    </row>
    <row r="257" spans="1:15">
      <c r="A257" t="s">
        <v>405</v>
      </c>
      <c r="B257" t="s">
        <v>110</v>
      </c>
      <c r="C257" s="9">
        <v>27395</v>
      </c>
      <c r="D257">
        <v>51</v>
      </c>
      <c r="E257" t="s">
        <v>17</v>
      </c>
      <c r="F257" t="s">
        <v>18</v>
      </c>
      <c r="G257" s="9">
        <v>45648</v>
      </c>
      <c r="H257" s="9">
        <v>45464</v>
      </c>
      <c r="I257">
        <v>20</v>
      </c>
      <c r="J257" t="s">
        <v>32</v>
      </c>
      <c r="K257">
        <v>3</v>
      </c>
      <c r="L257">
        <v>9</v>
      </c>
      <c r="M257" s="11">
        <v>15584.43</v>
      </c>
      <c r="N257" s="12">
        <v>5613.16</v>
      </c>
      <c r="O257" s="12">
        <v>18323.59</v>
      </c>
    </row>
    <row r="258" spans="1:15">
      <c r="A258" t="s">
        <v>406</v>
      </c>
      <c r="B258" t="s">
        <v>326</v>
      </c>
      <c r="C258" s="9">
        <v>34334</v>
      </c>
      <c r="D258">
        <v>32</v>
      </c>
      <c r="E258" t="s">
        <v>21</v>
      </c>
      <c r="F258" t="s">
        <v>29</v>
      </c>
      <c r="G258" s="9">
        <v>45179</v>
      </c>
      <c r="H258" s="9">
        <v>45816</v>
      </c>
      <c r="I258">
        <v>29</v>
      </c>
      <c r="J258" t="s">
        <v>32</v>
      </c>
      <c r="K258">
        <v>5</v>
      </c>
      <c r="L258">
        <v>0</v>
      </c>
      <c r="M258" s="11">
        <v>3451.3</v>
      </c>
      <c r="N258" s="12">
        <v>2958.23</v>
      </c>
      <c r="O258" s="12">
        <v>2771.07</v>
      </c>
    </row>
    <row r="259" spans="1:15">
      <c r="A259" t="s">
        <v>407</v>
      </c>
      <c r="B259" t="s">
        <v>232</v>
      </c>
      <c r="C259" s="9">
        <v>31778</v>
      </c>
      <c r="D259">
        <v>39</v>
      </c>
      <c r="E259" t="s">
        <v>17</v>
      </c>
      <c r="F259" t="s">
        <v>25</v>
      </c>
      <c r="G259" s="9">
        <v>45330</v>
      </c>
      <c r="H259" s="9">
        <v>44962</v>
      </c>
      <c r="I259">
        <v>17</v>
      </c>
      <c r="J259" t="s">
        <v>32</v>
      </c>
      <c r="K259">
        <v>11</v>
      </c>
      <c r="L259">
        <v>4</v>
      </c>
      <c r="M259" s="11">
        <v>24226.54</v>
      </c>
      <c r="N259" s="12">
        <v>14981.45</v>
      </c>
      <c r="O259" s="12">
        <v>10597.99</v>
      </c>
    </row>
    <row r="260" spans="1:15">
      <c r="A260" t="s">
        <v>408</v>
      </c>
      <c r="B260" t="s">
        <v>31</v>
      </c>
      <c r="C260" s="9">
        <v>32143</v>
      </c>
      <c r="D260">
        <v>38</v>
      </c>
      <c r="E260" t="s">
        <v>17</v>
      </c>
      <c r="F260" t="s">
        <v>29</v>
      </c>
      <c r="G260" s="9">
        <v>45059</v>
      </c>
      <c r="H260" s="9">
        <v>44942</v>
      </c>
      <c r="I260">
        <v>25</v>
      </c>
      <c r="J260" t="s">
        <v>35</v>
      </c>
      <c r="K260">
        <v>0</v>
      </c>
      <c r="L260">
        <v>3</v>
      </c>
      <c r="M260" s="11">
        <v>20721.55</v>
      </c>
      <c r="N260" s="12">
        <v>12070.7</v>
      </c>
      <c r="O260" s="12">
        <v>1897.76</v>
      </c>
    </row>
    <row r="261" spans="1:15">
      <c r="A261" t="s">
        <v>409</v>
      </c>
      <c r="B261" t="s">
        <v>125</v>
      </c>
      <c r="C261" s="9">
        <v>16437</v>
      </c>
      <c r="D261">
        <v>81</v>
      </c>
      <c r="E261" t="s">
        <v>21</v>
      </c>
      <c r="F261" t="s">
        <v>49</v>
      </c>
      <c r="G261" s="9">
        <v>45200</v>
      </c>
      <c r="H261" s="9">
        <v>45033</v>
      </c>
      <c r="I261">
        <v>5</v>
      </c>
      <c r="J261" t="s">
        <v>26</v>
      </c>
      <c r="K261">
        <v>6</v>
      </c>
      <c r="L261">
        <v>0</v>
      </c>
      <c r="M261" s="11">
        <v>28596.12</v>
      </c>
      <c r="N261" s="12">
        <v>12164.05</v>
      </c>
      <c r="O261" s="12">
        <v>8888.5499999999993</v>
      </c>
    </row>
    <row r="262" spans="1:15">
      <c r="A262" t="s">
        <v>410</v>
      </c>
      <c r="B262" t="s">
        <v>229</v>
      </c>
      <c r="C262" s="9">
        <v>46022</v>
      </c>
      <c r="D262">
        <f ca="1">DATEDIF(C213,TODAY(),"Y")</f>
        <v>55</v>
      </c>
      <c r="E262" t="s">
        <v>17</v>
      </c>
      <c r="F262" t="s">
        <v>74</v>
      </c>
      <c r="G262" s="9">
        <v>45544</v>
      </c>
      <c r="H262" s="9">
        <v>45657</v>
      </c>
      <c r="I262">
        <v>0</v>
      </c>
      <c r="J262" t="s">
        <v>35</v>
      </c>
      <c r="K262">
        <v>0</v>
      </c>
      <c r="L262">
        <v>9</v>
      </c>
      <c r="M262" s="11">
        <v>15824</v>
      </c>
      <c r="N262" s="12">
        <v>8532.9599999999991</v>
      </c>
      <c r="O262" s="12">
        <v>5915.5</v>
      </c>
    </row>
    <row r="263" spans="1:15">
      <c r="A263" t="s">
        <v>411</v>
      </c>
      <c r="B263" t="s">
        <v>412</v>
      </c>
      <c r="C263" s="9">
        <v>42370</v>
      </c>
      <c r="D263">
        <v>10</v>
      </c>
      <c r="E263" t="s">
        <v>17</v>
      </c>
      <c r="F263" t="s">
        <v>22</v>
      </c>
      <c r="G263" s="9">
        <v>45158</v>
      </c>
      <c r="H263" s="9">
        <v>45823</v>
      </c>
      <c r="I263">
        <v>27</v>
      </c>
      <c r="J263" t="s">
        <v>35</v>
      </c>
      <c r="K263">
        <v>2</v>
      </c>
      <c r="L263">
        <v>5</v>
      </c>
      <c r="M263" s="11">
        <v>10391.67</v>
      </c>
      <c r="N263" s="12">
        <v>14419.87</v>
      </c>
      <c r="O263" s="12">
        <v>8343.91</v>
      </c>
    </row>
    <row r="264" spans="1:15">
      <c r="A264" t="s">
        <v>413</v>
      </c>
      <c r="B264" t="s">
        <v>53</v>
      </c>
      <c r="C264" s="9">
        <v>12785</v>
      </c>
      <c r="D264">
        <v>91</v>
      </c>
      <c r="E264" t="s">
        <v>17</v>
      </c>
      <c r="F264" t="s">
        <v>5184</v>
      </c>
      <c r="G264" s="9">
        <v>45471</v>
      </c>
      <c r="H264" s="9">
        <v>45001</v>
      </c>
      <c r="I264">
        <v>22</v>
      </c>
      <c r="J264" t="s">
        <v>35</v>
      </c>
      <c r="K264">
        <v>2</v>
      </c>
      <c r="L264">
        <v>9</v>
      </c>
      <c r="M264" s="11">
        <v>28866.62</v>
      </c>
      <c r="N264" s="12">
        <v>10983.01</v>
      </c>
      <c r="O264" s="12">
        <v>10855.17</v>
      </c>
    </row>
    <row r="265" spans="1:15">
      <c r="A265" t="s">
        <v>414</v>
      </c>
      <c r="B265" t="s">
        <v>97</v>
      </c>
      <c r="C265" s="9">
        <v>25568</v>
      </c>
      <c r="D265">
        <v>56</v>
      </c>
      <c r="E265" t="s">
        <v>17</v>
      </c>
      <c r="F265" t="s">
        <v>49</v>
      </c>
      <c r="G265" s="9">
        <v>45005</v>
      </c>
      <c r="H265" s="9">
        <v>45783</v>
      </c>
      <c r="I265">
        <v>27</v>
      </c>
      <c r="J265" t="s">
        <v>32</v>
      </c>
      <c r="K265">
        <v>6</v>
      </c>
      <c r="L265">
        <v>2</v>
      </c>
      <c r="M265" s="11">
        <v>15922.56</v>
      </c>
      <c r="N265" s="12">
        <v>4963.18</v>
      </c>
      <c r="O265" s="12">
        <v>9134.7199999999993</v>
      </c>
    </row>
    <row r="266" spans="1:15">
      <c r="A266" t="s">
        <v>415</v>
      </c>
      <c r="B266" t="s">
        <v>309</v>
      </c>
      <c r="C266" s="9">
        <v>13880</v>
      </c>
      <c r="D266">
        <v>88</v>
      </c>
      <c r="E266" t="s">
        <v>17</v>
      </c>
      <c r="F266" t="s">
        <v>49</v>
      </c>
      <c r="G266" s="9">
        <v>44961</v>
      </c>
      <c r="H266" s="9">
        <v>45212</v>
      </c>
      <c r="I266">
        <v>26</v>
      </c>
      <c r="J266" t="s">
        <v>26</v>
      </c>
      <c r="K266">
        <v>9</v>
      </c>
      <c r="L266">
        <v>4</v>
      </c>
      <c r="M266" s="11">
        <v>14.88</v>
      </c>
      <c r="N266" s="12">
        <v>9157.9</v>
      </c>
      <c r="O266" s="12">
        <v>365.57</v>
      </c>
    </row>
    <row r="267" spans="1:15">
      <c r="A267" t="s">
        <v>416</v>
      </c>
      <c r="B267" t="s">
        <v>211</v>
      </c>
      <c r="C267" s="9">
        <f>DATE(2026-D227,1,1)</f>
        <v>34700</v>
      </c>
      <c r="D267">
        <v>49</v>
      </c>
      <c r="E267" t="s">
        <v>17</v>
      </c>
      <c r="F267" t="s">
        <v>49</v>
      </c>
      <c r="G267" s="9">
        <v>45421</v>
      </c>
      <c r="H267" s="9">
        <v>45477</v>
      </c>
      <c r="I267">
        <v>27</v>
      </c>
      <c r="J267" t="s">
        <v>35</v>
      </c>
      <c r="K267">
        <v>1</v>
      </c>
      <c r="L267">
        <v>5</v>
      </c>
      <c r="M267" s="11">
        <v>0</v>
      </c>
      <c r="N267" s="12">
        <v>8155.5</v>
      </c>
      <c r="O267" s="12">
        <v>17255.41</v>
      </c>
    </row>
    <row r="268" spans="1:15">
      <c r="A268" t="s">
        <v>417</v>
      </c>
      <c r="B268" t="s">
        <v>65</v>
      </c>
      <c r="C268" s="9">
        <v>37987</v>
      </c>
      <c r="D268">
        <v>22</v>
      </c>
      <c r="E268" t="s">
        <v>21</v>
      </c>
      <c r="F268" t="s">
        <v>25</v>
      </c>
      <c r="G268" s="9">
        <v>45036</v>
      </c>
      <c r="H268" s="9">
        <v>45124</v>
      </c>
      <c r="I268">
        <v>31</v>
      </c>
      <c r="J268" t="s">
        <v>32</v>
      </c>
      <c r="K268">
        <v>10</v>
      </c>
      <c r="L268">
        <v>3</v>
      </c>
      <c r="M268" s="11">
        <v>427.47</v>
      </c>
      <c r="N268" s="12">
        <v>8704.33</v>
      </c>
      <c r="O268" s="12">
        <v>1808.58</v>
      </c>
    </row>
    <row r="269" spans="1:15">
      <c r="A269" t="s">
        <v>418</v>
      </c>
      <c r="B269" t="s">
        <v>289</v>
      </c>
      <c r="C269" s="9">
        <v>35065</v>
      </c>
      <c r="D269">
        <v>30</v>
      </c>
      <c r="E269" t="s">
        <v>17</v>
      </c>
      <c r="F269" t="s">
        <v>29</v>
      </c>
      <c r="G269" s="9">
        <v>45247</v>
      </c>
      <c r="H269" s="9">
        <v>45207</v>
      </c>
      <c r="I269">
        <v>22</v>
      </c>
      <c r="J269" t="s">
        <v>35</v>
      </c>
      <c r="K269">
        <v>7</v>
      </c>
      <c r="L269">
        <v>9</v>
      </c>
      <c r="M269" s="11">
        <v>22000.09</v>
      </c>
      <c r="N269" s="12">
        <v>12265.9</v>
      </c>
      <c r="O269" s="12">
        <v>19610.61</v>
      </c>
    </row>
    <row r="270" spans="1:15">
      <c r="A270" t="s">
        <v>419</v>
      </c>
      <c r="B270" t="s">
        <v>412</v>
      </c>
      <c r="C270" s="9">
        <v>12054</v>
      </c>
      <c r="D270">
        <v>93</v>
      </c>
      <c r="E270" t="s">
        <v>21</v>
      </c>
      <c r="F270" t="s">
        <v>22</v>
      </c>
      <c r="G270" s="9">
        <v>45501</v>
      </c>
      <c r="H270" s="9">
        <v>45714</v>
      </c>
      <c r="I270">
        <v>14</v>
      </c>
      <c r="J270" t="s">
        <v>26</v>
      </c>
      <c r="K270">
        <v>4</v>
      </c>
      <c r="L270">
        <v>9</v>
      </c>
      <c r="M270" s="11">
        <v>16761.330000000002</v>
      </c>
      <c r="N270" s="12">
        <v>7643.43</v>
      </c>
      <c r="O270" s="12">
        <v>17011.5</v>
      </c>
    </row>
    <row r="271" spans="1:15">
      <c r="A271" t="s">
        <v>420</v>
      </c>
      <c r="B271" t="s">
        <v>302</v>
      </c>
      <c r="C271" s="9">
        <v>31047</v>
      </c>
      <c r="D271">
        <v>41</v>
      </c>
      <c r="E271" t="s">
        <v>21</v>
      </c>
      <c r="F271" t="s">
        <v>25</v>
      </c>
      <c r="G271" s="9">
        <v>45254</v>
      </c>
      <c r="H271" s="9">
        <v>45613</v>
      </c>
      <c r="I271">
        <v>21</v>
      </c>
      <c r="J271" t="s">
        <v>35</v>
      </c>
      <c r="K271">
        <v>2</v>
      </c>
      <c r="L271">
        <v>5</v>
      </c>
      <c r="M271" s="11">
        <v>2848.93</v>
      </c>
      <c r="N271" s="12">
        <v>10929.61</v>
      </c>
      <c r="O271" s="12">
        <v>11183.64</v>
      </c>
    </row>
    <row r="272" spans="1:15">
      <c r="A272" t="s">
        <v>421</v>
      </c>
      <c r="B272" t="s">
        <v>422</v>
      </c>
      <c r="C272" s="9">
        <v>43831</v>
      </c>
      <c r="D272">
        <v>6</v>
      </c>
      <c r="E272" t="s">
        <v>17</v>
      </c>
      <c r="F272" t="s">
        <v>74</v>
      </c>
      <c r="G272" s="9">
        <v>45616</v>
      </c>
      <c r="H272" s="9">
        <v>45744</v>
      </c>
      <c r="I272">
        <v>35</v>
      </c>
      <c r="J272" t="s">
        <v>35</v>
      </c>
      <c r="K272">
        <v>4</v>
      </c>
      <c r="L272">
        <v>6</v>
      </c>
      <c r="M272" s="11">
        <v>24296.84</v>
      </c>
      <c r="N272" s="12">
        <v>3758.95</v>
      </c>
      <c r="O272" s="12">
        <v>4828.38</v>
      </c>
    </row>
    <row r="273" spans="1:15">
      <c r="A273" t="s">
        <v>423</v>
      </c>
      <c r="B273" t="s">
        <v>326</v>
      </c>
      <c r="C273" s="9">
        <v>40544</v>
      </c>
      <c r="D273">
        <v>15</v>
      </c>
      <c r="E273" t="s">
        <v>21</v>
      </c>
      <c r="F273" t="s">
        <v>5184</v>
      </c>
      <c r="G273" s="9">
        <v>45310</v>
      </c>
      <c r="H273" s="9">
        <v>45483</v>
      </c>
      <c r="I273">
        <v>25</v>
      </c>
      <c r="J273" t="s">
        <v>32</v>
      </c>
      <c r="K273">
        <v>11</v>
      </c>
      <c r="L273">
        <v>1</v>
      </c>
      <c r="M273" s="11">
        <v>15861.34</v>
      </c>
      <c r="N273" s="12">
        <v>13980.93</v>
      </c>
      <c r="O273" s="12">
        <v>1633.55</v>
      </c>
    </row>
    <row r="274" spans="1:15">
      <c r="A274" t="s">
        <v>424</v>
      </c>
      <c r="B274" t="s">
        <v>226</v>
      </c>
      <c r="C274" s="9">
        <v>13515</v>
      </c>
      <c r="D274">
        <v>89</v>
      </c>
      <c r="E274" t="s">
        <v>21</v>
      </c>
      <c r="F274" t="s">
        <v>5184</v>
      </c>
      <c r="G274" s="9">
        <v>45290</v>
      </c>
      <c r="H274" s="9">
        <v>45593</v>
      </c>
      <c r="I274">
        <v>30</v>
      </c>
      <c r="J274" t="s">
        <v>32</v>
      </c>
      <c r="K274">
        <v>11</v>
      </c>
      <c r="L274">
        <v>6</v>
      </c>
      <c r="M274" s="11">
        <v>2978.84</v>
      </c>
      <c r="N274" s="12">
        <v>1295.73</v>
      </c>
      <c r="O274" s="12">
        <v>13403.89</v>
      </c>
    </row>
    <row r="275" spans="1:15">
      <c r="A275" t="s">
        <v>425</v>
      </c>
      <c r="B275" t="s">
        <v>229</v>
      </c>
      <c r="C275" s="9">
        <v>24473</v>
      </c>
      <c r="D275">
        <v>59</v>
      </c>
      <c r="E275" t="s">
        <v>17</v>
      </c>
      <c r="F275" t="s">
        <v>22</v>
      </c>
      <c r="G275" s="9">
        <v>45158</v>
      </c>
      <c r="H275" s="9">
        <v>45080</v>
      </c>
      <c r="I275">
        <v>33</v>
      </c>
      <c r="J275" t="s">
        <v>26</v>
      </c>
      <c r="K275">
        <v>4</v>
      </c>
      <c r="L275">
        <v>6</v>
      </c>
      <c r="M275" s="11">
        <v>4380.33</v>
      </c>
      <c r="N275" s="12">
        <v>14903.7</v>
      </c>
      <c r="O275" s="12">
        <v>3950.34</v>
      </c>
    </row>
    <row r="276" spans="1:15">
      <c r="A276" t="s">
        <v>426</v>
      </c>
      <c r="B276" t="s">
        <v>427</v>
      </c>
      <c r="C276" s="9">
        <v>45657</v>
      </c>
      <c r="D276">
        <v>1</v>
      </c>
      <c r="E276" t="s">
        <v>17</v>
      </c>
      <c r="F276" t="s">
        <v>5184</v>
      </c>
      <c r="G276" s="9">
        <v>45542</v>
      </c>
      <c r="H276" s="9">
        <v>45218</v>
      </c>
      <c r="I276">
        <v>4</v>
      </c>
      <c r="J276" t="s">
        <v>32</v>
      </c>
      <c r="K276">
        <v>11</v>
      </c>
      <c r="L276">
        <v>1</v>
      </c>
      <c r="M276" s="11">
        <v>24574.17</v>
      </c>
      <c r="N276" s="12">
        <v>9490.1</v>
      </c>
      <c r="O276" s="12">
        <v>14637.73</v>
      </c>
    </row>
    <row r="277" spans="1:15">
      <c r="A277" t="s">
        <v>428</v>
      </c>
      <c r="B277" t="s">
        <v>82</v>
      </c>
      <c r="C277" s="9">
        <v>46022</v>
      </c>
      <c r="D277">
        <v>0</v>
      </c>
      <c r="E277" t="s">
        <v>17</v>
      </c>
      <c r="F277" t="s">
        <v>5184</v>
      </c>
      <c r="G277" s="9">
        <v>45340</v>
      </c>
      <c r="H277" s="9">
        <v>45069</v>
      </c>
      <c r="I277">
        <v>20</v>
      </c>
      <c r="J277" t="s">
        <v>32</v>
      </c>
      <c r="K277">
        <v>12</v>
      </c>
      <c r="L277">
        <v>2</v>
      </c>
      <c r="M277" s="11">
        <v>10342.35</v>
      </c>
      <c r="N277" s="12">
        <v>7049.27</v>
      </c>
      <c r="O277" s="12">
        <v>16633.419999999998</v>
      </c>
    </row>
    <row r="278" spans="1:15">
      <c r="A278" t="s">
        <v>429</v>
      </c>
      <c r="B278" t="s">
        <v>82</v>
      </c>
      <c r="C278" s="9">
        <v>28856</v>
      </c>
      <c r="D278">
        <v>47</v>
      </c>
      <c r="E278" t="s">
        <v>17</v>
      </c>
      <c r="F278" t="s">
        <v>49</v>
      </c>
      <c r="G278" s="9">
        <v>45220</v>
      </c>
      <c r="H278" s="9">
        <v>45695</v>
      </c>
      <c r="I278">
        <v>23</v>
      </c>
      <c r="J278" t="s">
        <v>35</v>
      </c>
      <c r="K278">
        <v>7</v>
      </c>
      <c r="L278">
        <v>2</v>
      </c>
      <c r="M278" s="11">
        <v>24543.43</v>
      </c>
      <c r="N278" s="12">
        <v>4661.7299999999996</v>
      </c>
      <c r="O278" s="12">
        <v>19778.2</v>
      </c>
    </row>
    <row r="279" spans="1:15">
      <c r="A279" t="s">
        <v>430</v>
      </c>
      <c r="B279" t="s">
        <v>223</v>
      </c>
      <c r="C279" s="9">
        <v>42005</v>
      </c>
      <c r="D279">
        <v>11</v>
      </c>
      <c r="E279" t="s">
        <v>17</v>
      </c>
      <c r="F279" t="s">
        <v>18</v>
      </c>
      <c r="G279" s="9">
        <v>45473</v>
      </c>
      <c r="H279" s="9">
        <v>45239</v>
      </c>
      <c r="I279">
        <v>11</v>
      </c>
      <c r="J279" t="s">
        <v>26</v>
      </c>
      <c r="K279">
        <v>9</v>
      </c>
      <c r="L279">
        <v>0</v>
      </c>
      <c r="M279" s="11">
        <v>1619.85</v>
      </c>
      <c r="N279" s="12">
        <v>6077.13</v>
      </c>
      <c r="O279" s="12">
        <v>10034.73</v>
      </c>
    </row>
    <row r="280" spans="1:15">
      <c r="A280" t="s">
        <v>431</v>
      </c>
      <c r="B280" t="s">
        <v>46</v>
      </c>
      <c r="C280" s="9">
        <v>21185</v>
      </c>
      <c r="D280">
        <v>68</v>
      </c>
      <c r="E280" t="s">
        <v>21</v>
      </c>
      <c r="F280" t="s">
        <v>74</v>
      </c>
      <c r="G280" s="9">
        <v>45632</v>
      </c>
      <c r="H280" s="9">
        <v>45573</v>
      </c>
      <c r="I280">
        <v>39</v>
      </c>
      <c r="J280" t="s">
        <v>26</v>
      </c>
      <c r="K280">
        <v>12</v>
      </c>
      <c r="L280">
        <v>0</v>
      </c>
      <c r="M280" s="11">
        <v>6937.7</v>
      </c>
      <c r="N280" s="12">
        <v>11736.35</v>
      </c>
      <c r="O280" s="12">
        <v>19490.91</v>
      </c>
    </row>
    <row r="281" spans="1:15">
      <c r="A281" t="s">
        <v>432</v>
      </c>
      <c r="B281" t="s">
        <v>254</v>
      </c>
      <c r="C281" s="9">
        <v>32873</v>
      </c>
      <c r="D281">
        <v>36</v>
      </c>
      <c r="E281" t="s">
        <v>21</v>
      </c>
      <c r="F281" t="s">
        <v>29</v>
      </c>
      <c r="G281" s="9">
        <v>45100</v>
      </c>
      <c r="H281" s="9">
        <v>44959</v>
      </c>
      <c r="I281">
        <v>25</v>
      </c>
      <c r="J281" t="s">
        <v>32</v>
      </c>
      <c r="K281">
        <v>10</v>
      </c>
      <c r="L281">
        <v>9</v>
      </c>
      <c r="M281" s="11">
        <v>0</v>
      </c>
      <c r="N281" s="12">
        <v>2091.4899999999998</v>
      </c>
      <c r="O281" s="12">
        <v>2901.33</v>
      </c>
    </row>
    <row r="282" spans="1:15">
      <c r="A282" t="s">
        <v>433</v>
      </c>
      <c r="B282" t="s">
        <v>24</v>
      </c>
      <c r="C282" s="9">
        <v>34700</v>
      </c>
      <c r="D282">
        <v>31</v>
      </c>
      <c r="E282" t="s">
        <v>17</v>
      </c>
      <c r="F282" t="s">
        <v>74</v>
      </c>
      <c r="G282" s="9">
        <v>45318</v>
      </c>
      <c r="H282" s="9">
        <v>44953</v>
      </c>
      <c r="I282">
        <v>21</v>
      </c>
      <c r="J282" t="s">
        <v>35</v>
      </c>
      <c r="K282">
        <v>2</v>
      </c>
      <c r="L282">
        <v>5</v>
      </c>
      <c r="M282" s="11">
        <v>19071.91</v>
      </c>
      <c r="N282" s="12">
        <v>3790.28</v>
      </c>
      <c r="O282" s="12">
        <v>16708.560000000001</v>
      </c>
    </row>
    <row r="283" spans="1:15">
      <c r="A283" t="s">
        <v>434</v>
      </c>
      <c r="B283" t="s">
        <v>350</v>
      </c>
      <c r="C283" s="9">
        <v>43100</v>
      </c>
      <c r="D283">
        <v>8</v>
      </c>
      <c r="E283" t="s">
        <v>21</v>
      </c>
      <c r="F283" t="s">
        <v>25</v>
      </c>
      <c r="G283" s="9">
        <v>45028</v>
      </c>
      <c r="H283" s="9">
        <v>45182</v>
      </c>
      <c r="I283">
        <v>4</v>
      </c>
      <c r="J283" t="s">
        <v>32</v>
      </c>
      <c r="K283">
        <v>6</v>
      </c>
      <c r="L283">
        <v>8</v>
      </c>
      <c r="M283" s="11">
        <v>8858.15</v>
      </c>
      <c r="N283" s="12">
        <v>1855.91</v>
      </c>
      <c r="O283" s="12">
        <v>7132.02</v>
      </c>
    </row>
    <row r="284" spans="1:15">
      <c r="A284" t="s">
        <v>435</v>
      </c>
      <c r="B284" t="s">
        <v>392</v>
      </c>
      <c r="C284" s="9">
        <v>39448</v>
      </c>
      <c r="D284">
        <v>18</v>
      </c>
      <c r="E284" t="s">
        <v>17</v>
      </c>
      <c r="F284" t="s">
        <v>5184</v>
      </c>
      <c r="G284" s="9">
        <v>45219</v>
      </c>
      <c r="H284" s="9">
        <v>45662</v>
      </c>
      <c r="I284">
        <v>33</v>
      </c>
      <c r="J284" t="s">
        <v>35</v>
      </c>
      <c r="K284">
        <v>1</v>
      </c>
      <c r="L284">
        <v>8</v>
      </c>
      <c r="M284" s="11">
        <v>28048.81</v>
      </c>
      <c r="N284" s="12">
        <v>6399.82</v>
      </c>
      <c r="O284" s="12">
        <v>7232.73</v>
      </c>
    </row>
    <row r="285" spans="1:15">
      <c r="A285" t="s">
        <v>436</v>
      </c>
      <c r="B285" t="s">
        <v>39</v>
      </c>
      <c r="C285" s="9">
        <v>28856</v>
      </c>
      <c r="D285">
        <f ca="1">DATEDIF(C236,TODAY(),"Y")</f>
        <v>23</v>
      </c>
      <c r="E285" t="s">
        <v>17</v>
      </c>
      <c r="F285" t="s">
        <v>18</v>
      </c>
      <c r="G285" s="9">
        <v>45011</v>
      </c>
      <c r="H285" s="9">
        <v>44983</v>
      </c>
      <c r="I285">
        <v>36</v>
      </c>
      <c r="J285" t="s">
        <v>32</v>
      </c>
      <c r="K285">
        <v>4</v>
      </c>
      <c r="L285">
        <v>0</v>
      </c>
      <c r="M285" s="11">
        <v>5937.52</v>
      </c>
      <c r="N285" s="12">
        <v>5808.34</v>
      </c>
      <c r="O285" s="12">
        <v>5299.81</v>
      </c>
    </row>
    <row r="286" spans="1:15">
      <c r="A286" t="s">
        <v>437</v>
      </c>
      <c r="B286" t="s">
        <v>348</v>
      </c>
      <c r="C286" s="9">
        <v>17168</v>
      </c>
      <c r="D286">
        <v>79</v>
      </c>
      <c r="E286" t="s">
        <v>21</v>
      </c>
      <c r="F286" t="s">
        <v>25</v>
      </c>
      <c r="G286" s="9">
        <v>45127</v>
      </c>
      <c r="H286" s="9">
        <v>45220</v>
      </c>
      <c r="I286">
        <v>12</v>
      </c>
      <c r="J286" t="s">
        <v>26</v>
      </c>
      <c r="K286">
        <v>3</v>
      </c>
      <c r="L286">
        <v>6</v>
      </c>
      <c r="M286" s="11">
        <v>25418.28</v>
      </c>
      <c r="N286" s="12">
        <v>9731.77</v>
      </c>
      <c r="O286" s="12">
        <v>3385.55</v>
      </c>
    </row>
    <row r="287" spans="1:15">
      <c r="A287" t="s">
        <v>438</v>
      </c>
      <c r="B287" t="s">
        <v>110</v>
      </c>
      <c r="C287" s="9">
        <v>45292</v>
      </c>
      <c r="D287">
        <v>2</v>
      </c>
      <c r="E287" t="s">
        <v>17</v>
      </c>
      <c r="F287" t="s">
        <v>22</v>
      </c>
      <c r="G287" s="9">
        <v>45611</v>
      </c>
      <c r="H287" s="9">
        <v>45564</v>
      </c>
      <c r="I287">
        <v>0</v>
      </c>
      <c r="J287" t="s">
        <v>26</v>
      </c>
      <c r="K287">
        <v>14</v>
      </c>
      <c r="L287">
        <v>5</v>
      </c>
      <c r="M287" s="11">
        <v>20720.189999999999</v>
      </c>
      <c r="N287" s="12">
        <v>14935.74</v>
      </c>
      <c r="O287" s="12">
        <v>8788.5400000000009</v>
      </c>
    </row>
    <row r="288" spans="1:15">
      <c r="A288" t="s">
        <v>439</v>
      </c>
      <c r="B288" t="s">
        <v>89</v>
      </c>
      <c r="C288" s="9">
        <v>39083</v>
      </c>
      <c r="D288">
        <v>19</v>
      </c>
      <c r="E288" t="s">
        <v>17</v>
      </c>
      <c r="F288" t="s">
        <v>49</v>
      </c>
      <c r="G288" s="9">
        <v>45467</v>
      </c>
      <c r="H288" s="9">
        <v>45157</v>
      </c>
      <c r="I288">
        <v>1</v>
      </c>
      <c r="J288" t="s">
        <v>35</v>
      </c>
      <c r="K288">
        <v>1</v>
      </c>
      <c r="L288">
        <v>3</v>
      </c>
      <c r="M288" s="11">
        <v>3194.07</v>
      </c>
      <c r="N288" s="12">
        <v>13385.39</v>
      </c>
      <c r="O288" s="12">
        <v>19744.46</v>
      </c>
    </row>
    <row r="289" spans="1:15">
      <c r="A289" t="s">
        <v>440</v>
      </c>
      <c r="B289" t="s">
        <v>309</v>
      </c>
      <c r="C289" s="9">
        <v>37622</v>
      </c>
      <c r="D289">
        <v>23</v>
      </c>
      <c r="E289" t="s">
        <v>21</v>
      </c>
      <c r="F289" t="s">
        <v>5184</v>
      </c>
      <c r="G289" s="9">
        <v>45223</v>
      </c>
      <c r="H289" s="9">
        <v>44980</v>
      </c>
      <c r="I289">
        <v>4</v>
      </c>
      <c r="J289" t="s">
        <v>35</v>
      </c>
      <c r="K289">
        <v>2</v>
      </c>
      <c r="L289">
        <v>2</v>
      </c>
      <c r="M289" s="11">
        <v>16431.03</v>
      </c>
      <c r="N289" s="12">
        <v>13205.67</v>
      </c>
      <c r="O289" s="12">
        <v>6531.13</v>
      </c>
    </row>
    <row r="290" spans="1:15">
      <c r="A290" t="s">
        <v>441</v>
      </c>
      <c r="B290" t="s">
        <v>181</v>
      </c>
      <c r="C290" s="9">
        <v>26664</v>
      </c>
      <c r="D290">
        <v>53</v>
      </c>
      <c r="E290" t="s">
        <v>5185</v>
      </c>
      <c r="F290" t="s">
        <v>49</v>
      </c>
      <c r="G290" s="9">
        <v>44982</v>
      </c>
      <c r="H290" s="9">
        <v>45028</v>
      </c>
      <c r="I290">
        <v>13</v>
      </c>
      <c r="J290" t="s">
        <v>35</v>
      </c>
      <c r="K290">
        <v>6</v>
      </c>
      <c r="L290">
        <v>8</v>
      </c>
      <c r="M290" s="11">
        <v>27862.18</v>
      </c>
      <c r="N290" s="12">
        <v>9685.6200000000008</v>
      </c>
      <c r="O290" s="12">
        <v>9167.74</v>
      </c>
    </row>
    <row r="291" spans="1:15">
      <c r="A291" t="s">
        <v>442</v>
      </c>
      <c r="B291" t="s">
        <v>367</v>
      </c>
      <c r="C291" s="9">
        <v>34334</v>
      </c>
      <c r="D291">
        <v>32</v>
      </c>
      <c r="E291" t="s">
        <v>17</v>
      </c>
      <c r="F291" t="s">
        <v>74</v>
      </c>
      <c r="G291" s="9">
        <v>45398</v>
      </c>
      <c r="H291" s="9">
        <v>45394</v>
      </c>
      <c r="I291">
        <v>18</v>
      </c>
      <c r="J291" t="s">
        <v>35</v>
      </c>
      <c r="K291">
        <v>14</v>
      </c>
      <c r="L291">
        <v>9</v>
      </c>
      <c r="M291" s="11">
        <v>18376.330000000002</v>
      </c>
      <c r="N291" s="12">
        <v>4059.12</v>
      </c>
      <c r="O291" s="12">
        <v>4492.9399999999996</v>
      </c>
    </row>
    <row r="292" spans="1:15">
      <c r="A292" t="s">
        <v>443</v>
      </c>
      <c r="B292" t="s">
        <v>444</v>
      </c>
      <c r="C292" s="9">
        <v>37622</v>
      </c>
      <c r="D292">
        <v>23</v>
      </c>
      <c r="E292" t="s">
        <v>21</v>
      </c>
      <c r="F292" t="s">
        <v>49</v>
      </c>
      <c r="G292" s="9">
        <v>44942</v>
      </c>
      <c r="H292" s="9">
        <v>45773</v>
      </c>
      <c r="I292">
        <v>6</v>
      </c>
      <c r="J292" t="s">
        <v>32</v>
      </c>
      <c r="K292">
        <v>9</v>
      </c>
      <c r="L292">
        <v>4</v>
      </c>
      <c r="M292" s="11">
        <v>15628.63</v>
      </c>
      <c r="N292" s="12">
        <v>5761.28</v>
      </c>
      <c r="O292" s="12">
        <v>6676.12</v>
      </c>
    </row>
    <row r="293" spans="1:15">
      <c r="A293" t="s">
        <v>445</v>
      </c>
      <c r="B293" t="s">
        <v>446</v>
      </c>
      <c r="C293" s="9">
        <v>18994</v>
      </c>
      <c r="D293">
        <v>74</v>
      </c>
      <c r="E293" t="s">
        <v>17</v>
      </c>
      <c r="F293" t="s">
        <v>49</v>
      </c>
      <c r="G293" s="9">
        <v>45578</v>
      </c>
      <c r="H293" s="9">
        <v>45731</v>
      </c>
      <c r="I293">
        <v>9</v>
      </c>
      <c r="J293" t="s">
        <v>32</v>
      </c>
      <c r="K293">
        <v>9</v>
      </c>
      <c r="L293">
        <v>7</v>
      </c>
      <c r="M293" s="11">
        <v>0</v>
      </c>
      <c r="N293" s="12">
        <v>3751.83</v>
      </c>
      <c r="O293" s="12">
        <v>1008.34</v>
      </c>
    </row>
    <row r="294" spans="1:15">
      <c r="A294" t="s">
        <v>447</v>
      </c>
      <c r="B294" t="s">
        <v>147</v>
      </c>
      <c r="C294" s="9">
        <v>20090</v>
      </c>
      <c r="D294">
        <v>71</v>
      </c>
      <c r="E294" t="s">
        <v>17</v>
      </c>
      <c r="F294" t="s">
        <v>22</v>
      </c>
      <c r="G294" s="9">
        <v>44992</v>
      </c>
      <c r="H294" s="9">
        <v>45796</v>
      </c>
      <c r="I294">
        <v>26</v>
      </c>
      <c r="J294" t="s">
        <v>32</v>
      </c>
      <c r="K294">
        <v>8</v>
      </c>
      <c r="L294">
        <v>3</v>
      </c>
      <c r="M294" s="11">
        <v>23558.04</v>
      </c>
      <c r="N294" s="12">
        <v>2026.26</v>
      </c>
      <c r="O294" s="12">
        <v>19116.29</v>
      </c>
    </row>
    <row r="295" spans="1:15">
      <c r="A295" t="s">
        <v>448</v>
      </c>
      <c r="B295" t="s">
        <v>145</v>
      </c>
      <c r="C295" s="9">
        <v>33239</v>
      </c>
      <c r="D295">
        <f ca="1">DATEDIF(C246,TODAY(),"Y")</f>
        <v>92</v>
      </c>
      <c r="E295" t="s">
        <v>17</v>
      </c>
      <c r="F295" t="s">
        <v>29</v>
      </c>
      <c r="G295" s="9">
        <v>45585</v>
      </c>
      <c r="H295" s="9">
        <v>45194</v>
      </c>
      <c r="I295">
        <v>21</v>
      </c>
      <c r="J295" t="s">
        <v>32</v>
      </c>
      <c r="K295">
        <v>9</v>
      </c>
      <c r="L295">
        <v>3</v>
      </c>
      <c r="M295" s="11">
        <v>27348.31</v>
      </c>
      <c r="N295" s="12">
        <v>6540.47</v>
      </c>
      <c r="O295" s="12">
        <v>10147.02</v>
      </c>
    </row>
    <row r="296" spans="1:15">
      <c r="A296" t="s">
        <v>449</v>
      </c>
      <c r="B296" t="s">
        <v>372</v>
      </c>
      <c r="C296" s="9">
        <v>32508</v>
      </c>
      <c r="D296">
        <v>37</v>
      </c>
      <c r="E296" t="s">
        <v>17</v>
      </c>
      <c r="F296" t="s">
        <v>29</v>
      </c>
      <c r="G296" s="9">
        <v>45596</v>
      </c>
      <c r="H296" s="9">
        <v>45722</v>
      </c>
      <c r="I296">
        <v>30</v>
      </c>
      <c r="J296" t="s">
        <v>32</v>
      </c>
      <c r="K296">
        <v>12</v>
      </c>
      <c r="L296">
        <v>5</v>
      </c>
      <c r="M296" s="11">
        <v>22476.16</v>
      </c>
      <c r="N296" s="12">
        <v>13463.03</v>
      </c>
      <c r="O296" s="12">
        <v>14632.32</v>
      </c>
    </row>
    <row r="297" spans="1:15">
      <c r="A297" t="s">
        <v>450</v>
      </c>
      <c r="B297" t="s">
        <v>78</v>
      </c>
      <c r="C297" s="9">
        <v>15707</v>
      </c>
      <c r="D297">
        <v>83</v>
      </c>
      <c r="E297" t="s">
        <v>17</v>
      </c>
      <c r="F297" t="s">
        <v>25</v>
      </c>
      <c r="G297" s="9">
        <v>45398</v>
      </c>
      <c r="H297" s="9">
        <v>44929</v>
      </c>
      <c r="I297">
        <v>11</v>
      </c>
      <c r="J297" t="s">
        <v>26</v>
      </c>
      <c r="K297">
        <v>13</v>
      </c>
      <c r="L297">
        <v>5</v>
      </c>
      <c r="M297" s="11">
        <v>21620.11</v>
      </c>
      <c r="N297" s="12">
        <v>11157.62</v>
      </c>
      <c r="O297" s="12">
        <v>10217.120000000001</v>
      </c>
    </row>
    <row r="298" spans="1:15">
      <c r="A298" t="s">
        <v>451</v>
      </c>
      <c r="B298" t="s">
        <v>397</v>
      </c>
      <c r="C298" s="9">
        <v>13880</v>
      </c>
      <c r="D298">
        <v>88</v>
      </c>
      <c r="E298" t="s">
        <v>21</v>
      </c>
      <c r="F298" t="s">
        <v>5184</v>
      </c>
      <c r="G298" s="9">
        <v>45507</v>
      </c>
      <c r="H298" s="9">
        <v>44949</v>
      </c>
      <c r="I298">
        <v>15</v>
      </c>
      <c r="J298" t="s">
        <v>26</v>
      </c>
      <c r="K298">
        <v>0</v>
      </c>
      <c r="L298">
        <v>2</v>
      </c>
      <c r="M298" s="11">
        <v>5370.96</v>
      </c>
      <c r="N298" s="12">
        <v>14772.57</v>
      </c>
      <c r="O298" s="12">
        <v>15380.96</v>
      </c>
    </row>
    <row r="299" spans="1:15">
      <c r="A299" t="s">
        <v>452</v>
      </c>
      <c r="B299" t="s">
        <v>249</v>
      </c>
      <c r="C299" s="9">
        <v>37256</v>
      </c>
      <c r="D299">
        <v>24</v>
      </c>
      <c r="E299" t="s">
        <v>17</v>
      </c>
      <c r="F299" t="s">
        <v>25</v>
      </c>
      <c r="G299" s="9">
        <v>44949</v>
      </c>
      <c r="H299" s="9">
        <v>45505</v>
      </c>
      <c r="I299">
        <v>2</v>
      </c>
      <c r="J299" t="s">
        <v>32</v>
      </c>
      <c r="K299">
        <v>6</v>
      </c>
      <c r="L299">
        <v>1</v>
      </c>
      <c r="M299" s="11">
        <v>24936.58</v>
      </c>
      <c r="N299" s="12">
        <v>2922.26</v>
      </c>
      <c r="O299" s="12">
        <v>10635.22</v>
      </c>
    </row>
    <row r="300" spans="1:15">
      <c r="A300" t="s">
        <v>453</v>
      </c>
      <c r="B300" t="s">
        <v>97</v>
      </c>
      <c r="C300" s="9">
        <v>12419</v>
      </c>
      <c r="D300">
        <v>92</v>
      </c>
      <c r="E300" t="s">
        <v>17</v>
      </c>
      <c r="F300" t="s">
        <v>29</v>
      </c>
      <c r="G300" s="9">
        <v>45628</v>
      </c>
      <c r="H300" s="9">
        <v>45139</v>
      </c>
      <c r="I300">
        <v>12</v>
      </c>
      <c r="J300" t="s">
        <v>32</v>
      </c>
      <c r="K300">
        <v>5</v>
      </c>
      <c r="L300">
        <v>8</v>
      </c>
      <c r="M300" s="11">
        <v>741.22</v>
      </c>
      <c r="N300" s="12">
        <v>7508.16</v>
      </c>
      <c r="O300" s="12">
        <v>14001.05</v>
      </c>
    </row>
    <row r="301" spans="1:15">
      <c r="A301" t="s">
        <v>454</v>
      </c>
      <c r="B301" t="s">
        <v>28</v>
      </c>
      <c r="C301" s="9">
        <v>39813</v>
      </c>
      <c r="D301">
        <v>17</v>
      </c>
      <c r="E301" t="s">
        <v>21</v>
      </c>
      <c r="F301" t="s">
        <v>74</v>
      </c>
      <c r="G301" s="9">
        <v>45412</v>
      </c>
      <c r="H301" s="9">
        <v>45163</v>
      </c>
      <c r="I301">
        <v>4</v>
      </c>
      <c r="J301" t="s">
        <v>32</v>
      </c>
      <c r="K301">
        <v>1</v>
      </c>
      <c r="L301">
        <v>1</v>
      </c>
      <c r="M301" s="11">
        <v>22599.53</v>
      </c>
      <c r="N301" s="12">
        <v>11895.69</v>
      </c>
      <c r="O301" s="12">
        <v>13664.5</v>
      </c>
    </row>
    <row r="302" spans="1:15">
      <c r="A302" t="s">
        <v>455</v>
      </c>
      <c r="B302" t="s">
        <v>51</v>
      </c>
      <c r="C302" s="9">
        <v>16437</v>
      </c>
      <c r="D302">
        <v>81</v>
      </c>
      <c r="E302" t="s">
        <v>21</v>
      </c>
      <c r="F302" t="s">
        <v>29</v>
      </c>
      <c r="G302" s="9">
        <v>45341</v>
      </c>
      <c r="H302" s="9">
        <v>45807</v>
      </c>
      <c r="I302">
        <v>22</v>
      </c>
      <c r="J302" t="s">
        <v>35</v>
      </c>
      <c r="K302">
        <v>11</v>
      </c>
      <c r="L302">
        <v>8</v>
      </c>
      <c r="M302" s="11">
        <v>5931.54</v>
      </c>
      <c r="N302" s="12">
        <v>6906.92</v>
      </c>
      <c r="O302" s="12">
        <v>10624.62</v>
      </c>
    </row>
    <row r="303" spans="1:15">
      <c r="A303" t="s">
        <v>456</v>
      </c>
      <c r="B303" t="s">
        <v>71</v>
      </c>
      <c r="C303" s="9">
        <f>DATE(2026-D263,1,1)</f>
        <v>42370</v>
      </c>
      <c r="D303">
        <v>65</v>
      </c>
      <c r="E303" t="s">
        <v>5185</v>
      </c>
      <c r="F303" t="s">
        <v>25</v>
      </c>
      <c r="G303" s="9">
        <v>45583</v>
      </c>
      <c r="H303" s="9">
        <v>45456</v>
      </c>
      <c r="I303">
        <v>11</v>
      </c>
      <c r="J303" t="s">
        <v>26</v>
      </c>
      <c r="K303">
        <v>0</v>
      </c>
      <c r="L303">
        <v>7</v>
      </c>
      <c r="M303" s="11">
        <v>14361.47</v>
      </c>
      <c r="N303" s="12">
        <v>5325.82</v>
      </c>
      <c r="O303" s="12">
        <v>4534.8</v>
      </c>
    </row>
    <row r="304" spans="1:15">
      <c r="A304" t="s">
        <v>457</v>
      </c>
      <c r="B304" t="s">
        <v>24</v>
      </c>
      <c r="C304" s="9">
        <v>26664</v>
      </c>
      <c r="D304">
        <v>53</v>
      </c>
      <c r="E304" t="s">
        <v>17</v>
      </c>
      <c r="F304" t="s">
        <v>18</v>
      </c>
      <c r="G304" s="9">
        <v>45231</v>
      </c>
      <c r="H304" s="9">
        <v>45315</v>
      </c>
      <c r="I304">
        <v>37</v>
      </c>
      <c r="J304" t="s">
        <v>32</v>
      </c>
      <c r="K304">
        <v>5</v>
      </c>
      <c r="L304">
        <v>9</v>
      </c>
      <c r="M304" s="11">
        <v>20704.64</v>
      </c>
      <c r="N304" s="12">
        <v>12238.3</v>
      </c>
      <c r="O304" s="12">
        <v>4158.1400000000003</v>
      </c>
    </row>
    <row r="305" spans="1:15">
      <c r="A305" t="s">
        <v>458</v>
      </c>
      <c r="B305" t="s">
        <v>103</v>
      </c>
      <c r="C305" s="9">
        <f>DATE(2026-D265,1,1)</f>
        <v>25569</v>
      </c>
      <c r="D305">
        <v>34</v>
      </c>
      <c r="E305" t="s">
        <v>17</v>
      </c>
      <c r="F305" t="s">
        <v>5184</v>
      </c>
      <c r="G305" s="9">
        <v>45103</v>
      </c>
      <c r="H305" s="9">
        <v>44941</v>
      </c>
      <c r="I305">
        <v>33</v>
      </c>
      <c r="J305" t="s">
        <v>35</v>
      </c>
      <c r="K305">
        <v>9</v>
      </c>
      <c r="L305">
        <v>6</v>
      </c>
      <c r="M305" s="11">
        <v>22651.89</v>
      </c>
      <c r="N305" s="12">
        <v>6454.62</v>
      </c>
      <c r="O305" s="12">
        <v>17473.53</v>
      </c>
    </row>
    <row r="306" spans="1:15">
      <c r="A306" t="s">
        <v>459</v>
      </c>
      <c r="B306" t="s">
        <v>53</v>
      </c>
      <c r="C306" s="9">
        <v>17168</v>
      </c>
      <c r="D306">
        <f ca="1">DATEDIF(C257,TODAY(),"Y")</f>
        <v>51</v>
      </c>
      <c r="E306" t="s">
        <v>17</v>
      </c>
      <c r="F306" t="s">
        <v>49</v>
      </c>
      <c r="G306" s="9">
        <v>45121</v>
      </c>
      <c r="H306" s="9">
        <v>45446</v>
      </c>
      <c r="I306">
        <v>32</v>
      </c>
      <c r="J306" t="s">
        <v>32</v>
      </c>
      <c r="K306">
        <v>11</v>
      </c>
      <c r="L306">
        <v>4</v>
      </c>
      <c r="M306" s="11">
        <v>26586.560000000001</v>
      </c>
      <c r="N306" s="12">
        <v>13694.51</v>
      </c>
      <c r="O306" s="12">
        <v>2325.8000000000002</v>
      </c>
    </row>
    <row r="307" spans="1:15">
      <c r="A307" t="s">
        <v>460</v>
      </c>
      <c r="B307" t="s">
        <v>336</v>
      </c>
      <c r="C307" s="9">
        <v>24107</v>
      </c>
      <c r="D307">
        <v>60</v>
      </c>
      <c r="E307" t="s">
        <v>17</v>
      </c>
      <c r="F307" t="s">
        <v>22</v>
      </c>
      <c r="G307" s="9">
        <v>44939</v>
      </c>
      <c r="H307" s="9">
        <v>45774</v>
      </c>
      <c r="I307">
        <v>21</v>
      </c>
      <c r="J307" t="s">
        <v>32</v>
      </c>
      <c r="K307">
        <v>9</v>
      </c>
      <c r="L307">
        <v>2</v>
      </c>
      <c r="M307" s="11">
        <v>8119.06</v>
      </c>
      <c r="N307" s="12">
        <v>4026.02</v>
      </c>
      <c r="O307" s="12">
        <v>11140.76</v>
      </c>
    </row>
    <row r="308" spans="1:15">
      <c r="A308" t="s">
        <v>461</v>
      </c>
      <c r="B308" t="s">
        <v>115</v>
      </c>
      <c r="C308" s="9">
        <v>31412</v>
      </c>
      <c r="D308">
        <v>40</v>
      </c>
      <c r="E308" t="s">
        <v>17</v>
      </c>
      <c r="F308" t="s">
        <v>18</v>
      </c>
      <c r="G308" s="9">
        <v>45092</v>
      </c>
      <c r="H308" s="9">
        <v>45149</v>
      </c>
      <c r="I308">
        <v>12</v>
      </c>
      <c r="J308" t="s">
        <v>26</v>
      </c>
      <c r="K308">
        <v>1</v>
      </c>
      <c r="L308">
        <v>1</v>
      </c>
      <c r="M308" s="11">
        <v>6341.77</v>
      </c>
      <c r="N308" s="12">
        <v>13446.81</v>
      </c>
      <c r="O308" s="12">
        <v>10000.950000000001</v>
      </c>
    </row>
    <row r="309" spans="1:15">
      <c r="A309" t="s">
        <v>462</v>
      </c>
      <c r="B309" t="s">
        <v>137</v>
      </c>
      <c r="C309" s="9">
        <v>34334</v>
      </c>
      <c r="D309">
        <v>32</v>
      </c>
      <c r="E309" t="s">
        <v>17</v>
      </c>
      <c r="F309" t="s">
        <v>18</v>
      </c>
      <c r="G309" s="9">
        <v>45076</v>
      </c>
      <c r="H309" s="9">
        <v>45543</v>
      </c>
      <c r="I309">
        <v>8</v>
      </c>
      <c r="J309" t="s">
        <v>26</v>
      </c>
      <c r="K309">
        <v>0</v>
      </c>
      <c r="L309">
        <v>7</v>
      </c>
      <c r="M309" s="11">
        <v>29885.51</v>
      </c>
      <c r="N309" s="12">
        <v>4176.91</v>
      </c>
      <c r="O309" s="12">
        <v>15947.84</v>
      </c>
    </row>
    <row r="310" spans="1:15">
      <c r="A310" t="s">
        <v>463</v>
      </c>
      <c r="B310" t="s">
        <v>292</v>
      </c>
      <c r="C310" s="9">
        <v>21551</v>
      </c>
      <c r="D310">
        <v>67</v>
      </c>
      <c r="E310" t="s">
        <v>21</v>
      </c>
      <c r="F310" t="s">
        <v>49</v>
      </c>
      <c r="G310" s="9">
        <v>45267</v>
      </c>
      <c r="H310" s="9">
        <v>45330</v>
      </c>
      <c r="I310">
        <v>21</v>
      </c>
      <c r="J310" t="s">
        <v>26</v>
      </c>
      <c r="K310">
        <v>14</v>
      </c>
      <c r="L310">
        <v>1</v>
      </c>
      <c r="M310" s="11">
        <v>5830.52</v>
      </c>
      <c r="N310" s="12">
        <v>4343.46</v>
      </c>
      <c r="O310" s="12">
        <v>2621.39</v>
      </c>
    </row>
    <row r="311" spans="1:15">
      <c r="A311" t="s">
        <v>464</v>
      </c>
      <c r="B311" t="s">
        <v>332</v>
      </c>
      <c r="C311" s="9">
        <v>34334</v>
      </c>
      <c r="D311">
        <v>32</v>
      </c>
      <c r="E311" t="s">
        <v>17</v>
      </c>
      <c r="F311" t="s">
        <v>29</v>
      </c>
      <c r="G311" s="9">
        <v>45483</v>
      </c>
      <c r="H311" s="9">
        <v>45440</v>
      </c>
      <c r="I311">
        <v>8</v>
      </c>
      <c r="J311" t="s">
        <v>32</v>
      </c>
      <c r="K311">
        <v>1</v>
      </c>
      <c r="L311">
        <v>7</v>
      </c>
      <c r="M311" s="11">
        <v>19797.16</v>
      </c>
      <c r="N311" s="12">
        <v>6308.76</v>
      </c>
      <c r="O311" s="12">
        <v>13714.69</v>
      </c>
    </row>
    <row r="312" spans="1:15">
      <c r="A312" t="s">
        <v>465</v>
      </c>
      <c r="B312" t="s">
        <v>163</v>
      </c>
      <c r="C312" s="9">
        <v>41274</v>
      </c>
      <c r="D312">
        <v>13</v>
      </c>
      <c r="E312" t="s">
        <v>17</v>
      </c>
      <c r="F312" t="s">
        <v>5184</v>
      </c>
      <c r="G312" s="9">
        <v>45100</v>
      </c>
      <c r="H312" s="9">
        <v>45214</v>
      </c>
      <c r="I312">
        <v>14</v>
      </c>
      <c r="J312" t="s">
        <v>26</v>
      </c>
      <c r="K312">
        <v>14</v>
      </c>
      <c r="L312">
        <v>4</v>
      </c>
      <c r="M312" s="11">
        <v>28558.71</v>
      </c>
      <c r="N312" s="12">
        <v>7737.18</v>
      </c>
      <c r="O312" s="12">
        <v>12077.61</v>
      </c>
    </row>
    <row r="313" spans="1:15">
      <c r="A313" t="s">
        <v>466</v>
      </c>
      <c r="B313" t="s">
        <v>37</v>
      </c>
      <c r="C313" s="9">
        <v>38717</v>
      </c>
      <c r="D313">
        <v>20</v>
      </c>
      <c r="E313" t="s">
        <v>17</v>
      </c>
      <c r="F313" t="s">
        <v>74</v>
      </c>
      <c r="G313" s="9">
        <v>45093</v>
      </c>
      <c r="H313" s="9">
        <v>45311</v>
      </c>
      <c r="I313">
        <v>3</v>
      </c>
      <c r="J313" t="s">
        <v>32</v>
      </c>
      <c r="K313">
        <v>5</v>
      </c>
      <c r="L313">
        <v>8</v>
      </c>
      <c r="M313" s="11">
        <v>26844.959999999999</v>
      </c>
      <c r="N313" s="12">
        <v>6273.38</v>
      </c>
      <c r="O313" s="12">
        <v>13994.05</v>
      </c>
    </row>
    <row r="314" spans="1:15">
      <c r="A314" t="s">
        <v>467</v>
      </c>
      <c r="B314" t="s">
        <v>63</v>
      </c>
      <c r="C314" s="9">
        <v>28856</v>
      </c>
      <c r="D314">
        <v>47</v>
      </c>
      <c r="E314" t="s">
        <v>17</v>
      </c>
      <c r="F314" t="s">
        <v>18</v>
      </c>
      <c r="G314" s="9">
        <v>45635</v>
      </c>
      <c r="H314" s="9">
        <v>45174</v>
      </c>
      <c r="I314">
        <v>18</v>
      </c>
      <c r="J314" t="s">
        <v>26</v>
      </c>
      <c r="K314">
        <v>1</v>
      </c>
      <c r="L314">
        <v>3</v>
      </c>
      <c r="M314" s="11">
        <v>13019.53</v>
      </c>
      <c r="N314" s="12">
        <v>12932.24</v>
      </c>
      <c r="O314" s="12">
        <v>12386.64</v>
      </c>
    </row>
    <row r="315" spans="1:15">
      <c r="A315" t="s">
        <v>468</v>
      </c>
      <c r="B315" t="s">
        <v>469</v>
      </c>
      <c r="C315" s="9">
        <v>39083</v>
      </c>
      <c r="D315">
        <v>19</v>
      </c>
      <c r="E315" t="s">
        <v>17</v>
      </c>
      <c r="F315" t="s">
        <v>74</v>
      </c>
      <c r="G315" s="9">
        <v>45644</v>
      </c>
      <c r="H315" s="9">
        <v>45018</v>
      </c>
      <c r="I315">
        <v>5</v>
      </c>
      <c r="J315" t="s">
        <v>32</v>
      </c>
      <c r="K315">
        <v>4</v>
      </c>
      <c r="L315">
        <v>7</v>
      </c>
      <c r="M315" s="11">
        <v>18946.240000000002</v>
      </c>
      <c r="N315" s="12">
        <v>11933.54</v>
      </c>
      <c r="O315" s="12">
        <v>11207.2</v>
      </c>
    </row>
    <row r="316" spans="1:15">
      <c r="A316" t="s">
        <v>470</v>
      </c>
      <c r="B316" t="s">
        <v>244</v>
      </c>
      <c r="C316" s="9">
        <v>43466</v>
      </c>
      <c r="D316">
        <v>7</v>
      </c>
      <c r="E316" t="s">
        <v>21</v>
      </c>
      <c r="F316" t="s">
        <v>22</v>
      </c>
      <c r="G316" s="9">
        <v>45520</v>
      </c>
      <c r="H316" s="9">
        <v>45753</v>
      </c>
      <c r="I316">
        <v>12</v>
      </c>
      <c r="J316" t="s">
        <v>26</v>
      </c>
      <c r="K316">
        <v>14</v>
      </c>
      <c r="L316">
        <v>6</v>
      </c>
      <c r="M316" s="11">
        <v>15637.44</v>
      </c>
      <c r="N316" s="12">
        <v>4647.95</v>
      </c>
      <c r="O316" s="12">
        <v>18517.990000000002</v>
      </c>
    </row>
    <row r="317" spans="1:15">
      <c r="A317" t="s">
        <v>471</v>
      </c>
      <c r="B317" t="s">
        <v>367</v>
      </c>
      <c r="C317" s="9">
        <v>43831</v>
      </c>
      <c r="D317">
        <v>6</v>
      </c>
      <c r="E317" t="s">
        <v>21</v>
      </c>
      <c r="F317" t="s">
        <v>22</v>
      </c>
      <c r="G317" s="9">
        <v>45506</v>
      </c>
      <c r="H317" s="9">
        <v>45239</v>
      </c>
      <c r="I317">
        <v>29</v>
      </c>
      <c r="J317" t="s">
        <v>32</v>
      </c>
      <c r="K317">
        <v>14</v>
      </c>
      <c r="L317">
        <v>7</v>
      </c>
      <c r="M317" s="11">
        <v>10073</v>
      </c>
      <c r="N317" s="12">
        <v>7672.8</v>
      </c>
      <c r="O317" s="12">
        <v>6908.02</v>
      </c>
    </row>
    <row r="318" spans="1:15">
      <c r="A318" t="s">
        <v>472</v>
      </c>
      <c r="B318" t="s">
        <v>229</v>
      </c>
      <c r="C318" s="9">
        <v>21916</v>
      </c>
      <c r="D318">
        <v>66</v>
      </c>
      <c r="E318" t="s">
        <v>21</v>
      </c>
      <c r="F318" t="s">
        <v>22</v>
      </c>
      <c r="G318" s="9">
        <v>45023</v>
      </c>
      <c r="H318" s="9">
        <v>45364</v>
      </c>
      <c r="I318">
        <v>7</v>
      </c>
      <c r="J318" t="s">
        <v>32</v>
      </c>
      <c r="K318">
        <v>8</v>
      </c>
      <c r="L318">
        <v>4</v>
      </c>
      <c r="M318" s="11">
        <v>3904.87</v>
      </c>
      <c r="N318" s="12">
        <v>6465.45</v>
      </c>
      <c r="O318" s="12">
        <v>3612.22</v>
      </c>
    </row>
    <row r="319" spans="1:15">
      <c r="A319" t="s">
        <v>473</v>
      </c>
      <c r="B319" t="s">
        <v>135</v>
      </c>
      <c r="C319" s="9">
        <v>40178</v>
      </c>
      <c r="D319">
        <v>16</v>
      </c>
      <c r="E319" t="s">
        <v>21</v>
      </c>
      <c r="F319" t="s">
        <v>25</v>
      </c>
      <c r="G319" s="9">
        <v>45605</v>
      </c>
      <c r="H319" s="9">
        <v>45653</v>
      </c>
      <c r="I319">
        <v>25</v>
      </c>
      <c r="J319" t="s">
        <v>32</v>
      </c>
      <c r="K319">
        <v>6</v>
      </c>
      <c r="L319">
        <v>1</v>
      </c>
      <c r="M319" s="11">
        <v>24003.52</v>
      </c>
      <c r="N319" s="12">
        <v>841.05</v>
      </c>
      <c r="O319" s="12">
        <v>15887.66</v>
      </c>
    </row>
    <row r="320" spans="1:15">
      <c r="A320" t="s">
        <v>474</v>
      </c>
      <c r="B320" t="s">
        <v>356</v>
      </c>
      <c r="C320" s="9">
        <v>34334</v>
      </c>
      <c r="D320">
        <v>32</v>
      </c>
      <c r="E320" t="s">
        <v>5185</v>
      </c>
      <c r="F320" t="s">
        <v>18</v>
      </c>
      <c r="G320" s="9">
        <v>45330</v>
      </c>
      <c r="H320" s="9">
        <v>44970</v>
      </c>
      <c r="I320">
        <v>12</v>
      </c>
      <c r="J320" t="s">
        <v>32</v>
      </c>
      <c r="K320">
        <v>4</v>
      </c>
      <c r="L320">
        <v>6</v>
      </c>
      <c r="M320" s="11">
        <v>2258.4699999999998</v>
      </c>
      <c r="N320" s="12">
        <v>11222.2</v>
      </c>
      <c r="O320" s="12">
        <v>2506.8000000000002</v>
      </c>
    </row>
    <row r="321" spans="1:15">
      <c r="A321" t="s">
        <v>475</v>
      </c>
      <c r="B321" t="s">
        <v>16</v>
      </c>
      <c r="C321" s="9">
        <v>28856</v>
      </c>
      <c r="D321">
        <v>47</v>
      </c>
      <c r="E321" t="s">
        <v>21</v>
      </c>
      <c r="F321" t="s">
        <v>22</v>
      </c>
      <c r="G321" s="9">
        <v>45003</v>
      </c>
      <c r="H321" s="9">
        <v>45001</v>
      </c>
      <c r="I321">
        <v>9</v>
      </c>
      <c r="J321" t="s">
        <v>35</v>
      </c>
      <c r="K321">
        <v>12</v>
      </c>
      <c r="L321">
        <v>2</v>
      </c>
      <c r="M321" s="11">
        <v>18093.64</v>
      </c>
      <c r="N321" s="12">
        <v>2725</v>
      </c>
      <c r="O321" s="12">
        <v>13562.42</v>
      </c>
    </row>
    <row r="322" spans="1:15">
      <c r="A322" t="s">
        <v>476</v>
      </c>
      <c r="B322" t="s">
        <v>289</v>
      </c>
      <c r="C322" s="9">
        <v>18629</v>
      </c>
      <c r="D322">
        <v>75</v>
      </c>
      <c r="E322" t="s">
        <v>21</v>
      </c>
      <c r="F322" t="s">
        <v>25</v>
      </c>
      <c r="G322" s="9">
        <v>45163</v>
      </c>
      <c r="H322" s="9">
        <v>45681</v>
      </c>
      <c r="I322">
        <v>15</v>
      </c>
      <c r="J322" t="s">
        <v>32</v>
      </c>
      <c r="K322">
        <v>5</v>
      </c>
      <c r="L322">
        <v>9</v>
      </c>
      <c r="M322" s="11">
        <v>17628.259999999998</v>
      </c>
      <c r="N322" s="12">
        <v>14012.13</v>
      </c>
      <c r="O322" s="12">
        <v>10946.16</v>
      </c>
    </row>
    <row r="323" spans="1:15">
      <c r="A323" t="s">
        <v>477</v>
      </c>
      <c r="B323" t="s">
        <v>67</v>
      </c>
      <c r="C323" s="9">
        <v>24838</v>
      </c>
      <c r="D323">
        <v>58</v>
      </c>
      <c r="E323" t="s">
        <v>17</v>
      </c>
      <c r="F323" t="s">
        <v>22</v>
      </c>
      <c r="G323" s="9">
        <v>45634</v>
      </c>
      <c r="H323" s="9">
        <v>45488</v>
      </c>
      <c r="I323">
        <v>34</v>
      </c>
      <c r="J323" t="s">
        <v>32</v>
      </c>
      <c r="K323">
        <v>9</v>
      </c>
      <c r="L323">
        <v>9</v>
      </c>
      <c r="M323" s="11">
        <v>9712.14</v>
      </c>
      <c r="N323" s="12">
        <v>5966.68</v>
      </c>
      <c r="O323" s="12">
        <v>74.2</v>
      </c>
    </row>
    <row r="324" spans="1:15">
      <c r="A324" t="s">
        <v>478</v>
      </c>
      <c r="B324" t="s">
        <v>479</v>
      </c>
      <c r="C324" s="9">
        <v>14976</v>
      </c>
      <c r="D324">
        <v>85</v>
      </c>
      <c r="E324" t="s">
        <v>17</v>
      </c>
      <c r="F324" t="s">
        <v>29</v>
      </c>
      <c r="G324" s="9">
        <v>45217</v>
      </c>
      <c r="H324" s="9">
        <v>45807</v>
      </c>
      <c r="I324">
        <v>21</v>
      </c>
      <c r="J324" t="s">
        <v>35</v>
      </c>
      <c r="K324">
        <v>13</v>
      </c>
      <c r="L324">
        <v>9</v>
      </c>
      <c r="M324" s="11">
        <v>3629.96</v>
      </c>
      <c r="N324" s="12">
        <v>9333.8700000000008</v>
      </c>
      <c r="O324" s="12">
        <v>4721.2299999999996</v>
      </c>
    </row>
    <row r="325" spans="1:15">
      <c r="A325" t="s">
        <v>480</v>
      </c>
      <c r="B325" t="s">
        <v>84</v>
      </c>
      <c r="C325" s="9">
        <v>38352</v>
      </c>
      <c r="D325">
        <v>21</v>
      </c>
      <c r="E325" t="s">
        <v>21</v>
      </c>
      <c r="F325" t="s">
        <v>18</v>
      </c>
      <c r="G325" s="9">
        <v>45062</v>
      </c>
      <c r="H325" s="9">
        <v>45803</v>
      </c>
      <c r="I325">
        <v>34</v>
      </c>
      <c r="J325" t="s">
        <v>26</v>
      </c>
      <c r="K325">
        <v>4</v>
      </c>
      <c r="L325">
        <v>9</v>
      </c>
      <c r="M325" s="11">
        <v>23888.93</v>
      </c>
      <c r="N325" s="12">
        <v>12274.49</v>
      </c>
      <c r="O325" s="12">
        <v>9867.67</v>
      </c>
    </row>
    <row r="326" spans="1:15">
      <c r="A326" t="s">
        <v>481</v>
      </c>
      <c r="B326" t="s">
        <v>237</v>
      </c>
      <c r="C326" s="9">
        <f>DATE(2026-D286,1,1)</f>
        <v>17168</v>
      </c>
      <c r="D326">
        <v>29</v>
      </c>
      <c r="E326" t="s">
        <v>17</v>
      </c>
      <c r="F326" t="s">
        <v>25</v>
      </c>
      <c r="G326" s="9">
        <v>45293</v>
      </c>
      <c r="H326" s="9">
        <v>45243</v>
      </c>
      <c r="I326">
        <v>26</v>
      </c>
      <c r="J326" t="s">
        <v>35</v>
      </c>
      <c r="K326">
        <v>5</v>
      </c>
      <c r="L326">
        <v>1</v>
      </c>
      <c r="M326" s="11">
        <v>13588.69</v>
      </c>
      <c r="N326" s="12">
        <v>2704.45</v>
      </c>
      <c r="O326" s="12">
        <v>6527.27</v>
      </c>
    </row>
    <row r="327" spans="1:15">
      <c r="A327" t="s">
        <v>482</v>
      </c>
      <c r="B327" t="s">
        <v>159</v>
      </c>
      <c r="C327" s="9">
        <v>32508</v>
      </c>
      <c r="D327">
        <v>37</v>
      </c>
      <c r="E327" t="s">
        <v>17</v>
      </c>
      <c r="F327" t="s">
        <v>22</v>
      </c>
      <c r="G327" s="9">
        <v>45474</v>
      </c>
      <c r="H327" s="9">
        <v>45661</v>
      </c>
      <c r="I327">
        <v>7</v>
      </c>
      <c r="J327" t="s">
        <v>32</v>
      </c>
      <c r="K327">
        <v>3</v>
      </c>
      <c r="L327">
        <v>2</v>
      </c>
      <c r="M327" s="11">
        <v>21620.82</v>
      </c>
      <c r="N327" s="12">
        <v>8117.05</v>
      </c>
      <c r="O327" s="12">
        <v>8480.52</v>
      </c>
    </row>
    <row r="328" spans="1:15">
      <c r="A328" t="s">
        <v>483</v>
      </c>
      <c r="B328" t="s">
        <v>59</v>
      </c>
      <c r="C328" s="9">
        <v>27760</v>
      </c>
      <c r="D328">
        <v>50</v>
      </c>
      <c r="E328" t="s">
        <v>21</v>
      </c>
      <c r="F328" t="s">
        <v>5184</v>
      </c>
      <c r="G328" s="9">
        <v>45174</v>
      </c>
      <c r="H328" s="9">
        <v>45789</v>
      </c>
      <c r="I328">
        <v>11</v>
      </c>
      <c r="J328" t="s">
        <v>35</v>
      </c>
      <c r="K328">
        <v>7</v>
      </c>
      <c r="L328">
        <v>3</v>
      </c>
      <c r="M328" s="11">
        <v>2.82</v>
      </c>
      <c r="N328" s="12">
        <v>3561.3</v>
      </c>
      <c r="O328" s="12">
        <v>11985.53</v>
      </c>
    </row>
    <row r="329" spans="1:15">
      <c r="A329" t="s">
        <v>484</v>
      </c>
      <c r="B329" t="s">
        <v>155</v>
      </c>
      <c r="C329" s="9">
        <v>26664</v>
      </c>
      <c r="D329">
        <v>53</v>
      </c>
      <c r="E329" t="s">
        <v>21</v>
      </c>
      <c r="F329" t="s">
        <v>25</v>
      </c>
      <c r="G329" s="9">
        <v>45140</v>
      </c>
      <c r="H329" s="9">
        <v>45071</v>
      </c>
      <c r="I329">
        <v>13</v>
      </c>
      <c r="J329" t="s">
        <v>26</v>
      </c>
      <c r="K329">
        <v>1</v>
      </c>
      <c r="L329">
        <v>9</v>
      </c>
      <c r="M329" s="11">
        <v>1772.35</v>
      </c>
      <c r="N329" s="12">
        <v>7645.06</v>
      </c>
      <c r="O329" s="12">
        <v>14589.59</v>
      </c>
    </row>
    <row r="330" spans="1:15">
      <c r="A330" t="s">
        <v>485</v>
      </c>
      <c r="B330" t="s">
        <v>348</v>
      </c>
      <c r="C330" s="9">
        <v>43466</v>
      </c>
      <c r="D330">
        <v>7</v>
      </c>
      <c r="E330" t="s">
        <v>17</v>
      </c>
      <c r="F330" t="s">
        <v>22</v>
      </c>
      <c r="G330" s="9">
        <v>44996</v>
      </c>
      <c r="H330" s="9">
        <v>45256</v>
      </c>
      <c r="I330">
        <v>34</v>
      </c>
      <c r="J330" t="s">
        <v>35</v>
      </c>
      <c r="K330">
        <v>4</v>
      </c>
      <c r="L330">
        <v>6</v>
      </c>
      <c r="M330" s="11">
        <v>4863.3500000000004</v>
      </c>
      <c r="N330" s="12">
        <v>8691.5400000000009</v>
      </c>
      <c r="O330" s="12">
        <v>2939.27</v>
      </c>
    </row>
    <row r="331" spans="1:15">
      <c r="A331" t="s">
        <v>486</v>
      </c>
      <c r="B331" t="s">
        <v>487</v>
      </c>
      <c r="C331" s="9">
        <v>36526</v>
      </c>
      <c r="D331">
        <v>26</v>
      </c>
      <c r="E331" t="s">
        <v>17</v>
      </c>
      <c r="F331" t="s">
        <v>29</v>
      </c>
      <c r="G331" s="9">
        <v>45255</v>
      </c>
      <c r="H331" s="9">
        <v>45136</v>
      </c>
      <c r="I331">
        <v>8</v>
      </c>
      <c r="J331" t="s">
        <v>32</v>
      </c>
      <c r="K331">
        <v>7</v>
      </c>
      <c r="L331">
        <v>9</v>
      </c>
      <c r="M331" s="11">
        <v>2972.06</v>
      </c>
      <c r="N331" s="12">
        <v>2537.12</v>
      </c>
      <c r="O331" s="12">
        <v>5586.54</v>
      </c>
    </row>
    <row r="332" spans="1:15">
      <c r="A332" t="s">
        <v>488</v>
      </c>
      <c r="B332" t="s">
        <v>172</v>
      </c>
      <c r="C332" s="9">
        <v>36526</v>
      </c>
      <c r="D332">
        <v>26</v>
      </c>
      <c r="E332" t="s">
        <v>17</v>
      </c>
      <c r="F332" t="s">
        <v>74</v>
      </c>
      <c r="G332" s="9">
        <v>44942</v>
      </c>
      <c r="H332" s="9">
        <v>45026</v>
      </c>
      <c r="I332">
        <v>23</v>
      </c>
      <c r="J332" t="s">
        <v>32</v>
      </c>
      <c r="K332">
        <v>13</v>
      </c>
      <c r="L332">
        <v>0</v>
      </c>
      <c r="M332" s="11">
        <v>5347.06</v>
      </c>
      <c r="N332" s="12">
        <v>8712.2800000000007</v>
      </c>
      <c r="O332" s="12">
        <v>12693.46</v>
      </c>
    </row>
    <row r="333" spans="1:15">
      <c r="A333" t="s">
        <v>489</v>
      </c>
      <c r="B333" t="s">
        <v>490</v>
      </c>
      <c r="C333" s="9">
        <v>38717</v>
      </c>
      <c r="D333">
        <v>20</v>
      </c>
      <c r="E333" t="s">
        <v>21</v>
      </c>
      <c r="F333" t="s">
        <v>22</v>
      </c>
      <c r="G333" s="9">
        <v>45413</v>
      </c>
      <c r="H333" s="9">
        <v>45627</v>
      </c>
      <c r="I333">
        <v>37</v>
      </c>
      <c r="J333" t="s">
        <v>32</v>
      </c>
      <c r="K333">
        <v>1</v>
      </c>
      <c r="L333">
        <v>5</v>
      </c>
      <c r="M333" s="11">
        <v>20437.89</v>
      </c>
      <c r="N333" s="12">
        <v>6823.62</v>
      </c>
      <c r="O333" s="12">
        <v>11727.66</v>
      </c>
    </row>
    <row r="334" spans="1:15">
      <c r="A334" t="s">
        <v>491</v>
      </c>
      <c r="B334" t="s">
        <v>153</v>
      </c>
      <c r="C334" s="9">
        <v>35430</v>
      </c>
      <c r="D334">
        <v>29</v>
      </c>
      <c r="E334" t="s">
        <v>21</v>
      </c>
      <c r="F334" t="s">
        <v>74</v>
      </c>
      <c r="G334" s="9">
        <v>45100</v>
      </c>
      <c r="H334" s="9">
        <v>45041</v>
      </c>
      <c r="I334">
        <v>16</v>
      </c>
      <c r="J334" t="s">
        <v>26</v>
      </c>
      <c r="K334">
        <v>3</v>
      </c>
      <c r="L334">
        <v>5</v>
      </c>
      <c r="M334" s="11">
        <v>933.41</v>
      </c>
      <c r="N334" s="12">
        <v>7829.99</v>
      </c>
      <c r="O334" s="12">
        <v>14710.65</v>
      </c>
    </row>
    <row r="335" spans="1:15">
      <c r="A335" t="s">
        <v>492</v>
      </c>
      <c r="B335" t="s">
        <v>155</v>
      </c>
      <c r="C335" s="9">
        <v>36161</v>
      </c>
      <c r="D335">
        <v>27</v>
      </c>
      <c r="E335" t="s">
        <v>17</v>
      </c>
      <c r="F335" t="s">
        <v>18</v>
      </c>
      <c r="G335" s="9">
        <v>45625</v>
      </c>
      <c r="H335" s="9">
        <v>45102</v>
      </c>
      <c r="I335">
        <v>15</v>
      </c>
      <c r="J335" t="s">
        <v>26</v>
      </c>
      <c r="K335">
        <v>11</v>
      </c>
      <c r="L335">
        <v>7</v>
      </c>
      <c r="M335" s="11">
        <v>654.9</v>
      </c>
      <c r="N335" s="12">
        <v>13574.51</v>
      </c>
      <c r="O335" s="12">
        <v>12774.25</v>
      </c>
    </row>
    <row r="336" spans="1:15">
      <c r="A336" t="s">
        <v>493</v>
      </c>
      <c r="B336" t="s">
        <v>286</v>
      </c>
      <c r="C336" s="9">
        <v>23012</v>
      </c>
      <c r="D336">
        <v>63</v>
      </c>
      <c r="E336" t="s">
        <v>21</v>
      </c>
      <c r="F336" t="s">
        <v>29</v>
      </c>
      <c r="G336" s="9">
        <v>45200</v>
      </c>
      <c r="H336" s="9">
        <v>45198</v>
      </c>
      <c r="I336">
        <v>27</v>
      </c>
      <c r="J336" t="s">
        <v>35</v>
      </c>
      <c r="K336">
        <v>2</v>
      </c>
      <c r="L336">
        <v>1</v>
      </c>
      <c r="M336" s="11">
        <v>465.39</v>
      </c>
      <c r="N336" s="12">
        <v>7257.05</v>
      </c>
      <c r="O336" s="12">
        <v>6536.03</v>
      </c>
    </row>
    <row r="337" spans="1:15">
      <c r="A337" t="s">
        <v>494</v>
      </c>
      <c r="B337" t="s">
        <v>275</v>
      </c>
      <c r="C337" s="9">
        <v>21185</v>
      </c>
      <c r="D337">
        <v>68</v>
      </c>
      <c r="E337" t="s">
        <v>21</v>
      </c>
      <c r="F337" t="s">
        <v>5184</v>
      </c>
      <c r="G337" s="9">
        <v>45450</v>
      </c>
      <c r="H337" s="9">
        <v>44990</v>
      </c>
      <c r="I337">
        <v>29</v>
      </c>
      <c r="J337" t="s">
        <v>26</v>
      </c>
      <c r="K337">
        <v>7</v>
      </c>
      <c r="L337">
        <v>1</v>
      </c>
      <c r="M337" s="11">
        <v>20778.3</v>
      </c>
      <c r="N337" s="12">
        <v>7142.23</v>
      </c>
      <c r="O337" s="12">
        <v>9934.64</v>
      </c>
    </row>
    <row r="338" spans="1:15">
      <c r="A338" t="s">
        <v>495</v>
      </c>
      <c r="B338" t="s">
        <v>105</v>
      </c>
      <c r="C338" s="9">
        <v>24107</v>
      </c>
      <c r="D338">
        <v>60</v>
      </c>
      <c r="E338" t="s">
        <v>17</v>
      </c>
      <c r="F338" t="s">
        <v>18</v>
      </c>
      <c r="G338" s="9">
        <v>45145</v>
      </c>
      <c r="H338" s="9">
        <v>45723</v>
      </c>
      <c r="I338">
        <v>20</v>
      </c>
      <c r="J338" t="s">
        <v>32</v>
      </c>
      <c r="K338">
        <v>9</v>
      </c>
      <c r="L338">
        <v>0</v>
      </c>
      <c r="M338" s="11">
        <v>0</v>
      </c>
      <c r="N338" s="12">
        <v>7055.98</v>
      </c>
      <c r="O338" s="12">
        <v>17683.310000000001</v>
      </c>
    </row>
    <row r="339" spans="1:15">
      <c r="A339" t="s">
        <v>496</v>
      </c>
      <c r="B339" t="s">
        <v>341</v>
      </c>
      <c r="C339" s="9">
        <v>28856</v>
      </c>
      <c r="D339">
        <v>47</v>
      </c>
      <c r="E339" t="s">
        <v>21</v>
      </c>
      <c r="F339" t="s">
        <v>5184</v>
      </c>
      <c r="G339" s="9">
        <v>45439</v>
      </c>
      <c r="H339" s="9">
        <v>45331</v>
      </c>
      <c r="I339">
        <v>9</v>
      </c>
      <c r="J339" t="s">
        <v>35</v>
      </c>
      <c r="K339">
        <v>11</v>
      </c>
      <c r="L339">
        <v>2</v>
      </c>
      <c r="M339" s="11">
        <v>10792.39</v>
      </c>
      <c r="N339" s="12">
        <v>9346.58</v>
      </c>
      <c r="O339" s="12">
        <v>3640.4</v>
      </c>
    </row>
    <row r="340" spans="1:15">
      <c r="A340" t="s">
        <v>497</v>
      </c>
      <c r="B340" t="s">
        <v>139</v>
      </c>
      <c r="C340" s="9">
        <v>39448</v>
      </c>
      <c r="D340">
        <v>18</v>
      </c>
      <c r="E340" t="s">
        <v>17</v>
      </c>
      <c r="F340" t="s">
        <v>74</v>
      </c>
      <c r="G340" s="9">
        <v>45325</v>
      </c>
      <c r="H340" s="9">
        <v>45152</v>
      </c>
      <c r="I340">
        <v>10</v>
      </c>
      <c r="J340" t="s">
        <v>32</v>
      </c>
      <c r="K340">
        <v>9</v>
      </c>
      <c r="L340">
        <v>6</v>
      </c>
      <c r="M340" s="11">
        <v>20106.04</v>
      </c>
      <c r="N340" s="12">
        <v>5512.76</v>
      </c>
      <c r="O340" s="12">
        <v>7472.57</v>
      </c>
    </row>
    <row r="341" spans="1:15">
      <c r="A341" t="s">
        <v>498</v>
      </c>
      <c r="B341" t="s">
        <v>446</v>
      </c>
      <c r="C341" s="9">
        <v>44927</v>
      </c>
      <c r="D341">
        <v>3</v>
      </c>
      <c r="E341" t="s">
        <v>17</v>
      </c>
      <c r="F341" t="s">
        <v>29</v>
      </c>
      <c r="G341" s="9">
        <v>45037</v>
      </c>
      <c r="H341" s="9">
        <v>45088</v>
      </c>
      <c r="I341">
        <v>18</v>
      </c>
      <c r="J341" t="s">
        <v>35</v>
      </c>
      <c r="K341">
        <v>1</v>
      </c>
      <c r="L341">
        <v>7</v>
      </c>
      <c r="M341" s="11">
        <v>16384.93</v>
      </c>
      <c r="N341" s="12">
        <v>12020.4</v>
      </c>
      <c r="O341" s="12">
        <v>16818.75</v>
      </c>
    </row>
    <row r="342" spans="1:15">
      <c r="A342" t="s">
        <v>499</v>
      </c>
      <c r="B342" t="s">
        <v>172</v>
      </c>
      <c r="C342" s="9">
        <v>33604</v>
      </c>
      <c r="D342">
        <v>34</v>
      </c>
      <c r="E342" t="s">
        <v>21</v>
      </c>
      <c r="F342" t="s">
        <v>49</v>
      </c>
      <c r="G342" s="9">
        <v>45390</v>
      </c>
      <c r="H342" s="9">
        <v>44963</v>
      </c>
      <c r="I342">
        <v>18</v>
      </c>
      <c r="J342" t="s">
        <v>35</v>
      </c>
      <c r="K342">
        <v>11</v>
      </c>
      <c r="L342">
        <v>6</v>
      </c>
      <c r="M342" s="11">
        <v>276.29000000000002</v>
      </c>
      <c r="N342" s="12">
        <v>4290.75</v>
      </c>
      <c r="O342" s="12">
        <v>7220.3</v>
      </c>
    </row>
    <row r="343" spans="1:15">
      <c r="A343" t="s">
        <v>500</v>
      </c>
      <c r="B343" t="s">
        <v>125</v>
      </c>
      <c r="C343" s="9">
        <v>23012</v>
      </c>
      <c r="D343">
        <v>63</v>
      </c>
      <c r="E343" t="s">
        <v>17</v>
      </c>
      <c r="F343" t="s">
        <v>29</v>
      </c>
      <c r="G343" s="9">
        <v>45567</v>
      </c>
      <c r="H343" s="9">
        <v>45308</v>
      </c>
      <c r="I343">
        <v>26</v>
      </c>
      <c r="J343" t="s">
        <v>32</v>
      </c>
      <c r="K343">
        <v>2</v>
      </c>
      <c r="L343">
        <v>8</v>
      </c>
      <c r="M343" s="11">
        <v>25075.77</v>
      </c>
      <c r="N343" s="12">
        <v>4493.1899999999996</v>
      </c>
      <c r="O343" s="12">
        <v>8185.73</v>
      </c>
    </row>
    <row r="344" spans="1:15">
      <c r="A344" t="s">
        <v>501</v>
      </c>
      <c r="B344" t="s">
        <v>502</v>
      </c>
      <c r="C344" s="9">
        <v>28490</v>
      </c>
      <c r="D344">
        <v>48</v>
      </c>
      <c r="E344" t="s">
        <v>21</v>
      </c>
      <c r="F344" t="s">
        <v>29</v>
      </c>
      <c r="G344" s="9">
        <v>45019</v>
      </c>
      <c r="H344" s="9">
        <v>45580</v>
      </c>
      <c r="I344">
        <v>26</v>
      </c>
      <c r="J344" t="s">
        <v>35</v>
      </c>
      <c r="K344">
        <v>1</v>
      </c>
      <c r="L344">
        <v>7</v>
      </c>
      <c r="M344" s="11">
        <v>10180.620000000001</v>
      </c>
      <c r="N344" s="12">
        <v>8831.25</v>
      </c>
      <c r="O344" s="12">
        <v>6316.38</v>
      </c>
    </row>
    <row r="345" spans="1:15">
      <c r="A345" t="s">
        <v>503</v>
      </c>
      <c r="B345" t="s">
        <v>105</v>
      </c>
      <c r="C345" s="9">
        <v>40178</v>
      </c>
      <c r="D345">
        <v>16</v>
      </c>
      <c r="E345" t="s">
        <v>17</v>
      </c>
      <c r="F345" t="s">
        <v>5184</v>
      </c>
      <c r="G345" s="9">
        <v>45377</v>
      </c>
      <c r="H345" s="9">
        <v>45245</v>
      </c>
      <c r="I345">
        <v>24</v>
      </c>
      <c r="J345" t="s">
        <v>26</v>
      </c>
      <c r="K345">
        <v>1</v>
      </c>
      <c r="L345">
        <v>7</v>
      </c>
      <c r="M345" s="11">
        <v>11686.62</v>
      </c>
      <c r="N345" s="12">
        <v>3898.34</v>
      </c>
      <c r="O345" s="12">
        <v>17980.46</v>
      </c>
    </row>
    <row r="346" spans="1:15">
      <c r="A346" t="s">
        <v>504</v>
      </c>
      <c r="B346" t="s">
        <v>309</v>
      </c>
      <c r="C346" s="9">
        <v>30317</v>
      </c>
      <c r="D346">
        <v>43</v>
      </c>
      <c r="E346" t="s">
        <v>21</v>
      </c>
      <c r="F346" t="s">
        <v>49</v>
      </c>
      <c r="G346" s="9">
        <v>45322</v>
      </c>
      <c r="H346" s="9">
        <v>45635</v>
      </c>
      <c r="I346">
        <v>26</v>
      </c>
      <c r="J346" t="s">
        <v>35</v>
      </c>
      <c r="K346">
        <v>14</v>
      </c>
      <c r="L346">
        <v>1</v>
      </c>
      <c r="M346" s="11">
        <v>23359.84</v>
      </c>
      <c r="N346" s="12">
        <v>1349.19</v>
      </c>
      <c r="O346" s="12">
        <v>13233.16</v>
      </c>
    </row>
    <row r="347" spans="1:15">
      <c r="A347" t="s">
        <v>505</v>
      </c>
      <c r="B347" t="s">
        <v>59</v>
      </c>
      <c r="C347" s="9">
        <v>12785</v>
      </c>
      <c r="D347">
        <v>91</v>
      </c>
      <c r="E347" t="s">
        <v>21</v>
      </c>
      <c r="F347" t="s">
        <v>25</v>
      </c>
      <c r="G347" s="9">
        <v>45477</v>
      </c>
      <c r="H347" s="9">
        <v>45590</v>
      </c>
      <c r="I347">
        <v>12</v>
      </c>
      <c r="J347" t="s">
        <v>35</v>
      </c>
      <c r="K347">
        <v>2</v>
      </c>
      <c r="L347">
        <v>0</v>
      </c>
      <c r="M347" s="11">
        <v>5206.2700000000004</v>
      </c>
      <c r="N347" s="12">
        <v>3083.78</v>
      </c>
      <c r="O347" s="12">
        <v>4096.46</v>
      </c>
    </row>
    <row r="348" spans="1:15">
      <c r="A348" t="s">
        <v>506</v>
      </c>
      <c r="B348" t="s">
        <v>95</v>
      </c>
      <c r="C348" s="9">
        <v>35430</v>
      </c>
      <c r="D348">
        <v>29</v>
      </c>
      <c r="E348" t="s">
        <v>17</v>
      </c>
      <c r="F348" t="s">
        <v>25</v>
      </c>
      <c r="G348" s="9">
        <v>45405</v>
      </c>
      <c r="H348" s="9">
        <v>45383</v>
      </c>
      <c r="I348">
        <v>9</v>
      </c>
      <c r="J348" t="s">
        <v>35</v>
      </c>
      <c r="K348">
        <v>1</v>
      </c>
      <c r="L348">
        <v>5</v>
      </c>
      <c r="M348" s="11">
        <v>192.81</v>
      </c>
      <c r="N348" s="12">
        <v>13704.86</v>
      </c>
      <c r="O348" s="12">
        <v>14967.65</v>
      </c>
    </row>
    <row r="349" spans="1:15">
      <c r="A349" t="s">
        <v>507</v>
      </c>
      <c r="B349" t="s">
        <v>207</v>
      </c>
      <c r="C349" s="9">
        <v>12419</v>
      </c>
      <c r="D349">
        <v>92</v>
      </c>
      <c r="E349" t="s">
        <v>21</v>
      </c>
      <c r="F349" t="s">
        <v>25</v>
      </c>
      <c r="G349" s="9">
        <v>45242</v>
      </c>
      <c r="H349" s="9">
        <v>45196</v>
      </c>
      <c r="I349">
        <v>38</v>
      </c>
      <c r="J349" t="s">
        <v>32</v>
      </c>
      <c r="K349">
        <v>3</v>
      </c>
      <c r="L349">
        <v>6</v>
      </c>
      <c r="M349" s="11">
        <v>27219.57</v>
      </c>
      <c r="N349" s="12">
        <v>160.51</v>
      </c>
      <c r="O349" s="12">
        <v>674.16</v>
      </c>
    </row>
    <row r="350" spans="1:15">
      <c r="A350" t="s">
        <v>508</v>
      </c>
      <c r="B350" t="s">
        <v>479</v>
      </c>
      <c r="C350" s="9">
        <v>29586</v>
      </c>
      <c r="D350">
        <v>45</v>
      </c>
      <c r="E350" t="s">
        <v>17</v>
      </c>
      <c r="F350" t="s">
        <v>74</v>
      </c>
      <c r="G350" s="9">
        <v>45597</v>
      </c>
      <c r="H350" s="9">
        <v>45271</v>
      </c>
      <c r="I350">
        <v>16</v>
      </c>
      <c r="J350" t="s">
        <v>32</v>
      </c>
      <c r="K350">
        <v>4</v>
      </c>
      <c r="L350">
        <v>5</v>
      </c>
      <c r="M350" s="11">
        <v>14917.09</v>
      </c>
      <c r="N350" s="12">
        <v>2001.92</v>
      </c>
      <c r="O350" s="12">
        <v>7867.81</v>
      </c>
    </row>
    <row r="351" spans="1:15">
      <c r="A351" t="s">
        <v>509</v>
      </c>
      <c r="B351" t="s">
        <v>332</v>
      </c>
      <c r="C351" s="9">
        <v>44196</v>
      </c>
      <c r="D351">
        <v>5</v>
      </c>
      <c r="E351" t="s">
        <v>21</v>
      </c>
      <c r="F351" t="s">
        <v>29</v>
      </c>
      <c r="G351" s="9">
        <v>45624</v>
      </c>
      <c r="H351" s="9">
        <v>44967</v>
      </c>
      <c r="I351">
        <v>9</v>
      </c>
      <c r="J351" t="s">
        <v>26</v>
      </c>
      <c r="K351">
        <v>1</v>
      </c>
      <c r="L351">
        <v>6</v>
      </c>
      <c r="M351" s="11">
        <v>10160.58</v>
      </c>
      <c r="N351" s="12">
        <v>11370.59</v>
      </c>
      <c r="O351" s="12">
        <v>18186.37</v>
      </c>
    </row>
    <row r="352" spans="1:15">
      <c r="A352" t="s">
        <v>510</v>
      </c>
      <c r="B352" t="s">
        <v>194</v>
      </c>
      <c r="C352" s="9">
        <v>32873</v>
      </c>
      <c r="D352">
        <v>36</v>
      </c>
      <c r="E352" t="s">
        <v>21</v>
      </c>
      <c r="F352" t="s">
        <v>22</v>
      </c>
      <c r="G352" s="9">
        <v>45279</v>
      </c>
      <c r="H352" s="9">
        <v>45677</v>
      </c>
      <c r="I352">
        <v>20</v>
      </c>
      <c r="J352" t="s">
        <v>32</v>
      </c>
      <c r="K352">
        <v>8</v>
      </c>
      <c r="L352">
        <v>7</v>
      </c>
      <c r="M352" s="11">
        <v>24480.89</v>
      </c>
      <c r="N352" s="12">
        <v>14697.91</v>
      </c>
      <c r="O352" s="12">
        <v>13764.69</v>
      </c>
    </row>
    <row r="353" spans="1:15">
      <c r="A353" t="s">
        <v>511</v>
      </c>
      <c r="B353" t="s">
        <v>422</v>
      </c>
      <c r="C353" s="9">
        <v>37622</v>
      </c>
      <c r="D353">
        <v>23</v>
      </c>
      <c r="E353" t="s">
        <v>17</v>
      </c>
      <c r="F353" t="s">
        <v>49</v>
      </c>
      <c r="G353" s="9">
        <v>45165</v>
      </c>
      <c r="H353" s="9">
        <v>45341</v>
      </c>
      <c r="I353">
        <v>2</v>
      </c>
      <c r="J353" t="s">
        <v>32</v>
      </c>
      <c r="K353">
        <v>9</v>
      </c>
      <c r="L353">
        <v>1</v>
      </c>
      <c r="M353" s="11">
        <v>301.99</v>
      </c>
      <c r="N353" s="12">
        <v>10322.780000000001</v>
      </c>
      <c r="O353" s="12">
        <v>15841.22</v>
      </c>
    </row>
    <row r="354" spans="1:15">
      <c r="A354" t="s">
        <v>512</v>
      </c>
      <c r="B354" t="s">
        <v>422</v>
      </c>
      <c r="C354" s="9">
        <v>12419</v>
      </c>
      <c r="D354">
        <v>92</v>
      </c>
      <c r="E354" t="s">
        <v>21</v>
      </c>
      <c r="F354" t="s">
        <v>22</v>
      </c>
      <c r="G354" s="9">
        <v>45030</v>
      </c>
      <c r="H354" s="9">
        <v>45307</v>
      </c>
      <c r="I354">
        <v>23</v>
      </c>
      <c r="J354" t="s">
        <v>32</v>
      </c>
      <c r="K354">
        <v>11</v>
      </c>
      <c r="L354">
        <v>0</v>
      </c>
      <c r="M354" s="11">
        <v>5669.87</v>
      </c>
      <c r="N354" s="12">
        <v>13835.02</v>
      </c>
      <c r="O354" s="12">
        <v>18619.43</v>
      </c>
    </row>
    <row r="355" spans="1:15">
      <c r="A355" t="s">
        <v>513</v>
      </c>
      <c r="B355" t="s">
        <v>514</v>
      </c>
      <c r="C355" s="9">
        <v>29586</v>
      </c>
      <c r="D355">
        <v>45</v>
      </c>
      <c r="E355" t="s">
        <v>21</v>
      </c>
      <c r="F355" t="s">
        <v>74</v>
      </c>
      <c r="G355" s="9">
        <v>44955</v>
      </c>
      <c r="H355" s="9">
        <v>45149</v>
      </c>
      <c r="I355">
        <v>7</v>
      </c>
      <c r="J355" t="s">
        <v>26</v>
      </c>
      <c r="K355">
        <v>11</v>
      </c>
      <c r="L355">
        <v>9</v>
      </c>
      <c r="M355" s="11">
        <v>4236.29</v>
      </c>
      <c r="N355" s="12">
        <v>12828.54</v>
      </c>
      <c r="O355" s="12">
        <v>15468.49</v>
      </c>
    </row>
    <row r="356" spans="1:15">
      <c r="A356" t="s">
        <v>515</v>
      </c>
      <c r="B356" t="s">
        <v>69</v>
      </c>
      <c r="C356" s="9">
        <v>27029</v>
      </c>
      <c r="D356">
        <v>52</v>
      </c>
      <c r="E356" t="s">
        <v>17</v>
      </c>
      <c r="F356" t="s">
        <v>49</v>
      </c>
      <c r="G356" s="9">
        <v>45015</v>
      </c>
      <c r="H356" s="9">
        <v>45208</v>
      </c>
      <c r="I356">
        <v>19</v>
      </c>
      <c r="J356" t="s">
        <v>26</v>
      </c>
      <c r="K356">
        <v>8</v>
      </c>
      <c r="L356">
        <v>7</v>
      </c>
      <c r="M356" s="11">
        <v>22003.84</v>
      </c>
      <c r="N356" s="12">
        <v>7199.55</v>
      </c>
      <c r="O356" s="12">
        <v>1680.54</v>
      </c>
    </row>
    <row r="357" spans="1:15">
      <c r="A357" t="s">
        <v>516</v>
      </c>
      <c r="B357" t="s">
        <v>93</v>
      </c>
      <c r="C357" s="9">
        <v>11689</v>
      </c>
      <c r="D357">
        <v>94</v>
      </c>
      <c r="E357" t="s">
        <v>17</v>
      </c>
      <c r="F357" t="s">
        <v>22</v>
      </c>
      <c r="G357" s="9">
        <v>45301</v>
      </c>
      <c r="H357" s="9">
        <v>45152</v>
      </c>
      <c r="I357">
        <v>36</v>
      </c>
      <c r="J357" t="s">
        <v>32</v>
      </c>
      <c r="K357">
        <v>12</v>
      </c>
      <c r="L357">
        <v>7</v>
      </c>
      <c r="M357" s="11">
        <v>9018.65</v>
      </c>
      <c r="N357" s="12">
        <v>5002.8500000000004</v>
      </c>
      <c r="O357" s="12">
        <v>4535.91</v>
      </c>
    </row>
    <row r="358" spans="1:15">
      <c r="A358" t="s">
        <v>517</v>
      </c>
      <c r="B358" t="s">
        <v>163</v>
      </c>
      <c r="C358" s="9">
        <v>24473</v>
      </c>
      <c r="D358">
        <v>59</v>
      </c>
      <c r="E358" t="s">
        <v>17</v>
      </c>
      <c r="F358" t="s">
        <v>5184</v>
      </c>
      <c r="G358" s="9">
        <v>45323</v>
      </c>
      <c r="H358" s="9">
        <v>45384</v>
      </c>
      <c r="I358">
        <v>20</v>
      </c>
      <c r="J358" t="s">
        <v>35</v>
      </c>
      <c r="K358">
        <v>10</v>
      </c>
      <c r="L358">
        <v>7</v>
      </c>
      <c r="M358" s="11">
        <v>23073.66</v>
      </c>
      <c r="N358" s="12">
        <v>9483.57</v>
      </c>
      <c r="O358" s="12">
        <v>9949.8799999999992</v>
      </c>
    </row>
    <row r="359" spans="1:15">
      <c r="A359" t="s">
        <v>518</v>
      </c>
      <c r="B359" t="s">
        <v>57</v>
      </c>
      <c r="C359" s="9">
        <v>23377</v>
      </c>
      <c r="D359">
        <v>62</v>
      </c>
      <c r="E359" t="s">
        <v>5185</v>
      </c>
      <c r="F359" t="s">
        <v>74</v>
      </c>
      <c r="G359" s="9">
        <v>45489</v>
      </c>
      <c r="H359" s="9">
        <v>45081</v>
      </c>
      <c r="I359">
        <v>8</v>
      </c>
      <c r="J359" t="s">
        <v>35</v>
      </c>
      <c r="K359">
        <v>14</v>
      </c>
      <c r="L359">
        <v>9</v>
      </c>
      <c r="M359" s="11">
        <v>0</v>
      </c>
      <c r="N359" s="12">
        <v>8003.3</v>
      </c>
      <c r="O359" s="12">
        <v>178.54</v>
      </c>
    </row>
    <row r="360" spans="1:15">
      <c r="A360" t="s">
        <v>519</v>
      </c>
      <c r="B360" t="s">
        <v>427</v>
      </c>
      <c r="C360" s="9">
        <v>15341</v>
      </c>
      <c r="D360">
        <v>84</v>
      </c>
      <c r="E360" t="s">
        <v>21</v>
      </c>
      <c r="F360" t="s">
        <v>74</v>
      </c>
      <c r="G360" s="9">
        <v>45290</v>
      </c>
      <c r="H360" s="9">
        <v>45207</v>
      </c>
      <c r="I360">
        <v>25</v>
      </c>
      <c r="J360" t="s">
        <v>32</v>
      </c>
      <c r="K360">
        <v>11</v>
      </c>
      <c r="L360">
        <v>6</v>
      </c>
      <c r="M360" s="11">
        <v>18047.53</v>
      </c>
      <c r="N360" s="12">
        <v>387.44</v>
      </c>
      <c r="O360" s="12">
        <v>12454.41</v>
      </c>
    </row>
    <row r="361" spans="1:15">
      <c r="A361" t="s">
        <v>520</v>
      </c>
      <c r="B361" t="s">
        <v>514</v>
      </c>
      <c r="C361" s="9">
        <v>34700</v>
      </c>
      <c r="D361">
        <v>31</v>
      </c>
      <c r="E361" t="s">
        <v>17</v>
      </c>
      <c r="F361" t="s">
        <v>74</v>
      </c>
      <c r="G361" s="9">
        <v>45073</v>
      </c>
      <c r="H361" s="9">
        <v>45280</v>
      </c>
      <c r="I361">
        <v>28</v>
      </c>
      <c r="J361" t="s">
        <v>32</v>
      </c>
      <c r="K361">
        <v>13</v>
      </c>
      <c r="L361">
        <v>1</v>
      </c>
      <c r="M361" s="11">
        <v>9205.73</v>
      </c>
      <c r="N361" s="12">
        <v>14359.46</v>
      </c>
      <c r="O361" s="12">
        <v>13110.62</v>
      </c>
    </row>
    <row r="362" spans="1:15">
      <c r="A362" t="s">
        <v>521</v>
      </c>
      <c r="B362" t="s">
        <v>110</v>
      </c>
      <c r="C362" s="9">
        <v>14611</v>
      </c>
      <c r="D362">
        <v>86</v>
      </c>
      <c r="E362" t="s">
        <v>21</v>
      </c>
      <c r="F362" t="s">
        <v>49</v>
      </c>
      <c r="G362" s="9">
        <v>45240</v>
      </c>
      <c r="H362" s="9">
        <v>44966</v>
      </c>
      <c r="I362">
        <v>5</v>
      </c>
      <c r="J362" t="s">
        <v>32</v>
      </c>
      <c r="K362">
        <v>10</v>
      </c>
      <c r="L362">
        <v>3</v>
      </c>
      <c r="M362" s="11">
        <v>5201.0600000000004</v>
      </c>
      <c r="N362" s="12">
        <v>8553.7099999999991</v>
      </c>
      <c r="O362" s="12">
        <v>13898.61</v>
      </c>
    </row>
    <row r="363" spans="1:15">
      <c r="A363" t="s">
        <v>522</v>
      </c>
      <c r="B363" t="s">
        <v>24</v>
      </c>
      <c r="C363" s="9">
        <v>34334</v>
      </c>
      <c r="D363">
        <v>32</v>
      </c>
      <c r="E363" t="s">
        <v>17</v>
      </c>
      <c r="F363" t="s">
        <v>22</v>
      </c>
      <c r="G363" s="9">
        <v>45474</v>
      </c>
      <c r="H363" s="9">
        <v>45656</v>
      </c>
      <c r="I363">
        <v>36</v>
      </c>
      <c r="J363" t="s">
        <v>26</v>
      </c>
      <c r="K363">
        <v>2</v>
      </c>
      <c r="L363">
        <v>8</v>
      </c>
      <c r="M363" s="11">
        <v>24411.33</v>
      </c>
      <c r="N363" s="12">
        <v>13117.38</v>
      </c>
      <c r="O363" s="12">
        <v>11070.07</v>
      </c>
    </row>
    <row r="364" spans="1:15">
      <c r="A364" t="s">
        <v>523</v>
      </c>
      <c r="B364" t="s">
        <v>524</v>
      </c>
      <c r="C364" s="9">
        <v>21916</v>
      </c>
      <c r="D364">
        <v>66</v>
      </c>
      <c r="E364" t="s">
        <v>21</v>
      </c>
      <c r="F364" t="s">
        <v>22</v>
      </c>
      <c r="G364" s="9">
        <v>45378</v>
      </c>
      <c r="H364" s="9">
        <v>45683</v>
      </c>
      <c r="I364">
        <v>25</v>
      </c>
      <c r="J364" t="s">
        <v>35</v>
      </c>
      <c r="K364">
        <v>2</v>
      </c>
      <c r="L364">
        <v>7</v>
      </c>
      <c r="M364" s="11">
        <v>12073.63</v>
      </c>
      <c r="N364" s="12">
        <v>11019.45</v>
      </c>
      <c r="O364" s="12">
        <v>8992.82</v>
      </c>
    </row>
    <row r="365" spans="1:15">
      <c r="A365" t="s">
        <v>525</v>
      </c>
      <c r="B365" t="s">
        <v>20</v>
      </c>
      <c r="C365" s="9">
        <f>DATE(2026-D325,1,1)</f>
        <v>38353</v>
      </c>
      <c r="D365">
        <v>17</v>
      </c>
      <c r="E365" t="s">
        <v>5185</v>
      </c>
      <c r="F365" t="s">
        <v>18</v>
      </c>
      <c r="G365" s="9">
        <v>45432</v>
      </c>
      <c r="H365" s="9">
        <v>45548</v>
      </c>
      <c r="I365">
        <v>13</v>
      </c>
      <c r="J365" t="s">
        <v>32</v>
      </c>
      <c r="K365">
        <v>12</v>
      </c>
      <c r="L365">
        <v>3</v>
      </c>
      <c r="M365" s="11">
        <v>16934.7</v>
      </c>
      <c r="N365" s="12">
        <v>5112.49</v>
      </c>
      <c r="O365" s="12">
        <v>17096.52</v>
      </c>
    </row>
    <row r="366" spans="1:15">
      <c r="A366" t="s">
        <v>526</v>
      </c>
      <c r="B366" t="s">
        <v>89</v>
      </c>
      <c r="C366" s="9">
        <v>37256</v>
      </c>
      <c r="D366">
        <v>24</v>
      </c>
      <c r="E366" t="s">
        <v>17</v>
      </c>
      <c r="F366" t="s">
        <v>74</v>
      </c>
      <c r="G366" s="9">
        <v>45412</v>
      </c>
      <c r="H366" s="9">
        <v>45500</v>
      </c>
      <c r="I366">
        <v>28</v>
      </c>
      <c r="J366" t="s">
        <v>32</v>
      </c>
      <c r="K366">
        <v>1</v>
      </c>
      <c r="L366">
        <v>7</v>
      </c>
      <c r="M366" s="11">
        <v>509.06</v>
      </c>
      <c r="N366" s="12">
        <v>13517.37</v>
      </c>
      <c r="O366" s="12">
        <v>15323.39</v>
      </c>
    </row>
    <row r="367" spans="1:15">
      <c r="A367" t="s">
        <v>527</v>
      </c>
      <c r="B367" t="s">
        <v>108</v>
      </c>
      <c r="C367" s="9">
        <v>11689</v>
      </c>
      <c r="D367">
        <v>94</v>
      </c>
      <c r="E367" t="s">
        <v>17</v>
      </c>
      <c r="F367" t="s">
        <v>25</v>
      </c>
      <c r="G367" s="9">
        <v>45027</v>
      </c>
      <c r="H367" s="9">
        <v>45416</v>
      </c>
      <c r="I367">
        <v>38</v>
      </c>
      <c r="J367" t="s">
        <v>35</v>
      </c>
      <c r="K367">
        <v>0</v>
      </c>
      <c r="L367">
        <v>9</v>
      </c>
      <c r="M367" s="11">
        <v>23644.55</v>
      </c>
      <c r="N367" s="12">
        <v>11856.34</v>
      </c>
      <c r="O367" s="12">
        <v>12208.4</v>
      </c>
    </row>
    <row r="368" spans="1:15">
      <c r="A368" t="s">
        <v>528</v>
      </c>
      <c r="B368" t="s">
        <v>422</v>
      </c>
      <c r="C368" s="9">
        <v>26664</v>
      </c>
      <c r="D368">
        <v>53</v>
      </c>
      <c r="E368" t="s">
        <v>17</v>
      </c>
      <c r="F368" t="s">
        <v>29</v>
      </c>
      <c r="G368" s="9">
        <v>45033</v>
      </c>
      <c r="H368" s="9">
        <v>45125</v>
      </c>
      <c r="I368">
        <v>13</v>
      </c>
      <c r="J368" t="s">
        <v>35</v>
      </c>
      <c r="K368">
        <v>9</v>
      </c>
      <c r="L368">
        <v>5</v>
      </c>
      <c r="M368" s="11">
        <v>8249.92</v>
      </c>
      <c r="N368" s="12">
        <v>6446.87</v>
      </c>
      <c r="O368" s="12">
        <v>824.88</v>
      </c>
    </row>
    <row r="369" spans="1:15">
      <c r="A369" t="s">
        <v>529</v>
      </c>
      <c r="B369" t="s">
        <v>78</v>
      </c>
      <c r="C369" s="9">
        <v>25203</v>
      </c>
      <c r="D369">
        <v>57</v>
      </c>
      <c r="E369" t="s">
        <v>17</v>
      </c>
      <c r="F369" t="s">
        <v>5184</v>
      </c>
      <c r="G369" s="9">
        <v>45217</v>
      </c>
      <c r="H369" s="9">
        <v>45203</v>
      </c>
      <c r="I369">
        <v>2</v>
      </c>
      <c r="J369" t="s">
        <v>26</v>
      </c>
      <c r="K369">
        <v>8</v>
      </c>
      <c r="L369">
        <v>8</v>
      </c>
      <c r="M369" s="11">
        <v>20648.89</v>
      </c>
      <c r="N369" s="12">
        <v>12607.17</v>
      </c>
      <c r="O369" s="12">
        <v>13847.97</v>
      </c>
    </row>
    <row r="370" spans="1:15">
      <c r="A370" t="s">
        <v>530</v>
      </c>
      <c r="B370" t="s">
        <v>284</v>
      </c>
      <c r="C370" s="9">
        <v>21916</v>
      </c>
      <c r="D370">
        <v>66</v>
      </c>
      <c r="E370" t="s">
        <v>17</v>
      </c>
      <c r="F370" t="s">
        <v>5184</v>
      </c>
      <c r="G370" s="9">
        <v>45275</v>
      </c>
      <c r="H370" s="9">
        <v>45099</v>
      </c>
      <c r="I370">
        <v>32</v>
      </c>
      <c r="J370" t="s">
        <v>32</v>
      </c>
      <c r="K370">
        <v>3</v>
      </c>
      <c r="L370">
        <v>0</v>
      </c>
      <c r="M370" s="11">
        <v>22694.47</v>
      </c>
      <c r="N370" s="12">
        <v>4073.28</v>
      </c>
      <c r="O370" s="12">
        <v>11119.04</v>
      </c>
    </row>
    <row r="371" spans="1:15">
      <c r="A371" t="s">
        <v>531</v>
      </c>
      <c r="B371" t="s">
        <v>427</v>
      </c>
      <c r="C371" s="9">
        <v>29586</v>
      </c>
      <c r="D371">
        <v>45</v>
      </c>
      <c r="E371" t="s">
        <v>21</v>
      </c>
      <c r="F371" t="s">
        <v>18</v>
      </c>
      <c r="G371" s="9">
        <v>45543</v>
      </c>
      <c r="H371" s="9">
        <v>45711</v>
      </c>
      <c r="I371">
        <v>22</v>
      </c>
      <c r="J371" t="s">
        <v>32</v>
      </c>
      <c r="K371">
        <v>0</v>
      </c>
      <c r="L371">
        <v>5</v>
      </c>
      <c r="M371" s="11">
        <v>3072.05</v>
      </c>
      <c r="N371" s="12">
        <v>10060.25</v>
      </c>
      <c r="O371" s="12">
        <v>13839.13</v>
      </c>
    </row>
    <row r="372" spans="1:15">
      <c r="A372" t="s">
        <v>532</v>
      </c>
      <c r="B372" t="s">
        <v>51</v>
      </c>
      <c r="C372" s="9">
        <v>37622</v>
      </c>
      <c r="D372">
        <v>23</v>
      </c>
      <c r="E372" t="s">
        <v>21</v>
      </c>
      <c r="F372" t="s">
        <v>18</v>
      </c>
      <c r="G372" s="9">
        <v>45514</v>
      </c>
      <c r="H372" s="9">
        <v>45435</v>
      </c>
      <c r="I372">
        <v>10</v>
      </c>
      <c r="J372" t="s">
        <v>26</v>
      </c>
      <c r="K372">
        <v>1</v>
      </c>
      <c r="L372">
        <v>3</v>
      </c>
      <c r="M372" s="11">
        <v>8524.9699999999993</v>
      </c>
      <c r="N372" s="12">
        <v>1718.73</v>
      </c>
      <c r="O372" s="12">
        <v>6159.34</v>
      </c>
    </row>
    <row r="373" spans="1:15">
      <c r="A373" t="s">
        <v>533</v>
      </c>
      <c r="B373" t="s">
        <v>341</v>
      </c>
      <c r="C373" s="9">
        <v>34700</v>
      </c>
      <c r="D373">
        <v>31</v>
      </c>
      <c r="E373" t="s">
        <v>21</v>
      </c>
      <c r="F373" t="s">
        <v>49</v>
      </c>
      <c r="G373" s="9">
        <v>45153</v>
      </c>
      <c r="H373" s="9">
        <v>45332</v>
      </c>
      <c r="I373">
        <v>26</v>
      </c>
      <c r="J373" t="s">
        <v>26</v>
      </c>
      <c r="K373">
        <v>7</v>
      </c>
      <c r="L373">
        <v>2</v>
      </c>
      <c r="M373" s="11">
        <v>21564.92</v>
      </c>
      <c r="N373" s="12">
        <v>12986.52</v>
      </c>
      <c r="O373" s="12">
        <v>15517.41</v>
      </c>
    </row>
    <row r="374" spans="1:15">
      <c r="A374" t="s">
        <v>534</v>
      </c>
      <c r="B374" t="s">
        <v>244</v>
      </c>
      <c r="C374" s="9">
        <v>29221</v>
      </c>
      <c r="D374">
        <v>46</v>
      </c>
      <c r="E374" t="s">
        <v>21</v>
      </c>
      <c r="F374" t="s">
        <v>18</v>
      </c>
      <c r="G374" s="9">
        <v>45522</v>
      </c>
      <c r="H374" s="9">
        <v>45198</v>
      </c>
      <c r="I374">
        <v>24</v>
      </c>
      <c r="J374" t="s">
        <v>35</v>
      </c>
      <c r="K374">
        <v>3</v>
      </c>
      <c r="L374">
        <v>4</v>
      </c>
      <c r="M374" s="11">
        <v>6581.42</v>
      </c>
      <c r="N374" s="12">
        <v>10941.49</v>
      </c>
      <c r="O374" s="12">
        <v>8300.5400000000009</v>
      </c>
    </row>
    <row r="375" spans="1:15">
      <c r="A375" t="s">
        <v>535</v>
      </c>
      <c r="B375" t="s">
        <v>252</v>
      </c>
      <c r="C375" s="9">
        <v>14976</v>
      </c>
      <c r="D375">
        <v>85</v>
      </c>
      <c r="E375" t="s">
        <v>17</v>
      </c>
      <c r="F375" t="s">
        <v>22</v>
      </c>
      <c r="G375" s="9">
        <v>45514</v>
      </c>
      <c r="H375" s="9">
        <v>45481</v>
      </c>
      <c r="I375">
        <v>37</v>
      </c>
      <c r="J375" t="s">
        <v>26</v>
      </c>
      <c r="K375">
        <v>1</v>
      </c>
      <c r="L375">
        <v>9</v>
      </c>
      <c r="M375" s="11">
        <v>25369.31</v>
      </c>
      <c r="N375" s="12">
        <v>2288.52</v>
      </c>
      <c r="O375" s="12">
        <v>17878.82</v>
      </c>
    </row>
    <row r="376" spans="1:15">
      <c r="A376" t="s">
        <v>536</v>
      </c>
      <c r="B376" t="s">
        <v>412</v>
      </c>
      <c r="C376" s="9">
        <v>37987</v>
      </c>
      <c r="D376">
        <v>22</v>
      </c>
      <c r="E376" t="s">
        <v>17</v>
      </c>
      <c r="F376" t="s">
        <v>49</v>
      </c>
      <c r="G376" s="9">
        <v>44976</v>
      </c>
      <c r="H376" s="9">
        <v>45628</v>
      </c>
      <c r="I376">
        <v>14</v>
      </c>
      <c r="J376" t="s">
        <v>26</v>
      </c>
      <c r="K376">
        <v>3</v>
      </c>
      <c r="L376">
        <v>7</v>
      </c>
      <c r="M376" s="11">
        <v>9015.19</v>
      </c>
      <c r="N376" s="12">
        <v>320.02</v>
      </c>
      <c r="O376" s="12">
        <v>1990.61</v>
      </c>
    </row>
    <row r="377" spans="1:15">
      <c r="A377" t="s">
        <v>537</v>
      </c>
      <c r="B377" t="s">
        <v>119</v>
      </c>
      <c r="C377" s="9">
        <v>22281</v>
      </c>
      <c r="D377">
        <v>65</v>
      </c>
      <c r="E377" t="s">
        <v>17</v>
      </c>
      <c r="F377" t="s">
        <v>49</v>
      </c>
      <c r="G377" s="9">
        <v>45648</v>
      </c>
      <c r="H377" s="9">
        <v>45699</v>
      </c>
      <c r="I377">
        <v>34</v>
      </c>
      <c r="J377" t="s">
        <v>32</v>
      </c>
      <c r="K377">
        <v>1</v>
      </c>
      <c r="L377">
        <v>9</v>
      </c>
      <c r="M377" s="11">
        <v>11771.07</v>
      </c>
      <c r="N377" s="12">
        <v>5848.02</v>
      </c>
      <c r="O377" s="12">
        <v>9639.44</v>
      </c>
    </row>
    <row r="378" spans="1:15">
      <c r="A378" t="s">
        <v>538</v>
      </c>
      <c r="B378" t="s">
        <v>539</v>
      </c>
      <c r="C378" s="9">
        <v>36526</v>
      </c>
      <c r="D378">
        <v>26</v>
      </c>
      <c r="E378" t="s">
        <v>5185</v>
      </c>
      <c r="F378" t="s">
        <v>5184</v>
      </c>
      <c r="G378" s="9">
        <v>45084</v>
      </c>
      <c r="H378" s="9">
        <v>45591</v>
      </c>
      <c r="I378">
        <v>35</v>
      </c>
      <c r="J378" t="s">
        <v>26</v>
      </c>
      <c r="K378">
        <v>1</v>
      </c>
      <c r="L378">
        <v>5</v>
      </c>
      <c r="M378" s="11">
        <v>2542.17</v>
      </c>
      <c r="N378" s="12">
        <v>10129.09</v>
      </c>
      <c r="O378" s="12">
        <v>4035.33</v>
      </c>
    </row>
    <row r="379" spans="1:15">
      <c r="A379" t="s">
        <v>540</v>
      </c>
      <c r="B379" t="s">
        <v>196</v>
      </c>
      <c r="C379" s="9">
        <v>45657</v>
      </c>
      <c r="D379">
        <v>1</v>
      </c>
      <c r="E379" t="s">
        <v>17</v>
      </c>
      <c r="F379" t="s">
        <v>5184</v>
      </c>
      <c r="G379" s="9">
        <v>45254</v>
      </c>
      <c r="H379" s="9">
        <v>45058</v>
      </c>
      <c r="I379">
        <v>26</v>
      </c>
      <c r="J379" t="s">
        <v>26</v>
      </c>
      <c r="K379">
        <v>1</v>
      </c>
      <c r="L379">
        <v>0</v>
      </c>
      <c r="M379" s="11">
        <v>4004.09</v>
      </c>
      <c r="N379" s="12">
        <v>4247.21</v>
      </c>
      <c r="O379" s="12">
        <v>9014.74</v>
      </c>
    </row>
    <row r="380" spans="1:15">
      <c r="A380" t="s">
        <v>541</v>
      </c>
      <c r="B380" t="s">
        <v>108</v>
      </c>
      <c r="C380" s="9">
        <v>13515</v>
      </c>
      <c r="D380">
        <v>89</v>
      </c>
      <c r="E380" t="s">
        <v>21</v>
      </c>
      <c r="F380" t="s">
        <v>25</v>
      </c>
      <c r="G380" s="9">
        <v>45003</v>
      </c>
      <c r="H380" s="9">
        <v>45553</v>
      </c>
      <c r="I380">
        <v>31</v>
      </c>
      <c r="J380" t="s">
        <v>32</v>
      </c>
      <c r="K380">
        <v>9</v>
      </c>
      <c r="L380">
        <v>5</v>
      </c>
      <c r="M380" s="11">
        <v>7900.36</v>
      </c>
      <c r="N380" s="12">
        <v>14598.83</v>
      </c>
      <c r="O380" s="12">
        <v>7010.66</v>
      </c>
    </row>
    <row r="381" spans="1:15">
      <c r="A381" t="s">
        <v>542</v>
      </c>
      <c r="B381" t="s">
        <v>117</v>
      </c>
      <c r="C381" s="9">
        <v>40178</v>
      </c>
      <c r="D381">
        <f ca="1">DATEDIF(C332,TODAY(),"Y")</f>
        <v>26</v>
      </c>
      <c r="E381" t="s">
        <v>21</v>
      </c>
      <c r="F381" t="s">
        <v>74</v>
      </c>
      <c r="G381" s="9">
        <v>45559</v>
      </c>
      <c r="H381" s="9">
        <v>45312</v>
      </c>
      <c r="I381">
        <v>27</v>
      </c>
      <c r="J381" t="s">
        <v>35</v>
      </c>
      <c r="K381">
        <v>4</v>
      </c>
      <c r="L381">
        <v>6</v>
      </c>
      <c r="M381" s="11">
        <v>991.72</v>
      </c>
      <c r="N381" s="12">
        <v>14020.22</v>
      </c>
      <c r="O381" s="12">
        <v>16049.03</v>
      </c>
    </row>
    <row r="382" spans="1:15">
      <c r="A382" t="s">
        <v>543</v>
      </c>
      <c r="B382" t="s">
        <v>446</v>
      </c>
      <c r="C382" s="9">
        <f>DATE(2026-D342,1,1)</f>
        <v>33604</v>
      </c>
      <c r="D382">
        <v>32</v>
      </c>
      <c r="E382" t="s">
        <v>21</v>
      </c>
      <c r="F382" t="s">
        <v>18</v>
      </c>
      <c r="G382" s="9">
        <v>45380</v>
      </c>
      <c r="H382" s="9">
        <v>45661</v>
      </c>
      <c r="I382">
        <v>28</v>
      </c>
      <c r="J382" t="s">
        <v>35</v>
      </c>
      <c r="K382">
        <v>8</v>
      </c>
      <c r="L382">
        <v>5</v>
      </c>
      <c r="M382" s="11">
        <v>5387.48</v>
      </c>
      <c r="N382" s="12">
        <v>8969.11</v>
      </c>
      <c r="O382" s="12">
        <v>3260.1</v>
      </c>
    </row>
    <row r="383" spans="1:15">
      <c r="A383" t="s">
        <v>544</v>
      </c>
      <c r="B383" t="s">
        <v>211</v>
      </c>
      <c r="C383" s="9">
        <v>43100</v>
      </c>
      <c r="D383">
        <v>8</v>
      </c>
      <c r="E383" t="s">
        <v>21</v>
      </c>
      <c r="F383" t="s">
        <v>74</v>
      </c>
      <c r="G383" s="9">
        <v>45236</v>
      </c>
      <c r="H383" s="9">
        <v>45324</v>
      </c>
      <c r="I383">
        <v>19</v>
      </c>
      <c r="J383" t="s">
        <v>26</v>
      </c>
      <c r="K383">
        <v>3</v>
      </c>
      <c r="L383">
        <v>2</v>
      </c>
      <c r="M383" s="11">
        <v>11972.76</v>
      </c>
      <c r="N383" s="12">
        <v>4733.99</v>
      </c>
      <c r="O383" s="12">
        <v>11934.22</v>
      </c>
    </row>
    <row r="384" spans="1:15">
      <c r="A384" t="s">
        <v>545</v>
      </c>
      <c r="B384" t="s">
        <v>546</v>
      </c>
      <c r="C384" s="9">
        <f>DATE(2026-D344,1,1)</f>
        <v>28491</v>
      </c>
      <c r="D384">
        <v>42</v>
      </c>
      <c r="E384" t="s">
        <v>17</v>
      </c>
      <c r="F384" t="s">
        <v>74</v>
      </c>
      <c r="G384" s="9">
        <v>45253</v>
      </c>
      <c r="H384" s="9">
        <v>45493</v>
      </c>
      <c r="I384">
        <v>22</v>
      </c>
      <c r="J384" t="s">
        <v>26</v>
      </c>
      <c r="K384">
        <v>10</v>
      </c>
      <c r="L384">
        <v>8</v>
      </c>
      <c r="M384" s="11">
        <v>11088.85</v>
      </c>
      <c r="N384" s="12">
        <v>13444.04</v>
      </c>
      <c r="O384" s="12">
        <v>8070.34</v>
      </c>
    </row>
    <row r="385" spans="1:15">
      <c r="A385" t="s">
        <v>547</v>
      </c>
      <c r="B385" t="s">
        <v>328</v>
      </c>
      <c r="C385" s="9">
        <v>28856</v>
      </c>
      <c r="D385">
        <v>47</v>
      </c>
      <c r="E385" t="s">
        <v>17</v>
      </c>
      <c r="F385" t="s">
        <v>74</v>
      </c>
      <c r="G385" s="9">
        <v>45434</v>
      </c>
      <c r="H385" s="9">
        <v>45777</v>
      </c>
      <c r="I385">
        <v>1</v>
      </c>
      <c r="J385" t="s">
        <v>32</v>
      </c>
      <c r="K385">
        <v>10</v>
      </c>
      <c r="L385">
        <v>9</v>
      </c>
      <c r="M385" s="11">
        <v>5560.18</v>
      </c>
      <c r="N385" s="12">
        <v>12052.06</v>
      </c>
      <c r="O385" s="12">
        <v>10313.31</v>
      </c>
    </row>
    <row r="386" spans="1:15">
      <c r="A386" t="s">
        <v>548</v>
      </c>
      <c r="B386" t="s">
        <v>237</v>
      </c>
      <c r="C386" s="9">
        <v>32143</v>
      </c>
      <c r="D386">
        <v>38</v>
      </c>
      <c r="E386" t="s">
        <v>17</v>
      </c>
      <c r="F386" t="s">
        <v>49</v>
      </c>
      <c r="G386" s="9">
        <v>45033</v>
      </c>
      <c r="H386" s="9">
        <v>45223</v>
      </c>
      <c r="I386">
        <v>32</v>
      </c>
      <c r="J386" t="s">
        <v>32</v>
      </c>
      <c r="K386">
        <v>1</v>
      </c>
      <c r="L386">
        <v>9</v>
      </c>
      <c r="M386" s="11">
        <v>1953.75</v>
      </c>
      <c r="N386" s="12">
        <v>1292.32</v>
      </c>
      <c r="O386" s="12">
        <v>14259.51</v>
      </c>
    </row>
    <row r="387" spans="1:15">
      <c r="A387" t="s">
        <v>549</v>
      </c>
      <c r="B387" t="s">
        <v>550</v>
      </c>
      <c r="C387" s="9">
        <v>12419</v>
      </c>
      <c r="D387">
        <v>92</v>
      </c>
      <c r="E387" t="s">
        <v>17</v>
      </c>
      <c r="F387" t="s">
        <v>74</v>
      </c>
      <c r="G387" s="9">
        <v>45167</v>
      </c>
      <c r="H387" s="9">
        <v>45310</v>
      </c>
      <c r="I387">
        <v>38</v>
      </c>
      <c r="J387" t="s">
        <v>32</v>
      </c>
      <c r="K387">
        <v>9</v>
      </c>
      <c r="L387">
        <v>3</v>
      </c>
      <c r="M387" s="11">
        <v>9203.51</v>
      </c>
      <c r="N387" s="12">
        <v>7144.84</v>
      </c>
      <c r="O387" s="12">
        <v>7077.73</v>
      </c>
    </row>
    <row r="388" spans="1:15">
      <c r="A388" t="s">
        <v>551</v>
      </c>
      <c r="B388" t="s">
        <v>97</v>
      </c>
      <c r="C388" s="9">
        <v>31047</v>
      </c>
      <c r="D388">
        <v>41</v>
      </c>
      <c r="E388" t="s">
        <v>17</v>
      </c>
      <c r="F388" t="s">
        <v>18</v>
      </c>
      <c r="G388" s="9">
        <v>45361</v>
      </c>
      <c r="H388" s="9">
        <v>45439</v>
      </c>
      <c r="I388">
        <v>6</v>
      </c>
      <c r="J388" t="s">
        <v>26</v>
      </c>
      <c r="K388">
        <v>0</v>
      </c>
      <c r="L388">
        <v>4</v>
      </c>
      <c r="M388" s="11">
        <v>22233.07</v>
      </c>
      <c r="N388" s="12">
        <v>14718.22</v>
      </c>
      <c r="O388" s="12">
        <v>7277.76</v>
      </c>
    </row>
    <row r="389" spans="1:15">
      <c r="A389" t="s">
        <v>552</v>
      </c>
      <c r="B389" t="s">
        <v>226</v>
      </c>
      <c r="C389" s="9">
        <v>36891</v>
      </c>
      <c r="D389">
        <v>25</v>
      </c>
      <c r="E389" t="s">
        <v>21</v>
      </c>
      <c r="F389" t="s">
        <v>49</v>
      </c>
      <c r="G389" s="9">
        <v>44954</v>
      </c>
      <c r="H389" s="9">
        <v>45322</v>
      </c>
      <c r="I389">
        <v>23</v>
      </c>
      <c r="J389" t="s">
        <v>32</v>
      </c>
      <c r="K389">
        <v>3</v>
      </c>
      <c r="L389">
        <v>4</v>
      </c>
      <c r="M389" s="11">
        <v>15058.04</v>
      </c>
      <c r="N389" s="12">
        <v>6808.58</v>
      </c>
      <c r="O389" s="12">
        <v>1443.73</v>
      </c>
    </row>
    <row r="390" spans="1:15">
      <c r="A390" t="s">
        <v>553</v>
      </c>
      <c r="B390" t="s">
        <v>110</v>
      </c>
      <c r="C390" s="9">
        <v>28125</v>
      </c>
      <c r="D390">
        <v>49</v>
      </c>
      <c r="E390" t="s">
        <v>17</v>
      </c>
      <c r="F390" t="s">
        <v>18</v>
      </c>
      <c r="G390" s="9">
        <v>45630</v>
      </c>
      <c r="H390" s="9">
        <v>45481</v>
      </c>
      <c r="I390">
        <v>24</v>
      </c>
      <c r="J390" t="s">
        <v>32</v>
      </c>
      <c r="K390">
        <v>7</v>
      </c>
      <c r="L390">
        <v>2</v>
      </c>
      <c r="M390" s="11">
        <v>0</v>
      </c>
      <c r="N390" s="12">
        <v>13993.63</v>
      </c>
      <c r="O390" s="12">
        <v>10994.16</v>
      </c>
    </row>
    <row r="391" spans="1:15">
      <c r="A391" t="s">
        <v>554</v>
      </c>
      <c r="B391" t="s">
        <v>341</v>
      </c>
      <c r="C391" s="9">
        <v>37256</v>
      </c>
      <c r="D391">
        <v>24</v>
      </c>
      <c r="E391" t="s">
        <v>21</v>
      </c>
      <c r="F391" t="s">
        <v>49</v>
      </c>
      <c r="G391" s="9">
        <v>45175</v>
      </c>
      <c r="H391" s="9">
        <v>45532</v>
      </c>
      <c r="I391">
        <v>24</v>
      </c>
      <c r="J391" t="s">
        <v>35</v>
      </c>
      <c r="K391">
        <v>9</v>
      </c>
      <c r="L391">
        <v>1</v>
      </c>
      <c r="M391" s="11">
        <v>3766.53</v>
      </c>
      <c r="N391" s="12">
        <v>14659.34</v>
      </c>
      <c r="O391" s="12">
        <v>8279.7800000000007</v>
      </c>
    </row>
    <row r="392" spans="1:15">
      <c r="A392" t="s">
        <v>555</v>
      </c>
      <c r="B392" t="s">
        <v>172</v>
      </c>
      <c r="C392" s="9">
        <v>37622</v>
      </c>
      <c r="D392">
        <v>23</v>
      </c>
      <c r="E392" t="s">
        <v>21</v>
      </c>
      <c r="F392" t="s">
        <v>29</v>
      </c>
      <c r="G392" s="9">
        <v>45290</v>
      </c>
      <c r="H392" s="9">
        <v>45187</v>
      </c>
      <c r="I392">
        <v>15</v>
      </c>
      <c r="J392" t="s">
        <v>32</v>
      </c>
      <c r="K392">
        <v>12</v>
      </c>
      <c r="L392">
        <v>7</v>
      </c>
      <c r="M392" s="11">
        <v>5823.2</v>
      </c>
      <c r="N392" s="12">
        <v>5810.39</v>
      </c>
      <c r="O392" s="12">
        <v>16227.01</v>
      </c>
    </row>
    <row r="393" spans="1:15">
      <c r="A393" t="s">
        <v>556</v>
      </c>
      <c r="B393" t="s">
        <v>174</v>
      </c>
      <c r="C393" s="9">
        <v>41639</v>
      </c>
      <c r="D393">
        <v>12</v>
      </c>
      <c r="E393" t="s">
        <v>21</v>
      </c>
      <c r="F393" t="s">
        <v>29</v>
      </c>
      <c r="G393" s="9">
        <v>45651</v>
      </c>
      <c r="H393" s="9">
        <v>45208</v>
      </c>
      <c r="I393">
        <v>27</v>
      </c>
      <c r="J393" t="s">
        <v>35</v>
      </c>
      <c r="K393">
        <v>10</v>
      </c>
      <c r="L393">
        <v>6</v>
      </c>
      <c r="M393" s="11">
        <v>8049.14</v>
      </c>
      <c r="N393" s="12">
        <v>14468.38</v>
      </c>
      <c r="O393" s="12">
        <v>8729.2099999999991</v>
      </c>
    </row>
    <row r="394" spans="1:15">
      <c r="A394" t="s">
        <v>557</v>
      </c>
      <c r="B394" t="s">
        <v>479</v>
      </c>
      <c r="C394" s="9">
        <v>24473</v>
      </c>
      <c r="D394">
        <v>59</v>
      </c>
      <c r="E394" t="s">
        <v>17</v>
      </c>
      <c r="F394" t="s">
        <v>29</v>
      </c>
      <c r="G394" s="9">
        <v>45459</v>
      </c>
      <c r="H394" s="9">
        <v>45283</v>
      </c>
      <c r="I394">
        <v>28</v>
      </c>
      <c r="J394" t="s">
        <v>35</v>
      </c>
      <c r="K394">
        <v>10</v>
      </c>
      <c r="L394">
        <v>4</v>
      </c>
      <c r="M394" s="11">
        <v>103.44</v>
      </c>
      <c r="N394" s="12">
        <v>2069.11</v>
      </c>
      <c r="O394" s="12">
        <v>19413.02</v>
      </c>
    </row>
    <row r="395" spans="1:15">
      <c r="A395" t="s">
        <v>558</v>
      </c>
      <c r="B395" t="s">
        <v>41</v>
      </c>
      <c r="C395" s="9">
        <v>43831</v>
      </c>
      <c r="D395">
        <v>6</v>
      </c>
      <c r="E395" t="s">
        <v>21</v>
      </c>
      <c r="F395" t="s">
        <v>29</v>
      </c>
      <c r="G395" s="9">
        <v>45398</v>
      </c>
      <c r="H395" s="9">
        <v>45347</v>
      </c>
      <c r="I395">
        <v>39</v>
      </c>
      <c r="J395" t="s">
        <v>32</v>
      </c>
      <c r="K395">
        <v>11</v>
      </c>
      <c r="L395">
        <v>0</v>
      </c>
      <c r="M395" s="11">
        <v>28273.1</v>
      </c>
      <c r="N395" s="12">
        <v>2401.79</v>
      </c>
      <c r="O395" s="12">
        <v>3352.89</v>
      </c>
    </row>
    <row r="396" spans="1:15">
      <c r="A396" t="s">
        <v>559</v>
      </c>
      <c r="B396" t="s">
        <v>78</v>
      </c>
      <c r="C396" s="9">
        <v>25568</v>
      </c>
      <c r="D396">
        <v>56</v>
      </c>
      <c r="E396" t="s">
        <v>21</v>
      </c>
      <c r="F396" t="s">
        <v>49</v>
      </c>
      <c r="G396" s="9">
        <v>45593</v>
      </c>
      <c r="H396" s="9">
        <v>45119</v>
      </c>
      <c r="I396">
        <v>0</v>
      </c>
      <c r="J396" t="s">
        <v>32</v>
      </c>
      <c r="K396">
        <v>3</v>
      </c>
      <c r="L396">
        <v>9</v>
      </c>
      <c r="M396" s="11">
        <v>13083.6</v>
      </c>
      <c r="N396" s="12">
        <v>4148.1499999999996</v>
      </c>
      <c r="O396" s="12">
        <v>5267.93</v>
      </c>
    </row>
    <row r="397" spans="1:15">
      <c r="A397" t="s">
        <v>560</v>
      </c>
      <c r="B397" t="s">
        <v>278</v>
      </c>
      <c r="C397" s="9">
        <v>33239</v>
      </c>
      <c r="D397">
        <v>35</v>
      </c>
      <c r="E397" t="s">
        <v>17</v>
      </c>
      <c r="F397" t="s">
        <v>74</v>
      </c>
      <c r="G397" s="9">
        <v>45465</v>
      </c>
      <c r="H397" s="9">
        <v>45564</v>
      </c>
      <c r="I397">
        <v>26</v>
      </c>
      <c r="J397" t="s">
        <v>26</v>
      </c>
      <c r="K397">
        <v>3</v>
      </c>
      <c r="L397">
        <v>0</v>
      </c>
      <c r="M397" s="11">
        <v>14190.31</v>
      </c>
      <c r="N397" s="12">
        <v>7013.34</v>
      </c>
      <c r="O397" s="12">
        <v>7777.46</v>
      </c>
    </row>
    <row r="398" spans="1:15">
      <c r="A398" t="s">
        <v>561</v>
      </c>
      <c r="B398" t="s">
        <v>490</v>
      </c>
      <c r="C398" s="9">
        <v>29951</v>
      </c>
      <c r="D398">
        <v>44</v>
      </c>
      <c r="E398" t="s">
        <v>17</v>
      </c>
      <c r="F398" t="s">
        <v>25</v>
      </c>
      <c r="G398" s="9">
        <v>45515</v>
      </c>
      <c r="H398" s="9">
        <v>45355</v>
      </c>
      <c r="I398">
        <v>4</v>
      </c>
      <c r="J398" t="s">
        <v>32</v>
      </c>
      <c r="K398">
        <v>1</v>
      </c>
      <c r="L398">
        <v>7</v>
      </c>
      <c r="M398" s="11">
        <v>4314.6499999999996</v>
      </c>
      <c r="N398" s="12">
        <v>2715.37</v>
      </c>
      <c r="O398" s="12">
        <v>3325.46</v>
      </c>
    </row>
    <row r="399" spans="1:15">
      <c r="A399" t="s">
        <v>562</v>
      </c>
      <c r="B399" t="s">
        <v>110</v>
      </c>
      <c r="C399" s="9">
        <f>DATE(2026-D359,1,1)</f>
        <v>23377</v>
      </c>
      <c r="D399">
        <v>19</v>
      </c>
      <c r="E399" t="s">
        <v>21</v>
      </c>
      <c r="F399" t="s">
        <v>5184</v>
      </c>
      <c r="G399" s="9">
        <v>45339</v>
      </c>
      <c r="H399" s="9">
        <v>45735</v>
      </c>
      <c r="I399">
        <v>15</v>
      </c>
      <c r="J399" t="s">
        <v>35</v>
      </c>
      <c r="K399">
        <v>3</v>
      </c>
      <c r="L399">
        <v>3</v>
      </c>
      <c r="M399" s="11">
        <v>26117.279999999999</v>
      </c>
      <c r="N399" s="12">
        <v>5102.67</v>
      </c>
      <c r="O399" s="12">
        <v>19443.57</v>
      </c>
    </row>
    <row r="400" spans="1:15">
      <c r="A400" t="s">
        <v>563</v>
      </c>
      <c r="B400" t="s">
        <v>244</v>
      </c>
      <c r="C400" s="9">
        <v>22646</v>
      </c>
      <c r="D400">
        <v>64</v>
      </c>
      <c r="E400" t="s">
        <v>21</v>
      </c>
      <c r="F400" t="s">
        <v>22</v>
      </c>
      <c r="G400" s="9">
        <v>45495</v>
      </c>
      <c r="H400" s="9">
        <v>45275</v>
      </c>
      <c r="I400">
        <v>13</v>
      </c>
      <c r="J400" t="s">
        <v>32</v>
      </c>
      <c r="K400">
        <v>6</v>
      </c>
      <c r="L400">
        <v>3</v>
      </c>
      <c r="M400" s="11">
        <v>20625.28</v>
      </c>
      <c r="N400" s="12">
        <v>1554.8</v>
      </c>
      <c r="O400" s="12">
        <v>12783.3</v>
      </c>
    </row>
    <row r="401" spans="1:15">
      <c r="A401" t="s">
        <v>564</v>
      </c>
      <c r="B401" t="s">
        <v>91</v>
      </c>
      <c r="C401" s="9">
        <v>43466</v>
      </c>
      <c r="D401">
        <v>7</v>
      </c>
      <c r="E401" t="s">
        <v>17</v>
      </c>
      <c r="F401" t="s">
        <v>25</v>
      </c>
      <c r="G401" s="9">
        <v>45557</v>
      </c>
      <c r="H401" s="9">
        <v>45356</v>
      </c>
      <c r="I401">
        <v>29</v>
      </c>
      <c r="J401" t="s">
        <v>26</v>
      </c>
      <c r="K401">
        <v>7</v>
      </c>
      <c r="L401">
        <v>8</v>
      </c>
      <c r="M401" s="11">
        <v>12656.51</v>
      </c>
      <c r="N401" s="12">
        <v>6450.12</v>
      </c>
      <c r="O401" s="12">
        <v>125.1</v>
      </c>
    </row>
    <row r="402" spans="1:15">
      <c r="A402" t="s">
        <v>565</v>
      </c>
      <c r="B402" t="s">
        <v>194</v>
      </c>
      <c r="C402" s="9">
        <v>40544</v>
      </c>
      <c r="D402">
        <v>15</v>
      </c>
      <c r="E402" t="s">
        <v>21</v>
      </c>
      <c r="F402" t="s">
        <v>29</v>
      </c>
      <c r="G402" s="9">
        <v>45091</v>
      </c>
      <c r="H402" s="9">
        <v>45319</v>
      </c>
      <c r="I402">
        <v>35</v>
      </c>
      <c r="J402" t="s">
        <v>35</v>
      </c>
      <c r="K402">
        <v>8</v>
      </c>
      <c r="L402">
        <v>1</v>
      </c>
      <c r="M402" s="11">
        <v>26278.13</v>
      </c>
      <c r="N402" s="12">
        <v>12412.18</v>
      </c>
      <c r="O402" s="12">
        <v>11528.05</v>
      </c>
    </row>
    <row r="403" spans="1:15">
      <c r="A403" t="s">
        <v>566</v>
      </c>
      <c r="B403" t="s">
        <v>348</v>
      </c>
      <c r="C403" s="9">
        <v>41274</v>
      </c>
      <c r="D403">
        <v>13</v>
      </c>
      <c r="E403" t="s">
        <v>17</v>
      </c>
      <c r="F403" t="s">
        <v>74</v>
      </c>
      <c r="G403" s="9">
        <v>45502</v>
      </c>
      <c r="H403" s="9">
        <v>45268</v>
      </c>
      <c r="I403">
        <v>22</v>
      </c>
      <c r="J403" t="s">
        <v>32</v>
      </c>
      <c r="K403">
        <v>1</v>
      </c>
      <c r="L403">
        <v>4</v>
      </c>
      <c r="M403" s="11">
        <v>27116.46</v>
      </c>
      <c r="N403" s="12">
        <v>8925.7999999999993</v>
      </c>
      <c r="O403" s="12">
        <v>15603.11</v>
      </c>
    </row>
    <row r="404" spans="1:15">
      <c r="A404" t="s">
        <v>567</v>
      </c>
      <c r="B404" t="s">
        <v>80</v>
      </c>
      <c r="C404" s="9">
        <f>DATE(2026-D364,1,1)</f>
        <v>21916</v>
      </c>
      <c r="D404">
        <v>75</v>
      </c>
      <c r="E404" t="s">
        <v>17</v>
      </c>
      <c r="F404" t="s">
        <v>18</v>
      </c>
      <c r="G404" s="9">
        <v>44974</v>
      </c>
      <c r="H404" s="9">
        <v>45474</v>
      </c>
      <c r="I404">
        <v>29</v>
      </c>
      <c r="J404" t="s">
        <v>35</v>
      </c>
      <c r="K404">
        <v>2</v>
      </c>
      <c r="L404">
        <v>5</v>
      </c>
      <c r="M404" s="11">
        <v>1009.16</v>
      </c>
      <c r="N404" s="12">
        <v>12152.39</v>
      </c>
      <c r="O404" s="12">
        <v>931.13</v>
      </c>
    </row>
    <row r="405" spans="1:15">
      <c r="A405" t="s">
        <v>568</v>
      </c>
      <c r="B405" t="s">
        <v>127</v>
      </c>
      <c r="C405" s="9">
        <v>14611</v>
      </c>
      <c r="D405">
        <v>86</v>
      </c>
      <c r="E405" t="s">
        <v>21</v>
      </c>
      <c r="F405" t="s">
        <v>74</v>
      </c>
      <c r="G405" s="9">
        <v>45588</v>
      </c>
      <c r="H405" s="9">
        <v>45329</v>
      </c>
      <c r="I405">
        <v>16</v>
      </c>
      <c r="J405" t="s">
        <v>32</v>
      </c>
      <c r="K405">
        <v>5</v>
      </c>
      <c r="L405">
        <v>5</v>
      </c>
      <c r="M405" s="11">
        <v>3139.4</v>
      </c>
      <c r="N405" s="12">
        <v>2035.69</v>
      </c>
      <c r="O405" s="12">
        <v>11516.26</v>
      </c>
    </row>
    <row r="406" spans="1:15">
      <c r="A406" t="s">
        <v>569</v>
      </c>
      <c r="B406" t="s">
        <v>246</v>
      </c>
      <c r="C406" s="9">
        <v>40909</v>
      </c>
      <c r="D406">
        <v>14</v>
      </c>
      <c r="E406" t="s">
        <v>21</v>
      </c>
      <c r="F406" t="s">
        <v>18</v>
      </c>
      <c r="G406" s="9">
        <v>45410</v>
      </c>
      <c r="H406" s="9">
        <v>44974</v>
      </c>
      <c r="I406">
        <v>0</v>
      </c>
      <c r="J406" t="s">
        <v>32</v>
      </c>
      <c r="K406">
        <v>5</v>
      </c>
      <c r="L406">
        <v>9</v>
      </c>
      <c r="M406" s="11">
        <v>342.66</v>
      </c>
      <c r="N406" s="12">
        <v>5991.54</v>
      </c>
      <c r="O406" s="12">
        <v>7423.67</v>
      </c>
    </row>
    <row r="407" spans="1:15">
      <c r="A407" t="s">
        <v>570</v>
      </c>
      <c r="B407" t="s">
        <v>300</v>
      </c>
      <c r="C407" s="9">
        <v>12785</v>
      </c>
      <c r="D407">
        <v>91</v>
      </c>
      <c r="E407" t="s">
        <v>21</v>
      </c>
      <c r="F407" t="s">
        <v>25</v>
      </c>
      <c r="G407" s="9">
        <v>45084</v>
      </c>
      <c r="H407" s="9">
        <v>45592</v>
      </c>
      <c r="I407">
        <v>32</v>
      </c>
      <c r="J407" t="s">
        <v>35</v>
      </c>
      <c r="K407">
        <v>1</v>
      </c>
      <c r="L407">
        <v>2</v>
      </c>
      <c r="M407" s="11">
        <v>17242.77</v>
      </c>
      <c r="N407" s="12">
        <v>589.85</v>
      </c>
      <c r="O407" s="12">
        <v>11587.68</v>
      </c>
    </row>
    <row r="408" spans="1:15">
      <c r="A408" t="s">
        <v>571</v>
      </c>
      <c r="B408" t="s">
        <v>336</v>
      </c>
      <c r="C408" s="9">
        <v>22281</v>
      </c>
      <c r="D408">
        <v>65</v>
      </c>
      <c r="E408" t="s">
        <v>21</v>
      </c>
      <c r="F408" t="s">
        <v>74</v>
      </c>
      <c r="G408" s="9">
        <v>45594</v>
      </c>
      <c r="H408" s="9">
        <v>45677</v>
      </c>
      <c r="I408">
        <v>26</v>
      </c>
      <c r="J408" t="s">
        <v>32</v>
      </c>
      <c r="K408">
        <v>9</v>
      </c>
      <c r="L408">
        <v>9</v>
      </c>
      <c r="M408" s="11">
        <v>6147.29</v>
      </c>
      <c r="N408" s="12">
        <v>5549.69</v>
      </c>
      <c r="O408" s="12">
        <v>4977.38</v>
      </c>
    </row>
    <row r="409" spans="1:15">
      <c r="A409" t="s">
        <v>572</v>
      </c>
      <c r="B409" t="s">
        <v>524</v>
      </c>
      <c r="C409" s="9">
        <v>34700</v>
      </c>
      <c r="D409">
        <v>31</v>
      </c>
      <c r="E409" t="s">
        <v>21</v>
      </c>
      <c r="F409" t="s">
        <v>74</v>
      </c>
      <c r="G409" s="9">
        <v>45077</v>
      </c>
      <c r="H409" s="9">
        <v>45352</v>
      </c>
      <c r="I409">
        <v>8</v>
      </c>
      <c r="J409" t="s">
        <v>32</v>
      </c>
      <c r="K409">
        <v>4</v>
      </c>
      <c r="L409">
        <v>5</v>
      </c>
      <c r="M409" s="11">
        <v>25270.31</v>
      </c>
      <c r="N409" s="12">
        <v>9217.4699999999993</v>
      </c>
      <c r="O409" s="12">
        <v>13286.93</v>
      </c>
    </row>
    <row r="410" spans="1:15">
      <c r="A410" t="s">
        <v>573</v>
      </c>
      <c r="B410" t="s">
        <v>125</v>
      </c>
      <c r="C410" s="9">
        <v>14611</v>
      </c>
      <c r="D410">
        <v>86</v>
      </c>
      <c r="E410" t="s">
        <v>17</v>
      </c>
      <c r="F410" t="s">
        <v>22</v>
      </c>
      <c r="G410" s="9">
        <v>45151</v>
      </c>
      <c r="H410" s="9">
        <v>45444</v>
      </c>
      <c r="I410">
        <v>3</v>
      </c>
      <c r="J410" t="s">
        <v>32</v>
      </c>
      <c r="K410">
        <v>11</v>
      </c>
      <c r="L410">
        <v>9</v>
      </c>
      <c r="M410" s="11">
        <v>13710.37</v>
      </c>
      <c r="N410" s="12">
        <v>8533.0400000000009</v>
      </c>
      <c r="O410" s="12">
        <v>13393.79</v>
      </c>
    </row>
    <row r="411" spans="1:15">
      <c r="A411" t="s">
        <v>574</v>
      </c>
      <c r="B411" t="s">
        <v>108</v>
      </c>
      <c r="C411" s="9">
        <f>DATE(2026-D371,1,1)</f>
        <v>29587</v>
      </c>
      <c r="D411">
        <v>62</v>
      </c>
      <c r="E411" t="s">
        <v>21</v>
      </c>
      <c r="F411" t="s">
        <v>25</v>
      </c>
      <c r="G411" s="9">
        <v>45186</v>
      </c>
      <c r="H411" s="9">
        <v>45564</v>
      </c>
      <c r="I411">
        <v>16</v>
      </c>
      <c r="J411" t="s">
        <v>26</v>
      </c>
      <c r="K411">
        <v>10</v>
      </c>
      <c r="L411">
        <v>9</v>
      </c>
      <c r="M411" s="11">
        <v>25050.15</v>
      </c>
      <c r="N411" s="12">
        <v>904.84</v>
      </c>
      <c r="O411" s="12">
        <v>10744.06</v>
      </c>
    </row>
    <row r="412" spans="1:15">
      <c r="A412" t="s">
        <v>575</v>
      </c>
      <c r="B412" t="s">
        <v>170</v>
      </c>
      <c r="C412" s="9">
        <v>14976</v>
      </c>
      <c r="D412">
        <v>85</v>
      </c>
      <c r="E412" t="s">
        <v>17</v>
      </c>
      <c r="F412" t="s">
        <v>74</v>
      </c>
      <c r="G412" s="9">
        <v>45313</v>
      </c>
      <c r="H412" s="9">
        <v>45806</v>
      </c>
      <c r="I412">
        <v>34</v>
      </c>
      <c r="J412" t="s">
        <v>32</v>
      </c>
      <c r="K412">
        <v>12</v>
      </c>
      <c r="L412">
        <v>4</v>
      </c>
      <c r="M412" s="11">
        <v>16445.96</v>
      </c>
      <c r="N412" s="12">
        <v>930.89</v>
      </c>
      <c r="O412" s="12">
        <v>18467.45</v>
      </c>
    </row>
    <row r="413" spans="1:15">
      <c r="A413" t="s">
        <v>576</v>
      </c>
      <c r="B413" t="s">
        <v>181</v>
      </c>
      <c r="C413" s="9">
        <v>27760</v>
      </c>
      <c r="D413">
        <v>50</v>
      </c>
      <c r="E413" t="s">
        <v>17</v>
      </c>
      <c r="F413" t="s">
        <v>18</v>
      </c>
      <c r="G413" s="9">
        <v>45182</v>
      </c>
      <c r="H413" s="9">
        <v>45255</v>
      </c>
      <c r="I413">
        <v>24</v>
      </c>
      <c r="J413" t="s">
        <v>35</v>
      </c>
      <c r="K413">
        <v>14</v>
      </c>
      <c r="L413">
        <v>7</v>
      </c>
      <c r="M413" s="11">
        <v>23783.119999999999</v>
      </c>
      <c r="N413" s="12">
        <v>4576.01</v>
      </c>
      <c r="O413" s="12">
        <v>18180.54</v>
      </c>
    </row>
    <row r="414" spans="1:15">
      <c r="A414" t="s">
        <v>577</v>
      </c>
      <c r="B414" t="s">
        <v>578</v>
      </c>
      <c r="C414" s="9">
        <f>DATE(2026-D374,1,1)</f>
        <v>29221</v>
      </c>
      <c r="D414">
        <v>24</v>
      </c>
      <c r="E414" t="s">
        <v>21</v>
      </c>
      <c r="F414" t="s">
        <v>5184</v>
      </c>
      <c r="G414" s="9">
        <v>44987</v>
      </c>
      <c r="H414" s="9">
        <v>45014</v>
      </c>
      <c r="I414">
        <v>2</v>
      </c>
      <c r="J414" t="s">
        <v>35</v>
      </c>
      <c r="K414">
        <v>7</v>
      </c>
      <c r="L414">
        <v>3</v>
      </c>
      <c r="M414" s="11">
        <v>10841.58</v>
      </c>
      <c r="N414" s="12">
        <v>11570.99</v>
      </c>
      <c r="O414" s="12">
        <v>855.45</v>
      </c>
    </row>
    <row r="415" spans="1:15">
      <c r="A415" t="s">
        <v>579</v>
      </c>
      <c r="B415" t="s">
        <v>444</v>
      </c>
      <c r="C415" s="9">
        <v>25203</v>
      </c>
      <c r="D415">
        <v>57</v>
      </c>
      <c r="E415" t="s">
        <v>21</v>
      </c>
      <c r="F415" t="s">
        <v>74</v>
      </c>
      <c r="G415" s="9">
        <v>45322</v>
      </c>
      <c r="H415" s="9">
        <v>45442</v>
      </c>
      <c r="I415">
        <v>23</v>
      </c>
      <c r="J415" t="s">
        <v>32</v>
      </c>
      <c r="K415">
        <v>3</v>
      </c>
      <c r="L415">
        <v>9</v>
      </c>
      <c r="M415" s="11">
        <v>28334.51</v>
      </c>
      <c r="N415" s="12">
        <v>308.64999999999998</v>
      </c>
      <c r="O415" s="12">
        <v>5726.87</v>
      </c>
    </row>
    <row r="416" spans="1:15">
      <c r="A416" t="s">
        <v>580</v>
      </c>
      <c r="B416" t="s">
        <v>332</v>
      </c>
      <c r="C416" s="9">
        <v>23377</v>
      </c>
      <c r="D416">
        <f ca="1">DATEDIF(C367,TODAY(),"Y")</f>
        <v>94</v>
      </c>
      <c r="E416" t="s">
        <v>21</v>
      </c>
      <c r="F416" t="s">
        <v>18</v>
      </c>
      <c r="G416" s="9">
        <v>45323</v>
      </c>
      <c r="H416" s="9">
        <v>45092</v>
      </c>
      <c r="I416">
        <v>32</v>
      </c>
      <c r="J416" t="s">
        <v>32</v>
      </c>
      <c r="K416">
        <v>6</v>
      </c>
      <c r="L416">
        <v>9</v>
      </c>
      <c r="M416" s="11">
        <v>19848.34</v>
      </c>
      <c r="N416" s="12">
        <v>9238.91</v>
      </c>
      <c r="O416" s="12">
        <v>7221.6</v>
      </c>
    </row>
    <row r="417" spans="1:15">
      <c r="A417" t="s">
        <v>581</v>
      </c>
      <c r="B417" t="s">
        <v>181</v>
      </c>
      <c r="C417" s="9">
        <v>23742</v>
      </c>
      <c r="D417">
        <v>61</v>
      </c>
      <c r="E417" t="s">
        <v>21</v>
      </c>
      <c r="F417" t="s">
        <v>29</v>
      </c>
      <c r="G417" s="9">
        <v>45088</v>
      </c>
      <c r="H417" s="9">
        <v>45150</v>
      </c>
      <c r="I417">
        <v>16</v>
      </c>
      <c r="J417" t="s">
        <v>26</v>
      </c>
      <c r="K417">
        <v>9</v>
      </c>
      <c r="L417">
        <v>2</v>
      </c>
      <c r="M417" s="11">
        <v>17662.46</v>
      </c>
      <c r="N417" s="12">
        <v>2755.53</v>
      </c>
      <c r="O417" s="12">
        <v>1010.9</v>
      </c>
    </row>
    <row r="418" spans="1:15">
      <c r="A418" t="s">
        <v>582</v>
      </c>
      <c r="B418" t="s">
        <v>268</v>
      </c>
      <c r="C418" s="9">
        <v>38352</v>
      </c>
      <c r="D418">
        <v>21</v>
      </c>
      <c r="E418" t="s">
        <v>17</v>
      </c>
      <c r="F418" t="s">
        <v>74</v>
      </c>
      <c r="G418" s="9">
        <v>45306</v>
      </c>
      <c r="H418" s="9">
        <v>45788</v>
      </c>
      <c r="I418">
        <v>14</v>
      </c>
      <c r="J418" t="s">
        <v>26</v>
      </c>
      <c r="K418">
        <v>14</v>
      </c>
      <c r="L418">
        <v>5</v>
      </c>
      <c r="M418" s="11">
        <v>10246.879999999999</v>
      </c>
      <c r="N418" s="12">
        <v>14164.74</v>
      </c>
      <c r="O418" s="12">
        <v>10425.11</v>
      </c>
    </row>
    <row r="419" spans="1:15">
      <c r="A419" t="s">
        <v>583</v>
      </c>
      <c r="B419" t="s">
        <v>145</v>
      </c>
      <c r="C419" s="9">
        <v>25203</v>
      </c>
      <c r="D419">
        <v>57</v>
      </c>
      <c r="E419" t="s">
        <v>21</v>
      </c>
      <c r="F419" t="s">
        <v>18</v>
      </c>
      <c r="G419" s="9">
        <v>45369</v>
      </c>
      <c r="H419" s="9">
        <v>45224</v>
      </c>
      <c r="I419">
        <v>32</v>
      </c>
      <c r="J419" t="s">
        <v>35</v>
      </c>
      <c r="K419">
        <v>8</v>
      </c>
      <c r="L419">
        <v>9</v>
      </c>
      <c r="M419" s="11">
        <v>28084.11</v>
      </c>
      <c r="N419" s="12">
        <v>6453.23</v>
      </c>
      <c r="O419" s="12">
        <v>394.09</v>
      </c>
    </row>
    <row r="420" spans="1:15">
      <c r="A420" t="s">
        <v>584</v>
      </c>
      <c r="B420" t="s">
        <v>300</v>
      </c>
      <c r="C420" s="9">
        <v>25203</v>
      </c>
      <c r="D420">
        <v>57</v>
      </c>
      <c r="E420" t="s">
        <v>17</v>
      </c>
      <c r="F420" t="s">
        <v>5184</v>
      </c>
      <c r="G420" s="9">
        <v>45275</v>
      </c>
      <c r="H420" s="9">
        <v>45378</v>
      </c>
      <c r="I420">
        <v>10</v>
      </c>
      <c r="J420" t="s">
        <v>32</v>
      </c>
      <c r="K420">
        <v>9</v>
      </c>
      <c r="L420">
        <v>8</v>
      </c>
      <c r="M420" s="11">
        <v>9800.9</v>
      </c>
      <c r="N420" s="12">
        <v>718.26</v>
      </c>
      <c r="O420" s="12">
        <v>13529.18</v>
      </c>
    </row>
    <row r="421" spans="1:15">
      <c r="A421" t="s">
        <v>585</v>
      </c>
      <c r="B421" t="s">
        <v>71</v>
      </c>
      <c r="C421" s="9">
        <v>14976</v>
      </c>
      <c r="D421">
        <v>85</v>
      </c>
      <c r="E421" t="s">
        <v>21</v>
      </c>
      <c r="F421" t="s">
        <v>25</v>
      </c>
      <c r="G421" s="9">
        <v>44957</v>
      </c>
      <c r="H421" s="9">
        <v>45270</v>
      </c>
      <c r="I421">
        <v>11</v>
      </c>
      <c r="J421" t="s">
        <v>32</v>
      </c>
      <c r="K421">
        <v>7</v>
      </c>
      <c r="L421">
        <v>7</v>
      </c>
      <c r="M421" s="11">
        <v>24993.71</v>
      </c>
      <c r="N421" s="12">
        <v>10704.58</v>
      </c>
      <c r="O421" s="12">
        <v>45.96</v>
      </c>
    </row>
    <row r="422" spans="1:15">
      <c r="A422" t="s">
        <v>586</v>
      </c>
      <c r="B422" t="s">
        <v>446</v>
      </c>
      <c r="C422" s="9">
        <v>28490</v>
      </c>
      <c r="D422">
        <v>48</v>
      </c>
      <c r="E422" t="s">
        <v>21</v>
      </c>
      <c r="F422" t="s">
        <v>29</v>
      </c>
      <c r="G422" s="9">
        <v>44997</v>
      </c>
      <c r="H422" s="9">
        <v>45268</v>
      </c>
      <c r="I422">
        <v>27</v>
      </c>
      <c r="J422" t="s">
        <v>35</v>
      </c>
      <c r="K422">
        <v>8</v>
      </c>
      <c r="L422">
        <v>9</v>
      </c>
      <c r="M422" s="11">
        <v>11831.4</v>
      </c>
      <c r="N422" s="12">
        <v>7269.14</v>
      </c>
      <c r="O422" s="12">
        <v>541.92999999999995</v>
      </c>
    </row>
    <row r="423" spans="1:15">
      <c r="A423" t="s">
        <v>587</v>
      </c>
      <c r="B423" t="s">
        <v>328</v>
      </c>
      <c r="C423" s="9">
        <v>27395</v>
      </c>
      <c r="D423">
        <v>51</v>
      </c>
      <c r="E423" t="s">
        <v>17</v>
      </c>
      <c r="F423" t="s">
        <v>74</v>
      </c>
      <c r="G423" s="9">
        <v>45323</v>
      </c>
      <c r="H423" s="9">
        <v>45388</v>
      </c>
      <c r="I423">
        <v>14</v>
      </c>
      <c r="J423" t="s">
        <v>32</v>
      </c>
      <c r="K423">
        <v>8</v>
      </c>
      <c r="L423">
        <v>7</v>
      </c>
      <c r="M423" s="11">
        <v>22899.11</v>
      </c>
      <c r="N423" s="12">
        <v>13218.61</v>
      </c>
      <c r="O423" s="12">
        <v>16658.439999999999</v>
      </c>
    </row>
    <row r="424" spans="1:15">
      <c r="A424" t="s">
        <v>588</v>
      </c>
      <c r="B424" t="s">
        <v>223</v>
      </c>
      <c r="C424" s="9">
        <v>31047</v>
      </c>
      <c r="D424">
        <v>41</v>
      </c>
      <c r="E424" t="s">
        <v>17</v>
      </c>
      <c r="F424" t="s">
        <v>22</v>
      </c>
      <c r="G424" s="9">
        <v>45364</v>
      </c>
      <c r="H424" s="9">
        <v>45319</v>
      </c>
      <c r="I424">
        <v>34</v>
      </c>
      <c r="J424" t="s">
        <v>26</v>
      </c>
      <c r="K424">
        <v>11</v>
      </c>
      <c r="L424">
        <v>2</v>
      </c>
      <c r="M424" s="11">
        <v>27312.28</v>
      </c>
      <c r="N424" s="12">
        <v>9777.3799999999992</v>
      </c>
      <c r="O424" s="12">
        <v>4977.45</v>
      </c>
    </row>
    <row r="425" spans="1:15">
      <c r="A425" t="s">
        <v>589</v>
      </c>
      <c r="B425" t="s">
        <v>44</v>
      </c>
      <c r="C425" s="9">
        <v>20820</v>
      </c>
      <c r="D425">
        <v>69</v>
      </c>
      <c r="E425" t="s">
        <v>21</v>
      </c>
      <c r="F425" t="s">
        <v>18</v>
      </c>
      <c r="G425" s="9">
        <v>44928</v>
      </c>
      <c r="H425" s="9">
        <v>45464</v>
      </c>
      <c r="I425">
        <v>12</v>
      </c>
      <c r="J425" t="s">
        <v>35</v>
      </c>
      <c r="K425">
        <v>1</v>
      </c>
      <c r="L425">
        <v>0</v>
      </c>
      <c r="M425" s="11">
        <v>13701.02</v>
      </c>
      <c r="N425" s="12">
        <v>10387.879999999999</v>
      </c>
      <c r="O425" s="12">
        <v>1532.7</v>
      </c>
    </row>
    <row r="426" spans="1:15">
      <c r="A426" t="s">
        <v>590</v>
      </c>
      <c r="B426" t="s">
        <v>326</v>
      </c>
      <c r="C426" s="9">
        <v>40909</v>
      </c>
      <c r="D426">
        <f t="shared" ref="D426:D427" ca="1" si="1">DATEDIF(C377,TODAY(),"Y")</f>
        <v>65</v>
      </c>
      <c r="E426" t="s">
        <v>21</v>
      </c>
      <c r="F426" t="s">
        <v>5184</v>
      </c>
      <c r="G426" s="9">
        <v>45488</v>
      </c>
      <c r="H426" s="9">
        <v>45478</v>
      </c>
      <c r="I426">
        <v>15</v>
      </c>
      <c r="J426" t="s">
        <v>32</v>
      </c>
      <c r="K426">
        <v>1</v>
      </c>
      <c r="L426">
        <v>2</v>
      </c>
      <c r="M426" s="11">
        <v>15547.12</v>
      </c>
      <c r="N426" s="12">
        <v>11508.9</v>
      </c>
      <c r="O426" s="12">
        <v>7929.28</v>
      </c>
    </row>
    <row r="427" spans="1:15">
      <c r="A427" t="s">
        <v>591</v>
      </c>
      <c r="B427" t="s">
        <v>157</v>
      </c>
      <c r="C427" s="9">
        <v>26664</v>
      </c>
      <c r="D427">
        <f t="shared" ca="1" si="1"/>
        <v>26</v>
      </c>
      <c r="E427" t="s">
        <v>17</v>
      </c>
      <c r="F427" t="s">
        <v>22</v>
      </c>
      <c r="G427" s="9">
        <v>45061</v>
      </c>
      <c r="H427" s="9">
        <v>45348</v>
      </c>
      <c r="I427">
        <v>11</v>
      </c>
      <c r="J427" t="s">
        <v>26</v>
      </c>
      <c r="K427">
        <v>12</v>
      </c>
      <c r="L427">
        <v>2</v>
      </c>
      <c r="M427" s="11">
        <v>9575.4599999999991</v>
      </c>
      <c r="N427" s="12">
        <v>6305.32</v>
      </c>
      <c r="O427" s="12">
        <v>924.07</v>
      </c>
    </row>
    <row r="428" spans="1:15">
      <c r="A428" t="s">
        <v>592</v>
      </c>
      <c r="B428" t="s">
        <v>490</v>
      </c>
      <c r="C428" s="9">
        <v>24473</v>
      </c>
      <c r="D428">
        <v>59</v>
      </c>
      <c r="E428" t="s">
        <v>21</v>
      </c>
      <c r="F428" t="s">
        <v>74</v>
      </c>
      <c r="G428" s="9">
        <v>45072</v>
      </c>
      <c r="H428" s="9">
        <v>45308</v>
      </c>
      <c r="I428">
        <v>11</v>
      </c>
      <c r="J428" t="s">
        <v>32</v>
      </c>
      <c r="K428">
        <v>12</v>
      </c>
      <c r="L428">
        <v>5</v>
      </c>
      <c r="M428" s="11">
        <v>1168.22</v>
      </c>
      <c r="N428" s="12">
        <v>11888.21</v>
      </c>
      <c r="O428" s="12">
        <v>14983.24</v>
      </c>
    </row>
    <row r="429" spans="1:15">
      <c r="A429" t="s">
        <v>593</v>
      </c>
      <c r="B429" t="s">
        <v>379</v>
      </c>
      <c r="C429" s="9">
        <v>43466</v>
      </c>
      <c r="D429">
        <v>7</v>
      </c>
      <c r="E429" t="s">
        <v>21</v>
      </c>
      <c r="F429" t="s">
        <v>18</v>
      </c>
      <c r="G429" s="9">
        <v>45105</v>
      </c>
      <c r="H429" s="9">
        <v>45544</v>
      </c>
      <c r="I429">
        <v>30</v>
      </c>
      <c r="J429" t="s">
        <v>35</v>
      </c>
      <c r="K429">
        <v>0</v>
      </c>
      <c r="L429">
        <v>2</v>
      </c>
      <c r="M429" s="11">
        <v>19400.68</v>
      </c>
      <c r="N429" s="12">
        <v>759.34</v>
      </c>
      <c r="O429" s="12">
        <v>9832.36</v>
      </c>
    </row>
    <row r="430" spans="1:15">
      <c r="A430" t="s">
        <v>594</v>
      </c>
      <c r="B430" t="s">
        <v>41</v>
      </c>
      <c r="C430" s="9">
        <v>27029</v>
      </c>
      <c r="D430">
        <v>52</v>
      </c>
      <c r="E430" t="s">
        <v>17</v>
      </c>
      <c r="F430" t="s">
        <v>74</v>
      </c>
      <c r="G430" s="9">
        <v>45190</v>
      </c>
      <c r="H430" s="9">
        <v>44932</v>
      </c>
      <c r="I430">
        <v>35</v>
      </c>
      <c r="J430" t="s">
        <v>32</v>
      </c>
      <c r="K430">
        <v>3</v>
      </c>
      <c r="L430">
        <v>1</v>
      </c>
      <c r="M430" s="11">
        <v>3149.1</v>
      </c>
      <c r="N430" s="12">
        <v>11482.91</v>
      </c>
      <c r="O430" s="12">
        <v>10993.84</v>
      </c>
    </row>
    <row r="431" spans="1:15">
      <c r="A431" t="s">
        <v>595</v>
      </c>
      <c r="B431" t="s">
        <v>596</v>
      </c>
      <c r="C431" s="9">
        <v>24473</v>
      </c>
      <c r="D431">
        <v>59</v>
      </c>
      <c r="E431" t="s">
        <v>17</v>
      </c>
      <c r="F431" t="s">
        <v>29</v>
      </c>
      <c r="G431" s="9">
        <v>45237</v>
      </c>
      <c r="H431" s="9">
        <v>45575</v>
      </c>
      <c r="I431">
        <v>8</v>
      </c>
      <c r="J431" t="s">
        <v>32</v>
      </c>
      <c r="K431">
        <v>14</v>
      </c>
      <c r="L431">
        <v>8</v>
      </c>
      <c r="M431" s="11">
        <v>10298.799999999999</v>
      </c>
      <c r="N431" s="12">
        <v>9544.6200000000008</v>
      </c>
      <c r="O431" s="12">
        <v>15035.55</v>
      </c>
    </row>
    <row r="432" spans="1:15">
      <c r="A432" t="s">
        <v>597</v>
      </c>
      <c r="B432" t="s">
        <v>46</v>
      </c>
      <c r="C432" s="9">
        <v>44561</v>
      </c>
      <c r="D432">
        <v>4</v>
      </c>
      <c r="E432" t="s">
        <v>17</v>
      </c>
      <c r="F432" t="s">
        <v>5184</v>
      </c>
      <c r="G432" s="9">
        <v>45130</v>
      </c>
      <c r="H432" s="9">
        <v>44931</v>
      </c>
      <c r="I432">
        <v>8</v>
      </c>
      <c r="J432" t="s">
        <v>32</v>
      </c>
      <c r="K432">
        <v>12</v>
      </c>
      <c r="L432">
        <v>5</v>
      </c>
      <c r="M432" s="11">
        <v>10159.56</v>
      </c>
      <c r="N432" s="12">
        <v>8499.98</v>
      </c>
      <c r="O432" s="12">
        <v>15667.62</v>
      </c>
    </row>
    <row r="433" spans="1:15">
      <c r="A433" t="s">
        <v>598</v>
      </c>
      <c r="B433" t="s">
        <v>63</v>
      </c>
      <c r="C433" s="9">
        <v>21551</v>
      </c>
      <c r="D433">
        <v>67</v>
      </c>
      <c r="E433" t="s">
        <v>17</v>
      </c>
      <c r="F433" t="s">
        <v>5184</v>
      </c>
      <c r="G433" s="9">
        <v>45625</v>
      </c>
      <c r="H433" s="9">
        <v>45608</v>
      </c>
      <c r="I433">
        <v>23</v>
      </c>
      <c r="J433" t="s">
        <v>35</v>
      </c>
      <c r="K433">
        <v>8</v>
      </c>
      <c r="L433">
        <v>4</v>
      </c>
      <c r="M433" s="11">
        <v>4105.62</v>
      </c>
      <c r="N433" s="12">
        <v>4772.26</v>
      </c>
      <c r="O433" s="12">
        <v>2638.79</v>
      </c>
    </row>
    <row r="434" spans="1:15">
      <c r="A434" t="s">
        <v>599</v>
      </c>
      <c r="B434" t="s">
        <v>600</v>
      </c>
      <c r="C434" s="9">
        <v>44196</v>
      </c>
      <c r="D434">
        <v>5</v>
      </c>
      <c r="E434" t="s">
        <v>17</v>
      </c>
      <c r="F434" t="s">
        <v>29</v>
      </c>
      <c r="G434" s="9">
        <v>44956</v>
      </c>
      <c r="H434" s="9">
        <v>45243</v>
      </c>
      <c r="I434">
        <v>0</v>
      </c>
      <c r="J434" t="s">
        <v>26</v>
      </c>
      <c r="K434">
        <v>5</v>
      </c>
      <c r="L434">
        <v>2</v>
      </c>
      <c r="M434" s="11">
        <v>19834.66</v>
      </c>
      <c r="N434" s="12">
        <v>1711.69</v>
      </c>
      <c r="O434" s="12">
        <v>5533.62</v>
      </c>
    </row>
    <row r="435" spans="1:15">
      <c r="A435" t="s">
        <v>601</v>
      </c>
      <c r="B435" t="s">
        <v>16</v>
      </c>
      <c r="C435" s="9">
        <v>12054</v>
      </c>
      <c r="D435">
        <v>93</v>
      </c>
      <c r="E435" t="s">
        <v>17</v>
      </c>
      <c r="F435" t="s">
        <v>74</v>
      </c>
      <c r="G435" s="9">
        <v>44985</v>
      </c>
      <c r="H435" s="9">
        <v>45749</v>
      </c>
      <c r="I435">
        <v>22</v>
      </c>
      <c r="J435" t="s">
        <v>32</v>
      </c>
      <c r="K435">
        <v>14</v>
      </c>
      <c r="L435">
        <v>6</v>
      </c>
      <c r="M435" s="11">
        <v>4825.28</v>
      </c>
      <c r="N435" s="12">
        <v>9708.01</v>
      </c>
      <c r="O435" s="12">
        <v>3430.89</v>
      </c>
    </row>
    <row r="436" spans="1:15">
      <c r="A436" t="s">
        <v>602</v>
      </c>
      <c r="B436" t="s">
        <v>502</v>
      </c>
      <c r="C436" s="9">
        <v>29221</v>
      </c>
      <c r="D436">
        <v>46</v>
      </c>
      <c r="E436" t="s">
        <v>17</v>
      </c>
      <c r="F436" t="s">
        <v>74</v>
      </c>
      <c r="G436" s="9">
        <v>44935</v>
      </c>
      <c r="H436" s="9">
        <v>45005</v>
      </c>
      <c r="I436">
        <v>14</v>
      </c>
      <c r="J436" t="s">
        <v>26</v>
      </c>
      <c r="K436">
        <v>9</v>
      </c>
      <c r="L436">
        <v>6</v>
      </c>
      <c r="M436" s="11">
        <v>23239.26</v>
      </c>
      <c r="N436" s="12">
        <v>7075.06</v>
      </c>
      <c r="O436" s="12">
        <v>986.18</v>
      </c>
    </row>
    <row r="437" spans="1:15">
      <c r="A437" t="s">
        <v>603</v>
      </c>
      <c r="B437" t="s">
        <v>149</v>
      </c>
      <c r="C437" s="9">
        <v>26299</v>
      </c>
      <c r="D437">
        <v>54</v>
      </c>
      <c r="E437" t="s">
        <v>17</v>
      </c>
      <c r="F437" t="s">
        <v>49</v>
      </c>
      <c r="G437" s="9">
        <v>45250</v>
      </c>
      <c r="H437" s="9">
        <v>45458</v>
      </c>
      <c r="I437">
        <v>19</v>
      </c>
      <c r="J437" t="s">
        <v>32</v>
      </c>
      <c r="K437">
        <v>4</v>
      </c>
      <c r="L437">
        <v>3</v>
      </c>
      <c r="M437" s="11">
        <v>7103.01</v>
      </c>
      <c r="N437" s="12">
        <v>3267.67</v>
      </c>
      <c r="O437" s="12">
        <v>10704.1</v>
      </c>
    </row>
    <row r="438" spans="1:15">
      <c r="A438" t="s">
        <v>604</v>
      </c>
      <c r="B438" t="s">
        <v>176</v>
      </c>
      <c r="C438" s="9">
        <v>31778</v>
      </c>
      <c r="D438">
        <v>39</v>
      </c>
      <c r="E438" t="s">
        <v>17</v>
      </c>
      <c r="F438" t="s">
        <v>74</v>
      </c>
      <c r="G438" s="9">
        <v>45093</v>
      </c>
      <c r="H438" s="9">
        <v>45644</v>
      </c>
      <c r="I438">
        <v>26</v>
      </c>
      <c r="J438" t="s">
        <v>32</v>
      </c>
      <c r="K438">
        <v>2</v>
      </c>
      <c r="L438">
        <v>9</v>
      </c>
      <c r="M438" s="11">
        <v>0</v>
      </c>
      <c r="N438" s="12">
        <v>650.5</v>
      </c>
      <c r="O438" s="12">
        <v>4920.97</v>
      </c>
    </row>
    <row r="439" spans="1:15">
      <c r="A439" t="s">
        <v>605</v>
      </c>
      <c r="B439" t="s">
        <v>273</v>
      </c>
      <c r="C439" s="9">
        <v>27395</v>
      </c>
      <c r="D439">
        <v>51</v>
      </c>
      <c r="E439" t="s">
        <v>21</v>
      </c>
      <c r="F439" t="s">
        <v>5184</v>
      </c>
      <c r="G439" s="9">
        <v>45263</v>
      </c>
      <c r="H439" s="9">
        <v>45282</v>
      </c>
      <c r="I439">
        <v>23</v>
      </c>
      <c r="J439" t="s">
        <v>26</v>
      </c>
      <c r="K439">
        <v>13</v>
      </c>
      <c r="L439">
        <v>1</v>
      </c>
      <c r="M439" s="11">
        <v>9983.7099999999991</v>
      </c>
      <c r="N439" s="12">
        <v>8081.48</v>
      </c>
      <c r="O439" s="12">
        <v>2995.02</v>
      </c>
    </row>
    <row r="440" spans="1:15">
      <c r="A440" t="s">
        <v>606</v>
      </c>
      <c r="B440" t="s">
        <v>198</v>
      </c>
      <c r="C440" s="9">
        <v>40544</v>
      </c>
      <c r="D440">
        <v>15</v>
      </c>
      <c r="E440" t="s">
        <v>21</v>
      </c>
      <c r="F440" t="s">
        <v>74</v>
      </c>
      <c r="G440" s="9">
        <v>45305</v>
      </c>
      <c r="H440" s="9">
        <v>45763</v>
      </c>
      <c r="I440">
        <v>31</v>
      </c>
      <c r="J440" t="s">
        <v>35</v>
      </c>
      <c r="K440">
        <v>7</v>
      </c>
      <c r="L440">
        <v>1</v>
      </c>
      <c r="M440" s="11">
        <v>4158.95</v>
      </c>
      <c r="N440" s="12">
        <v>1894.44</v>
      </c>
      <c r="O440" s="12">
        <v>10153.959999999999</v>
      </c>
    </row>
    <row r="441" spans="1:15">
      <c r="A441" t="s">
        <v>607</v>
      </c>
      <c r="B441" t="s">
        <v>67</v>
      </c>
      <c r="C441" s="9">
        <f>DATE(2026-D401,1,1)</f>
        <v>43466</v>
      </c>
      <c r="D441">
        <v>12</v>
      </c>
      <c r="E441" t="s">
        <v>17</v>
      </c>
      <c r="F441" t="s">
        <v>22</v>
      </c>
      <c r="G441" s="9">
        <v>45629</v>
      </c>
      <c r="H441" s="9">
        <v>44960</v>
      </c>
      <c r="I441">
        <v>23</v>
      </c>
      <c r="J441" t="s">
        <v>32</v>
      </c>
      <c r="K441">
        <v>13</v>
      </c>
      <c r="L441">
        <v>7</v>
      </c>
      <c r="M441" s="11">
        <v>12745.07</v>
      </c>
      <c r="N441" s="12">
        <v>13941.29</v>
      </c>
      <c r="O441" s="12">
        <v>12643.7</v>
      </c>
    </row>
    <row r="442" spans="1:15">
      <c r="A442" t="s">
        <v>608</v>
      </c>
      <c r="B442" t="s">
        <v>20</v>
      </c>
      <c r="C442" s="9">
        <v>35430</v>
      </c>
      <c r="D442">
        <f ca="1">DATEDIF(C393,TODAY(),"Y")</f>
        <v>12</v>
      </c>
      <c r="E442" t="s">
        <v>17</v>
      </c>
      <c r="F442" t="s">
        <v>22</v>
      </c>
      <c r="G442" s="9">
        <v>45168</v>
      </c>
      <c r="H442" s="9">
        <v>45589</v>
      </c>
      <c r="I442">
        <v>6</v>
      </c>
      <c r="J442" t="s">
        <v>35</v>
      </c>
      <c r="K442">
        <v>10</v>
      </c>
      <c r="L442">
        <v>3</v>
      </c>
      <c r="M442" s="11">
        <v>1949.92</v>
      </c>
      <c r="N442" s="12">
        <v>2259.48</v>
      </c>
      <c r="O442" s="12">
        <v>15419.26</v>
      </c>
    </row>
    <row r="443" spans="1:15">
      <c r="A443" t="s">
        <v>609</v>
      </c>
      <c r="B443" t="s">
        <v>367</v>
      </c>
      <c r="C443" s="9">
        <v>39448</v>
      </c>
      <c r="D443">
        <v>18</v>
      </c>
      <c r="E443" t="s">
        <v>21</v>
      </c>
      <c r="F443" t="s">
        <v>29</v>
      </c>
      <c r="G443" s="9">
        <v>45592</v>
      </c>
      <c r="H443" s="9">
        <v>45632</v>
      </c>
      <c r="I443">
        <v>37</v>
      </c>
      <c r="J443" t="s">
        <v>26</v>
      </c>
      <c r="K443">
        <v>9</v>
      </c>
      <c r="L443">
        <v>6</v>
      </c>
      <c r="M443" s="11">
        <v>12527.04</v>
      </c>
      <c r="N443" s="12">
        <v>480.38</v>
      </c>
      <c r="O443" s="12">
        <v>251.62</v>
      </c>
    </row>
    <row r="444" spans="1:15">
      <c r="A444" t="s">
        <v>610</v>
      </c>
      <c r="B444" t="s">
        <v>226</v>
      </c>
      <c r="C444" s="9">
        <v>40178</v>
      </c>
      <c r="D444">
        <f ca="1">DATEDIF(C395,TODAY(),"Y")</f>
        <v>6</v>
      </c>
      <c r="E444" t="s">
        <v>17</v>
      </c>
      <c r="F444" t="s">
        <v>22</v>
      </c>
      <c r="G444" s="9">
        <v>45086</v>
      </c>
      <c r="H444" s="9">
        <v>45066</v>
      </c>
      <c r="I444">
        <v>8</v>
      </c>
      <c r="J444" t="s">
        <v>35</v>
      </c>
      <c r="K444">
        <v>14</v>
      </c>
      <c r="L444">
        <v>2</v>
      </c>
      <c r="M444" s="11">
        <v>9867.32</v>
      </c>
      <c r="N444" s="12">
        <v>3930.71</v>
      </c>
      <c r="O444" s="12">
        <v>10478.32</v>
      </c>
    </row>
    <row r="445" spans="1:15">
      <c r="A445" t="s">
        <v>611</v>
      </c>
      <c r="B445" t="s">
        <v>110</v>
      </c>
      <c r="C445" s="9">
        <v>23377</v>
      </c>
      <c r="D445">
        <v>62</v>
      </c>
      <c r="E445" t="s">
        <v>21</v>
      </c>
      <c r="F445" t="s">
        <v>74</v>
      </c>
      <c r="G445" s="9">
        <v>45161</v>
      </c>
      <c r="H445" s="9">
        <v>45199</v>
      </c>
      <c r="I445">
        <v>4</v>
      </c>
      <c r="J445" t="s">
        <v>32</v>
      </c>
      <c r="K445">
        <v>2</v>
      </c>
      <c r="L445">
        <v>8</v>
      </c>
      <c r="M445" s="11">
        <v>9817.1</v>
      </c>
      <c r="N445" s="12">
        <v>2624.35</v>
      </c>
      <c r="O445" s="12">
        <v>5268.13</v>
      </c>
    </row>
    <row r="446" spans="1:15">
      <c r="A446" t="s">
        <v>612</v>
      </c>
      <c r="B446" t="s">
        <v>336</v>
      </c>
      <c r="C446" s="9">
        <v>39448</v>
      </c>
      <c r="D446">
        <v>18</v>
      </c>
      <c r="E446" t="s">
        <v>17</v>
      </c>
      <c r="F446" t="s">
        <v>25</v>
      </c>
      <c r="G446" s="9">
        <v>45379</v>
      </c>
      <c r="H446" s="9">
        <v>45123</v>
      </c>
      <c r="I446">
        <v>27</v>
      </c>
      <c r="J446" t="s">
        <v>26</v>
      </c>
      <c r="K446">
        <v>1</v>
      </c>
      <c r="L446">
        <v>9</v>
      </c>
      <c r="M446" s="11">
        <v>19650.560000000001</v>
      </c>
      <c r="N446" s="12">
        <v>11868.57</v>
      </c>
      <c r="O446" s="12">
        <v>19830.97</v>
      </c>
    </row>
    <row r="447" spans="1:15">
      <c r="A447" t="s">
        <v>613</v>
      </c>
      <c r="B447" t="s">
        <v>332</v>
      </c>
      <c r="C447" s="9">
        <v>12785</v>
      </c>
      <c r="D447">
        <v>91</v>
      </c>
      <c r="E447" t="s">
        <v>17</v>
      </c>
      <c r="F447" t="s">
        <v>74</v>
      </c>
      <c r="G447" s="9">
        <v>45125</v>
      </c>
      <c r="H447" s="9">
        <v>45054</v>
      </c>
      <c r="I447">
        <v>1</v>
      </c>
      <c r="J447" t="s">
        <v>35</v>
      </c>
      <c r="K447">
        <v>9</v>
      </c>
      <c r="L447">
        <v>8</v>
      </c>
      <c r="M447" s="11">
        <v>22955.200000000001</v>
      </c>
      <c r="N447" s="12">
        <v>4340.1400000000003</v>
      </c>
      <c r="O447" s="12">
        <v>3054.43</v>
      </c>
    </row>
    <row r="448" spans="1:15">
      <c r="A448" t="s">
        <v>614</v>
      </c>
      <c r="B448" t="s">
        <v>615</v>
      </c>
      <c r="C448" s="9">
        <v>25203</v>
      </c>
      <c r="D448">
        <v>57</v>
      </c>
      <c r="E448" t="s">
        <v>17</v>
      </c>
      <c r="F448" t="s">
        <v>5184</v>
      </c>
      <c r="G448" s="9">
        <v>45403</v>
      </c>
      <c r="H448" s="9">
        <v>45276</v>
      </c>
      <c r="I448">
        <v>27</v>
      </c>
      <c r="J448" t="s">
        <v>35</v>
      </c>
      <c r="K448">
        <v>3</v>
      </c>
      <c r="L448">
        <v>6</v>
      </c>
      <c r="M448" s="11">
        <v>10357.950000000001</v>
      </c>
      <c r="N448" s="12">
        <v>3678.61</v>
      </c>
      <c r="O448" s="12">
        <v>8700.7000000000007</v>
      </c>
    </row>
    <row r="449" spans="1:15">
      <c r="A449" t="s">
        <v>616</v>
      </c>
      <c r="B449" t="s">
        <v>135</v>
      </c>
      <c r="C449" s="9">
        <v>26299</v>
      </c>
      <c r="D449">
        <f ca="1">DATEDIF(C400,TODAY(),"Y")</f>
        <v>64</v>
      </c>
      <c r="E449" t="s">
        <v>21</v>
      </c>
      <c r="F449" t="s">
        <v>49</v>
      </c>
      <c r="G449" s="9">
        <v>44959</v>
      </c>
      <c r="H449" s="9">
        <v>45670</v>
      </c>
      <c r="I449">
        <v>1</v>
      </c>
      <c r="J449" t="s">
        <v>32</v>
      </c>
      <c r="K449">
        <v>13</v>
      </c>
      <c r="L449">
        <v>6</v>
      </c>
      <c r="M449" s="11">
        <v>7491.45</v>
      </c>
      <c r="N449" s="12">
        <v>14922.13</v>
      </c>
      <c r="O449" s="12">
        <v>19397.53</v>
      </c>
    </row>
    <row r="450" spans="1:15">
      <c r="A450" t="s">
        <v>617</v>
      </c>
      <c r="B450" t="s">
        <v>123</v>
      </c>
      <c r="C450" s="9">
        <v>13515</v>
      </c>
      <c r="D450">
        <v>89</v>
      </c>
      <c r="E450" t="s">
        <v>17</v>
      </c>
      <c r="F450" t="s">
        <v>18</v>
      </c>
      <c r="G450" s="9">
        <v>45334</v>
      </c>
      <c r="H450" s="9">
        <v>44971</v>
      </c>
      <c r="I450">
        <v>11</v>
      </c>
      <c r="J450" t="s">
        <v>32</v>
      </c>
      <c r="K450">
        <v>2</v>
      </c>
      <c r="L450">
        <v>0</v>
      </c>
      <c r="M450" s="11">
        <v>14577.66</v>
      </c>
      <c r="N450" s="12">
        <v>2250.9299999999998</v>
      </c>
      <c r="O450" s="12">
        <v>4183.25</v>
      </c>
    </row>
    <row r="451" spans="1:15">
      <c r="A451" t="s">
        <v>618</v>
      </c>
      <c r="B451" t="s">
        <v>619</v>
      </c>
      <c r="C451" s="9">
        <v>13515</v>
      </c>
      <c r="D451">
        <v>89</v>
      </c>
      <c r="E451" t="s">
        <v>21</v>
      </c>
      <c r="F451" t="s">
        <v>5184</v>
      </c>
      <c r="G451" s="9">
        <v>45015</v>
      </c>
      <c r="H451" s="9">
        <v>45669</v>
      </c>
      <c r="I451">
        <v>10</v>
      </c>
      <c r="J451" t="s">
        <v>32</v>
      </c>
      <c r="K451">
        <v>0</v>
      </c>
      <c r="L451">
        <v>9</v>
      </c>
      <c r="M451" s="11">
        <v>23525.43</v>
      </c>
      <c r="N451" s="12">
        <v>1274.98</v>
      </c>
      <c r="O451" s="12">
        <v>16118.64</v>
      </c>
    </row>
    <row r="452" spans="1:15">
      <c r="A452" t="s">
        <v>620</v>
      </c>
      <c r="B452" t="s">
        <v>524</v>
      </c>
      <c r="C452" s="9">
        <v>23742</v>
      </c>
      <c r="D452">
        <v>61</v>
      </c>
      <c r="E452" t="s">
        <v>21</v>
      </c>
      <c r="F452" t="s">
        <v>29</v>
      </c>
      <c r="G452" s="9">
        <v>45533</v>
      </c>
      <c r="H452" s="9">
        <v>45655</v>
      </c>
      <c r="I452">
        <v>22</v>
      </c>
      <c r="J452" t="s">
        <v>35</v>
      </c>
      <c r="K452">
        <v>1</v>
      </c>
      <c r="L452">
        <v>7</v>
      </c>
      <c r="M452" s="11">
        <v>19159.48</v>
      </c>
      <c r="N452" s="12">
        <v>4584.3599999999997</v>
      </c>
      <c r="O452" s="12">
        <v>4785.09</v>
      </c>
    </row>
    <row r="453" spans="1:15">
      <c r="A453" t="s">
        <v>621</v>
      </c>
      <c r="B453" t="s">
        <v>524</v>
      </c>
      <c r="C453" s="9">
        <v>37987</v>
      </c>
      <c r="D453">
        <v>22</v>
      </c>
      <c r="E453" t="s">
        <v>21</v>
      </c>
      <c r="F453" t="s">
        <v>22</v>
      </c>
      <c r="G453" s="9">
        <v>45147</v>
      </c>
      <c r="H453" s="9">
        <v>45171</v>
      </c>
      <c r="I453">
        <v>10</v>
      </c>
      <c r="J453" t="s">
        <v>32</v>
      </c>
      <c r="K453">
        <v>5</v>
      </c>
      <c r="L453">
        <v>1</v>
      </c>
      <c r="M453" s="11">
        <v>659.04</v>
      </c>
      <c r="N453" s="12">
        <v>6076.35</v>
      </c>
      <c r="O453" s="12">
        <v>1412.8</v>
      </c>
    </row>
    <row r="454" spans="1:15">
      <c r="A454" t="s">
        <v>622</v>
      </c>
      <c r="B454" t="s">
        <v>412</v>
      </c>
      <c r="C454" s="9">
        <v>43100</v>
      </c>
      <c r="D454">
        <v>8</v>
      </c>
      <c r="E454" t="s">
        <v>17</v>
      </c>
      <c r="F454" t="s">
        <v>25</v>
      </c>
      <c r="G454" s="9">
        <v>44995</v>
      </c>
      <c r="H454" s="9">
        <v>44936</v>
      </c>
      <c r="I454">
        <v>10</v>
      </c>
      <c r="J454" t="s">
        <v>26</v>
      </c>
      <c r="K454">
        <v>10</v>
      </c>
      <c r="L454">
        <v>7</v>
      </c>
      <c r="M454" s="11">
        <v>14137.85</v>
      </c>
      <c r="N454" s="12">
        <v>11406.36</v>
      </c>
      <c r="O454" s="12">
        <v>759.38</v>
      </c>
    </row>
    <row r="455" spans="1:15">
      <c r="A455" t="s">
        <v>623</v>
      </c>
      <c r="B455" t="s">
        <v>87</v>
      </c>
      <c r="C455" s="9">
        <v>42005</v>
      </c>
      <c r="D455">
        <v>11</v>
      </c>
      <c r="E455" t="s">
        <v>21</v>
      </c>
      <c r="F455" t="s">
        <v>5184</v>
      </c>
      <c r="G455" s="9">
        <v>45220</v>
      </c>
      <c r="H455" s="9">
        <v>45689</v>
      </c>
      <c r="I455">
        <v>34</v>
      </c>
      <c r="J455" t="s">
        <v>26</v>
      </c>
      <c r="K455">
        <v>0</v>
      </c>
      <c r="L455">
        <v>1</v>
      </c>
      <c r="M455" s="11">
        <v>0</v>
      </c>
      <c r="N455" s="12">
        <v>14331.66</v>
      </c>
      <c r="O455" s="12">
        <v>18969.650000000001</v>
      </c>
    </row>
    <row r="456" spans="1:15">
      <c r="A456" t="s">
        <v>624</v>
      </c>
      <c r="B456" t="s">
        <v>117</v>
      </c>
      <c r="C456" s="9">
        <v>46022</v>
      </c>
      <c r="D456">
        <v>0</v>
      </c>
      <c r="E456" t="s">
        <v>21</v>
      </c>
      <c r="F456" t="s">
        <v>18</v>
      </c>
      <c r="G456" s="9">
        <v>45163</v>
      </c>
      <c r="H456" s="9">
        <v>45639</v>
      </c>
      <c r="I456">
        <v>3</v>
      </c>
      <c r="J456" t="s">
        <v>26</v>
      </c>
      <c r="K456">
        <v>1</v>
      </c>
      <c r="L456">
        <v>0</v>
      </c>
      <c r="M456" s="11">
        <v>10270.39</v>
      </c>
      <c r="N456" s="12">
        <v>11455.16</v>
      </c>
      <c r="O456" s="12">
        <v>4179.16</v>
      </c>
    </row>
    <row r="457" spans="1:15">
      <c r="A457" t="s">
        <v>625</v>
      </c>
      <c r="B457" t="s">
        <v>174</v>
      </c>
      <c r="C457" s="9">
        <v>25203</v>
      </c>
      <c r="D457">
        <v>57</v>
      </c>
      <c r="E457" t="s">
        <v>17</v>
      </c>
      <c r="F457" t="s">
        <v>25</v>
      </c>
      <c r="G457" s="9">
        <v>45086</v>
      </c>
      <c r="H457" s="9">
        <v>45773</v>
      </c>
      <c r="I457">
        <v>23</v>
      </c>
      <c r="J457" t="s">
        <v>35</v>
      </c>
      <c r="K457">
        <v>0</v>
      </c>
      <c r="L457">
        <v>7</v>
      </c>
      <c r="M457" s="11">
        <v>12941.86</v>
      </c>
      <c r="N457" s="12">
        <v>10899.58</v>
      </c>
      <c r="O457" s="12">
        <v>5768.3</v>
      </c>
    </row>
    <row r="458" spans="1:15">
      <c r="A458" t="s">
        <v>626</v>
      </c>
      <c r="B458" t="s">
        <v>129</v>
      </c>
      <c r="C458" s="9">
        <v>46022</v>
      </c>
      <c r="D458">
        <v>0</v>
      </c>
      <c r="E458" t="s">
        <v>17</v>
      </c>
      <c r="F458" t="s">
        <v>29</v>
      </c>
      <c r="G458" s="9">
        <v>45216</v>
      </c>
      <c r="H458" s="9">
        <v>45006</v>
      </c>
      <c r="I458">
        <v>11</v>
      </c>
      <c r="J458" t="s">
        <v>35</v>
      </c>
      <c r="K458">
        <v>10</v>
      </c>
      <c r="L458">
        <v>3</v>
      </c>
      <c r="M458" s="11">
        <v>8265.91</v>
      </c>
      <c r="N458" s="12">
        <v>14871.72</v>
      </c>
      <c r="O458" s="12">
        <v>19334.89</v>
      </c>
    </row>
    <row r="459" spans="1:15">
      <c r="A459" t="s">
        <v>627</v>
      </c>
      <c r="B459" t="s">
        <v>524</v>
      </c>
      <c r="C459" s="9">
        <v>33969</v>
      </c>
      <c r="D459">
        <v>33</v>
      </c>
      <c r="E459" t="s">
        <v>17</v>
      </c>
      <c r="F459" t="s">
        <v>22</v>
      </c>
      <c r="G459" s="9">
        <v>45480</v>
      </c>
      <c r="H459" s="9">
        <v>45684</v>
      </c>
      <c r="I459">
        <v>5</v>
      </c>
      <c r="J459" t="s">
        <v>26</v>
      </c>
      <c r="K459">
        <v>6</v>
      </c>
      <c r="L459">
        <v>9</v>
      </c>
      <c r="M459" s="11">
        <v>14679.69</v>
      </c>
      <c r="N459" s="12">
        <v>11480.46</v>
      </c>
      <c r="O459" s="12">
        <v>13113.56</v>
      </c>
    </row>
    <row r="460" spans="1:15">
      <c r="A460" t="s">
        <v>628</v>
      </c>
      <c r="B460" t="s">
        <v>209</v>
      </c>
      <c r="C460" s="9">
        <v>28856</v>
      </c>
      <c r="D460">
        <v>47</v>
      </c>
      <c r="E460" t="s">
        <v>17</v>
      </c>
      <c r="F460" t="s">
        <v>49</v>
      </c>
      <c r="G460" s="9">
        <v>45504</v>
      </c>
      <c r="H460" s="9">
        <v>45117</v>
      </c>
      <c r="I460">
        <v>21</v>
      </c>
      <c r="J460" t="s">
        <v>32</v>
      </c>
      <c r="K460">
        <v>6</v>
      </c>
      <c r="L460">
        <v>5</v>
      </c>
      <c r="M460" s="11">
        <v>4408.1000000000004</v>
      </c>
      <c r="N460" s="12">
        <v>2093</v>
      </c>
      <c r="O460" s="12">
        <v>9711.35</v>
      </c>
    </row>
    <row r="461" spans="1:15">
      <c r="A461" t="s">
        <v>629</v>
      </c>
      <c r="B461" t="s">
        <v>539</v>
      </c>
      <c r="C461" s="9">
        <v>13880</v>
      </c>
      <c r="D461">
        <v>88</v>
      </c>
      <c r="E461" t="s">
        <v>21</v>
      </c>
      <c r="F461" t="s">
        <v>5184</v>
      </c>
      <c r="G461" s="9">
        <v>45459</v>
      </c>
      <c r="H461" s="9">
        <v>45013</v>
      </c>
      <c r="I461">
        <v>19</v>
      </c>
      <c r="J461" t="s">
        <v>32</v>
      </c>
      <c r="K461">
        <v>10</v>
      </c>
      <c r="L461">
        <v>9</v>
      </c>
      <c r="M461" s="11">
        <v>7033.92</v>
      </c>
      <c r="N461" s="12">
        <v>6922.95</v>
      </c>
      <c r="O461" s="12">
        <v>8651.98</v>
      </c>
    </row>
    <row r="462" spans="1:15">
      <c r="A462" t="s">
        <v>630</v>
      </c>
      <c r="B462" t="s">
        <v>151</v>
      </c>
      <c r="C462" s="9">
        <v>46022</v>
      </c>
      <c r="D462">
        <v>0</v>
      </c>
      <c r="E462" t="s">
        <v>17</v>
      </c>
      <c r="F462" t="s">
        <v>5184</v>
      </c>
      <c r="G462" s="9">
        <v>45261</v>
      </c>
      <c r="H462" s="9">
        <v>45412</v>
      </c>
      <c r="I462">
        <v>37</v>
      </c>
      <c r="J462" t="s">
        <v>32</v>
      </c>
      <c r="K462">
        <v>8</v>
      </c>
      <c r="L462">
        <v>9</v>
      </c>
      <c r="M462" s="11">
        <v>21207.96</v>
      </c>
      <c r="N462" s="12">
        <v>7552.57</v>
      </c>
      <c r="O462" s="12">
        <v>876.14</v>
      </c>
    </row>
    <row r="463" spans="1:15">
      <c r="A463" t="s">
        <v>631</v>
      </c>
      <c r="B463" t="s">
        <v>201</v>
      </c>
      <c r="C463" s="9">
        <v>40544</v>
      </c>
      <c r="D463">
        <v>15</v>
      </c>
      <c r="E463" t="s">
        <v>17</v>
      </c>
      <c r="F463" t="s">
        <v>5184</v>
      </c>
      <c r="G463" s="9">
        <v>45508</v>
      </c>
      <c r="H463" s="9">
        <v>45198</v>
      </c>
      <c r="I463">
        <v>36</v>
      </c>
      <c r="J463" t="s">
        <v>32</v>
      </c>
      <c r="K463">
        <v>0</v>
      </c>
      <c r="L463">
        <v>0</v>
      </c>
      <c r="M463" s="11">
        <v>3717.75</v>
      </c>
      <c r="N463" s="12">
        <v>4572.1499999999996</v>
      </c>
      <c r="O463" s="12">
        <v>16762.79</v>
      </c>
    </row>
    <row r="464" spans="1:15">
      <c r="A464" t="s">
        <v>632</v>
      </c>
      <c r="B464" t="s">
        <v>427</v>
      </c>
      <c r="C464" s="9">
        <f>DATE(2026-D424,1,1)</f>
        <v>31048</v>
      </c>
      <c r="D464">
        <v>60</v>
      </c>
      <c r="E464" t="s">
        <v>21</v>
      </c>
      <c r="F464" t="s">
        <v>29</v>
      </c>
      <c r="G464" s="9">
        <v>45428</v>
      </c>
      <c r="H464" s="9">
        <v>45701</v>
      </c>
      <c r="I464">
        <v>18</v>
      </c>
      <c r="J464" t="s">
        <v>26</v>
      </c>
      <c r="K464">
        <v>4</v>
      </c>
      <c r="L464">
        <v>8</v>
      </c>
      <c r="M464" s="11">
        <v>27747.38</v>
      </c>
      <c r="N464" s="12">
        <v>2464.13</v>
      </c>
      <c r="O464" s="12">
        <v>15216.93</v>
      </c>
    </row>
    <row r="465" spans="1:15">
      <c r="A465" t="s">
        <v>633</v>
      </c>
      <c r="B465" t="s">
        <v>286</v>
      </c>
      <c r="C465" s="9">
        <v>23012</v>
      </c>
      <c r="D465">
        <v>63</v>
      </c>
      <c r="E465" t="s">
        <v>21</v>
      </c>
      <c r="F465" t="s">
        <v>25</v>
      </c>
      <c r="G465" s="9">
        <v>45172</v>
      </c>
      <c r="H465" s="9">
        <v>45440</v>
      </c>
      <c r="I465">
        <v>23</v>
      </c>
      <c r="J465" t="s">
        <v>35</v>
      </c>
      <c r="K465">
        <v>9</v>
      </c>
      <c r="L465">
        <v>6</v>
      </c>
      <c r="M465" s="11">
        <v>8892.7900000000009</v>
      </c>
      <c r="N465" s="12">
        <v>10676.11</v>
      </c>
      <c r="O465" s="12">
        <v>1723.02</v>
      </c>
    </row>
    <row r="466" spans="1:15">
      <c r="A466" t="s">
        <v>634</v>
      </c>
      <c r="B466" t="s">
        <v>546</v>
      </c>
      <c r="C466" s="9">
        <v>23377</v>
      </c>
      <c r="D466">
        <v>62</v>
      </c>
      <c r="E466" t="s">
        <v>21</v>
      </c>
      <c r="F466" t="s">
        <v>25</v>
      </c>
      <c r="G466" s="9">
        <v>45249</v>
      </c>
      <c r="H466" s="9">
        <v>44947</v>
      </c>
      <c r="I466">
        <v>7</v>
      </c>
      <c r="J466" t="s">
        <v>35</v>
      </c>
      <c r="K466">
        <v>10</v>
      </c>
      <c r="L466">
        <v>4</v>
      </c>
      <c r="M466" s="11">
        <v>17038.27</v>
      </c>
      <c r="N466" s="12">
        <v>4162.42</v>
      </c>
      <c r="O466" s="12">
        <v>7004.49</v>
      </c>
    </row>
    <row r="467" spans="1:15">
      <c r="A467" t="s">
        <v>635</v>
      </c>
      <c r="B467" t="s">
        <v>151</v>
      </c>
      <c r="C467" s="9">
        <v>21185</v>
      </c>
      <c r="D467">
        <v>68</v>
      </c>
      <c r="E467" t="s">
        <v>21</v>
      </c>
      <c r="F467" t="s">
        <v>29</v>
      </c>
      <c r="G467" s="9">
        <v>45537</v>
      </c>
      <c r="H467" s="9">
        <v>45416</v>
      </c>
      <c r="I467">
        <v>10</v>
      </c>
      <c r="J467" t="s">
        <v>32</v>
      </c>
      <c r="K467">
        <v>9</v>
      </c>
      <c r="L467">
        <v>5</v>
      </c>
      <c r="M467" s="11">
        <v>0</v>
      </c>
      <c r="N467" s="12">
        <v>9369.82</v>
      </c>
      <c r="O467" s="12">
        <v>17696.740000000002</v>
      </c>
    </row>
    <row r="468" spans="1:15">
      <c r="A468" t="s">
        <v>636</v>
      </c>
      <c r="B468" t="s">
        <v>174</v>
      </c>
      <c r="C468" s="9">
        <v>38352</v>
      </c>
      <c r="D468">
        <v>21</v>
      </c>
      <c r="E468" t="s">
        <v>17</v>
      </c>
      <c r="F468" t="s">
        <v>5184</v>
      </c>
      <c r="G468" s="9">
        <v>45255</v>
      </c>
      <c r="H468" s="9">
        <v>45057</v>
      </c>
      <c r="I468">
        <v>39</v>
      </c>
      <c r="J468" t="s">
        <v>26</v>
      </c>
      <c r="K468">
        <v>9</v>
      </c>
      <c r="L468">
        <v>2</v>
      </c>
      <c r="M468" s="11">
        <v>14079.94</v>
      </c>
      <c r="N468" s="12">
        <v>4838.8500000000004</v>
      </c>
      <c r="O468" s="12">
        <v>4652.47</v>
      </c>
    </row>
    <row r="469" spans="1:15">
      <c r="A469" t="s">
        <v>637</v>
      </c>
      <c r="B469" t="s">
        <v>246</v>
      </c>
      <c r="C469" s="9">
        <v>12419</v>
      </c>
      <c r="D469">
        <v>92</v>
      </c>
      <c r="E469" t="s">
        <v>17</v>
      </c>
      <c r="F469" t="s">
        <v>74</v>
      </c>
      <c r="G469" s="9">
        <v>45473</v>
      </c>
      <c r="H469" s="9">
        <v>45765</v>
      </c>
      <c r="I469">
        <v>11</v>
      </c>
      <c r="J469" t="s">
        <v>32</v>
      </c>
      <c r="K469">
        <v>5</v>
      </c>
      <c r="L469">
        <v>8</v>
      </c>
      <c r="M469" s="11">
        <v>27065.94</v>
      </c>
      <c r="N469" s="12">
        <v>7593.54</v>
      </c>
      <c r="O469" s="12">
        <v>12185.8</v>
      </c>
    </row>
    <row r="470" spans="1:15">
      <c r="A470" t="s">
        <v>638</v>
      </c>
      <c r="B470" t="s">
        <v>65</v>
      </c>
      <c r="C470" s="9">
        <v>21916</v>
      </c>
      <c r="D470">
        <v>66</v>
      </c>
      <c r="E470" t="s">
        <v>17</v>
      </c>
      <c r="F470" t="s">
        <v>29</v>
      </c>
      <c r="G470" s="9">
        <v>45265</v>
      </c>
      <c r="H470" s="9">
        <v>45697</v>
      </c>
      <c r="I470">
        <v>6</v>
      </c>
      <c r="J470" t="s">
        <v>32</v>
      </c>
      <c r="K470">
        <v>1</v>
      </c>
      <c r="L470">
        <v>1</v>
      </c>
      <c r="M470" s="11">
        <v>1591.61</v>
      </c>
      <c r="N470" s="12">
        <v>5055.79</v>
      </c>
      <c r="O470" s="12">
        <v>9707.51</v>
      </c>
    </row>
    <row r="471" spans="1:15">
      <c r="A471" t="s">
        <v>639</v>
      </c>
      <c r="B471" t="s">
        <v>59</v>
      </c>
      <c r="C471" s="9">
        <f>DATE(2026-D431,1,1)</f>
        <v>24473</v>
      </c>
      <c r="D471">
        <v>75</v>
      </c>
      <c r="E471" t="s">
        <v>17</v>
      </c>
      <c r="F471" t="s">
        <v>22</v>
      </c>
      <c r="G471" s="9">
        <v>45097</v>
      </c>
      <c r="H471" s="9">
        <v>45570</v>
      </c>
      <c r="I471">
        <v>4</v>
      </c>
      <c r="J471" t="s">
        <v>26</v>
      </c>
      <c r="K471">
        <v>5</v>
      </c>
      <c r="L471">
        <v>9</v>
      </c>
      <c r="M471" s="11">
        <v>25618.45</v>
      </c>
      <c r="N471" s="12">
        <v>6176.38</v>
      </c>
      <c r="O471" s="12">
        <v>16352.29</v>
      </c>
    </row>
    <row r="472" spans="1:15">
      <c r="A472" t="s">
        <v>640</v>
      </c>
      <c r="B472" t="s">
        <v>343</v>
      </c>
      <c r="C472" s="9">
        <v>36891</v>
      </c>
      <c r="D472">
        <v>25</v>
      </c>
      <c r="E472" t="s">
        <v>21</v>
      </c>
      <c r="F472" t="s">
        <v>22</v>
      </c>
      <c r="G472" s="9">
        <v>45036</v>
      </c>
      <c r="H472" s="9">
        <v>44934</v>
      </c>
      <c r="I472">
        <v>36</v>
      </c>
      <c r="J472" t="s">
        <v>26</v>
      </c>
      <c r="K472">
        <v>10</v>
      </c>
      <c r="L472">
        <v>0</v>
      </c>
      <c r="M472" s="11">
        <v>16506</v>
      </c>
      <c r="N472" s="12">
        <v>10981</v>
      </c>
      <c r="O472" s="12">
        <v>624.67999999999995</v>
      </c>
    </row>
    <row r="473" spans="1:15">
      <c r="A473" t="s">
        <v>641</v>
      </c>
      <c r="B473" t="s">
        <v>343</v>
      </c>
      <c r="C473" s="9">
        <v>40544</v>
      </c>
      <c r="D473">
        <v>15</v>
      </c>
      <c r="E473" t="s">
        <v>17</v>
      </c>
      <c r="F473" t="s">
        <v>49</v>
      </c>
      <c r="G473" s="9">
        <v>44936</v>
      </c>
      <c r="H473" s="9">
        <v>45779</v>
      </c>
      <c r="I473">
        <v>28</v>
      </c>
      <c r="J473" t="s">
        <v>26</v>
      </c>
      <c r="K473">
        <v>9</v>
      </c>
      <c r="L473">
        <v>0</v>
      </c>
      <c r="M473" s="11">
        <v>19784.669999999998</v>
      </c>
      <c r="N473" s="12">
        <v>13257.37</v>
      </c>
      <c r="O473" s="12">
        <v>16304.56</v>
      </c>
    </row>
    <row r="474" spans="1:15">
      <c r="A474" t="s">
        <v>642</v>
      </c>
      <c r="B474" t="s">
        <v>145</v>
      </c>
      <c r="C474" s="9">
        <v>27760</v>
      </c>
      <c r="D474">
        <v>50</v>
      </c>
      <c r="E474" t="s">
        <v>21</v>
      </c>
      <c r="F474" t="s">
        <v>29</v>
      </c>
      <c r="G474" s="9">
        <v>45128</v>
      </c>
      <c r="H474" s="9">
        <v>45680</v>
      </c>
      <c r="I474">
        <v>13</v>
      </c>
      <c r="J474" t="s">
        <v>32</v>
      </c>
      <c r="K474">
        <v>6</v>
      </c>
      <c r="L474">
        <v>9</v>
      </c>
      <c r="M474" s="11">
        <v>1204.56</v>
      </c>
      <c r="N474" s="12">
        <v>7631.19</v>
      </c>
      <c r="O474" s="12">
        <v>2627.96</v>
      </c>
    </row>
    <row r="475" spans="1:15">
      <c r="A475" t="s">
        <v>643</v>
      </c>
      <c r="B475" t="s">
        <v>539</v>
      </c>
      <c r="C475" s="9">
        <v>14976</v>
      </c>
      <c r="D475">
        <v>85</v>
      </c>
      <c r="E475" t="s">
        <v>5185</v>
      </c>
      <c r="F475" t="s">
        <v>18</v>
      </c>
      <c r="G475" s="9">
        <v>45183</v>
      </c>
      <c r="H475" s="9">
        <v>45631</v>
      </c>
      <c r="I475">
        <v>5</v>
      </c>
      <c r="J475" t="s">
        <v>26</v>
      </c>
      <c r="K475">
        <v>7</v>
      </c>
      <c r="L475">
        <v>1</v>
      </c>
      <c r="M475" s="11">
        <v>22722.67</v>
      </c>
      <c r="N475" s="12">
        <v>9153.77</v>
      </c>
      <c r="O475" s="12">
        <v>202.96</v>
      </c>
    </row>
    <row r="476" spans="1:15">
      <c r="A476" t="s">
        <v>644</v>
      </c>
      <c r="B476" t="s">
        <v>82</v>
      </c>
      <c r="C476" s="9">
        <v>25568</v>
      </c>
      <c r="D476">
        <v>56</v>
      </c>
      <c r="E476" t="s">
        <v>21</v>
      </c>
      <c r="F476" t="s">
        <v>22</v>
      </c>
      <c r="G476" s="9">
        <v>45188</v>
      </c>
      <c r="H476" s="9">
        <v>45237</v>
      </c>
      <c r="I476">
        <v>12</v>
      </c>
      <c r="J476" t="s">
        <v>32</v>
      </c>
      <c r="K476">
        <v>12</v>
      </c>
      <c r="L476">
        <v>5</v>
      </c>
      <c r="M476" s="11">
        <v>3397.24</v>
      </c>
      <c r="N476" s="12">
        <v>12966.15</v>
      </c>
      <c r="O476" s="12">
        <v>11869.57</v>
      </c>
    </row>
    <row r="477" spans="1:15">
      <c r="A477" t="s">
        <v>645</v>
      </c>
      <c r="B477" t="s">
        <v>338</v>
      </c>
      <c r="C477" s="9">
        <v>35795</v>
      </c>
      <c r="D477">
        <v>28</v>
      </c>
      <c r="E477" t="s">
        <v>17</v>
      </c>
      <c r="F477" t="s">
        <v>22</v>
      </c>
      <c r="G477" s="9">
        <v>45619</v>
      </c>
      <c r="H477" s="9">
        <v>45736</v>
      </c>
      <c r="I477">
        <v>22</v>
      </c>
      <c r="J477" t="s">
        <v>32</v>
      </c>
      <c r="K477">
        <v>6</v>
      </c>
      <c r="L477">
        <v>5</v>
      </c>
      <c r="M477" s="11">
        <v>0</v>
      </c>
      <c r="N477" s="12">
        <v>2148.34</v>
      </c>
      <c r="O477" s="12">
        <v>5098.6899999999996</v>
      </c>
    </row>
    <row r="478" spans="1:15">
      <c r="A478" t="s">
        <v>646</v>
      </c>
      <c r="B478" t="s">
        <v>237</v>
      </c>
      <c r="C478" s="9">
        <v>17898</v>
      </c>
      <c r="D478">
        <f ca="1">DATEDIF(C429,TODAY(),"Y")</f>
        <v>7</v>
      </c>
      <c r="E478" t="s">
        <v>21</v>
      </c>
      <c r="F478" t="s">
        <v>22</v>
      </c>
      <c r="G478" s="9">
        <v>45356</v>
      </c>
      <c r="H478" s="9">
        <v>45554</v>
      </c>
      <c r="I478">
        <v>35</v>
      </c>
      <c r="J478" t="s">
        <v>35</v>
      </c>
      <c r="K478">
        <v>1</v>
      </c>
      <c r="L478">
        <v>8</v>
      </c>
      <c r="M478" s="11">
        <v>23878.26</v>
      </c>
      <c r="N478" s="12">
        <v>2432.9699999999998</v>
      </c>
      <c r="O478" s="12">
        <v>14156.47</v>
      </c>
    </row>
    <row r="479" spans="1:15">
      <c r="A479" t="s">
        <v>647</v>
      </c>
      <c r="B479" t="s">
        <v>145</v>
      </c>
      <c r="C479" s="9">
        <v>12785</v>
      </c>
      <c r="D479">
        <v>91</v>
      </c>
      <c r="E479" t="s">
        <v>21</v>
      </c>
      <c r="F479" t="s">
        <v>74</v>
      </c>
      <c r="G479" s="9">
        <v>45433</v>
      </c>
      <c r="H479" s="9">
        <v>45400</v>
      </c>
      <c r="I479">
        <v>38</v>
      </c>
      <c r="J479" t="s">
        <v>32</v>
      </c>
      <c r="K479">
        <v>6</v>
      </c>
      <c r="L479">
        <v>9</v>
      </c>
      <c r="M479" s="11">
        <v>14532.47</v>
      </c>
      <c r="N479" s="12">
        <v>5388.55</v>
      </c>
      <c r="O479" s="12">
        <v>9342.64</v>
      </c>
    </row>
    <row r="480" spans="1:15">
      <c r="A480" t="s">
        <v>648</v>
      </c>
      <c r="B480" t="s">
        <v>89</v>
      </c>
      <c r="C480" s="9">
        <v>21185</v>
      </c>
      <c r="D480">
        <v>68</v>
      </c>
      <c r="E480" t="s">
        <v>21</v>
      </c>
      <c r="F480" t="s">
        <v>18</v>
      </c>
      <c r="G480" s="9">
        <v>44992</v>
      </c>
      <c r="H480" s="9">
        <v>45029</v>
      </c>
      <c r="I480">
        <v>12</v>
      </c>
      <c r="J480" t="s">
        <v>32</v>
      </c>
      <c r="K480">
        <v>1</v>
      </c>
      <c r="L480">
        <v>3</v>
      </c>
      <c r="M480" s="11">
        <v>27687.09</v>
      </c>
      <c r="N480" s="12">
        <v>4636.0200000000004</v>
      </c>
      <c r="O480" s="12">
        <v>12071.03</v>
      </c>
    </row>
    <row r="481" spans="1:15">
      <c r="A481" t="s">
        <v>649</v>
      </c>
      <c r="B481" t="s">
        <v>444</v>
      </c>
      <c r="C481" s="9">
        <v>29221</v>
      </c>
      <c r="D481">
        <v>46</v>
      </c>
      <c r="E481" t="s">
        <v>17</v>
      </c>
      <c r="F481" t="s">
        <v>5184</v>
      </c>
      <c r="G481" s="9">
        <v>45599</v>
      </c>
      <c r="H481" s="9">
        <v>45265</v>
      </c>
      <c r="I481">
        <v>22</v>
      </c>
      <c r="J481" t="s">
        <v>32</v>
      </c>
      <c r="K481">
        <v>4</v>
      </c>
      <c r="L481">
        <v>7</v>
      </c>
      <c r="M481" s="11">
        <v>0</v>
      </c>
      <c r="N481" s="12">
        <v>14795.61</v>
      </c>
      <c r="O481" s="12">
        <v>13763.1</v>
      </c>
    </row>
    <row r="482" spans="1:15">
      <c r="A482" t="s">
        <v>650</v>
      </c>
      <c r="B482" t="s">
        <v>187</v>
      </c>
      <c r="C482" s="9">
        <v>12054</v>
      </c>
      <c r="D482">
        <v>93</v>
      </c>
      <c r="E482" t="s">
        <v>17</v>
      </c>
      <c r="F482" t="s">
        <v>5184</v>
      </c>
      <c r="G482" s="9">
        <v>45505</v>
      </c>
      <c r="H482" s="9">
        <v>45246</v>
      </c>
      <c r="I482">
        <v>4</v>
      </c>
      <c r="J482" t="s">
        <v>32</v>
      </c>
      <c r="K482">
        <v>2</v>
      </c>
      <c r="L482">
        <v>3</v>
      </c>
      <c r="M482" s="11">
        <v>29745.75</v>
      </c>
      <c r="N482" s="12">
        <v>8461.3799999999992</v>
      </c>
      <c r="O482" s="12">
        <v>18531.25</v>
      </c>
    </row>
    <row r="483" spans="1:15">
      <c r="A483" t="s">
        <v>651</v>
      </c>
      <c r="B483" t="s">
        <v>93</v>
      </c>
      <c r="C483" s="9">
        <v>23742</v>
      </c>
      <c r="D483">
        <v>61</v>
      </c>
      <c r="E483" t="s">
        <v>21</v>
      </c>
      <c r="F483" t="s">
        <v>29</v>
      </c>
      <c r="G483" s="9">
        <v>45538</v>
      </c>
      <c r="H483" s="9">
        <v>45440</v>
      </c>
      <c r="I483">
        <v>23</v>
      </c>
      <c r="J483" t="s">
        <v>32</v>
      </c>
      <c r="K483">
        <v>5</v>
      </c>
      <c r="L483">
        <v>2</v>
      </c>
      <c r="M483" s="11">
        <v>21362.98</v>
      </c>
      <c r="N483" s="12">
        <v>7858.6</v>
      </c>
      <c r="O483" s="12">
        <v>16444.52</v>
      </c>
    </row>
    <row r="484" spans="1:15">
      <c r="A484" t="s">
        <v>652</v>
      </c>
      <c r="B484" t="s">
        <v>300</v>
      </c>
      <c r="C484" s="9">
        <f ca="1">DATE(2026-D444,1,1)</f>
        <v>43831</v>
      </c>
      <c r="D484">
        <v>68</v>
      </c>
      <c r="E484" t="s">
        <v>17</v>
      </c>
      <c r="F484" t="s">
        <v>74</v>
      </c>
      <c r="G484" s="9">
        <v>45515</v>
      </c>
      <c r="H484" s="9">
        <v>44952</v>
      </c>
      <c r="I484">
        <v>5</v>
      </c>
      <c r="J484" t="s">
        <v>32</v>
      </c>
      <c r="K484">
        <v>6</v>
      </c>
      <c r="L484">
        <v>3</v>
      </c>
      <c r="M484" s="11">
        <v>2500.5300000000002</v>
      </c>
      <c r="N484" s="12">
        <v>8680.7800000000007</v>
      </c>
      <c r="O484" s="12">
        <v>9851.75</v>
      </c>
    </row>
    <row r="485" spans="1:15">
      <c r="A485" t="s">
        <v>653</v>
      </c>
      <c r="B485" t="s">
        <v>654</v>
      </c>
      <c r="C485" s="9">
        <v>18629</v>
      </c>
      <c r="D485">
        <v>75</v>
      </c>
      <c r="E485" t="s">
        <v>17</v>
      </c>
      <c r="F485" t="s">
        <v>22</v>
      </c>
      <c r="G485" s="9">
        <v>44961</v>
      </c>
      <c r="H485" s="9">
        <v>45648</v>
      </c>
      <c r="I485">
        <v>15</v>
      </c>
      <c r="J485" t="s">
        <v>26</v>
      </c>
      <c r="K485">
        <v>8</v>
      </c>
      <c r="L485">
        <v>0</v>
      </c>
      <c r="M485" s="11">
        <v>15866.04</v>
      </c>
      <c r="N485" s="12">
        <v>13127.32</v>
      </c>
      <c r="O485" s="12">
        <v>8704.1200000000008</v>
      </c>
    </row>
    <row r="486" spans="1:15">
      <c r="A486" t="s">
        <v>655</v>
      </c>
      <c r="B486" t="s">
        <v>619</v>
      </c>
      <c r="C486" s="9">
        <v>40544</v>
      </c>
      <c r="D486">
        <v>15</v>
      </c>
      <c r="E486" t="s">
        <v>17</v>
      </c>
      <c r="F486" t="s">
        <v>5184</v>
      </c>
      <c r="G486" s="9">
        <v>45483</v>
      </c>
      <c r="H486" s="9">
        <v>45357</v>
      </c>
      <c r="I486">
        <v>18</v>
      </c>
      <c r="J486" t="s">
        <v>35</v>
      </c>
      <c r="K486">
        <v>4</v>
      </c>
      <c r="L486">
        <v>8</v>
      </c>
      <c r="M486" s="11">
        <v>21181.73</v>
      </c>
      <c r="N486" s="12">
        <v>3653.22</v>
      </c>
      <c r="O486" s="12">
        <v>13058.99</v>
      </c>
    </row>
    <row r="487" spans="1:15">
      <c r="A487" t="s">
        <v>656</v>
      </c>
      <c r="B487" t="s">
        <v>105</v>
      </c>
      <c r="C487" s="9">
        <v>13515</v>
      </c>
      <c r="D487">
        <v>89</v>
      </c>
      <c r="E487" t="s">
        <v>17</v>
      </c>
      <c r="F487" t="s">
        <v>18</v>
      </c>
      <c r="G487" s="9">
        <v>45588</v>
      </c>
      <c r="H487" s="9">
        <v>45070</v>
      </c>
      <c r="I487">
        <v>13</v>
      </c>
      <c r="J487" t="s">
        <v>26</v>
      </c>
      <c r="K487">
        <v>8</v>
      </c>
      <c r="L487">
        <v>4</v>
      </c>
      <c r="M487" s="11">
        <v>18197.18</v>
      </c>
      <c r="N487" s="12">
        <v>7664.51</v>
      </c>
      <c r="O487" s="12">
        <v>14644.04</v>
      </c>
    </row>
    <row r="488" spans="1:15">
      <c r="A488" t="s">
        <v>657</v>
      </c>
      <c r="B488" t="s">
        <v>207</v>
      </c>
      <c r="C488" s="9">
        <v>13515</v>
      </c>
      <c r="D488">
        <v>89</v>
      </c>
      <c r="E488" t="s">
        <v>21</v>
      </c>
      <c r="F488" t="s">
        <v>5184</v>
      </c>
      <c r="G488" s="9">
        <v>45417</v>
      </c>
      <c r="H488" s="9">
        <v>45636</v>
      </c>
      <c r="I488">
        <v>0</v>
      </c>
      <c r="J488" t="s">
        <v>32</v>
      </c>
      <c r="K488">
        <v>2</v>
      </c>
      <c r="L488">
        <v>6</v>
      </c>
      <c r="M488" s="11">
        <v>12430.46</v>
      </c>
      <c r="N488" s="12">
        <v>4064.45</v>
      </c>
      <c r="O488" s="12">
        <v>3370.34</v>
      </c>
    </row>
    <row r="489" spans="1:15">
      <c r="A489" t="s">
        <v>658</v>
      </c>
      <c r="B489" t="s">
        <v>157</v>
      </c>
      <c r="C489" s="9">
        <v>28856</v>
      </c>
      <c r="D489">
        <v>47</v>
      </c>
      <c r="E489" t="s">
        <v>21</v>
      </c>
      <c r="F489" t="s">
        <v>18</v>
      </c>
      <c r="G489" s="9">
        <v>45506</v>
      </c>
      <c r="H489" s="9">
        <v>45584</v>
      </c>
      <c r="I489">
        <v>2</v>
      </c>
      <c r="J489" t="s">
        <v>32</v>
      </c>
      <c r="K489">
        <v>6</v>
      </c>
      <c r="L489">
        <v>2</v>
      </c>
      <c r="M489" s="11">
        <v>7068.36</v>
      </c>
      <c r="N489" s="12">
        <v>11708.64</v>
      </c>
      <c r="O489" s="12">
        <v>553.74</v>
      </c>
    </row>
    <row r="490" spans="1:15">
      <c r="A490" t="s">
        <v>659</v>
      </c>
      <c r="B490" t="s">
        <v>550</v>
      </c>
      <c r="C490" s="9">
        <v>15341</v>
      </c>
      <c r="D490">
        <v>84</v>
      </c>
      <c r="E490" t="s">
        <v>17</v>
      </c>
      <c r="F490" t="s">
        <v>74</v>
      </c>
      <c r="G490" s="9">
        <v>45180</v>
      </c>
      <c r="H490" s="9">
        <v>45076</v>
      </c>
      <c r="I490">
        <v>10</v>
      </c>
      <c r="J490" t="s">
        <v>32</v>
      </c>
      <c r="K490">
        <v>5</v>
      </c>
      <c r="L490">
        <v>4</v>
      </c>
      <c r="M490" s="11">
        <v>6766</v>
      </c>
      <c r="N490" s="12">
        <v>11656.73</v>
      </c>
      <c r="O490" s="12">
        <v>9038.52</v>
      </c>
    </row>
    <row r="491" spans="1:15">
      <c r="A491" t="s">
        <v>660</v>
      </c>
      <c r="B491" t="s">
        <v>147</v>
      </c>
      <c r="C491" s="9">
        <v>32143</v>
      </c>
      <c r="D491">
        <v>38</v>
      </c>
      <c r="E491" t="s">
        <v>17</v>
      </c>
      <c r="F491" t="s">
        <v>5184</v>
      </c>
      <c r="G491" s="9">
        <v>44943</v>
      </c>
      <c r="H491" s="9">
        <v>45620</v>
      </c>
      <c r="I491">
        <v>29</v>
      </c>
      <c r="J491" t="s">
        <v>26</v>
      </c>
      <c r="K491">
        <v>8</v>
      </c>
      <c r="L491">
        <v>9</v>
      </c>
      <c r="M491" s="11">
        <v>27771.99</v>
      </c>
      <c r="N491" s="12">
        <v>14361.45</v>
      </c>
      <c r="O491" s="12">
        <v>1899.01</v>
      </c>
    </row>
    <row r="492" spans="1:15">
      <c r="A492" t="s">
        <v>661</v>
      </c>
      <c r="B492" t="s">
        <v>367</v>
      </c>
      <c r="C492" s="9">
        <v>34334</v>
      </c>
      <c r="D492">
        <v>32</v>
      </c>
      <c r="E492" t="s">
        <v>5185</v>
      </c>
      <c r="F492" t="s">
        <v>22</v>
      </c>
      <c r="G492" s="9">
        <v>45187</v>
      </c>
      <c r="H492" s="9">
        <v>44982</v>
      </c>
      <c r="I492">
        <v>9</v>
      </c>
      <c r="J492" t="s">
        <v>32</v>
      </c>
      <c r="K492">
        <v>13</v>
      </c>
      <c r="L492">
        <v>3</v>
      </c>
      <c r="M492" s="11">
        <v>6659.59</v>
      </c>
      <c r="N492" s="12">
        <v>6702.33</v>
      </c>
      <c r="O492" s="12">
        <v>5381.94</v>
      </c>
    </row>
    <row r="493" spans="1:15">
      <c r="A493" t="s">
        <v>662</v>
      </c>
      <c r="B493" t="s">
        <v>147</v>
      </c>
      <c r="C493" s="9">
        <v>12054</v>
      </c>
      <c r="D493">
        <v>93</v>
      </c>
      <c r="E493" t="s">
        <v>17</v>
      </c>
      <c r="F493" t="s">
        <v>74</v>
      </c>
      <c r="G493" s="9">
        <v>45651</v>
      </c>
      <c r="H493" s="9">
        <v>45398</v>
      </c>
      <c r="I493">
        <v>28</v>
      </c>
      <c r="J493" t="s">
        <v>35</v>
      </c>
      <c r="K493">
        <v>6</v>
      </c>
      <c r="L493">
        <v>6</v>
      </c>
      <c r="M493" s="11">
        <v>28853.35</v>
      </c>
      <c r="N493" s="12">
        <v>2379.77</v>
      </c>
      <c r="O493" s="12">
        <v>11653.27</v>
      </c>
    </row>
    <row r="494" spans="1:15">
      <c r="A494" t="s">
        <v>663</v>
      </c>
      <c r="B494" t="s">
        <v>664</v>
      </c>
      <c r="C494" s="9">
        <v>37987</v>
      </c>
      <c r="D494">
        <v>22</v>
      </c>
      <c r="E494" t="s">
        <v>21</v>
      </c>
      <c r="F494" t="s">
        <v>25</v>
      </c>
      <c r="G494" s="9">
        <v>45182</v>
      </c>
      <c r="H494" s="9">
        <v>45290</v>
      </c>
      <c r="I494">
        <v>38</v>
      </c>
      <c r="J494" t="s">
        <v>32</v>
      </c>
      <c r="K494">
        <v>11</v>
      </c>
      <c r="L494">
        <v>4</v>
      </c>
      <c r="M494" s="11">
        <v>5911.89</v>
      </c>
      <c r="N494" s="12">
        <v>13446.16</v>
      </c>
      <c r="O494" s="12">
        <v>2944.19</v>
      </c>
    </row>
    <row r="495" spans="1:15">
      <c r="A495" t="s">
        <v>665</v>
      </c>
      <c r="B495" t="s">
        <v>244</v>
      </c>
      <c r="C495" s="9">
        <v>42735</v>
      </c>
      <c r="D495">
        <v>9</v>
      </c>
      <c r="E495" t="s">
        <v>17</v>
      </c>
      <c r="F495" t="s">
        <v>22</v>
      </c>
      <c r="G495" s="9">
        <v>45654</v>
      </c>
      <c r="H495" s="9">
        <v>45577</v>
      </c>
      <c r="I495">
        <v>1</v>
      </c>
      <c r="J495" t="s">
        <v>32</v>
      </c>
      <c r="K495">
        <v>8</v>
      </c>
      <c r="L495">
        <v>1</v>
      </c>
      <c r="M495" s="11">
        <v>11220.66</v>
      </c>
      <c r="N495" s="12">
        <v>13359.04</v>
      </c>
      <c r="O495" s="12">
        <v>472.71</v>
      </c>
    </row>
    <row r="496" spans="1:15">
      <c r="A496" t="s">
        <v>666</v>
      </c>
      <c r="B496" t="s">
        <v>229</v>
      </c>
      <c r="C496" s="9">
        <v>21185</v>
      </c>
      <c r="D496">
        <f ca="1">DATEDIF(C447,TODAY(),"Y")</f>
        <v>91</v>
      </c>
      <c r="E496" t="s">
        <v>21</v>
      </c>
      <c r="F496" t="s">
        <v>74</v>
      </c>
      <c r="G496" s="9">
        <v>45350</v>
      </c>
      <c r="H496" s="9">
        <v>45136</v>
      </c>
      <c r="I496">
        <v>38</v>
      </c>
      <c r="J496" t="s">
        <v>32</v>
      </c>
      <c r="K496">
        <v>5</v>
      </c>
      <c r="L496">
        <v>2</v>
      </c>
      <c r="M496" s="11">
        <v>124.14</v>
      </c>
      <c r="N496" s="12">
        <v>3520.04</v>
      </c>
      <c r="O496" s="12">
        <v>11047.48</v>
      </c>
    </row>
    <row r="497" spans="1:15">
      <c r="A497" t="s">
        <v>667</v>
      </c>
      <c r="B497" t="s">
        <v>198</v>
      </c>
      <c r="C497" s="9">
        <v>33969</v>
      </c>
      <c r="D497">
        <v>33</v>
      </c>
      <c r="E497" t="s">
        <v>5185</v>
      </c>
      <c r="F497" t="s">
        <v>29</v>
      </c>
      <c r="G497" s="9">
        <v>45427</v>
      </c>
      <c r="H497" s="9">
        <v>45112</v>
      </c>
      <c r="I497">
        <v>5</v>
      </c>
      <c r="J497" t="s">
        <v>32</v>
      </c>
      <c r="K497">
        <v>12</v>
      </c>
      <c r="L497">
        <v>7</v>
      </c>
      <c r="M497" s="11">
        <v>27045.89</v>
      </c>
      <c r="N497" s="12">
        <v>4144.05</v>
      </c>
      <c r="O497" s="12">
        <v>9271.17</v>
      </c>
    </row>
    <row r="498" spans="1:15">
      <c r="A498" t="s">
        <v>668</v>
      </c>
      <c r="B498" t="s">
        <v>242</v>
      </c>
      <c r="C498" s="9">
        <v>27395</v>
      </c>
      <c r="D498">
        <v>51</v>
      </c>
      <c r="E498" t="s">
        <v>21</v>
      </c>
      <c r="F498" t="s">
        <v>5184</v>
      </c>
      <c r="G498" s="9">
        <v>45212</v>
      </c>
      <c r="H498" s="9">
        <v>44992</v>
      </c>
      <c r="I498">
        <v>22</v>
      </c>
      <c r="J498" t="s">
        <v>32</v>
      </c>
      <c r="K498">
        <v>1</v>
      </c>
      <c r="L498">
        <v>2</v>
      </c>
      <c r="M498" s="11">
        <v>2682.73</v>
      </c>
      <c r="N498" s="12">
        <v>4701.21</v>
      </c>
      <c r="O498" s="12">
        <v>6056.69</v>
      </c>
    </row>
    <row r="499" spans="1:15">
      <c r="A499" t="s">
        <v>669</v>
      </c>
      <c r="B499" t="s">
        <v>105</v>
      </c>
      <c r="C499" s="9">
        <v>11689</v>
      </c>
      <c r="D499">
        <v>94</v>
      </c>
      <c r="E499" t="s">
        <v>17</v>
      </c>
      <c r="F499" t="s">
        <v>22</v>
      </c>
      <c r="G499" s="9">
        <v>44933</v>
      </c>
      <c r="H499" s="9">
        <v>45476</v>
      </c>
      <c r="I499">
        <v>2</v>
      </c>
      <c r="J499" t="s">
        <v>32</v>
      </c>
      <c r="K499">
        <v>1</v>
      </c>
      <c r="L499">
        <v>6</v>
      </c>
      <c r="M499" s="11">
        <v>10398.540000000001</v>
      </c>
      <c r="N499" s="12">
        <v>6776.25</v>
      </c>
      <c r="O499" s="12">
        <v>9322.59</v>
      </c>
    </row>
    <row r="500" spans="1:15">
      <c r="A500" t="s">
        <v>670</v>
      </c>
      <c r="B500" t="s">
        <v>671</v>
      </c>
      <c r="C500" s="9">
        <v>42735</v>
      </c>
      <c r="D500">
        <v>9</v>
      </c>
      <c r="E500" t="s">
        <v>17</v>
      </c>
      <c r="F500" t="s">
        <v>49</v>
      </c>
      <c r="G500" s="9">
        <v>45423</v>
      </c>
      <c r="H500" s="9">
        <v>45039</v>
      </c>
      <c r="I500">
        <v>1</v>
      </c>
      <c r="J500" t="s">
        <v>35</v>
      </c>
      <c r="K500">
        <v>7</v>
      </c>
      <c r="L500">
        <v>4</v>
      </c>
      <c r="M500" s="11">
        <v>25196.81</v>
      </c>
      <c r="N500" s="12">
        <v>12435.65</v>
      </c>
      <c r="O500" s="12">
        <v>13638.81</v>
      </c>
    </row>
    <row r="501" spans="1:15">
      <c r="A501" t="s">
        <v>672</v>
      </c>
      <c r="B501" t="s">
        <v>502</v>
      </c>
      <c r="C501" s="9">
        <v>39448</v>
      </c>
      <c r="D501">
        <v>18</v>
      </c>
      <c r="E501" t="s">
        <v>21</v>
      </c>
      <c r="F501" t="s">
        <v>22</v>
      </c>
      <c r="G501" s="9">
        <v>45125</v>
      </c>
      <c r="H501" s="9">
        <v>45190</v>
      </c>
      <c r="I501">
        <v>39</v>
      </c>
      <c r="J501" t="s">
        <v>32</v>
      </c>
      <c r="K501">
        <v>14</v>
      </c>
      <c r="L501">
        <v>6</v>
      </c>
      <c r="M501" s="11">
        <v>23652.89</v>
      </c>
      <c r="N501" s="12">
        <v>2165.5500000000002</v>
      </c>
      <c r="O501" s="12">
        <v>2090.91</v>
      </c>
    </row>
    <row r="502" spans="1:15">
      <c r="A502" t="s">
        <v>673</v>
      </c>
      <c r="B502" t="s">
        <v>20</v>
      </c>
      <c r="C502" s="9">
        <v>25203</v>
      </c>
      <c r="D502">
        <v>57</v>
      </c>
      <c r="E502" t="s">
        <v>21</v>
      </c>
      <c r="F502" t="s">
        <v>25</v>
      </c>
      <c r="G502" s="9">
        <v>45529</v>
      </c>
      <c r="H502" s="9">
        <v>45003</v>
      </c>
      <c r="I502">
        <v>35</v>
      </c>
      <c r="J502" t="s">
        <v>26</v>
      </c>
      <c r="K502">
        <v>12</v>
      </c>
      <c r="L502">
        <v>9</v>
      </c>
      <c r="M502" s="11">
        <v>25165.78</v>
      </c>
      <c r="N502" s="12">
        <v>10505.86</v>
      </c>
      <c r="O502" s="12">
        <v>5039.3599999999997</v>
      </c>
    </row>
    <row r="503" spans="1:15">
      <c r="A503" t="s">
        <v>674</v>
      </c>
      <c r="B503" t="s">
        <v>292</v>
      </c>
      <c r="C503" s="9">
        <v>46022</v>
      </c>
      <c r="D503">
        <v>0</v>
      </c>
      <c r="E503" t="s">
        <v>17</v>
      </c>
      <c r="F503" t="s">
        <v>74</v>
      </c>
      <c r="G503" s="9">
        <v>45585</v>
      </c>
      <c r="H503" s="9">
        <v>45223</v>
      </c>
      <c r="I503">
        <v>36</v>
      </c>
      <c r="J503" t="s">
        <v>35</v>
      </c>
      <c r="K503">
        <v>14</v>
      </c>
      <c r="L503">
        <v>8</v>
      </c>
      <c r="M503" s="11">
        <v>27380.28</v>
      </c>
      <c r="N503" s="12">
        <v>5292</v>
      </c>
      <c r="O503" s="12">
        <v>15878.7</v>
      </c>
    </row>
    <row r="504" spans="1:15">
      <c r="A504" t="s">
        <v>675</v>
      </c>
      <c r="B504" t="s">
        <v>163</v>
      </c>
      <c r="C504" s="9">
        <v>21185</v>
      </c>
      <c r="D504">
        <v>68</v>
      </c>
      <c r="E504" t="s">
        <v>17</v>
      </c>
      <c r="F504" t="s">
        <v>49</v>
      </c>
      <c r="G504" s="9">
        <v>45344</v>
      </c>
      <c r="H504" s="9">
        <v>45105</v>
      </c>
      <c r="I504">
        <v>0</v>
      </c>
      <c r="J504" t="s">
        <v>32</v>
      </c>
      <c r="K504">
        <v>5</v>
      </c>
      <c r="L504">
        <v>6</v>
      </c>
      <c r="M504" s="11">
        <v>27287.66</v>
      </c>
      <c r="N504" s="12">
        <v>2934.95</v>
      </c>
      <c r="O504" s="12">
        <v>13369.47</v>
      </c>
    </row>
    <row r="505" spans="1:15">
      <c r="A505" t="s">
        <v>676</v>
      </c>
      <c r="B505" t="s">
        <v>254</v>
      </c>
      <c r="C505" s="9">
        <v>44927</v>
      </c>
      <c r="D505">
        <v>3</v>
      </c>
      <c r="E505" t="s">
        <v>21</v>
      </c>
      <c r="F505" t="s">
        <v>25</v>
      </c>
      <c r="G505" s="9">
        <v>45588</v>
      </c>
      <c r="H505" s="9">
        <v>45693</v>
      </c>
      <c r="I505">
        <v>35</v>
      </c>
      <c r="J505" t="s">
        <v>32</v>
      </c>
      <c r="K505">
        <v>10</v>
      </c>
      <c r="L505">
        <v>5</v>
      </c>
      <c r="M505" s="11">
        <v>23000.22</v>
      </c>
      <c r="N505" s="12">
        <v>5076.58</v>
      </c>
      <c r="O505" s="12">
        <v>5251.7</v>
      </c>
    </row>
    <row r="506" spans="1:15">
      <c r="A506" t="s">
        <v>677</v>
      </c>
      <c r="B506" t="s">
        <v>292</v>
      </c>
      <c r="C506" s="9">
        <v>40544</v>
      </c>
      <c r="D506">
        <v>15</v>
      </c>
      <c r="E506" t="s">
        <v>17</v>
      </c>
      <c r="F506" t="s">
        <v>29</v>
      </c>
      <c r="G506" s="9">
        <v>44978</v>
      </c>
      <c r="H506" s="9">
        <v>44928</v>
      </c>
      <c r="I506">
        <v>19</v>
      </c>
      <c r="J506" t="s">
        <v>35</v>
      </c>
      <c r="K506">
        <v>1</v>
      </c>
      <c r="L506">
        <v>0</v>
      </c>
      <c r="M506" s="11">
        <v>17263.919999999998</v>
      </c>
      <c r="N506" s="12">
        <v>7999.14</v>
      </c>
      <c r="O506" s="12">
        <v>7902.83</v>
      </c>
    </row>
    <row r="507" spans="1:15">
      <c r="A507" t="s">
        <v>678</v>
      </c>
      <c r="B507" t="s">
        <v>172</v>
      </c>
      <c r="C507" s="9">
        <v>37622</v>
      </c>
      <c r="D507">
        <v>23</v>
      </c>
      <c r="E507" t="s">
        <v>17</v>
      </c>
      <c r="F507" t="s">
        <v>22</v>
      </c>
      <c r="G507" s="9">
        <v>45169</v>
      </c>
      <c r="H507" s="9">
        <v>45075</v>
      </c>
      <c r="I507">
        <v>37</v>
      </c>
      <c r="J507" t="s">
        <v>32</v>
      </c>
      <c r="K507">
        <v>14</v>
      </c>
      <c r="L507">
        <v>3</v>
      </c>
      <c r="M507" s="11">
        <v>16627.25</v>
      </c>
      <c r="N507" s="12">
        <v>13821.21</v>
      </c>
      <c r="O507" s="12">
        <v>2306.9699999999998</v>
      </c>
    </row>
    <row r="508" spans="1:15">
      <c r="A508" t="s">
        <v>679</v>
      </c>
      <c r="B508" t="s">
        <v>119</v>
      </c>
      <c r="C508" s="9">
        <v>17168</v>
      </c>
      <c r="D508">
        <v>79</v>
      </c>
      <c r="E508" t="s">
        <v>21</v>
      </c>
      <c r="F508" t="s">
        <v>5184</v>
      </c>
      <c r="G508" s="9">
        <v>45145</v>
      </c>
      <c r="H508" s="9">
        <v>45803</v>
      </c>
      <c r="I508">
        <v>30</v>
      </c>
      <c r="J508" t="s">
        <v>35</v>
      </c>
      <c r="K508">
        <v>1</v>
      </c>
      <c r="L508">
        <v>7</v>
      </c>
      <c r="M508" s="11">
        <v>105.95</v>
      </c>
      <c r="N508" s="12">
        <v>9424.0300000000007</v>
      </c>
      <c r="O508" s="12">
        <v>4987.8599999999997</v>
      </c>
    </row>
    <row r="509" spans="1:15">
      <c r="A509" t="s">
        <v>680</v>
      </c>
      <c r="B509" t="s">
        <v>681</v>
      </c>
      <c r="C509" s="9">
        <v>45657</v>
      </c>
      <c r="D509">
        <v>1</v>
      </c>
      <c r="E509" t="s">
        <v>21</v>
      </c>
      <c r="F509" t="s">
        <v>49</v>
      </c>
      <c r="G509" s="9">
        <v>45444</v>
      </c>
      <c r="H509" s="9">
        <v>45598</v>
      </c>
      <c r="I509">
        <v>29</v>
      </c>
      <c r="J509" t="s">
        <v>32</v>
      </c>
      <c r="K509">
        <v>9</v>
      </c>
      <c r="L509">
        <v>0</v>
      </c>
      <c r="M509" s="11">
        <v>21538.39</v>
      </c>
      <c r="N509" s="12">
        <v>9106.2199999999993</v>
      </c>
      <c r="O509" s="12">
        <v>16807.150000000001</v>
      </c>
    </row>
    <row r="510" spans="1:15">
      <c r="A510" t="s">
        <v>682</v>
      </c>
      <c r="B510" t="s">
        <v>139</v>
      </c>
      <c r="C510" s="9">
        <v>12785</v>
      </c>
      <c r="D510">
        <v>91</v>
      </c>
      <c r="E510" t="s">
        <v>17</v>
      </c>
      <c r="F510" t="s">
        <v>5184</v>
      </c>
      <c r="G510" s="9">
        <v>45035</v>
      </c>
      <c r="H510" s="9">
        <v>45763</v>
      </c>
      <c r="I510">
        <v>14</v>
      </c>
      <c r="J510" t="s">
        <v>35</v>
      </c>
      <c r="K510">
        <v>1</v>
      </c>
      <c r="L510">
        <v>5</v>
      </c>
      <c r="M510" s="11">
        <v>0</v>
      </c>
      <c r="N510" s="12">
        <v>1631.12</v>
      </c>
      <c r="O510" s="12">
        <v>8752.25</v>
      </c>
    </row>
    <row r="511" spans="1:15">
      <c r="A511" t="s">
        <v>683</v>
      </c>
      <c r="B511" t="s">
        <v>192</v>
      </c>
      <c r="C511" s="9">
        <v>34700</v>
      </c>
      <c r="D511">
        <v>31</v>
      </c>
      <c r="E511" t="s">
        <v>17</v>
      </c>
      <c r="F511" t="s">
        <v>74</v>
      </c>
      <c r="G511" s="9">
        <v>45277</v>
      </c>
      <c r="H511" s="9">
        <v>45707</v>
      </c>
      <c r="I511">
        <v>15</v>
      </c>
      <c r="J511" t="s">
        <v>35</v>
      </c>
      <c r="K511">
        <v>4</v>
      </c>
      <c r="L511">
        <v>1</v>
      </c>
      <c r="M511" s="11">
        <v>24775.27</v>
      </c>
      <c r="N511" s="12">
        <v>1197.01</v>
      </c>
      <c r="O511" s="12">
        <v>12769.89</v>
      </c>
    </row>
    <row r="512" spans="1:15">
      <c r="A512" t="s">
        <v>684</v>
      </c>
      <c r="B512" t="s">
        <v>46</v>
      </c>
      <c r="C512" s="9">
        <v>13150</v>
      </c>
      <c r="D512">
        <v>90</v>
      </c>
      <c r="E512" t="s">
        <v>17</v>
      </c>
      <c r="F512" t="s">
        <v>74</v>
      </c>
      <c r="G512" s="9">
        <v>44992</v>
      </c>
      <c r="H512" s="9">
        <v>45589</v>
      </c>
      <c r="I512">
        <v>0</v>
      </c>
      <c r="J512" t="s">
        <v>26</v>
      </c>
      <c r="K512">
        <v>11</v>
      </c>
      <c r="L512">
        <v>8</v>
      </c>
      <c r="M512" s="11">
        <v>16391.02</v>
      </c>
      <c r="N512" s="12">
        <v>1941.95</v>
      </c>
      <c r="O512" s="12">
        <v>3110.8</v>
      </c>
    </row>
    <row r="513" spans="1:15">
      <c r="A513" t="s">
        <v>685</v>
      </c>
      <c r="B513" t="s">
        <v>89</v>
      </c>
      <c r="C513" s="9">
        <v>15707</v>
      </c>
      <c r="D513">
        <v>83</v>
      </c>
      <c r="E513" t="s">
        <v>17</v>
      </c>
      <c r="F513" t="s">
        <v>29</v>
      </c>
      <c r="G513" s="9">
        <v>44936</v>
      </c>
      <c r="H513" s="9">
        <v>45056</v>
      </c>
      <c r="I513">
        <v>3</v>
      </c>
      <c r="J513" t="s">
        <v>35</v>
      </c>
      <c r="K513">
        <v>0</v>
      </c>
      <c r="L513">
        <v>7</v>
      </c>
      <c r="M513" s="11">
        <v>29611.06</v>
      </c>
      <c r="N513" s="12">
        <v>1433.18</v>
      </c>
      <c r="O513" s="12">
        <v>3584.44</v>
      </c>
    </row>
    <row r="514" spans="1:15">
      <c r="A514" t="s">
        <v>686</v>
      </c>
      <c r="B514" t="s">
        <v>63</v>
      </c>
      <c r="C514" s="9">
        <v>37622</v>
      </c>
      <c r="D514">
        <v>23</v>
      </c>
      <c r="E514" t="s">
        <v>21</v>
      </c>
      <c r="F514" t="s">
        <v>25</v>
      </c>
      <c r="G514" s="9">
        <v>45128</v>
      </c>
      <c r="H514" s="9">
        <v>45565</v>
      </c>
      <c r="I514">
        <v>10</v>
      </c>
      <c r="J514" t="s">
        <v>26</v>
      </c>
      <c r="K514">
        <v>5</v>
      </c>
      <c r="L514">
        <v>8</v>
      </c>
      <c r="M514" s="11">
        <v>5913.34</v>
      </c>
      <c r="N514" s="12">
        <v>8645.4699999999993</v>
      </c>
      <c r="O514" s="12">
        <v>18812.509999999998</v>
      </c>
    </row>
    <row r="515" spans="1:15">
      <c r="A515" t="s">
        <v>687</v>
      </c>
      <c r="B515" t="s">
        <v>57</v>
      </c>
      <c r="C515" s="9">
        <v>42005</v>
      </c>
      <c r="D515">
        <v>11</v>
      </c>
      <c r="E515" t="s">
        <v>21</v>
      </c>
      <c r="F515" t="s">
        <v>49</v>
      </c>
      <c r="G515" s="9">
        <v>45140</v>
      </c>
      <c r="H515" s="9">
        <v>45440</v>
      </c>
      <c r="I515">
        <v>28</v>
      </c>
      <c r="J515" t="s">
        <v>32</v>
      </c>
      <c r="K515">
        <v>6</v>
      </c>
      <c r="L515">
        <v>8</v>
      </c>
      <c r="M515" s="11">
        <v>21565.69</v>
      </c>
      <c r="N515" s="12">
        <v>6789.23</v>
      </c>
      <c r="O515" s="12">
        <v>16812.82</v>
      </c>
    </row>
    <row r="516" spans="1:15">
      <c r="A516" t="s">
        <v>688</v>
      </c>
      <c r="B516" t="s">
        <v>170</v>
      </c>
      <c r="C516" s="9">
        <v>28125</v>
      </c>
      <c r="D516">
        <v>49</v>
      </c>
      <c r="E516" t="s">
        <v>21</v>
      </c>
      <c r="F516" t="s">
        <v>29</v>
      </c>
      <c r="G516" s="9">
        <v>44994</v>
      </c>
      <c r="H516" s="9">
        <v>45826</v>
      </c>
      <c r="I516">
        <v>14</v>
      </c>
      <c r="J516" t="s">
        <v>32</v>
      </c>
      <c r="K516">
        <v>13</v>
      </c>
      <c r="L516">
        <v>1</v>
      </c>
      <c r="M516" s="11">
        <v>16199.78</v>
      </c>
      <c r="N516" s="12">
        <v>74.88</v>
      </c>
      <c r="O516" s="12">
        <v>15785.65</v>
      </c>
    </row>
    <row r="517" spans="1:15">
      <c r="A517" t="s">
        <v>689</v>
      </c>
      <c r="B517" t="s">
        <v>129</v>
      </c>
      <c r="C517" s="9">
        <v>33604</v>
      </c>
      <c r="D517">
        <v>34</v>
      </c>
      <c r="E517" t="s">
        <v>21</v>
      </c>
      <c r="F517" t="s">
        <v>25</v>
      </c>
      <c r="G517" s="9">
        <v>45253</v>
      </c>
      <c r="H517" s="9">
        <v>45556</v>
      </c>
      <c r="I517">
        <v>18</v>
      </c>
      <c r="J517" t="s">
        <v>32</v>
      </c>
      <c r="K517">
        <v>11</v>
      </c>
      <c r="L517">
        <v>1</v>
      </c>
      <c r="M517" s="11">
        <v>27920.11</v>
      </c>
      <c r="N517" s="12">
        <v>5266</v>
      </c>
      <c r="O517" s="12">
        <v>6524.76</v>
      </c>
    </row>
    <row r="518" spans="1:15">
      <c r="A518" t="s">
        <v>690</v>
      </c>
      <c r="B518" t="s">
        <v>24</v>
      </c>
      <c r="C518" s="9">
        <v>34334</v>
      </c>
      <c r="D518">
        <v>32</v>
      </c>
      <c r="E518" t="s">
        <v>17</v>
      </c>
      <c r="F518" t="s">
        <v>18</v>
      </c>
      <c r="G518" s="9">
        <v>44976</v>
      </c>
      <c r="H518" s="9">
        <v>45429</v>
      </c>
      <c r="I518">
        <v>13</v>
      </c>
      <c r="J518" t="s">
        <v>26</v>
      </c>
      <c r="K518">
        <v>11</v>
      </c>
      <c r="L518">
        <v>8</v>
      </c>
      <c r="M518" s="11">
        <v>7612.81</v>
      </c>
      <c r="N518" s="12">
        <v>1910.46</v>
      </c>
      <c r="O518" s="12">
        <v>11211.4</v>
      </c>
    </row>
    <row r="519" spans="1:15">
      <c r="A519" t="s">
        <v>691</v>
      </c>
      <c r="B519" t="s">
        <v>59</v>
      </c>
      <c r="C519" s="9">
        <v>34334</v>
      </c>
      <c r="D519">
        <v>32</v>
      </c>
      <c r="E519" t="s">
        <v>17</v>
      </c>
      <c r="F519" t="s">
        <v>18</v>
      </c>
      <c r="G519" s="9">
        <v>44943</v>
      </c>
      <c r="H519" s="9">
        <v>45076</v>
      </c>
      <c r="I519">
        <v>14</v>
      </c>
      <c r="J519" t="s">
        <v>32</v>
      </c>
      <c r="K519">
        <v>14</v>
      </c>
      <c r="L519">
        <v>1</v>
      </c>
      <c r="M519" s="11">
        <v>1312.85</v>
      </c>
      <c r="N519" s="12">
        <v>14821.79</v>
      </c>
      <c r="O519" s="12">
        <v>9796.06</v>
      </c>
    </row>
    <row r="520" spans="1:15">
      <c r="A520" t="s">
        <v>692</v>
      </c>
      <c r="B520" t="s">
        <v>350</v>
      </c>
      <c r="C520" s="9">
        <v>24107</v>
      </c>
      <c r="D520">
        <v>60</v>
      </c>
      <c r="E520" t="s">
        <v>21</v>
      </c>
      <c r="F520" t="s">
        <v>25</v>
      </c>
      <c r="G520" s="9">
        <v>45449</v>
      </c>
      <c r="H520" s="9">
        <v>45196</v>
      </c>
      <c r="I520">
        <v>29</v>
      </c>
      <c r="J520" t="s">
        <v>32</v>
      </c>
      <c r="K520">
        <v>11</v>
      </c>
      <c r="L520">
        <v>3</v>
      </c>
      <c r="M520" s="11">
        <v>16087.9</v>
      </c>
      <c r="N520" s="12">
        <v>6902.36</v>
      </c>
      <c r="O520" s="12">
        <v>19120.240000000002</v>
      </c>
    </row>
    <row r="521" spans="1:15">
      <c r="A521" t="s">
        <v>693</v>
      </c>
      <c r="B521" t="s">
        <v>264</v>
      </c>
      <c r="C521" s="9">
        <v>27760</v>
      </c>
      <c r="D521">
        <v>50</v>
      </c>
      <c r="E521" t="s">
        <v>21</v>
      </c>
      <c r="F521" t="s">
        <v>74</v>
      </c>
      <c r="G521" s="9">
        <v>45232</v>
      </c>
      <c r="H521" s="9">
        <v>45628</v>
      </c>
      <c r="I521">
        <v>2</v>
      </c>
      <c r="J521" t="s">
        <v>35</v>
      </c>
      <c r="K521">
        <v>13</v>
      </c>
      <c r="L521">
        <v>1</v>
      </c>
      <c r="M521" s="11">
        <v>15409.2</v>
      </c>
      <c r="N521" s="12">
        <v>6391.9</v>
      </c>
      <c r="O521" s="12">
        <v>4716.6499999999996</v>
      </c>
    </row>
    <row r="522" spans="1:15">
      <c r="A522" t="s">
        <v>694</v>
      </c>
      <c r="B522" t="s">
        <v>502</v>
      </c>
      <c r="C522" s="9">
        <v>30682</v>
      </c>
      <c r="D522">
        <v>42</v>
      </c>
      <c r="E522" t="s">
        <v>17</v>
      </c>
      <c r="F522" t="s">
        <v>74</v>
      </c>
      <c r="G522" s="9">
        <v>45318</v>
      </c>
      <c r="H522" s="9">
        <v>45580</v>
      </c>
      <c r="I522">
        <v>35</v>
      </c>
      <c r="J522" t="s">
        <v>26</v>
      </c>
      <c r="K522">
        <v>14</v>
      </c>
      <c r="L522">
        <v>0</v>
      </c>
      <c r="M522" s="11">
        <v>9007.07</v>
      </c>
      <c r="N522" s="12">
        <v>9662.61</v>
      </c>
      <c r="O522" s="12">
        <v>18939.38</v>
      </c>
    </row>
    <row r="523" spans="1:15">
      <c r="A523" t="s">
        <v>695</v>
      </c>
      <c r="B523" t="s">
        <v>115</v>
      </c>
      <c r="C523" s="9">
        <v>42005</v>
      </c>
      <c r="D523">
        <v>11</v>
      </c>
      <c r="E523" t="s">
        <v>17</v>
      </c>
      <c r="F523" t="s">
        <v>18</v>
      </c>
      <c r="G523" s="9">
        <v>45050</v>
      </c>
      <c r="H523" s="9">
        <v>45032</v>
      </c>
      <c r="I523">
        <v>5</v>
      </c>
      <c r="J523" t="s">
        <v>32</v>
      </c>
      <c r="K523">
        <v>4</v>
      </c>
      <c r="L523">
        <v>9</v>
      </c>
      <c r="M523" s="11">
        <v>29589.4</v>
      </c>
      <c r="N523" s="12">
        <v>5356.4</v>
      </c>
      <c r="O523" s="12">
        <v>14107.69</v>
      </c>
    </row>
    <row r="524" spans="1:15">
      <c r="A524" t="s">
        <v>696</v>
      </c>
      <c r="B524" t="s">
        <v>31</v>
      </c>
      <c r="C524" s="9">
        <v>21916</v>
      </c>
      <c r="D524">
        <v>66</v>
      </c>
      <c r="E524" t="s">
        <v>17</v>
      </c>
      <c r="F524" t="s">
        <v>74</v>
      </c>
      <c r="G524" s="9">
        <v>45430</v>
      </c>
      <c r="H524" s="9">
        <v>45393</v>
      </c>
      <c r="I524">
        <v>2</v>
      </c>
      <c r="J524" t="s">
        <v>32</v>
      </c>
      <c r="K524">
        <v>3</v>
      </c>
      <c r="L524">
        <v>6</v>
      </c>
      <c r="M524" s="11">
        <v>1626.2</v>
      </c>
      <c r="N524" s="12">
        <v>10732.72</v>
      </c>
      <c r="O524" s="12">
        <v>8215.2000000000007</v>
      </c>
    </row>
    <row r="525" spans="1:15">
      <c r="A525" t="s">
        <v>697</v>
      </c>
      <c r="B525" t="s">
        <v>444</v>
      </c>
      <c r="C525" s="9">
        <v>22646</v>
      </c>
      <c r="D525">
        <v>64</v>
      </c>
      <c r="E525" t="s">
        <v>17</v>
      </c>
      <c r="F525" t="s">
        <v>5184</v>
      </c>
      <c r="G525" s="9">
        <v>45151</v>
      </c>
      <c r="H525" s="9">
        <v>45691</v>
      </c>
      <c r="I525">
        <v>1</v>
      </c>
      <c r="J525" t="s">
        <v>26</v>
      </c>
      <c r="K525">
        <v>8</v>
      </c>
      <c r="L525">
        <v>4</v>
      </c>
      <c r="M525" s="11">
        <v>16870.36</v>
      </c>
      <c r="N525" s="12">
        <v>13571.91</v>
      </c>
      <c r="O525" s="12">
        <v>5253.73</v>
      </c>
    </row>
    <row r="526" spans="1:15">
      <c r="A526" t="s">
        <v>698</v>
      </c>
      <c r="B526" t="s">
        <v>444</v>
      </c>
      <c r="C526" s="9">
        <v>34334</v>
      </c>
      <c r="D526">
        <v>32</v>
      </c>
      <c r="E526" t="s">
        <v>17</v>
      </c>
      <c r="F526" t="s">
        <v>74</v>
      </c>
      <c r="G526" s="9">
        <v>45244</v>
      </c>
      <c r="H526" s="9">
        <v>45208</v>
      </c>
      <c r="I526">
        <v>34</v>
      </c>
      <c r="J526" t="s">
        <v>35</v>
      </c>
      <c r="K526">
        <v>2</v>
      </c>
      <c r="L526">
        <v>2</v>
      </c>
      <c r="M526" s="11">
        <v>7436.62</v>
      </c>
      <c r="N526" s="12">
        <v>7483.46</v>
      </c>
      <c r="O526" s="12">
        <v>15122.8</v>
      </c>
    </row>
    <row r="527" spans="1:15">
      <c r="A527" t="s">
        <v>699</v>
      </c>
      <c r="B527" t="s">
        <v>115</v>
      </c>
      <c r="C527" s="9">
        <v>31778</v>
      </c>
      <c r="D527">
        <v>39</v>
      </c>
      <c r="E527" t="s">
        <v>17</v>
      </c>
      <c r="F527" t="s">
        <v>25</v>
      </c>
      <c r="G527" s="9">
        <v>45399</v>
      </c>
      <c r="H527" s="9">
        <v>45334</v>
      </c>
      <c r="I527">
        <v>21</v>
      </c>
      <c r="J527" t="s">
        <v>32</v>
      </c>
      <c r="K527">
        <v>7</v>
      </c>
      <c r="L527">
        <v>7</v>
      </c>
      <c r="M527" s="11">
        <v>441.68</v>
      </c>
      <c r="N527" s="12">
        <v>5743.85</v>
      </c>
      <c r="O527" s="12">
        <v>16440.990000000002</v>
      </c>
    </row>
    <row r="528" spans="1:15">
      <c r="A528" t="s">
        <v>700</v>
      </c>
      <c r="B528" t="s">
        <v>82</v>
      </c>
      <c r="C528" s="9">
        <v>19359</v>
      </c>
      <c r="D528">
        <v>73</v>
      </c>
      <c r="E528" t="s">
        <v>21</v>
      </c>
      <c r="F528" t="s">
        <v>22</v>
      </c>
      <c r="G528" s="9">
        <v>45467</v>
      </c>
      <c r="H528" s="9">
        <v>45783</v>
      </c>
      <c r="I528">
        <v>24</v>
      </c>
      <c r="J528" t="s">
        <v>32</v>
      </c>
      <c r="K528">
        <v>6</v>
      </c>
      <c r="L528">
        <v>4</v>
      </c>
      <c r="M528" s="11">
        <v>29629.4</v>
      </c>
      <c r="N528" s="12">
        <v>7828.45</v>
      </c>
      <c r="O528" s="12">
        <v>7086.3</v>
      </c>
    </row>
    <row r="529" spans="1:15">
      <c r="A529" t="s">
        <v>701</v>
      </c>
      <c r="B529" t="s">
        <v>108</v>
      </c>
      <c r="C529" s="9">
        <v>30682</v>
      </c>
      <c r="D529">
        <v>42</v>
      </c>
      <c r="E529" t="s">
        <v>21</v>
      </c>
      <c r="F529" t="s">
        <v>25</v>
      </c>
      <c r="G529" s="9">
        <v>45284</v>
      </c>
      <c r="H529" s="9">
        <v>45540</v>
      </c>
      <c r="I529">
        <v>17</v>
      </c>
      <c r="J529" t="s">
        <v>32</v>
      </c>
      <c r="K529">
        <v>3</v>
      </c>
      <c r="L529">
        <v>0</v>
      </c>
      <c r="M529" s="11">
        <v>14189.19</v>
      </c>
      <c r="N529" s="12">
        <v>9053.2900000000009</v>
      </c>
      <c r="O529" s="12">
        <v>3354.79</v>
      </c>
    </row>
    <row r="530" spans="1:15">
      <c r="A530" t="s">
        <v>702</v>
      </c>
      <c r="B530" t="s">
        <v>514</v>
      </c>
      <c r="C530" s="9">
        <v>30317</v>
      </c>
      <c r="D530">
        <v>43</v>
      </c>
      <c r="E530" t="s">
        <v>21</v>
      </c>
      <c r="F530" t="s">
        <v>74</v>
      </c>
      <c r="G530" s="9">
        <v>45409</v>
      </c>
      <c r="H530" s="9">
        <v>45721</v>
      </c>
      <c r="I530">
        <v>18</v>
      </c>
      <c r="J530" t="s">
        <v>26</v>
      </c>
      <c r="K530">
        <v>11</v>
      </c>
      <c r="L530">
        <v>8</v>
      </c>
      <c r="M530" s="11">
        <v>25644.31</v>
      </c>
      <c r="N530" s="12">
        <v>12715.54</v>
      </c>
      <c r="O530" s="12">
        <v>9794.1200000000008</v>
      </c>
    </row>
    <row r="531" spans="1:15">
      <c r="A531" t="s">
        <v>703</v>
      </c>
      <c r="B531" t="s">
        <v>600</v>
      </c>
      <c r="C531" s="9">
        <v>35795</v>
      </c>
      <c r="D531">
        <v>28</v>
      </c>
      <c r="E531" t="s">
        <v>17</v>
      </c>
      <c r="F531" t="s">
        <v>25</v>
      </c>
      <c r="G531" s="9">
        <v>45355</v>
      </c>
      <c r="H531" s="9">
        <v>45285</v>
      </c>
      <c r="I531">
        <v>39</v>
      </c>
      <c r="J531" t="s">
        <v>32</v>
      </c>
      <c r="K531">
        <v>1</v>
      </c>
      <c r="L531">
        <v>4</v>
      </c>
      <c r="M531" s="11">
        <v>25122.05</v>
      </c>
      <c r="N531" s="12">
        <v>5917.19</v>
      </c>
      <c r="O531" s="12">
        <v>9316.9</v>
      </c>
    </row>
    <row r="532" spans="1:15">
      <c r="A532" t="s">
        <v>704</v>
      </c>
      <c r="B532" t="s">
        <v>53</v>
      </c>
      <c r="C532" s="9">
        <v>41639</v>
      </c>
      <c r="D532">
        <v>12</v>
      </c>
      <c r="E532" t="s">
        <v>17</v>
      </c>
      <c r="F532" t="s">
        <v>49</v>
      </c>
      <c r="G532" s="9">
        <v>45423</v>
      </c>
      <c r="H532" s="9">
        <v>45602</v>
      </c>
      <c r="I532">
        <v>34</v>
      </c>
      <c r="J532" t="s">
        <v>26</v>
      </c>
      <c r="K532">
        <v>6</v>
      </c>
      <c r="L532">
        <v>2</v>
      </c>
      <c r="M532" s="11">
        <v>24274.49</v>
      </c>
      <c r="N532" s="12">
        <v>771.47</v>
      </c>
      <c r="O532" s="12">
        <v>14480.59</v>
      </c>
    </row>
    <row r="533" spans="1:15">
      <c r="A533" t="s">
        <v>705</v>
      </c>
      <c r="B533" t="s">
        <v>95</v>
      </c>
      <c r="C533" s="9">
        <v>42005</v>
      </c>
      <c r="D533">
        <v>11</v>
      </c>
      <c r="E533" t="s">
        <v>17</v>
      </c>
      <c r="F533" t="s">
        <v>18</v>
      </c>
      <c r="G533" s="9">
        <v>45398</v>
      </c>
      <c r="H533" s="9">
        <v>45130</v>
      </c>
      <c r="I533">
        <v>32</v>
      </c>
      <c r="J533" t="s">
        <v>32</v>
      </c>
      <c r="K533">
        <v>6</v>
      </c>
      <c r="L533">
        <v>5</v>
      </c>
      <c r="M533" s="11">
        <v>13500.03</v>
      </c>
      <c r="N533" s="12">
        <v>9461.01</v>
      </c>
      <c r="O533" s="12">
        <v>19461.02</v>
      </c>
    </row>
    <row r="534" spans="1:15">
      <c r="A534" t="s">
        <v>706</v>
      </c>
      <c r="B534" t="s">
        <v>181</v>
      </c>
      <c r="C534" s="9">
        <v>11689</v>
      </c>
      <c r="D534">
        <v>94</v>
      </c>
      <c r="E534" t="s">
        <v>21</v>
      </c>
      <c r="F534" t="s">
        <v>22</v>
      </c>
      <c r="G534" s="9">
        <v>45497</v>
      </c>
      <c r="H534" s="9">
        <v>45539</v>
      </c>
      <c r="I534">
        <v>35</v>
      </c>
      <c r="J534" t="s">
        <v>32</v>
      </c>
      <c r="K534">
        <v>5</v>
      </c>
      <c r="L534">
        <v>7</v>
      </c>
      <c r="M534" s="11">
        <v>26825.75</v>
      </c>
      <c r="N534" s="12">
        <v>14803.17</v>
      </c>
      <c r="O534" s="12">
        <v>10578.77</v>
      </c>
    </row>
    <row r="535" spans="1:15">
      <c r="A535" t="s">
        <v>707</v>
      </c>
      <c r="B535" t="s">
        <v>44</v>
      </c>
      <c r="C535" s="9">
        <v>29586</v>
      </c>
      <c r="D535">
        <v>45</v>
      </c>
      <c r="E535" t="s">
        <v>21</v>
      </c>
      <c r="F535" t="s">
        <v>49</v>
      </c>
      <c r="G535" s="9">
        <v>45581</v>
      </c>
      <c r="H535" s="9">
        <v>45208</v>
      </c>
      <c r="I535">
        <v>12</v>
      </c>
      <c r="J535" t="s">
        <v>35</v>
      </c>
      <c r="K535">
        <v>5</v>
      </c>
      <c r="L535">
        <v>1</v>
      </c>
      <c r="M535" s="11">
        <v>10701.8</v>
      </c>
      <c r="N535" s="12">
        <v>12813.55</v>
      </c>
      <c r="O535" s="12">
        <v>14607.56</v>
      </c>
    </row>
    <row r="536" spans="1:15">
      <c r="A536" t="s">
        <v>708</v>
      </c>
      <c r="B536" t="s">
        <v>336</v>
      </c>
      <c r="C536" s="9">
        <v>45657</v>
      </c>
      <c r="D536">
        <v>1</v>
      </c>
      <c r="E536" t="s">
        <v>21</v>
      </c>
      <c r="F536" t="s">
        <v>49</v>
      </c>
      <c r="G536" s="9">
        <v>45226</v>
      </c>
      <c r="H536" s="9">
        <v>45184</v>
      </c>
      <c r="I536">
        <v>39</v>
      </c>
      <c r="J536" t="s">
        <v>32</v>
      </c>
      <c r="K536">
        <v>14</v>
      </c>
      <c r="L536">
        <v>2</v>
      </c>
      <c r="M536" s="11">
        <v>11955.8</v>
      </c>
      <c r="N536" s="12">
        <v>11373.84</v>
      </c>
      <c r="O536" s="12">
        <v>6946.65</v>
      </c>
    </row>
    <row r="537" spans="1:15">
      <c r="A537" t="s">
        <v>709</v>
      </c>
      <c r="B537" t="s">
        <v>600</v>
      </c>
      <c r="C537" s="9">
        <v>33604</v>
      </c>
      <c r="D537">
        <v>34</v>
      </c>
      <c r="E537" t="s">
        <v>21</v>
      </c>
      <c r="F537" t="s">
        <v>74</v>
      </c>
      <c r="G537" s="9">
        <v>45602</v>
      </c>
      <c r="H537" s="9">
        <v>45021</v>
      </c>
      <c r="I537">
        <v>27</v>
      </c>
      <c r="J537" t="s">
        <v>35</v>
      </c>
      <c r="K537">
        <v>6</v>
      </c>
      <c r="L537">
        <v>6</v>
      </c>
      <c r="M537" s="11">
        <v>7299.01</v>
      </c>
      <c r="N537" s="12">
        <v>2647.53</v>
      </c>
      <c r="O537" s="12">
        <v>11951.45</v>
      </c>
    </row>
    <row r="538" spans="1:15">
      <c r="A538" t="s">
        <v>710</v>
      </c>
      <c r="B538" t="s">
        <v>328</v>
      </c>
      <c r="C538" s="9">
        <v>14611</v>
      </c>
      <c r="D538">
        <v>86</v>
      </c>
      <c r="E538" t="s">
        <v>17</v>
      </c>
      <c r="F538" t="s">
        <v>74</v>
      </c>
      <c r="G538" s="9">
        <v>45010</v>
      </c>
      <c r="H538" s="9">
        <v>45251</v>
      </c>
      <c r="I538">
        <v>1</v>
      </c>
      <c r="J538" t="s">
        <v>26</v>
      </c>
      <c r="K538">
        <v>1</v>
      </c>
      <c r="L538">
        <v>1</v>
      </c>
      <c r="M538" s="11">
        <v>13166.59</v>
      </c>
      <c r="N538" s="12">
        <v>11229.29</v>
      </c>
      <c r="O538" s="12">
        <v>2218.09</v>
      </c>
    </row>
    <row r="539" spans="1:15">
      <c r="A539" t="s">
        <v>711</v>
      </c>
      <c r="B539" t="s">
        <v>289</v>
      </c>
      <c r="C539" s="9">
        <v>16802</v>
      </c>
      <c r="D539">
        <v>80</v>
      </c>
      <c r="E539" t="s">
        <v>17</v>
      </c>
      <c r="F539" t="s">
        <v>49</v>
      </c>
      <c r="G539" s="9">
        <v>45303</v>
      </c>
      <c r="H539" s="9">
        <v>45718</v>
      </c>
      <c r="I539">
        <v>36</v>
      </c>
      <c r="J539" t="s">
        <v>32</v>
      </c>
      <c r="K539">
        <v>13</v>
      </c>
      <c r="L539">
        <v>4</v>
      </c>
      <c r="M539" s="11">
        <v>29588.26</v>
      </c>
      <c r="N539" s="12">
        <v>1222.1500000000001</v>
      </c>
      <c r="O539" s="12">
        <v>16280.18</v>
      </c>
    </row>
    <row r="540" spans="1:15">
      <c r="A540" t="s">
        <v>712</v>
      </c>
      <c r="B540" t="s">
        <v>24</v>
      </c>
      <c r="C540" s="9">
        <f>DATE(2026-D500,1,1)</f>
        <v>42736</v>
      </c>
      <c r="D540">
        <v>89</v>
      </c>
      <c r="E540" t="s">
        <v>5185</v>
      </c>
      <c r="F540" t="s">
        <v>49</v>
      </c>
      <c r="G540" s="9">
        <v>45239</v>
      </c>
      <c r="H540" s="9">
        <v>45666</v>
      </c>
      <c r="I540">
        <v>12</v>
      </c>
      <c r="J540" t="s">
        <v>32</v>
      </c>
      <c r="K540">
        <v>13</v>
      </c>
      <c r="L540">
        <v>8</v>
      </c>
      <c r="M540" s="11">
        <v>16983.84</v>
      </c>
      <c r="N540" s="12">
        <v>7408.77</v>
      </c>
      <c r="O540" s="12">
        <v>6820.92</v>
      </c>
    </row>
    <row r="541" spans="1:15">
      <c r="A541" t="s">
        <v>713</v>
      </c>
      <c r="B541" t="s">
        <v>550</v>
      </c>
      <c r="C541" s="9">
        <v>43466</v>
      </c>
      <c r="D541">
        <v>7</v>
      </c>
      <c r="E541" t="s">
        <v>17</v>
      </c>
      <c r="F541" t="s">
        <v>29</v>
      </c>
      <c r="G541" s="9">
        <v>45555</v>
      </c>
      <c r="H541" s="9">
        <v>45289</v>
      </c>
      <c r="I541">
        <v>20</v>
      </c>
      <c r="J541" t="s">
        <v>32</v>
      </c>
      <c r="K541">
        <v>10</v>
      </c>
      <c r="L541">
        <v>6</v>
      </c>
      <c r="M541" s="11">
        <v>24848.48</v>
      </c>
      <c r="N541" s="12">
        <v>5563.5</v>
      </c>
      <c r="O541" s="12">
        <v>1508.83</v>
      </c>
    </row>
    <row r="542" spans="1:15">
      <c r="A542" t="s">
        <v>714</v>
      </c>
      <c r="B542" t="s">
        <v>44</v>
      </c>
      <c r="C542" s="9">
        <v>12419</v>
      </c>
      <c r="D542">
        <v>92</v>
      </c>
      <c r="E542" t="s">
        <v>17</v>
      </c>
      <c r="F542" t="s">
        <v>29</v>
      </c>
      <c r="G542" s="9">
        <v>45246</v>
      </c>
      <c r="H542" s="9">
        <v>45589</v>
      </c>
      <c r="I542">
        <v>38</v>
      </c>
      <c r="J542" t="s">
        <v>26</v>
      </c>
      <c r="K542">
        <v>1</v>
      </c>
      <c r="L542">
        <v>2</v>
      </c>
      <c r="M542" s="11">
        <v>7531.96</v>
      </c>
      <c r="N542" s="12">
        <v>13579.29</v>
      </c>
      <c r="O542" s="12">
        <v>19810.28</v>
      </c>
    </row>
    <row r="543" spans="1:15">
      <c r="A543" t="s">
        <v>715</v>
      </c>
      <c r="B543" t="s">
        <v>131</v>
      </c>
      <c r="C543" s="9">
        <v>36891</v>
      </c>
      <c r="D543">
        <v>25</v>
      </c>
      <c r="E543" t="s">
        <v>17</v>
      </c>
      <c r="F543" t="s">
        <v>5184</v>
      </c>
      <c r="G543" s="9">
        <v>45130</v>
      </c>
      <c r="H543" s="9">
        <v>45278</v>
      </c>
      <c r="I543">
        <v>12</v>
      </c>
      <c r="J543" t="s">
        <v>35</v>
      </c>
      <c r="K543">
        <v>2</v>
      </c>
      <c r="L543">
        <v>1</v>
      </c>
      <c r="M543" s="11">
        <v>28655.58</v>
      </c>
      <c r="N543" s="12">
        <v>2397.54</v>
      </c>
      <c r="O543" s="12">
        <v>18025.939999999999</v>
      </c>
    </row>
    <row r="544" spans="1:15">
      <c r="A544" t="s">
        <v>716</v>
      </c>
      <c r="B544" t="s">
        <v>53</v>
      </c>
      <c r="C544" s="9">
        <v>19359</v>
      </c>
      <c r="D544">
        <v>73</v>
      </c>
      <c r="E544" t="s">
        <v>21</v>
      </c>
      <c r="F544" t="s">
        <v>18</v>
      </c>
      <c r="G544" s="9">
        <v>45281</v>
      </c>
      <c r="H544" s="9">
        <v>44989</v>
      </c>
      <c r="I544">
        <v>23</v>
      </c>
      <c r="J544" t="s">
        <v>32</v>
      </c>
      <c r="K544">
        <v>9</v>
      </c>
      <c r="L544">
        <v>9</v>
      </c>
      <c r="M544" s="11">
        <v>98.22</v>
      </c>
      <c r="N544" s="12">
        <v>11833.28</v>
      </c>
      <c r="O544" s="12">
        <v>3868.41</v>
      </c>
    </row>
    <row r="545" spans="1:15">
      <c r="A545" t="s">
        <v>717</v>
      </c>
      <c r="B545" t="s">
        <v>174</v>
      </c>
      <c r="C545" s="9">
        <v>13515</v>
      </c>
      <c r="D545">
        <v>89</v>
      </c>
      <c r="E545" t="s">
        <v>17</v>
      </c>
      <c r="F545" t="s">
        <v>49</v>
      </c>
      <c r="G545" s="9">
        <v>45220</v>
      </c>
      <c r="H545" s="9">
        <v>45568</v>
      </c>
      <c r="I545">
        <v>9</v>
      </c>
      <c r="J545" t="s">
        <v>35</v>
      </c>
      <c r="K545">
        <v>4</v>
      </c>
      <c r="L545">
        <v>8</v>
      </c>
      <c r="M545" s="11">
        <v>27872.48</v>
      </c>
      <c r="N545" s="12">
        <v>727.68</v>
      </c>
      <c r="O545" s="12">
        <v>7200.36</v>
      </c>
    </row>
    <row r="546" spans="1:15">
      <c r="A546" t="s">
        <v>718</v>
      </c>
      <c r="B546" t="s">
        <v>151</v>
      </c>
      <c r="C546" s="9">
        <v>33969</v>
      </c>
      <c r="D546">
        <v>33</v>
      </c>
      <c r="E546" t="s">
        <v>17</v>
      </c>
      <c r="F546" t="s">
        <v>25</v>
      </c>
      <c r="G546" s="9">
        <v>45430</v>
      </c>
      <c r="H546" s="9">
        <v>45114</v>
      </c>
      <c r="I546">
        <v>15</v>
      </c>
      <c r="J546" t="s">
        <v>35</v>
      </c>
      <c r="K546">
        <v>8</v>
      </c>
      <c r="L546">
        <v>8</v>
      </c>
      <c r="M546" s="11">
        <v>26889.119999999999</v>
      </c>
      <c r="N546" s="12">
        <v>10526.32</v>
      </c>
      <c r="O546" s="12">
        <v>18728.03</v>
      </c>
    </row>
    <row r="547" spans="1:15">
      <c r="A547" t="s">
        <v>719</v>
      </c>
      <c r="B547" t="s">
        <v>284</v>
      </c>
      <c r="C547" s="9">
        <v>43831</v>
      </c>
      <c r="D547">
        <v>6</v>
      </c>
      <c r="E547" t="s">
        <v>17</v>
      </c>
      <c r="F547" t="s">
        <v>22</v>
      </c>
      <c r="G547" s="9">
        <v>45071</v>
      </c>
      <c r="H547" s="9">
        <v>45507</v>
      </c>
      <c r="I547">
        <v>3</v>
      </c>
      <c r="J547" t="s">
        <v>26</v>
      </c>
      <c r="K547">
        <v>13</v>
      </c>
      <c r="L547">
        <v>8</v>
      </c>
      <c r="M547" s="11">
        <v>1554.36</v>
      </c>
      <c r="N547" s="12">
        <v>4406.67</v>
      </c>
      <c r="O547" s="12">
        <v>15906.21</v>
      </c>
    </row>
    <row r="548" spans="1:15">
      <c r="A548" t="s">
        <v>720</v>
      </c>
      <c r="B548" t="s">
        <v>392</v>
      </c>
      <c r="C548" s="9">
        <v>21551</v>
      </c>
      <c r="D548">
        <v>67</v>
      </c>
      <c r="E548" t="s">
        <v>21</v>
      </c>
      <c r="F548" t="s">
        <v>29</v>
      </c>
      <c r="G548" s="9">
        <v>45465</v>
      </c>
      <c r="H548" s="9">
        <v>45469</v>
      </c>
      <c r="I548">
        <v>15</v>
      </c>
      <c r="J548" t="s">
        <v>35</v>
      </c>
      <c r="K548">
        <v>10</v>
      </c>
      <c r="L548">
        <v>9</v>
      </c>
      <c r="M548" s="11">
        <v>17947.830000000002</v>
      </c>
      <c r="N548" s="12">
        <v>14638.7</v>
      </c>
      <c r="O548" s="12">
        <v>18118.89</v>
      </c>
    </row>
    <row r="549" spans="1:15">
      <c r="A549" t="s">
        <v>721</v>
      </c>
      <c r="B549" t="s">
        <v>145</v>
      </c>
      <c r="C549" s="9">
        <v>25203</v>
      </c>
      <c r="D549">
        <f ca="1">DATEDIF(C500,TODAY(),"Y")</f>
        <v>9</v>
      </c>
      <c r="E549" t="s">
        <v>21</v>
      </c>
      <c r="F549" t="s">
        <v>74</v>
      </c>
      <c r="G549" s="9">
        <v>44943</v>
      </c>
      <c r="H549" s="9">
        <v>45824</v>
      </c>
      <c r="I549">
        <v>21</v>
      </c>
      <c r="J549" t="s">
        <v>26</v>
      </c>
      <c r="K549">
        <v>8</v>
      </c>
      <c r="L549">
        <v>2</v>
      </c>
      <c r="M549" s="11">
        <v>23449.94</v>
      </c>
      <c r="N549" s="12">
        <v>10076.15</v>
      </c>
      <c r="O549" s="12">
        <v>11207.25</v>
      </c>
    </row>
    <row r="550" spans="1:15">
      <c r="A550" t="s">
        <v>722</v>
      </c>
      <c r="B550" t="s">
        <v>278</v>
      </c>
      <c r="C550" s="9">
        <v>18994</v>
      </c>
      <c r="D550">
        <v>74</v>
      </c>
      <c r="E550" t="s">
        <v>21</v>
      </c>
      <c r="F550" t="s">
        <v>49</v>
      </c>
      <c r="G550" s="9">
        <v>45501</v>
      </c>
      <c r="H550" s="9">
        <v>45231</v>
      </c>
      <c r="I550">
        <v>35</v>
      </c>
      <c r="J550" t="s">
        <v>35</v>
      </c>
      <c r="K550">
        <v>7</v>
      </c>
      <c r="L550">
        <v>0</v>
      </c>
      <c r="M550" s="11">
        <v>11816.14</v>
      </c>
      <c r="N550" s="12">
        <v>4633.58</v>
      </c>
      <c r="O550" s="12">
        <v>4786.6400000000003</v>
      </c>
    </row>
    <row r="551" spans="1:15">
      <c r="A551" t="s">
        <v>723</v>
      </c>
      <c r="B551" t="s">
        <v>103</v>
      </c>
      <c r="C551" s="9">
        <v>35795</v>
      </c>
      <c r="D551">
        <v>28</v>
      </c>
      <c r="E551" t="s">
        <v>17</v>
      </c>
      <c r="F551" t="s">
        <v>25</v>
      </c>
      <c r="G551" s="9">
        <v>45502</v>
      </c>
      <c r="H551" s="9">
        <v>45714</v>
      </c>
      <c r="I551">
        <v>25</v>
      </c>
      <c r="J551" t="s">
        <v>35</v>
      </c>
      <c r="K551">
        <v>2</v>
      </c>
      <c r="L551">
        <v>8</v>
      </c>
      <c r="M551" s="11">
        <v>2301.65</v>
      </c>
      <c r="N551" s="12">
        <v>3532.82</v>
      </c>
      <c r="O551" s="12">
        <v>4463.78</v>
      </c>
    </row>
    <row r="552" spans="1:15">
      <c r="A552" t="s">
        <v>724</v>
      </c>
      <c r="B552" t="s">
        <v>184</v>
      </c>
      <c r="C552" s="9">
        <v>33239</v>
      </c>
      <c r="D552">
        <v>35</v>
      </c>
      <c r="E552" t="s">
        <v>21</v>
      </c>
      <c r="F552" t="s">
        <v>22</v>
      </c>
      <c r="G552" s="9">
        <v>44965</v>
      </c>
      <c r="H552" s="9">
        <v>45566</v>
      </c>
      <c r="I552">
        <v>12</v>
      </c>
      <c r="J552" t="s">
        <v>32</v>
      </c>
      <c r="K552">
        <v>4</v>
      </c>
      <c r="L552">
        <v>6</v>
      </c>
      <c r="M552" s="11">
        <v>24796.7</v>
      </c>
      <c r="N552" s="12">
        <v>9589.6299999999992</v>
      </c>
      <c r="O552" s="12">
        <v>10465.969999999999</v>
      </c>
    </row>
    <row r="553" spans="1:15">
      <c r="A553" t="s">
        <v>725</v>
      </c>
      <c r="B553" t="s">
        <v>341</v>
      </c>
      <c r="C553" s="9">
        <v>13880</v>
      </c>
      <c r="D553">
        <v>88</v>
      </c>
      <c r="E553" t="s">
        <v>17</v>
      </c>
      <c r="F553" t="s">
        <v>25</v>
      </c>
      <c r="G553" s="9">
        <v>45056</v>
      </c>
      <c r="H553" s="9">
        <v>45363</v>
      </c>
      <c r="I553">
        <v>16</v>
      </c>
      <c r="J553" t="s">
        <v>26</v>
      </c>
      <c r="K553">
        <v>7</v>
      </c>
      <c r="L553">
        <v>1</v>
      </c>
      <c r="M553" s="11">
        <v>13728.2</v>
      </c>
      <c r="N553" s="12">
        <v>4090.96</v>
      </c>
      <c r="O553" s="12">
        <v>18472.400000000001</v>
      </c>
    </row>
    <row r="554" spans="1:15">
      <c r="A554" t="s">
        <v>726</v>
      </c>
      <c r="B554" t="s">
        <v>332</v>
      </c>
      <c r="C554" s="9">
        <v>38717</v>
      </c>
      <c r="D554">
        <v>20</v>
      </c>
      <c r="E554" t="s">
        <v>17</v>
      </c>
      <c r="F554" t="s">
        <v>5184</v>
      </c>
      <c r="G554" s="9">
        <v>45041</v>
      </c>
      <c r="H554" s="9">
        <v>45140</v>
      </c>
      <c r="I554">
        <v>2</v>
      </c>
      <c r="J554" t="s">
        <v>32</v>
      </c>
      <c r="K554">
        <v>12</v>
      </c>
      <c r="L554">
        <v>5</v>
      </c>
      <c r="M554" s="11">
        <v>7529.13</v>
      </c>
      <c r="N554" s="12">
        <v>2802.08</v>
      </c>
      <c r="O554" s="12">
        <v>12594.9</v>
      </c>
    </row>
    <row r="555" spans="1:15">
      <c r="A555" t="s">
        <v>727</v>
      </c>
      <c r="B555" t="s">
        <v>37</v>
      </c>
      <c r="C555" s="9">
        <v>33239</v>
      </c>
      <c r="D555">
        <v>35</v>
      </c>
      <c r="E555" t="s">
        <v>21</v>
      </c>
      <c r="F555" t="s">
        <v>25</v>
      </c>
      <c r="G555" s="9">
        <v>45376</v>
      </c>
      <c r="H555" s="9">
        <v>45333</v>
      </c>
      <c r="I555">
        <v>1</v>
      </c>
      <c r="J555" t="s">
        <v>32</v>
      </c>
      <c r="K555">
        <v>12</v>
      </c>
      <c r="L555">
        <v>8</v>
      </c>
      <c r="M555" s="11">
        <v>1661.09</v>
      </c>
      <c r="N555" s="12">
        <v>9715.0499999999993</v>
      </c>
      <c r="O555" s="12">
        <v>591.25</v>
      </c>
    </row>
    <row r="556" spans="1:15">
      <c r="A556" t="s">
        <v>728</v>
      </c>
      <c r="B556" t="s">
        <v>198</v>
      </c>
      <c r="C556" s="9">
        <v>42735</v>
      </c>
      <c r="D556">
        <v>9</v>
      </c>
      <c r="E556" t="s">
        <v>17</v>
      </c>
      <c r="F556" t="s">
        <v>74</v>
      </c>
      <c r="G556" s="9">
        <v>44971</v>
      </c>
      <c r="H556" s="9">
        <v>45745</v>
      </c>
      <c r="I556">
        <v>14</v>
      </c>
      <c r="J556" t="s">
        <v>32</v>
      </c>
      <c r="K556">
        <v>11</v>
      </c>
      <c r="L556">
        <v>7</v>
      </c>
      <c r="M556" s="11">
        <v>19025.240000000002</v>
      </c>
      <c r="N556" s="12">
        <v>10864.31</v>
      </c>
      <c r="O556" s="12">
        <v>11165.56</v>
      </c>
    </row>
    <row r="557" spans="1:15">
      <c r="A557" t="s">
        <v>729</v>
      </c>
      <c r="B557" t="s">
        <v>328</v>
      </c>
      <c r="C557" s="9">
        <v>19724</v>
      </c>
      <c r="D557">
        <v>72</v>
      </c>
      <c r="E557" t="s">
        <v>17</v>
      </c>
      <c r="F557" t="s">
        <v>29</v>
      </c>
      <c r="G557" s="9">
        <v>45142</v>
      </c>
      <c r="H557" s="9">
        <v>45061</v>
      </c>
      <c r="I557">
        <v>7</v>
      </c>
      <c r="J557" t="s">
        <v>32</v>
      </c>
      <c r="K557">
        <v>7</v>
      </c>
      <c r="L557">
        <v>5</v>
      </c>
      <c r="M557" s="11">
        <v>790.21</v>
      </c>
      <c r="N557" s="12">
        <v>3570.42</v>
      </c>
      <c r="O557" s="12">
        <v>12129.66</v>
      </c>
    </row>
    <row r="558" spans="1:15">
      <c r="A558" t="s">
        <v>730</v>
      </c>
      <c r="B558" t="s">
        <v>332</v>
      </c>
      <c r="C558" s="9">
        <v>37622</v>
      </c>
      <c r="D558">
        <v>23</v>
      </c>
      <c r="E558" t="s">
        <v>21</v>
      </c>
      <c r="F558" t="s">
        <v>25</v>
      </c>
      <c r="G558" s="9">
        <v>45526</v>
      </c>
      <c r="H558" s="9">
        <v>45146</v>
      </c>
      <c r="I558">
        <v>9</v>
      </c>
      <c r="J558" t="s">
        <v>32</v>
      </c>
      <c r="K558">
        <v>13</v>
      </c>
      <c r="L558">
        <v>5</v>
      </c>
      <c r="M558" s="11">
        <v>23628.36</v>
      </c>
      <c r="N558" s="12">
        <v>8038.09</v>
      </c>
      <c r="O558" s="12">
        <v>11589.26</v>
      </c>
    </row>
    <row r="559" spans="1:15">
      <c r="A559" t="s">
        <v>731</v>
      </c>
      <c r="B559" t="s">
        <v>348</v>
      </c>
      <c r="C559" s="9">
        <v>23012</v>
      </c>
      <c r="D559">
        <v>63</v>
      </c>
      <c r="E559" t="s">
        <v>17</v>
      </c>
      <c r="F559" t="s">
        <v>22</v>
      </c>
      <c r="G559" s="9">
        <v>45341</v>
      </c>
      <c r="H559" s="9">
        <v>45348</v>
      </c>
      <c r="I559">
        <v>2</v>
      </c>
      <c r="J559" t="s">
        <v>35</v>
      </c>
      <c r="K559">
        <v>4</v>
      </c>
      <c r="L559">
        <v>7</v>
      </c>
      <c r="M559" s="11">
        <v>23007.94</v>
      </c>
      <c r="N559" s="12">
        <v>9954.44</v>
      </c>
      <c r="O559" s="12">
        <v>13790.63</v>
      </c>
    </row>
    <row r="560" spans="1:15">
      <c r="A560" t="s">
        <v>732</v>
      </c>
      <c r="B560" t="s">
        <v>129</v>
      </c>
      <c r="C560" s="9">
        <v>28490</v>
      </c>
      <c r="D560">
        <v>48</v>
      </c>
      <c r="E560" t="s">
        <v>21</v>
      </c>
      <c r="F560" t="s">
        <v>29</v>
      </c>
      <c r="G560" s="9">
        <v>45615</v>
      </c>
      <c r="H560" s="9">
        <v>45246</v>
      </c>
      <c r="I560">
        <v>4</v>
      </c>
      <c r="J560" t="s">
        <v>35</v>
      </c>
      <c r="K560">
        <v>3</v>
      </c>
      <c r="L560">
        <v>8</v>
      </c>
      <c r="M560" s="11">
        <v>9349.75</v>
      </c>
      <c r="N560" s="12">
        <v>14128.75</v>
      </c>
      <c r="O560" s="12">
        <v>5799.63</v>
      </c>
    </row>
    <row r="561" spans="1:15">
      <c r="A561" t="s">
        <v>733</v>
      </c>
      <c r="B561" t="s">
        <v>229</v>
      </c>
      <c r="C561" s="9">
        <v>33239</v>
      </c>
      <c r="D561">
        <v>35</v>
      </c>
      <c r="E561" t="s">
        <v>21</v>
      </c>
      <c r="F561" t="s">
        <v>5184</v>
      </c>
      <c r="G561" s="9">
        <v>45191</v>
      </c>
      <c r="H561" s="9">
        <v>45084</v>
      </c>
      <c r="I561">
        <v>20</v>
      </c>
      <c r="J561" t="s">
        <v>32</v>
      </c>
      <c r="K561">
        <v>1</v>
      </c>
      <c r="L561">
        <v>7</v>
      </c>
      <c r="M561" s="11">
        <v>13904.76</v>
      </c>
      <c r="N561" s="12">
        <v>12051.5</v>
      </c>
      <c r="O561" s="12">
        <v>2789.68</v>
      </c>
    </row>
    <row r="562" spans="1:15">
      <c r="A562" t="s">
        <v>734</v>
      </c>
      <c r="B562" t="s">
        <v>664</v>
      </c>
      <c r="C562" s="9">
        <v>16437</v>
      </c>
      <c r="D562">
        <v>81</v>
      </c>
      <c r="E562" t="s">
        <v>17</v>
      </c>
      <c r="F562" t="s">
        <v>5184</v>
      </c>
      <c r="G562" s="9">
        <v>45366</v>
      </c>
      <c r="H562" s="9">
        <v>45115</v>
      </c>
      <c r="I562">
        <v>1</v>
      </c>
      <c r="J562" t="s">
        <v>35</v>
      </c>
      <c r="K562">
        <v>3</v>
      </c>
      <c r="L562">
        <v>0</v>
      </c>
      <c r="M562" s="11">
        <v>19911.2</v>
      </c>
      <c r="N562" s="12">
        <v>6312.22</v>
      </c>
      <c r="O562" s="12">
        <v>14975.98</v>
      </c>
    </row>
    <row r="563" spans="1:15">
      <c r="A563" t="s">
        <v>735</v>
      </c>
      <c r="B563" t="s">
        <v>100</v>
      </c>
      <c r="C563" s="9">
        <f>DATE(2026-D523,1,1)</f>
        <v>42005</v>
      </c>
      <c r="D563">
        <v>23</v>
      </c>
      <c r="E563" t="s">
        <v>17</v>
      </c>
      <c r="F563" t="s">
        <v>18</v>
      </c>
      <c r="G563" s="9">
        <v>45543</v>
      </c>
      <c r="H563" s="9">
        <v>45403</v>
      </c>
      <c r="I563">
        <v>27</v>
      </c>
      <c r="J563" t="s">
        <v>35</v>
      </c>
      <c r="K563">
        <v>13</v>
      </c>
      <c r="L563">
        <v>1</v>
      </c>
      <c r="M563" s="11">
        <v>28753.279999999999</v>
      </c>
      <c r="N563" s="12">
        <v>12666.11</v>
      </c>
      <c r="O563" s="12">
        <v>3846.7</v>
      </c>
    </row>
    <row r="564" spans="1:15">
      <c r="A564" t="s">
        <v>736</v>
      </c>
      <c r="B564" t="s">
        <v>302</v>
      </c>
      <c r="C564" s="9">
        <v>37987</v>
      </c>
      <c r="D564">
        <v>22</v>
      </c>
      <c r="E564" t="s">
        <v>5185</v>
      </c>
      <c r="F564" t="s">
        <v>74</v>
      </c>
      <c r="G564" s="9">
        <v>45307</v>
      </c>
      <c r="H564" s="9">
        <v>45089</v>
      </c>
      <c r="I564">
        <v>34</v>
      </c>
      <c r="J564" t="s">
        <v>32</v>
      </c>
      <c r="K564">
        <v>1</v>
      </c>
      <c r="L564">
        <v>5</v>
      </c>
      <c r="M564" s="11">
        <v>15364.61</v>
      </c>
      <c r="N564" s="12">
        <v>6625.41</v>
      </c>
      <c r="O564" s="12">
        <v>2194.6</v>
      </c>
    </row>
    <row r="565" spans="1:15">
      <c r="A565" t="s">
        <v>737</v>
      </c>
      <c r="B565" t="s">
        <v>372</v>
      </c>
      <c r="C565" s="9">
        <v>23742</v>
      </c>
      <c r="D565">
        <v>61</v>
      </c>
      <c r="E565" t="s">
        <v>17</v>
      </c>
      <c r="F565" t="s">
        <v>29</v>
      </c>
      <c r="G565" s="9">
        <v>45227</v>
      </c>
      <c r="H565" s="9">
        <v>45056</v>
      </c>
      <c r="I565">
        <v>2</v>
      </c>
      <c r="J565" t="s">
        <v>32</v>
      </c>
      <c r="K565">
        <v>3</v>
      </c>
      <c r="L565">
        <v>7</v>
      </c>
      <c r="M565" s="11">
        <v>0</v>
      </c>
      <c r="N565" s="12">
        <v>1951.9</v>
      </c>
      <c r="O565" s="12">
        <v>7123.48</v>
      </c>
    </row>
    <row r="566" spans="1:15">
      <c r="A566" t="s">
        <v>738</v>
      </c>
      <c r="B566" t="s">
        <v>514</v>
      </c>
      <c r="C566" s="9">
        <v>32873</v>
      </c>
      <c r="D566">
        <v>36</v>
      </c>
      <c r="E566" t="s">
        <v>17</v>
      </c>
      <c r="F566" t="s">
        <v>5184</v>
      </c>
      <c r="G566" s="9">
        <v>45097</v>
      </c>
      <c r="H566" s="9">
        <v>45231</v>
      </c>
      <c r="I566">
        <v>17</v>
      </c>
      <c r="J566" t="s">
        <v>26</v>
      </c>
      <c r="K566">
        <v>11</v>
      </c>
      <c r="L566">
        <v>3</v>
      </c>
      <c r="M566" s="11">
        <v>9415.73</v>
      </c>
      <c r="N566" s="12">
        <v>5116.51</v>
      </c>
      <c r="O566" s="12">
        <v>16638.36</v>
      </c>
    </row>
    <row r="567" spans="1:15">
      <c r="A567" t="s">
        <v>739</v>
      </c>
      <c r="B567" t="s">
        <v>153</v>
      </c>
      <c r="C567" s="9">
        <v>42005</v>
      </c>
      <c r="D567">
        <v>11</v>
      </c>
      <c r="E567" t="s">
        <v>17</v>
      </c>
      <c r="F567" t="s">
        <v>5184</v>
      </c>
      <c r="G567" s="9">
        <v>45546</v>
      </c>
      <c r="H567" s="9">
        <v>45016</v>
      </c>
      <c r="I567">
        <v>23</v>
      </c>
      <c r="J567" t="s">
        <v>32</v>
      </c>
      <c r="K567">
        <v>8</v>
      </c>
      <c r="L567">
        <v>3</v>
      </c>
      <c r="M567" s="11">
        <v>0</v>
      </c>
      <c r="N567" s="12">
        <v>12070.86</v>
      </c>
      <c r="O567" s="12">
        <v>1550.38</v>
      </c>
    </row>
    <row r="568" spans="1:15">
      <c r="A568" t="s">
        <v>740</v>
      </c>
      <c r="B568" t="s">
        <v>332</v>
      </c>
      <c r="C568" s="9">
        <v>26299</v>
      </c>
      <c r="D568">
        <v>54</v>
      </c>
      <c r="E568" t="s">
        <v>17</v>
      </c>
      <c r="F568" t="s">
        <v>29</v>
      </c>
      <c r="G568" s="9">
        <v>45332</v>
      </c>
      <c r="H568" s="9">
        <v>45822</v>
      </c>
      <c r="I568">
        <v>36</v>
      </c>
      <c r="J568" t="s">
        <v>32</v>
      </c>
      <c r="K568">
        <v>8</v>
      </c>
      <c r="L568">
        <v>1</v>
      </c>
      <c r="M568" s="11">
        <v>3026.27</v>
      </c>
      <c r="N568" s="12">
        <v>14337.07</v>
      </c>
      <c r="O568" s="12">
        <v>3830.78</v>
      </c>
    </row>
    <row r="569" spans="1:15">
      <c r="A569" t="s">
        <v>741</v>
      </c>
      <c r="B569" t="s">
        <v>20</v>
      </c>
      <c r="C569" s="9">
        <v>41639</v>
      </c>
      <c r="D569">
        <v>12</v>
      </c>
      <c r="E569" t="s">
        <v>17</v>
      </c>
      <c r="F569" t="s">
        <v>25</v>
      </c>
      <c r="G569" s="9">
        <v>45281</v>
      </c>
      <c r="H569" s="9">
        <v>45089</v>
      </c>
      <c r="I569">
        <v>3</v>
      </c>
      <c r="J569" t="s">
        <v>32</v>
      </c>
      <c r="K569">
        <v>13</v>
      </c>
      <c r="L569">
        <v>9</v>
      </c>
      <c r="M569" s="11">
        <v>16471.41</v>
      </c>
      <c r="N569" s="12">
        <v>14753.76</v>
      </c>
      <c r="O569" s="12">
        <v>9452.7099999999991</v>
      </c>
    </row>
    <row r="570" spans="1:15">
      <c r="A570" t="s">
        <v>742</v>
      </c>
      <c r="B570" t="s">
        <v>41</v>
      </c>
      <c r="C570" s="9">
        <v>37987</v>
      </c>
      <c r="D570">
        <v>22</v>
      </c>
      <c r="E570" t="s">
        <v>21</v>
      </c>
      <c r="F570" t="s">
        <v>22</v>
      </c>
      <c r="G570" s="9">
        <v>45087</v>
      </c>
      <c r="H570" s="9">
        <v>44963</v>
      </c>
      <c r="I570">
        <v>26</v>
      </c>
      <c r="J570" t="s">
        <v>26</v>
      </c>
      <c r="K570">
        <v>1</v>
      </c>
      <c r="L570">
        <v>0</v>
      </c>
      <c r="M570" s="11">
        <v>15857.56</v>
      </c>
      <c r="N570" s="12">
        <v>9586.42</v>
      </c>
      <c r="O570" s="12">
        <v>5681.7</v>
      </c>
    </row>
    <row r="571" spans="1:15">
      <c r="A571" t="s">
        <v>743</v>
      </c>
      <c r="B571" t="s">
        <v>129</v>
      </c>
      <c r="C571" s="9">
        <v>13880</v>
      </c>
      <c r="D571">
        <v>88</v>
      </c>
      <c r="E571" t="s">
        <v>17</v>
      </c>
      <c r="F571" t="s">
        <v>25</v>
      </c>
      <c r="G571" s="9">
        <v>45478</v>
      </c>
      <c r="H571" s="9">
        <v>45154</v>
      </c>
      <c r="I571">
        <v>7</v>
      </c>
      <c r="J571" t="s">
        <v>35</v>
      </c>
      <c r="K571">
        <v>4</v>
      </c>
      <c r="L571">
        <v>9</v>
      </c>
      <c r="M571" s="11">
        <v>25388.82</v>
      </c>
      <c r="N571" s="12">
        <v>7175.13</v>
      </c>
      <c r="O571" s="12">
        <v>14405.39</v>
      </c>
    </row>
    <row r="572" spans="1:15">
      <c r="A572" t="s">
        <v>744</v>
      </c>
      <c r="B572" t="s">
        <v>181</v>
      </c>
      <c r="C572" s="9">
        <v>35430</v>
      </c>
      <c r="D572">
        <v>29</v>
      </c>
      <c r="E572" t="s">
        <v>21</v>
      </c>
      <c r="F572" t="s">
        <v>22</v>
      </c>
      <c r="G572" s="9">
        <v>44952</v>
      </c>
      <c r="H572" s="9">
        <v>45078</v>
      </c>
      <c r="I572">
        <v>13</v>
      </c>
      <c r="J572" t="s">
        <v>32</v>
      </c>
      <c r="K572">
        <v>5</v>
      </c>
      <c r="L572">
        <v>8</v>
      </c>
      <c r="M572" s="11">
        <v>29894.82</v>
      </c>
      <c r="N572" s="12">
        <v>2430.86</v>
      </c>
      <c r="O572" s="12">
        <v>13465.54</v>
      </c>
    </row>
    <row r="573" spans="1:15">
      <c r="A573" t="s">
        <v>745</v>
      </c>
      <c r="B573" t="s">
        <v>37</v>
      </c>
      <c r="C573" s="9">
        <v>40178</v>
      </c>
      <c r="D573">
        <v>16</v>
      </c>
      <c r="E573" t="s">
        <v>17</v>
      </c>
      <c r="F573" t="s">
        <v>5184</v>
      </c>
      <c r="G573" s="9">
        <v>45009</v>
      </c>
      <c r="H573" s="9">
        <v>45520</v>
      </c>
      <c r="I573">
        <v>31</v>
      </c>
      <c r="J573" t="s">
        <v>32</v>
      </c>
      <c r="K573">
        <v>0</v>
      </c>
      <c r="L573">
        <v>6</v>
      </c>
      <c r="M573" s="11">
        <v>29578.43</v>
      </c>
      <c r="N573" s="12">
        <v>1537.86</v>
      </c>
      <c r="O573" s="12">
        <v>16834.580000000002</v>
      </c>
    </row>
    <row r="574" spans="1:15">
      <c r="A574" t="s">
        <v>746</v>
      </c>
      <c r="B574" t="s">
        <v>539</v>
      </c>
      <c r="C574" s="9">
        <v>23742</v>
      </c>
      <c r="D574">
        <v>61</v>
      </c>
      <c r="E574" t="s">
        <v>21</v>
      </c>
      <c r="F574" t="s">
        <v>5184</v>
      </c>
      <c r="G574" s="9">
        <v>45099</v>
      </c>
      <c r="H574" s="9">
        <v>44974</v>
      </c>
      <c r="I574">
        <v>28</v>
      </c>
      <c r="J574" t="s">
        <v>32</v>
      </c>
      <c r="K574">
        <v>1</v>
      </c>
      <c r="L574">
        <v>8</v>
      </c>
      <c r="M574" s="11">
        <v>6707.19</v>
      </c>
      <c r="N574" s="12">
        <v>7777.53</v>
      </c>
      <c r="O574" s="12">
        <v>3997.25</v>
      </c>
    </row>
    <row r="575" spans="1:15">
      <c r="A575" t="s">
        <v>747</v>
      </c>
      <c r="B575" t="s">
        <v>326</v>
      </c>
      <c r="C575" s="9">
        <v>15707</v>
      </c>
      <c r="D575">
        <v>83</v>
      </c>
      <c r="E575" t="s">
        <v>17</v>
      </c>
      <c r="F575" t="s">
        <v>74</v>
      </c>
      <c r="G575" s="9">
        <v>45611</v>
      </c>
      <c r="H575" s="9">
        <v>45643</v>
      </c>
      <c r="I575">
        <v>33</v>
      </c>
      <c r="J575" t="s">
        <v>32</v>
      </c>
      <c r="K575">
        <v>8</v>
      </c>
      <c r="L575">
        <v>1</v>
      </c>
      <c r="M575" s="11">
        <v>9822.59</v>
      </c>
      <c r="N575" s="12">
        <v>10916.69</v>
      </c>
      <c r="O575" s="12">
        <v>12943.27</v>
      </c>
    </row>
    <row r="576" spans="1:15">
      <c r="A576" t="s">
        <v>748</v>
      </c>
      <c r="B576" t="s">
        <v>51</v>
      </c>
      <c r="C576" s="9">
        <v>13880</v>
      </c>
      <c r="D576">
        <v>88</v>
      </c>
      <c r="E576" t="s">
        <v>21</v>
      </c>
      <c r="F576" t="s">
        <v>29</v>
      </c>
      <c r="G576" s="9">
        <v>44996</v>
      </c>
      <c r="H576" s="9">
        <v>45587</v>
      </c>
      <c r="I576">
        <v>38</v>
      </c>
      <c r="J576" t="s">
        <v>35</v>
      </c>
      <c r="K576">
        <v>7</v>
      </c>
      <c r="L576">
        <v>9</v>
      </c>
      <c r="M576" s="11">
        <v>7877.04</v>
      </c>
      <c r="N576" s="12">
        <v>4858.83</v>
      </c>
      <c r="O576" s="12">
        <v>15472.16</v>
      </c>
    </row>
    <row r="577" spans="1:15">
      <c r="A577" t="s">
        <v>749</v>
      </c>
      <c r="B577" t="s">
        <v>392</v>
      </c>
      <c r="C577" s="9">
        <v>14976</v>
      </c>
      <c r="D577">
        <v>85</v>
      </c>
      <c r="E577" t="s">
        <v>21</v>
      </c>
      <c r="F577" t="s">
        <v>49</v>
      </c>
      <c r="G577" s="9">
        <v>44932</v>
      </c>
      <c r="H577" s="9">
        <v>45158</v>
      </c>
      <c r="I577">
        <v>2</v>
      </c>
      <c r="J577" t="s">
        <v>35</v>
      </c>
      <c r="K577">
        <v>6</v>
      </c>
      <c r="L577">
        <v>4</v>
      </c>
      <c r="M577" s="11">
        <v>5590.23</v>
      </c>
      <c r="N577" s="12">
        <v>10120.15</v>
      </c>
      <c r="O577" s="12">
        <v>1159.6099999999999</v>
      </c>
    </row>
    <row r="578" spans="1:15">
      <c r="A578" t="s">
        <v>750</v>
      </c>
      <c r="B578" t="s">
        <v>194</v>
      </c>
      <c r="C578" s="9">
        <v>41639</v>
      </c>
      <c r="D578">
        <v>12</v>
      </c>
      <c r="E578" t="s">
        <v>17</v>
      </c>
      <c r="F578" t="s">
        <v>5184</v>
      </c>
      <c r="G578" s="9">
        <v>45121</v>
      </c>
      <c r="H578" s="9">
        <v>45466</v>
      </c>
      <c r="I578">
        <v>30</v>
      </c>
      <c r="J578" t="s">
        <v>32</v>
      </c>
      <c r="K578">
        <v>2</v>
      </c>
      <c r="L578">
        <v>1</v>
      </c>
      <c r="M578" s="11">
        <v>4079.15</v>
      </c>
      <c r="N578" s="12">
        <v>8562.16</v>
      </c>
      <c r="O578" s="12">
        <v>640.14</v>
      </c>
    </row>
    <row r="579" spans="1:15">
      <c r="A579" t="s">
        <v>751</v>
      </c>
      <c r="B579" t="s">
        <v>117</v>
      </c>
      <c r="C579" s="9">
        <f t="shared" ref="C579:C580" si="2">DATE(2026-D539,1,1)</f>
        <v>16803</v>
      </c>
      <c r="D579">
        <v>58</v>
      </c>
      <c r="E579" t="s">
        <v>21</v>
      </c>
      <c r="F579" t="s">
        <v>22</v>
      </c>
      <c r="G579" s="9">
        <v>45451</v>
      </c>
      <c r="H579" s="9">
        <v>45628</v>
      </c>
      <c r="I579">
        <v>16</v>
      </c>
      <c r="J579" t="s">
        <v>32</v>
      </c>
      <c r="K579">
        <v>9</v>
      </c>
      <c r="L579">
        <v>9</v>
      </c>
      <c r="M579" s="11">
        <v>15108.19</v>
      </c>
      <c r="N579" s="12">
        <v>14111.23</v>
      </c>
      <c r="O579" s="12">
        <v>11141.09</v>
      </c>
    </row>
    <row r="580" spans="1:15">
      <c r="A580" t="s">
        <v>752</v>
      </c>
      <c r="B580" t="s">
        <v>37</v>
      </c>
      <c r="C580" s="9">
        <f t="shared" si="2"/>
        <v>13516</v>
      </c>
      <c r="D580">
        <v>18</v>
      </c>
      <c r="E580" t="s">
        <v>17</v>
      </c>
      <c r="F580" t="s">
        <v>22</v>
      </c>
      <c r="G580" s="9">
        <v>44989</v>
      </c>
      <c r="H580" s="9">
        <v>45092</v>
      </c>
      <c r="I580">
        <v>29</v>
      </c>
      <c r="J580" t="s">
        <v>26</v>
      </c>
      <c r="K580">
        <v>10</v>
      </c>
      <c r="L580">
        <v>6</v>
      </c>
      <c r="M580" s="11">
        <v>26111.21</v>
      </c>
      <c r="N580" s="12">
        <v>3143.35</v>
      </c>
      <c r="O580" s="12">
        <v>11715.88</v>
      </c>
    </row>
    <row r="581" spans="1:15">
      <c r="A581" t="s">
        <v>753</v>
      </c>
      <c r="B581" t="s">
        <v>53</v>
      </c>
      <c r="C581" s="9">
        <v>28490</v>
      </c>
      <c r="D581">
        <v>48</v>
      </c>
      <c r="E581" t="s">
        <v>21</v>
      </c>
      <c r="F581" t="s">
        <v>25</v>
      </c>
      <c r="G581" s="9">
        <v>44939</v>
      </c>
      <c r="H581" s="9">
        <v>45651</v>
      </c>
      <c r="I581">
        <v>20</v>
      </c>
      <c r="J581" t="s">
        <v>35</v>
      </c>
      <c r="K581">
        <v>6</v>
      </c>
      <c r="L581">
        <v>8</v>
      </c>
      <c r="M581" s="11">
        <v>17490.96</v>
      </c>
      <c r="N581" s="12">
        <v>8865.8799999999992</v>
      </c>
      <c r="O581" s="12">
        <v>7795.46</v>
      </c>
    </row>
    <row r="582" spans="1:15">
      <c r="A582" t="s">
        <v>754</v>
      </c>
      <c r="B582" t="s">
        <v>300</v>
      </c>
      <c r="C582" s="9">
        <v>42005</v>
      </c>
      <c r="D582">
        <v>11</v>
      </c>
      <c r="E582" t="s">
        <v>21</v>
      </c>
      <c r="F582" t="s">
        <v>25</v>
      </c>
      <c r="G582" s="9">
        <v>45131</v>
      </c>
      <c r="H582" s="9">
        <v>45747</v>
      </c>
      <c r="I582">
        <v>0</v>
      </c>
      <c r="J582" t="s">
        <v>32</v>
      </c>
      <c r="K582">
        <v>9</v>
      </c>
      <c r="L582">
        <v>2</v>
      </c>
      <c r="M582" s="11">
        <v>26116.240000000002</v>
      </c>
      <c r="N582" s="12">
        <v>6206.95</v>
      </c>
      <c r="O582" s="12">
        <v>625.07000000000005</v>
      </c>
    </row>
    <row r="583" spans="1:15">
      <c r="A583" t="s">
        <v>755</v>
      </c>
      <c r="B583" t="s">
        <v>93</v>
      </c>
      <c r="C583" s="9">
        <v>24107</v>
      </c>
      <c r="D583">
        <v>60</v>
      </c>
      <c r="E583" t="s">
        <v>21</v>
      </c>
      <c r="F583" t="s">
        <v>5184</v>
      </c>
      <c r="G583" s="9">
        <v>44966</v>
      </c>
      <c r="H583" s="9">
        <v>45514</v>
      </c>
      <c r="I583">
        <v>2</v>
      </c>
      <c r="J583" t="s">
        <v>32</v>
      </c>
      <c r="K583">
        <v>6</v>
      </c>
      <c r="L583">
        <v>0</v>
      </c>
      <c r="M583" s="11">
        <v>28764.59</v>
      </c>
      <c r="N583" s="12">
        <v>3923.63</v>
      </c>
      <c r="O583" s="12">
        <v>7978.63</v>
      </c>
    </row>
    <row r="584" spans="1:15">
      <c r="A584" t="s">
        <v>756</v>
      </c>
      <c r="B584" t="s">
        <v>112</v>
      </c>
      <c r="C584" s="9">
        <v>39448</v>
      </c>
      <c r="D584">
        <v>18</v>
      </c>
      <c r="E584" t="s">
        <v>17</v>
      </c>
      <c r="F584" t="s">
        <v>5184</v>
      </c>
      <c r="G584" s="9">
        <v>45091</v>
      </c>
      <c r="H584" s="9">
        <v>45531</v>
      </c>
      <c r="I584">
        <v>33</v>
      </c>
      <c r="J584" t="s">
        <v>32</v>
      </c>
      <c r="K584">
        <v>12</v>
      </c>
      <c r="L584">
        <v>3</v>
      </c>
      <c r="M584" s="11">
        <v>11185.81</v>
      </c>
      <c r="N584" s="12">
        <v>5359.38</v>
      </c>
      <c r="O584" s="12">
        <v>12805.98</v>
      </c>
    </row>
    <row r="585" spans="1:15">
      <c r="A585" t="s">
        <v>757</v>
      </c>
      <c r="B585" t="s">
        <v>159</v>
      </c>
      <c r="C585" s="9">
        <v>18629</v>
      </c>
      <c r="D585">
        <f ca="1">DATEDIF(C536,TODAY(),"Y")</f>
        <v>1</v>
      </c>
      <c r="E585" t="s">
        <v>21</v>
      </c>
      <c r="F585" t="s">
        <v>18</v>
      </c>
      <c r="G585" s="9">
        <v>44957</v>
      </c>
      <c r="H585" s="9">
        <v>45501</v>
      </c>
      <c r="I585">
        <v>38</v>
      </c>
      <c r="J585" t="s">
        <v>32</v>
      </c>
      <c r="K585">
        <v>4</v>
      </c>
      <c r="L585">
        <v>3</v>
      </c>
      <c r="M585" s="11">
        <v>24987.87</v>
      </c>
      <c r="N585" s="12">
        <v>4418.0200000000004</v>
      </c>
      <c r="O585" s="12">
        <v>14007.8</v>
      </c>
    </row>
    <row r="586" spans="1:15">
      <c r="A586" t="s">
        <v>758</v>
      </c>
      <c r="B586" t="s">
        <v>681</v>
      </c>
      <c r="C586" s="9">
        <v>43100</v>
      </c>
      <c r="D586">
        <v>8</v>
      </c>
      <c r="E586" t="s">
        <v>17</v>
      </c>
      <c r="F586" t="s">
        <v>22</v>
      </c>
      <c r="G586" s="9">
        <v>45455</v>
      </c>
      <c r="H586" s="9">
        <v>44993</v>
      </c>
      <c r="I586">
        <v>25</v>
      </c>
      <c r="J586" t="s">
        <v>32</v>
      </c>
      <c r="K586">
        <v>12</v>
      </c>
      <c r="L586">
        <v>5</v>
      </c>
      <c r="M586" s="11">
        <v>1096.22</v>
      </c>
      <c r="N586" s="12">
        <v>7914.73</v>
      </c>
      <c r="O586" s="12">
        <v>9805.11</v>
      </c>
    </row>
    <row r="587" spans="1:15">
      <c r="A587" t="s">
        <v>759</v>
      </c>
      <c r="B587" t="s">
        <v>546</v>
      </c>
      <c r="C587" s="9">
        <v>20455</v>
      </c>
      <c r="D587">
        <v>70</v>
      </c>
      <c r="E587" t="s">
        <v>21</v>
      </c>
      <c r="F587" t="s">
        <v>74</v>
      </c>
      <c r="G587" s="9">
        <v>45575</v>
      </c>
      <c r="H587" s="9">
        <v>45007</v>
      </c>
      <c r="I587">
        <v>36</v>
      </c>
      <c r="J587" t="s">
        <v>35</v>
      </c>
      <c r="K587">
        <v>1</v>
      </c>
      <c r="L587">
        <v>4</v>
      </c>
      <c r="M587" s="11">
        <v>0</v>
      </c>
      <c r="N587" s="12">
        <v>8370.81</v>
      </c>
      <c r="O587" s="12">
        <v>10453</v>
      </c>
    </row>
    <row r="588" spans="1:15">
      <c r="A588" t="s">
        <v>760</v>
      </c>
      <c r="B588" t="s">
        <v>78</v>
      </c>
      <c r="C588" s="9">
        <v>36161</v>
      </c>
      <c r="D588">
        <v>27</v>
      </c>
      <c r="E588" t="s">
        <v>21</v>
      </c>
      <c r="F588" t="s">
        <v>29</v>
      </c>
      <c r="G588" s="9">
        <v>45603</v>
      </c>
      <c r="H588" s="9">
        <v>45067</v>
      </c>
      <c r="I588">
        <v>2</v>
      </c>
      <c r="J588" t="s">
        <v>32</v>
      </c>
      <c r="K588">
        <v>0</v>
      </c>
      <c r="L588">
        <v>4</v>
      </c>
      <c r="M588" s="11">
        <v>10733.04</v>
      </c>
      <c r="N588" s="12">
        <v>12983.1</v>
      </c>
      <c r="O588" s="12">
        <v>13420.75</v>
      </c>
    </row>
    <row r="589" spans="1:15">
      <c r="A589" t="s">
        <v>761</v>
      </c>
      <c r="B589" t="s">
        <v>619</v>
      </c>
      <c r="C589" s="9">
        <v>17898</v>
      </c>
      <c r="D589">
        <v>77</v>
      </c>
      <c r="E589" t="s">
        <v>21</v>
      </c>
      <c r="F589" t="s">
        <v>29</v>
      </c>
      <c r="G589" s="9">
        <v>45324</v>
      </c>
      <c r="H589" s="9">
        <v>45327</v>
      </c>
      <c r="I589">
        <v>10</v>
      </c>
      <c r="J589" t="s">
        <v>35</v>
      </c>
      <c r="K589">
        <v>2</v>
      </c>
      <c r="L589">
        <v>8</v>
      </c>
      <c r="M589" s="11">
        <v>5747.98</v>
      </c>
      <c r="N589" s="12">
        <v>11719.59</v>
      </c>
      <c r="O589" s="12">
        <v>8930.98</v>
      </c>
    </row>
    <row r="590" spans="1:15">
      <c r="A590" t="s">
        <v>762</v>
      </c>
      <c r="B590" t="s">
        <v>514</v>
      </c>
      <c r="C590" s="9">
        <v>11689</v>
      </c>
      <c r="D590">
        <v>94</v>
      </c>
      <c r="E590" t="s">
        <v>21</v>
      </c>
      <c r="F590" t="s">
        <v>29</v>
      </c>
      <c r="G590" s="9">
        <v>45385</v>
      </c>
      <c r="H590" s="9">
        <v>45057</v>
      </c>
      <c r="I590">
        <v>8</v>
      </c>
      <c r="J590" t="s">
        <v>26</v>
      </c>
      <c r="K590">
        <v>2</v>
      </c>
      <c r="L590">
        <v>0</v>
      </c>
      <c r="M590" s="11">
        <v>12870.98</v>
      </c>
      <c r="N590" s="12">
        <v>4537.7299999999996</v>
      </c>
      <c r="O590" s="12">
        <v>5196.6499999999996</v>
      </c>
    </row>
    <row r="591" spans="1:15">
      <c r="A591" t="s">
        <v>763</v>
      </c>
      <c r="B591" t="s">
        <v>292</v>
      </c>
      <c r="C591" s="9">
        <v>27395</v>
      </c>
      <c r="D591">
        <v>51</v>
      </c>
      <c r="E591" t="s">
        <v>17</v>
      </c>
      <c r="F591" t="s">
        <v>22</v>
      </c>
      <c r="G591" s="9">
        <v>45149</v>
      </c>
      <c r="H591" s="9">
        <v>45693</v>
      </c>
      <c r="I591">
        <v>19</v>
      </c>
      <c r="J591" t="s">
        <v>26</v>
      </c>
      <c r="K591">
        <v>0</v>
      </c>
      <c r="L591">
        <v>7</v>
      </c>
      <c r="M591" s="11">
        <v>13032.93</v>
      </c>
      <c r="N591" s="12">
        <v>13969.88</v>
      </c>
      <c r="O591" s="12">
        <v>4381.6899999999996</v>
      </c>
    </row>
    <row r="592" spans="1:15">
      <c r="A592" t="s">
        <v>764</v>
      </c>
      <c r="B592" t="s">
        <v>664</v>
      </c>
      <c r="C592" s="9">
        <v>16072</v>
      </c>
      <c r="D592">
        <v>82</v>
      </c>
      <c r="E592" t="s">
        <v>17</v>
      </c>
      <c r="F592" t="s">
        <v>25</v>
      </c>
      <c r="G592" s="9">
        <v>45560</v>
      </c>
      <c r="H592" s="9">
        <v>45373</v>
      </c>
      <c r="I592">
        <v>20</v>
      </c>
      <c r="J592" t="s">
        <v>32</v>
      </c>
      <c r="K592">
        <v>7</v>
      </c>
      <c r="L592">
        <v>7</v>
      </c>
      <c r="M592" s="11">
        <v>24160.46</v>
      </c>
      <c r="N592" s="12">
        <v>13025.29</v>
      </c>
      <c r="O592" s="12">
        <v>15030.33</v>
      </c>
    </row>
    <row r="593" spans="1:15">
      <c r="A593" t="s">
        <v>765</v>
      </c>
      <c r="B593" t="s">
        <v>546</v>
      </c>
      <c r="C593" s="9">
        <v>40544</v>
      </c>
      <c r="D593">
        <v>15</v>
      </c>
      <c r="E593" t="s">
        <v>17</v>
      </c>
      <c r="F593" t="s">
        <v>74</v>
      </c>
      <c r="G593" s="9">
        <v>45004</v>
      </c>
      <c r="H593" s="9">
        <v>45759</v>
      </c>
      <c r="I593">
        <v>9</v>
      </c>
      <c r="J593" t="s">
        <v>32</v>
      </c>
      <c r="K593">
        <v>0</v>
      </c>
      <c r="L593">
        <v>7</v>
      </c>
      <c r="M593" s="11">
        <v>26002.02</v>
      </c>
      <c r="N593" s="12">
        <v>9387.94</v>
      </c>
      <c r="O593" s="12">
        <v>9699.73</v>
      </c>
    </row>
    <row r="594" spans="1:15">
      <c r="A594" t="s">
        <v>766</v>
      </c>
      <c r="B594" t="s">
        <v>246</v>
      </c>
      <c r="C594" s="9">
        <v>21185</v>
      </c>
      <c r="D594">
        <v>68</v>
      </c>
      <c r="E594" t="s">
        <v>21</v>
      </c>
      <c r="F594" t="s">
        <v>29</v>
      </c>
      <c r="G594" s="9">
        <v>45526</v>
      </c>
      <c r="H594" s="9">
        <v>44956</v>
      </c>
      <c r="I594">
        <v>18</v>
      </c>
      <c r="J594" t="s">
        <v>32</v>
      </c>
      <c r="K594">
        <v>11</v>
      </c>
      <c r="L594">
        <v>2</v>
      </c>
      <c r="M594" s="11">
        <v>19536.990000000002</v>
      </c>
      <c r="N594" s="12">
        <v>279.43</v>
      </c>
      <c r="O594" s="12">
        <v>12444.13</v>
      </c>
    </row>
    <row r="595" spans="1:15">
      <c r="A595" t="s">
        <v>767</v>
      </c>
      <c r="B595" t="s">
        <v>93</v>
      </c>
      <c r="C595" s="9">
        <v>42005</v>
      </c>
      <c r="D595">
        <v>11</v>
      </c>
      <c r="E595" t="s">
        <v>21</v>
      </c>
      <c r="F595" t="s">
        <v>22</v>
      </c>
      <c r="G595" s="9">
        <v>45551</v>
      </c>
      <c r="H595" s="9">
        <v>45129</v>
      </c>
      <c r="I595">
        <v>16</v>
      </c>
      <c r="J595" t="s">
        <v>35</v>
      </c>
      <c r="K595">
        <v>11</v>
      </c>
      <c r="L595">
        <v>9</v>
      </c>
      <c r="M595" s="11">
        <v>18818.34</v>
      </c>
      <c r="N595" s="12">
        <v>3137.05</v>
      </c>
      <c r="O595" s="12">
        <v>9369.23</v>
      </c>
    </row>
    <row r="596" spans="1:15">
      <c r="A596" t="s">
        <v>768</v>
      </c>
      <c r="B596" t="s">
        <v>278</v>
      </c>
      <c r="C596" s="9">
        <v>37256</v>
      </c>
      <c r="D596">
        <v>24</v>
      </c>
      <c r="E596" t="s">
        <v>21</v>
      </c>
      <c r="F596" t="s">
        <v>49</v>
      </c>
      <c r="G596" s="9">
        <v>45538</v>
      </c>
      <c r="H596" s="9">
        <v>45164</v>
      </c>
      <c r="I596">
        <v>2</v>
      </c>
      <c r="J596" t="s">
        <v>32</v>
      </c>
      <c r="K596">
        <v>4</v>
      </c>
      <c r="L596">
        <v>7</v>
      </c>
      <c r="M596" s="11">
        <v>0</v>
      </c>
      <c r="N596" s="12">
        <v>11839.79</v>
      </c>
      <c r="O596" s="12">
        <v>16358.63</v>
      </c>
    </row>
    <row r="597" spans="1:15">
      <c r="A597" t="s">
        <v>769</v>
      </c>
      <c r="B597" t="s">
        <v>46</v>
      </c>
      <c r="C597" s="9">
        <v>27395</v>
      </c>
      <c r="D597">
        <v>51</v>
      </c>
      <c r="E597" t="s">
        <v>17</v>
      </c>
      <c r="F597" t="s">
        <v>5184</v>
      </c>
      <c r="G597" s="9">
        <v>45354</v>
      </c>
      <c r="H597" s="9">
        <v>45526</v>
      </c>
      <c r="I597">
        <v>21</v>
      </c>
      <c r="J597" t="s">
        <v>32</v>
      </c>
      <c r="K597">
        <v>3</v>
      </c>
      <c r="L597">
        <v>1</v>
      </c>
      <c r="M597" s="11">
        <v>17045.490000000002</v>
      </c>
      <c r="N597" s="12">
        <v>6806.41</v>
      </c>
      <c r="O597" s="12">
        <v>9886.6299999999992</v>
      </c>
    </row>
    <row r="598" spans="1:15">
      <c r="A598" t="s">
        <v>770</v>
      </c>
      <c r="B598" t="s">
        <v>151</v>
      </c>
      <c r="C598" s="9">
        <v>15341</v>
      </c>
      <c r="D598">
        <v>84</v>
      </c>
      <c r="E598" t="s">
        <v>21</v>
      </c>
      <c r="F598" t="s">
        <v>18</v>
      </c>
      <c r="G598" s="9">
        <v>45351</v>
      </c>
      <c r="H598" s="9">
        <v>45535</v>
      </c>
      <c r="I598">
        <v>27</v>
      </c>
      <c r="J598" t="s">
        <v>32</v>
      </c>
      <c r="K598">
        <v>2</v>
      </c>
      <c r="L598">
        <v>7</v>
      </c>
      <c r="M598" s="11">
        <v>7870.57</v>
      </c>
      <c r="N598" s="12">
        <v>1889.26</v>
      </c>
      <c r="O598" s="12">
        <v>19759.900000000001</v>
      </c>
    </row>
    <row r="599" spans="1:15">
      <c r="A599" t="s">
        <v>771</v>
      </c>
      <c r="B599" t="s">
        <v>105</v>
      </c>
      <c r="C599" s="9">
        <v>27029</v>
      </c>
      <c r="D599">
        <v>52</v>
      </c>
      <c r="E599" t="s">
        <v>17</v>
      </c>
      <c r="F599" t="s">
        <v>18</v>
      </c>
      <c r="G599" s="9">
        <v>45313</v>
      </c>
      <c r="H599" s="9">
        <v>45726</v>
      </c>
      <c r="I599">
        <v>5</v>
      </c>
      <c r="J599" t="s">
        <v>35</v>
      </c>
      <c r="K599">
        <v>4</v>
      </c>
      <c r="L599">
        <v>7</v>
      </c>
      <c r="M599" s="11">
        <v>8490.26</v>
      </c>
      <c r="N599" s="12">
        <v>6123.9</v>
      </c>
      <c r="O599" s="12">
        <v>4776.3500000000004</v>
      </c>
    </row>
    <row r="600" spans="1:15">
      <c r="A600" t="s">
        <v>772</v>
      </c>
      <c r="B600" t="s">
        <v>286</v>
      </c>
      <c r="C600" s="9">
        <v>37987</v>
      </c>
      <c r="D600">
        <v>22</v>
      </c>
      <c r="E600" t="s">
        <v>21</v>
      </c>
      <c r="F600" t="s">
        <v>29</v>
      </c>
      <c r="G600" s="9">
        <v>45165</v>
      </c>
      <c r="H600" s="9">
        <v>45266</v>
      </c>
      <c r="I600">
        <v>1</v>
      </c>
      <c r="J600" t="s">
        <v>35</v>
      </c>
      <c r="K600">
        <v>2</v>
      </c>
      <c r="L600">
        <v>2</v>
      </c>
      <c r="M600" s="11">
        <v>2390.63</v>
      </c>
      <c r="N600" s="12">
        <v>3178.55</v>
      </c>
      <c r="O600" s="12">
        <v>2684.39</v>
      </c>
    </row>
    <row r="601" spans="1:15">
      <c r="A601" t="s">
        <v>773</v>
      </c>
      <c r="B601" t="s">
        <v>774</v>
      </c>
      <c r="C601" s="9">
        <v>40544</v>
      </c>
      <c r="D601">
        <v>15</v>
      </c>
      <c r="E601" t="s">
        <v>21</v>
      </c>
      <c r="F601" t="s">
        <v>25</v>
      </c>
      <c r="G601" s="9">
        <v>45549</v>
      </c>
      <c r="H601" s="9">
        <v>45326</v>
      </c>
      <c r="I601">
        <v>31</v>
      </c>
      <c r="J601" t="s">
        <v>32</v>
      </c>
      <c r="K601">
        <v>7</v>
      </c>
      <c r="L601">
        <v>3</v>
      </c>
      <c r="M601" s="11">
        <v>18893.98</v>
      </c>
      <c r="N601" s="12">
        <v>13388.51</v>
      </c>
      <c r="O601" s="12">
        <v>7409.29</v>
      </c>
    </row>
    <row r="602" spans="1:15">
      <c r="A602" t="s">
        <v>775</v>
      </c>
      <c r="B602" t="s">
        <v>20</v>
      </c>
      <c r="C602" s="9">
        <v>25568</v>
      </c>
      <c r="D602">
        <v>56</v>
      </c>
      <c r="E602" t="s">
        <v>21</v>
      </c>
      <c r="F602" t="s">
        <v>18</v>
      </c>
      <c r="G602" s="9">
        <v>45016</v>
      </c>
      <c r="H602" s="9">
        <v>45366</v>
      </c>
      <c r="I602">
        <v>20</v>
      </c>
      <c r="J602" t="s">
        <v>35</v>
      </c>
      <c r="K602">
        <v>9</v>
      </c>
      <c r="L602">
        <v>8</v>
      </c>
      <c r="M602" s="11">
        <v>17306.16</v>
      </c>
      <c r="N602" s="12">
        <v>13338.88</v>
      </c>
      <c r="O602" s="12">
        <v>18365</v>
      </c>
    </row>
    <row r="603" spans="1:15">
      <c r="A603" t="s">
        <v>776</v>
      </c>
      <c r="B603" t="s">
        <v>211</v>
      </c>
      <c r="C603" s="9">
        <v>32143</v>
      </c>
      <c r="D603">
        <v>38</v>
      </c>
      <c r="E603" t="s">
        <v>21</v>
      </c>
      <c r="F603" t="s">
        <v>18</v>
      </c>
      <c r="G603" s="9">
        <v>45311</v>
      </c>
      <c r="H603" s="9">
        <v>45216</v>
      </c>
      <c r="I603">
        <v>0</v>
      </c>
      <c r="J603" t="s">
        <v>26</v>
      </c>
      <c r="K603">
        <v>8</v>
      </c>
      <c r="L603">
        <v>8</v>
      </c>
      <c r="M603" s="11">
        <v>6218.31</v>
      </c>
      <c r="N603" s="12">
        <v>5805.93</v>
      </c>
      <c r="O603" s="12">
        <v>17031.48</v>
      </c>
    </row>
    <row r="604" spans="1:15">
      <c r="A604" t="s">
        <v>777</v>
      </c>
      <c r="B604" t="s">
        <v>300</v>
      </c>
      <c r="C604" s="9">
        <v>27029</v>
      </c>
      <c r="D604">
        <v>52</v>
      </c>
      <c r="E604" t="s">
        <v>17</v>
      </c>
      <c r="F604" t="s">
        <v>18</v>
      </c>
      <c r="G604" s="9">
        <v>45065</v>
      </c>
      <c r="H604" s="9">
        <v>45179</v>
      </c>
      <c r="I604">
        <v>21</v>
      </c>
      <c r="J604" t="s">
        <v>32</v>
      </c>
      <c r="K604">
        <v>13</v>
      </c>
      <c r="L604">
        <v>9</v>
      </c>
      <c r="M604" s="11">
        <v>7522.63</v>
      </c>
      <c r="N604" s="12">
        <v>2060.9</v>
      </c>
      <c r="O604" s="12">
        <v>4871.79</v>
      </c>
    </row>
    <row r="605" spans="1:15">
      <c r="A605" t="s">
        <v>778</v>
      </c>
      <c r="B605" t="s">
        <v>671</v>
      </c>
      <c r="C605" s="9">
        <f>DATE(2026-D565,1,1)</f>
        <v>23743</v>
      </c>
      <c r="D605">
        <v>41</v>
      </c>
      <c r="E605" t="s">
        <v>21</v>
      </c>
      <c r="F605" t="s">
        <v>18</v>
      </c>
      <c r="G605" s="9">
        <v>45573</v>
      </c>
      <c r="H605" s="9">
        <v>45619</v>
      </c>
      <c r="I605">
        <v>15</v>
      </c>
      <c r="J605" t="s">
        <v>32</v>
      </c>
      <c r="K605">
        <v>5</v>
      </c>
      <c r="L605">
        <v>8</v>
      </c>
      <c r="M605" s="11">
        <v>23076.54</v>
      </c>
      <c r="N605" s="12">
        <v>5382.47</v>
      </c>
      <c r="O605" s="12">
        <v>11953.92</v>
      </c>
    </row>
    <row r="606" spans="1:15">
      <c r="A606" t="s">
        <v>779</v>
      </c>
      <c r="B606" t="s">
        <v>127</v>
      </c>
      <c r="C606" s="9">
        <v>25203</v>
      </c>
      <c r="D606">
        <v>57</v>
      </c>
      <c r="E606" t="s">
        <v>17</v>
      </c>
      <c r="F606" t="s">
        <v>29</v>
      </c>
      <c r="G606" s="9">
        <v>45450</v>
      </c>
      <c r="H606" s="9">
        <v>45027</v>
      </c>
      <c r="I606">
        <v>34</v>
      </c>
      <c r="J606" t="s">
        <v>32</v>
      </c>
      <c r="K606">
        <v>13</v>
      </c>
      <c r="L606">
        <v>9</v>
      </c>
      <c r="M606" s="11">
        <v>23684.47</v>
      </c>
      <c r="N606" s="12">
        <v>1931.1</v>
      </c>
      <c r="O606" s="12">
        <v>11737.69</v>
      </c>
    </row>
    <row r="607" spans="1:15">
      <c r="A607" t="s">
        <v>780</v>
      </c>
      <c r="B607" t="s">
        <v>168</v>
      </c>
      <c r="C607" s="9">
        <v>32143</v>
      </c>
      <c r="D607">
        <v>38</v>
      </c>
      <c r="E607" t="s">
        <v>21</v>
      </c>
      <c r="F607" t="s">
        <v>22</v>
      </c>
      <c r="G607" s="9">
        <v>45170</v>
      </c>
      <c r="H607" s="9">
        <v>45512</v>
      </c>
      <c r="I607">
        <v>28</v>
      </c>
      <c r="J607" t="s">
        <v>26</v>
      </c>
      <c r="K607">
        <v>1</v>
      </c>
      <c r="L607">
        <v>5</v>
      </c>
      <c r="M607" s="11">
        <v>14539.08</v>
      </c>
      <c r="N607" s="12">
        <v>4560.6899999999996</v>
      </c>
      <c r="O607" s="12">
        <v>5797.28</v>
      </c>
    </row>
    <row r="608" spans="1:15">
      <c r="A608" t="s">
        <v>781</v>
      </c>
      <c r="B608" t="s">
        <v>240</v>
      </c>
      <c r="C608" s="9">
        <v>41274</v>
      </c>
      <c r="D608">
        <v>13</v>
      </c>
      <c r="E608" t="s">
        <v>17</v>
      </c>
      <c r="F608" t="s">
        <v>74</v>
      </c>
      <c r="G608" s="9">
        <v>45431</v>
      </c>
      <c r="H608" s="9">
        <v>45349</v>
      </c>
      <c r="I608">
        <v>11</v>
      </c>
      <c r="J608" t="s">
        <v>35</v>
      </c>
      <c r="K608">
        <v>10</v>
      </c>
      <c r="L608">
        <v>0</v>
      </c>
      <c r="M608" s="11">
        <v>4044.58</v>
      </c>
      <c r="N608" s="12">
        <v>11567.72</v>
      </c>
      <c r="O608" s="12">
        <v>4631.17</v>
      </c>
    </row>
    <row r="609" spans="1:15">
      <c r="A609" t="s">
        <v>782</v>
      </c>
      <c r="B609" t="s">
        <v>240</v>
      </c>
      <c r="C609" s="9">
        <v>11689</v>
      </c>
      <c r="D609">
        <v>94</v>
      </c>
      <c r="E609" t="s">
        <v>21</v>
      </c>
      <c r="F609" t="s">
        <v>74</v>
      </c>
      <c r="G609" s="9">
        <v>45348</v>
      </c>
      <c r="H609" s="9">
        <v>45570</v>
      </c>
      <c r="I609">
        <v>2</v>
      </c>
      <c r="J609" t="s">
        <v>26</v>
      </c>
      <c r="K609">
        <v>8</v>
      </c>
      <c r="L609">
        <v>7</v>
      </c>
      <c r="M609" s="11">
        <v>1195.57</v>
      </c>
      <c r="N609" s="12">
        <v>4379.2</v>
      </c>
      <c r="O609" s="12">
        <v>7739.99</v>
      </c>
    </row>
    <row r="610" spans="1:15">
      <c r="A610" t="s">
        <v>783</v>
      </c>
      <c r="B610" t="s">
        <v>615</v>
      </c>
      <c r="C610" s="9">
        <v>44561</v>
      </c>
      <c r="D610">
        <v>4</v>
      </c>
      <c r="E610" t="s">
        <v>17</v>
      </c>
      <c r="F610" t="s">
        <v>25</v>
      </c>
      <c r="G610" s="9">
        <v>45108</v>
      </c>
      <c r="H610" s="9">
        <v>45621</v>
      </c>
      <c r="I610">
        <v>11</v>
      </c>
      <c r="J610" t="s">
        <v>26</v>
      </c>
      <c r="K610">
        <v>2</v>
      </c>
      <c r="L610">
        <v>8</v>
      </c>
      <c r="M610" s="11">
        <v>7779.8</v>
      </c>
      <c r="N610" s="12">
        <v>8163.03</v>
      </c>
      <c r="O610" s="12">
        <v>15751.24</v>
      </c>
    </row>
    <row r="611" spans="1:15">
      <c r="A611" t="s">
        <v>784</v>
      </c>
      <c r="B611" t="s">
        <v>131</v>
      </c>
      <c r="C611" s="9">
        <v>33604</v>
      </c>
      <c r="D611">
        <v>34</v>
      </c>
      <c r="E611" t="s">
        <v>17</v>
      </c>
      <c r="F611" t="s">
        <v>22</v>
      </c>
      <c r="G611" s="9">
        <v>45121</v>
      </c>
      <c r="H611" s="9">
        <v>45633</v>
      </c>
      <c r="I611">
        <v>38</v>
      </c>
      <c r="J611" t="s">
        <v>26</v>
      </c>
      <c r="K611">
        <v>1</v>
      </c>
      <c r="L611">
        <v>7</v>
      </c>
      <c r="M611" s="11">
        <v>21801.17</v>
      </c>
      <c r="N611" s="12">
        <v>1783.1</v>
      </c>
      <c r="O611" s="12">
        <v>3753.47</v>
      </c>
    </row>
    <row r="612" spans="1:15">
      <c r="A612" t="s">
        <v>785</v>
      </c>
      <c r="B612" t="s">
        <v>254</v>
      </c>
      <c r="C612" s="9">
        <v>14611</v>
      </c>
      <c r="D612">
        <v>86</v>
      </c>
      <c r="E612" t="s">
        <v>5185</v>
      </c>
      <c r="F612" t="s">
        <v>5184</v>
      </c>
      <c r="G612" s="9">
        <v>45560</v>
      </c>
      <c r="H612" s="9">
        <v>44945</v>
      </c>
      <c r="I612">
        <v>2</v>
      </c>
      <c r="J612" t="s">
        <v>32</v>
      </c>
      <c r="K612">
        <v>4</v>
      </c>
      <c r="L612">
        <v>0</v>
      </c>
      <c r="M612" s="11">
        <v>17824.91</v>
      </c>
      <c r="N612" s="12">
        <v>5214.38</v>
      </c>
      <c r="O612" s="12">
        <v>8859.0400000000009</v>
      </c>
    </row>
    <row r="613" spans="1:15">
      <c r="A613" t="s">
        <v>786</v>
      </c>
      <c r="B613" t="s">
        <v>151</v>
      </c>
      <c r="C613" s="9">
        <f>DATE(2026-D573,1,1)</f>
        <v>40179</v>
      </c>
      <c r="D613">
        <v>92</v>
      </c>
      <c r="E613" t="s">
        <v>21</v>
      </c>
      <c r="F613" t="s">
        <v>49</v>
      </c>
      <c r="G613" s="9">
        <v>44979</v>
      </c>
      <c r="H613" s="9">
        <v>45398</v>
      </c>
      <c r="I613">
        <v>28</v>
      </c>
      <c r="J613" t="s">
        <v>35</v>
      </c>
      <c r="K613">
        <v>0</v>
      </c>
      <c r="L613">
        <v>5</v>
      </c>
      <c r="M613" s="11">
        <v>21402.26</v>
      </c>
      <c r="N613" s="12">
        <v>594.57000000000005</v>
      </c>
      <c r="O613" s="12">
        <v>9582.14</v>
      </c>
    </row>
    <row r="614" spans="1:15">
      <c r="A614" t="s">
        <v>787</v>
      </c>
      <c r="B614" t="s">
        <v>490</v>
      </c>
      <c r="C614" s="9">
        <v>18994</v>
      </c>
      <c r="D614">
        <v>74</v>
      </c>
      <c r="E614" t="s">
        <v>17</v>
      </c>
      <c r="F614" t="s">
        <v>74</v>
      </c>
      <c r="G614" s="9">
        <v>45611</v>
      </c>
      <c r="H614" s="9">
        <v>45565</v>
      </c>
      <c r="I614">
        <v>28</v>
      </c>
      <c r="J614" t="s">
        <v>35</v>
      </c>
      <c r="K614">
        <v>2</v>
      </c>
      <c r="L614">
        <v>8</v>
      </c>
      <c r="M614" s="11">
        <v>13888.31</v>
      </c>
      <c r="N614" s="12">
        <v>8222.52</v>
      </c>
      <c r="O614" s="12">
        <v>18776.41</v>
      </c>
    </row>
    <row r="615" spans="1:15">
      <c r="A615" t="s">
        <v>788</v>
      </c>
      <c r="B615" t="s">
        <v>172</v>
      </c>
      <c r="C615" s="9">
        <f t="shared" ref="C615:C616" si="3">DATE(2026-D575,1,1)</f>
        <v>15707</v>
      </c>
      <c r="D615">
        <v>17</v>
      </c>
      <c r="E615" t="s">
        <v>21</v>
      </c>
      <c r="F615" t="s">
        <v>49</v>
      </c>
      <c r="G615" s="9">
        <v>45105</v>
      </c>
      <c r="H615" s="9">
        <v>45650</v>
      </c>
      <c r="I615">
        <v>27</v>
      </c>
      <c r="J615" t="s">
        <v>32</v>
      </c>
      <c r="K615">
        <v>11</v>
      </c>
      <c r="L615">
        <v>8</v>
      </c>
      <c r="M615" s="11">
        <v>22518.53</v>
      </c>
      <c r="N615" s="12">
        <v>5214.3500000000004</v>
      </c>
      <c r="O615" s="12">
        <v>6000.8</v>
      </c>
    </row>
    <row r="616" spans="1:15">
      <c r="A616" t="s">
        <v>789</v>
      </c>
      <c r="B616" t="s">
        <v>155</v>
      </c>
      <c r="C616" s="9">
        <f t="shared" si="3"/>
        <v>13881</v>
      </c>
      <c r="D616">
        <v>75</v>
      </c>
      <c r="E616" t="s">
        <v>21</v>
      </c>
      <c r="F616" t="s">
        <v>74</v>
      </c>
      <c r="G616" s="9">
        <v>45219</v>
      </c>
      <c r="H616" s="9">
        <v>44934</v>
      </c>
      <c r="I616">
        <v>33</v>
      </c>
      <c r="J616" t="s">
        <v>32</v>
      </c>
      <c r="K616">
        <v>13</v>
      </c>
      <c r="L616">
        <v>6</v>
      </c>
      <c r="M616" s="11">
        <v>14164.58</v>
      </c>
      <c r="N616" s="12">
        <v>13080.06</v>
      </c>
      <c r="O616" s="12">
        <v>294.89999999999998</v>
      </c>
    </row>
    <row r="617" spans="1:15">
      <c r="A617" t="s">
        <v>790</v>
      </c>
      <c r="B617" t="s">
        <v>20</v>
      </c>
      <c r="C617" s="9">
        <v>43100</v>
      </c>
      <c r="D617">
        <v>8</v>
      </c>
      <c r="E617" t="s">
        <v>21</v>
      </c>
      <c r="F617" t="s">
        <v>74</v>
      </c>
      <c r="G617" s="9">
        <v>45301</v>
      </c>
      <c r="H617" s="9">
        <v>45346</v>
      </c>
      <c r="I617">
        <v>2</v>
      </c>
      <c r="J617" t="s">
        <v>32</v>
      </c>
      <c r="K617">
        <v>3</v>
      </c>
      <c r="L617">
        <v>6</v>
      </c>
      <c r="M617" s="11">
        <v>2062.4499999999998</v>
      </c>
      <c r="N617" s="12">
        <v>5888.29</v>
      </c>
      <c r="O617" s="12">
        <v>13844</v>
      </c>
    </row>
    <row r="618" spans="1:15">
      <c r="A618" t="s">
        <v>791</v>
      </c>
      <c r="B618" t="s">
        <v>78</v>
      </c>
      <c r="C618" s="9">
        <v>19359</v>
      </c>
      <c r="D618">
        <f ca="1">DATEDIF(C569,TODAY(),"Y")</f>
        <v>12</v>
      </c>
      <c r="E618" t="s">
        <v>21</v>
      </c>
      <c r="F618" t="s">
        <v>25</v>
      </c>
      <c r="G618" s="9">
        <v>44985</v>
      </c>
      <c r="H618" s="9">
        <v>45307</v>
      </c>
      <c r="I618">
        <v>0</v>
      </c>
      <c r="J618" t="s">
        <v>26</v>
      </c>
      <c r="K618">
        <v>14</v>
      </c>
      <c r="L618">
        <v>3</v>
      </c>
      <c r="M618" s="11">
        <v>1935.68</v>
      </c>
      <c r="N618" s="12">
        <v>8366.6299999999992</v>
      </c>
      <c r="O618" s="12">
        <v>15091.41</v>
      </c>
    </row>
    <row r="619" spans="1:15">
      <c r="A619" t="s">
        <v>792</v>
      </c>
      <c r="B619" t="s">
        <v>176</v>
      </c>
      <c r="C619" s="9">
        <v>25203</v>
      </c>
      <c r="D619">
        <v>57</v>
      </c>
      <c r="E619" t="s">
        <v>5185</v>
      </c>
      <c r="F619" t="s">
        <v>18</v>
      </c>
      <c r="G619" s="9">
        <v>44980</v>
      </c>
      <c r="H619" s="9">
        <v>45435</v>
      </c>
      <c r="I619">
        <v>17</v>
      </c>
      <c r="J619" t="s">
        <v>32</v>
      </c>
      <c r="K619">
        <v>10</v>
      </c>
      <c r="L619">
        <v>6</v>
      </c>
      <c r="M619" s="11">
        <v>24860.83</v>
      </c>
      <c r="N619" s="12">
        <v>14649.66</v>
      </c>
      <c r="O619" s="12">
        <v>14030.95</v>
      </c>
    </row>
    <row r="620" spans="1:15">
      <c r="A620" t="s">
        <v>793</v>
      </c>
      <c r="B620" t="s">
        <v>546</v>
      </c>
      <c r="C620" s="9">
        <v>40178</v>
      </c>
      <c r="D620">
        <v>16</v>
      </c>
      <c r="E620" t="s">
        <v>21</v>
      </c>
      <c r="F620" t="s">
        <v>25</v>
      </c>
      <c r="G620" s="9">
        <v>45171</v>
      </c>
      <c r="H620" s="9">
        <v>45041</v>
      </c>
      <c r="I620">
        <v>18</v>
      </c>
      <c r="J620" t="s">
        <v>35</v>
      </c>
      <c r="K620">
        <v>6</v>
      </c>
      <c r="L620">
        <v>9</v>
      </c>
      <c r="M620" s="11">
        <v>18703.54</v>
      </c>
      <c r="N620" s="12">
        <v>9640.59</v>
      </c>
      <c r="O620" s="12">
        <v>13984.85</v>
      </c>
    </row>
    <row r="621" spans="1:15">
      <c r="A621" t="s">
        <v>794</v>
      </c>
      <c r="B621" t="s">
        <v>444</v>
      </c>
      <c r="C621" s="9">
        <v>43831</v>
      </c>
      <c r="D621">
        <v>6</v>
      </c>
      <c r="E621" t="s">
        <v>17</v>
      </c>
      <c r="F621" t="s">
        <v>74</v>
      </c>
      <c r="G621" s="9">
        <v>45075</v>
      </c>
      <c r="H621" s="9">
        <v>45779</v>
      </c>
      <c r="I621">
        <v>27</v>
      </c>
      <c r="J621" t="s">
        <v>32</v>
      </c>
      <c r="K621">
        <v>1</v>
      </c>
      <c r="L621">
        <v>4</v>
      </c>
      <c r="M621" s="11">
        <v>8013.38</v>
      </c>
      <c r="N621" s="12">
        <v>7507.08</v>
      </c>
      <c r="O621" s="12">
        <v>9612.8700000000008</v>
      </c>
    </row>
    <row r="622" spans="1:15">
      <c r="A622" t="s">
        <v>795</v>
      </c>
      <c r="B622" t="s">
        <v>278</v>
      </c>
      <c r="C622" s="9">
        <v>29586</v>
      </c>
      <c r="D622">
        <v>45</v>
      </c>
      <c r="E622" t="s">
        <v>17</v>
      </c>
      <c r="F622" t="s">
        <v>22</v>
      </c>
      <c r="G622" s="9">
        <v>45294</v>
      </c>
      <c r="H622" s="9">
        <v>45438</v>
      </c>
      <c r="I622">
        <v>39</v>
      </c>
      <c r="J622" t="s">
        <v>26</v>
      </c>
      <c r="K622">
        <v>4</v>
      </c>
      <c r="L622">
        <v>9</v>
      </c>
      <c r="M622" s="11">
        <v>22593.85</v>
      </c>
      <c r="N622" s="12">
        <v>1471.87</v>
      </c>
      <c r="O622" s="12">
        <v>275.08</v>
      </c>
    </row>
    <row r="623" spans="1:15">
      <c r="A623" t="s">
        <v>796</v>
      </c>
      <c r="B623" t="s">
        <v>87</v>
      </c>
      <c r="C623" s="9">
        <v>41639</v>
      </c>
      <c r="D623">
        <v>12</v>
      </c>
      <c r="E623" t="s">
        <v>17</v>
      </c>
      <c r="F623" t="s">
        <v>18</v>
      </c>
      <c r="G623" s="9">
        <v>44942</v>
      </c>
      <c r="H623" s="9">
        <v>45523</v>
      </c>
      <c r="I623">
        <v>27</v>
      </c>
      <c r="J623" t="s">
        <v>32</v>
      </c>
      <c r="K623">
        <v>1</v>
      </c>
      <c r="L623">
        <v>4</v>
      </c>
      <c r="M623" s="11">
        <v>3639.93</v>
      </c>
      <c r="N623" s="12">
        <v>12314.46</v>
      </c>
      <c r="O623" s="12">
        <v>14571.35</v>
      </c>
    </row>
    <row r="624" spans="1:15">
      <c r="A624" t="s">
        <v>797</v>
      </c>
      <c r="B624" t="s">
        <v>338</v>
      </c>
      <c r="C624" s="9">
        <v>31778</v>
      </c>
      <c r="D624">
        <v>39</v>
      </c>
      <c r="E624" t="s">
        <v>17</v>
      </c>
      <c r="F624" t="s">
        <v>22</v>
      </c>
      <c r="G624" s="9">
        <v>45102</v>
      </c>
      <c r="H624" s="9">
        <v>45778</v>
      </c>
      <c r="I624">
        <v>2</v>
      </c>
      <c r="J624" t="s">
        <v>26</v>
      </c>
      <c r="K624">
        <v>7</v>
      </c>
      <c r="L624">
        <v>0</v>
      </c>
      <c r="M624" s="11">
        <v>19179.93</v>
      </c>
      <c r="N624" s="12">
        <v>9635.75</v>
      </c>
      <c r="O624" s="12">
        <v>18724.060000000001</v>
      </c>
    </row>
    <row r="625" spans="1:15">
      <c r="A625" t="s">
        <v>798</v>
      </c>
      <c r="B625" t="s">
        <v>284</v>
      </c>
      <c r="C625" s="9">
        <v>31047</v>
      </c>
      <c r="D625">
        <v>41</v>
      </c>
      <c r="E625" t="s">
        <v>21</v>
      </c>
      <c r="F625" t="s">
        <v>22</v>
      </c>
      <c r="G625" s="9">
        <v>45466</v>
      </c>
      <c r="H625" s="9">
        <v>45800</v>
      </c>
      <c r="I625">
        <v>7</v>
      </c>
      <c r="J625" t="s">
        <v>32</v>
      </c>
      <c r="K625">
        <v>13</v>
      </c>
      <c r="L625">
        <v>1</v>
      </c>
      <c r="M625" s="11">
        <v>0</v>
      </c>
      <c r="N625" s="12">
        <v>1627.86</v>
      </c>
      <c r="O625" s="12">
        <v>3063.47</v>
      </c>
    </row>
    <row r="626" spans="1:15">
      <c r="A626" t="s">
        <v>799</v>
      </c>
      <c r="B626" t="s">
        <v>252</v>
      </c>
      <c r="C626" s="9">
        <f>DATE(2026-D586,1,1)</f>
        <v>43101</v>
      </c>
      <c r="D626">
        <v>8</v>
      </c>
      <c r="E626" t="s">
        <v>17</v>
      </c>
      <c r="F626" t="s">
        <v>22</v>
      </c>
      <c r="G626" s="9">
        <v>45332</v>
      </c>
      <c r="H626" s="9">
        <v>45541</v>
      </c>
      <c r="I626">
        <v>21</v>
      </c>
      <c r="J626" t="s">
        <v>32</v>
      </c>
      <c r="K626">
        <v>10</v>
      </c>
      <c r="L626">
        <v>8</v>
      </c>
      <c r="M626" s="11">
        <v>4075.6</v>
      </c>
      <c r="N626" s="12">
        <v>3685.04</v>
      </c>
      <c r="O626" s="12">
        <v>1265.08</v>
      </c>
    </row>
    <row r="627" spans="1:15">
      <c r="A627" t="s">
        <v>800</v>
      </c>
      <c r="B627" t="s">
        <v>286</v>
      </c>
      <c r="C627" s="9">
        <v>28125</v>
      </c>
      <c r="D627">
        <v>49</v>
      </c>
      <c r="E627" t="s">
        <v>21</v>
      </c>
      <c r="F627" t="s">
        <v>18</v>
      </c>
      <c r="G627" s="9">
        <v>45393</v>
      </c>
      <c r="H627" s="9">
        <v>45396</v>
      </c>
      <c r="I627">
        <v>36</v>
      </c>
      <c r="J627" t="s">
        <v>32</v>
      </c>
      <c r="K627">
        <v>1</v>
      </c>
      <c r="L627">
        <v>1</v>
      </c>
      <c r="M627" s="11">
        <v>3829.32</v>
      </c>
      <c r="N627" s="12">
        <v>8064.71</v>
      </c>
      <c r="O627" s="12">
        <v>5230.63</v>
      </c>
    </row>
    <row r="628" spans="1:15">
      <c r="A628" t="s">
        <v>801</v>
      </c>
      <c r="B628" t="s">
        <v>46</v>
      </c>
      <c r="C628" s="9">
        <v>36526</v>
      </c>
      <c r="D628">
        <v>26</v>
      </c>
      <c r="E628" t="s">
        <v>17</v>
      </c>
      <c r="F628" t="s">
        <v>22</v>
      </c>
      <c r="G628" s="9">
        <v>45055</v>
      </c>
      <c r="H628" s="9">
        <v>45020</v>
      </c>
      <c r="I628">
        <v>3</v>
      </c>
      <c r="J628" t="s">
        <v>26</v>
      </c>
      <c r="K628">
        <v>0</v>
      </c>
      <c r="L628">
        <v>9</v>
      </c>
      <c r="M628" s="11">
        <v>13768.95</v>
      </c>
      <c r="N628" s="12">
        <v>675.94</v>
      </c>
      <c r="O628" s="12">
        <v>16980.86</v>
      </c>
    </row>
    <row r="629" spans="1:15">
      <c r="A629" t="s">
        <v>802</v>
      </c>
      <c r="B629" t="s">
        <v>110</v>
      </c>
      <c r="C629" s="9">
        <v>22281</v>
      </c>
      <c r="D629">
        <v>65</v>
      </c>
      <c r="E629" t="s">
        <v>17</v>
      </c>
      <c r="F629" t="s">
        <v>18</v>
      </c>
      <c r="G629" s="9">
        <v>45149</v>
      </c>
      <c r="H629" s="9">
        <v>45419</v>
      </c>
      <c r="I629">
        <v>7</v>
      </c>
      <c r="J629" t="s">
        <v>32</v>
      </c>
      <c r="K629">
        <v>1</v>
      </c>
      <c r="L629">
        <v>1</v>
      </c>
      <c r="M629" s="11">
        <v>19101.169999999998</v>
      </c>
      <c r="N629" s="12">
        <v>10774.65</v>
      </c>
      <c r="O629" s="12">
        <v>2033.56</v>
      </c>
    </row>
    <row r="630" spans="1:15">
      <c r="A630" t="s">
        <v>803</v>
      </c>
      <c r="B630" t="s">
        <v>28</v>
      </c>
      <c r="C630" s="9">
        <v>44561</v>
      </c>
      <c r="D630">
        <v>4</v>
      </c>
      <c r="E630" t="s">
        <v>5185</v>
      </c>
      <c r="F630" t="s">
        <v>49</v>
      </c>
      <c r="G630" s="9">
        <v>45170</v>
      </c>
      <c r="H630" s="9">
        <v>45755</v>
      </c>
      <c r="I630">
        <v>39</v>
      </c>
      <c r="J630" t="s">
        <v>26</v>
      </c>
      <c r="K630">
        <v>6</v>
      </c>
      <c r="L630">
        <v>8</v>
      </c>
      <c r="M630" s="11">
        <v>309.66000000000003</v>
      </c>
      <c r="N630" s="12">
        <v>3416.91</v>
      </c>
      <c r="O630" s="12">
        <v>14274.88</v>
      </c>
    </row>
    <row r="631" spans="1:15">
      <c r="A631" t="s">
        <v>804</v>
      </c>
      <c r="B631" t="s">
        <v>244</v>
      </c>
      <c r="C631" s="9">
        <v>35795</v>
      </c>
      <c r="D631">
        <v>28</v>
      </c>
      <c r="E631" t="s">
        <v>21</v>
      </c>
      <c r="F631" t="s">
        <v>5184</v>
      </c>
      <c r="G631" s="9">
        <v>45352</v>
      </c>
      <c r="H631" s="9">
        <v>45029</v>
      </c>
      <c r="I631">
        <v>7</v>
      </c>
      <c r="J631" t="s">
        <v>32</v>
      </c>
      <c r="K631">
        <v>11</v>
      </c>
      <c r="L631">
        <v>2</v>
      </c>
      <c r="M631" s="11">
        <v>0</v>
      </c>
      <c r="N631" s="12">
        <v>7345.66</v>
      </c>
      <c r="O631" s="12">
        <v>1165.24</v>
      </c>
    </row>
    <row r="632" spans="1:15">
      <c r="A632" t="s">
        <v>805</v>
      </c>
      <c r="B632" t="s">
        <v>166</v>
      </c>
      <c r="C632" s="9">
        <v>32873</v>
      </c>
      <c r="D632">
        <v>36</v>
      </c>
      <c r="E632" t="s">
        <v>21</v>
      </c>
      <c r="F632" t="s">
        <v>74</v>
      </c>
      <c r="G632" s="9">
        <v>45280</v>
      </c>
      <c r="H632" s="9">
        <v>45420</v>
      </c>
      <c r="I632">
        <v>22</v>
      </c>
      <c r="J632" t="s">
        <v>32</v>
      </c>
      <c r="K632">
        <v>2</v>
      </c>
      <c r="L632">
        <v>1</v>
      </c>
      <c r="M632" s="11">
        <v>2036.7</v>
      </c>
      <c r="N632" s="12">
        <v>3624.65</v>
      </c>
      <c r="O632" s="12">
        <v>559.05999999999995</v>
      </c>
    </row>
    <row r="633" spans="1:15">
      <c r="A633" t="s">
        <v>806</v>
      </c>
      <c r="B633" t="s">
        <v>246</v>
      </c>
      <c r="C633" s="9">
        <v>32508</v>
      </c>
      <c r="D633">
        <v>37</v>
      </c>
      <c r="E633" t="s">
        <v>21</v>
      </c>
      <c r="F633" t="s">
        <v>29</v>
      </c>
      <c r="G633" s="9">
        <v>45252</v>
      </c>
      <c r="H633" s="9">
        <v>45690</v>
      </c>
      <c r="I633">
        <v>11</v>
      </c>
      <c r="J633" t="s">
        <v>35</v>
      </c>
      <c r="K633">
        <v>0</v>
      </c>
      <c r="L633">
        <v>6</v>
      </c>
      <c r="M633" s="11">
        <v>6860.38</v>
      </c>
      <c r="N633" s="12">
        <v>7337.8</v>
      </c>
      <c r="O633" s="12">
        <v>17815.169999999998</v>
      </c>
    </row>
    <row r="634" spans="1:15">
      <c r="A634" t="s">
        <v>807</v>
      </c>
      <c r="B634" t="s">
        <v>328</v>
      </c>
      <c r="C634" s="9">
        <v>16072</v>
      </c>
      <c r="D634">
        <v>82</v>
      </c>
      <c r="E634" t="s">
        <v>21</v>
      </c>
      <c r="F634" t="s">
        <v>22</v>
      </c>
      <c r="G634" s="9">
        <v>45530</v>
      </c>
      <c r="H634" s="9">
        <v>45463</v>
      </c>
      <c r="I634">
        <v>36</v>
      </c>
      <c r="J634" t="s">
        <v>32</v>
      </c>
      <c r="K634">
        <v>5</v>
      </c>
      <c r="L634">
        <v>8</v>
      </c>
      <c r="M634" s="11">
        <v>21228.13</v>
      </c>
      <c r="N634" s="12">
        <v>2845.19</v>
      </c>
      <c r="O634" s="12">
        <v>15388.26</v>
      </c>
    </row>
    <row r="635" spans="1:15">
      <c r="A635" t="s">
        <v>808</v>
      </c>
      <c r="B635" t="s">
        <v>264</v>
      </c>
      <c r="C635" s="9">
        <v>43466</v>
      </c>
      <c r="D635">
        <v>7</v>
      </c>
      <c r="E635" t="s">
        <v>21</v>
      </c>
      <c r="F635" t="s">
        <v>25</v>
      </c>
      <c r="G635" s="9">
        <v>44929</v>
      </c>
      <c r="H635" s="9">
        <v>45412</v>
      </c>
      <c r="I635">
        <v>10</v>
      </c>
      <c r="J635" t="s">
        <v>32</v>
      </c>
      <c r="K635">
        <v>6</v>
      </c>
      <c r="L635">
        <v>5</v>
      </c>
      <c r="M635" s="11">
        <v>22035.38</v>
      </c>
      <c r="N635" s="12">
        <v>8908.81</v>
      </c>
      <c r="O635" s="12">
        <v>11931.56</v>
      </c>
    </row>
    <row r="636" spans="1:15">
      <c r="A636" t="s">
        <v>809</v>
      </c>
      <c r="B636" t="s">
        <v>97</v>
      </c>
      <c r="C636" s="9">
        <v>22646</v>
      </c>
      <c r="D636">
        <v>64</v>
      </c>
      <c r="E636" t="s">
        <v>17</v>
      </c>
      <c r="F636" t="s">
        <v>49</v>
      </c>
      <c r="G636" s="9">
        <v>45405</v>
      </c>
      <c r="H636" s="9">
        <v>45406</v>
      </c>
      <c r="I636">
        <v>8</v>
      </c>
      <c r="J636" t="s">
        <v>26</v>
      </c>
      <c r="K636">
        <v>14</v>
      </c>
      <c r="L636">
        <v>6</v>
      </c>
      <c r="M636" s="11">
        <v>21756.84</v>
      </c>
      <c r="N636" s="12">
        <v>13656.1</v>
      </c>
      <c r="O636" s="12">
        <v>3357.1</v>
      </c>
    </row>
    <row r="637" spans="1:15">
      <c r="A637" t="s">
        <v>810</v>
      </c>
      <c r="B637" t="s">
        <v>278</v>
      </c>
      <c r="C637" s="9">
        <v>14976</v>
      </c>
      <c r="D637">
        <v>85</v>
      </c>
      <c r="E637" t="s">
        <v>21</v>
      </c>
      <c r="F637" t="s">
        <v>25</v>
      </c>
      <c r="G637" s="9">
        <v>45007</v>
      </c>
      <c r="H637" s="9">
        <v>45804</v>
      </c>
      <c r="I637">
        <v>36</v>
      </c>
      <c r="J637" t="s">
        <v>26</v>
      </c>
      <c r="K637">
        <v>7</v>
      </c>
      <c r="L637">
        <v>2</v>
      </c>
      <c r="M637" s="11">
        <v>1486.96</v>
      </c>
      <c r="N637" s="12">
        <v>12110.04</v>
      </c>
      <c r="O637" s="12">
        <v>5504.86</v>
      </c>
    </row>
    <row r="638" spans="1:15">
      <c r="A638" t="s">
        <v>811</v>
      </c>
      <c r="B638" t="s">
        <v>392</v>
      </c>
      <c r="C638" s="9">
        <f>DATE(2026-D598,1,1)</f>
        <v>15342</v>
      </c>
      <c r="D638">
        <v>16</v>
      </c>
      <c r="E638" t="s">
        <v>17</v>
      </c>
      <c r="F638" t="s">
        <v>29</v>
      </c>
      <c r="G638" s="9">
        <v>44970</v>
      </c>
      <c r="H638" s="9">
        <v>45094</v>
      </c>
      <c r="I638">
        <v>8</v>
      </c>
      <c r="J638" t="s">
        <v>35</v>
      </c>
      <c r="K638">
        <v>13</v>
      </c>
      <c r="L638">
        <v>2</v>
      </c>
      <c r="M638" s="11">
        <v>23496.27</v>
      </c>
      <c r="N638" s="12">
        <v>3622.81</v>
      </c>
      <c r="O638" s="12">
        <v>876.95</v>
      </c>
    </row>
    <row r="639" spans="1:15">
      <c r="A639" t="s">
        <v>812</v>
      </c>
      <c r="B639" t="s">
        <v>201</v>
      </c>
      <c r="C639" s="9">
        <v>20455</v>
      </c>
      <c r="D639">
        <v>70</v>
      </c>
      <c r="E639" t="s">
        <v>17</v>
      </c>
      <c r="F639" t="s">
        <v>18</v>
      </c>
      <c r="G639" s="9">
        <v>45081</v>
      </c>
      <c r="H639" s="9">
        <v>45067</v>
      </c>
      <c r="I639">
        <v>13</v>
      </c>
      <c r="J639" t="s">
        <v>35</v>
      </c>
      <c r="K639">
        <v>14</v>
      </c>
      <c r="L639">
        <v>7</v>
      </c>
      <c r="M639" s="11">
        <v>12682.31</v>
      </c>
      <c r="N639" s="12">
        <v>7471.64</v>
      </c>
      <c r="O639" s="12">
        <v>12871.79</v>
      </c>
    </row>
    <row r="640" spans="1:15">
      <c r="A640" t="s">
        <v>813</v>
      </c>
      <c r="B640" t="s">
        <v>348</v>
      </c>
      <c r="C640" s="9">
        <v>13880</v>
      </c>
      <c r="D640">
        <v>88</v>
      </c>
      <c r="E640" t="s">
        <v>17</v>
      </c>
      <c r="F640" t="s">
        <v>29</v>
      </c>
      <c r="G640" s="9">
        <v>45462</v>
      </c>
      <c r="H640" s="9">
        <v>45021</v>
      </c>
      <c r="I640">
        <v>30</v>
      </c>
      <c r="J640" t="s">
        <v>35</v>
      </c>
      <c r="K640">
        <v>3</v>
      </c>
      <c r="L640">
        <v>6</v>
      </c>
      <c r="M640" s="11">
        <v>13996.94</v>
      </c>
      <c r="N640" s="12">
        <v>6346.63</v>
      </c>
      <c r="O640" s="12">
        <v>13690.32</v>
      </c>
    </row>
    <row r="641" spans="1:15">
      <c r="A641" t="s">
        <v>814</v>
      </c>
      <c r="B641" t="s">
        <v>69</v>
      </c>
      <c r="C641" s="9">
        <v>29951</v>
      </c>
      <c r="D641">
        <v>44</v>
      </c>
      <c r="E641" t="s">
        <v>21</v>
      </c>
      <c r="F641" t="s">
        <v>25</v>
      </c>
      <c r="G641" s="9">
        <v>45025</v>
      </c>
      <c r="H641" s="9">
        <v>45108</v>
      </c>
      <c r="I641">
        <v>38</v>
      </c>
      <c r="J641" t="s">
        <v>32</v>
      </c>
      <c r="K641">
        <v>12</v>
      </c>
      <c r="L641">
        <v>4</v>
      </c>
      <c r="M641" s="11">
        <v>12300.56</v>
      </c>
      <c r="N641" s="12">
        <v>14482.13</v>
      </c>
      <c r="O641" s="12">
        <v>6468.86</v>
      </c>
    </row>
    <row r="642" spans="1:15">
      <c r="A642" t="s">
        <v>815</v>
      </c>
      <c r="B642" t="s">
        <v>170</v>
      </c>
      <c r="C642" s="9">
        <v>44927</v>
      </c>
      <c r="D642">
        <v>3</v>
      </c>
      <c r="E642" t="s">
        <v>21</v>
      </c>
      <c r="F642" t="s">
        <v>29</v>
      </c>
      <c r="G642" s="9">
        <v>45323</v>
      </c>
      <c r="H642" s="9">
        <v>45503</v>
      </c>
      <c r="I642">
        <v>38</v>
      </c>
      <c r="J642" t="s">
        <v>35</v>
      </c>
      <c r="K642">
        <v>1</v>
      </c>
      <c r="L642">
        <v>5</v>
      </c>
      <c r="M642" s="11">
        <v>0</v>
      </c>
      <c r="N642" s="12">
        <v>11982.32</v>
      </c>
      <c r="O642" s="12">
        <v>6702.17</v>
      </c>
    </row>
    <row r="643" spans="1:15">
      <c r="A643" t="s">
        <v>816</v>
      </c>
      <c r="B643" t="s">
        <v>268</v>
      </c>
      <c r="C643" s="9">
        <v>33239</v>
      </c>
      <c r="D643">
        <v>35</v>
      </c>
      <c r="E643" t="s">
        <v>21</v>
      </c>
      <c r="F643" t="s">
        <v>74</v>
      </c>
      <c r="G643" s="9">
        <v>45097</v>
      </c>
      <c r="H643" s="9">
        <v>44931</v>
      </c>
      <c r="I643">
        <v>29</v>
      </c>
      <c r="J643" t="s">
        <v>32</v>
      </c>
      <c r="K643">
        <v>1</v>
      </c>
      <c r="L643">
        <v>8</v>
      </c>
      <c r="M643" s="11">
        <v>20239.099999999999</v>
      </c>
      <c r="N643" s="12">
        <v>1611.43</v>
      </c>
      <c r="O643" s="12">
        <v>12542.45</v>
      </c>
    </row>
    <row r="644" spans="1:15">
      <c r="A644" t="s">
        <v>817</v>
      </c>
      <c r="B644" t="s">
        <v>237</v>
      </c>
      <c r="C644" s="9">
        <v>20820</v>
      </c>
      <c r="D644">
        <v>69</v>
      </c>
      <c r="E644" t="s">
        <v>21</v>
      </c>
      <c r="F644" t="s">
        <v>29</v>
      </c>
      <c r="G644" s="9">
        <v>45074</v>
      </c>
      <c r="H644" s="9">
        <v>45533</v>
      </c>
      <c r="I644">
        <v>7</v>
      </c>
      <c r="J644" t="s">
        <v>35</v>
      </c>
      <c r="K644">
        <v>13</v>
      </c>
      <c r="L644">
        <v>2</v>
      </c>
      <c r="M644" s="11">
        <v>14750.79</v>
      </c>
      <c r="N644" s="12">
        <v>2528.29</v>
      </c>
      <c r="O644" s="12">
        <v>18907.86</v>
      </c>
    </row>
    <row r="645" spans="1:15">
      <c r="A645" t="s">
        <v>818</v>
      </c>
      <c r="B645" t="s">
        <v>71</v>
      </c>
      <c r="C645" s="9">
        <v>35065</v>
      </c>
      <c r="D645">
        <v>30</v>
      </c>
      <c r="E645" t="s">
        <v>17</v>
      </c>
      <c r="F645" t="s">
        <v>22</v>
      </c>
      <c r="G645" s="9">
        <v>45049</v>
      </c>
      <c r="H645" s="9">
        <v>45316</v>
      </c>
      <c r="I645">
        <v>12</v>
      </c>
      <c r="J645" t="s">
        <v>32</v>
      </c>
      <c r="K645">
        <v>6</v>
      </c>
      <c r="L645">
        <v>2</v>
      </c>
      <c r="M645" s="11">
        <v>24945.75</v>
      </c>
      <c r="N645" s="12">
        <v>10530.43</v>
      </c>
      <c r="O645" s="12">
        <v>7833.66</v>
      </c>
    </row>
    <row r="646" spans="1:15">
      <c r="A646" t="s">
        <v>819</v>
      </c>
      <c r="B646" t="s">
        <v>151</v>
      </c>
      <c r="C646" s="9">
        <v>39448</v>
      </c>
      <c r="D646">
        <v>18</v>
      </c>
      <c r="E646" t="s">
        <v>21</v>
      </c>
      <c r="F646" t="s">
        <v>74</v>
      </c>
      <c r="G646" s="9">
        <v>45038</v>
      </c>
      <c r="H646" s="9">
        <v>45199</v>
      </c>
      <c r="I646">
        <v>13</v>
      </c>
      <c r="J646" t="s">
        <v>32</v>
      </c>
      <c r="K646">
        <v>11</v>
      </c>
      <c r="L646">
        <v>5</v>
      </c>
      <c r="M646" s="11">
        <v>24063.59</v>
      </c>
      <c r="N646" s="12">
        <v>2397.87</v>
      </c>
      <c r="O646" s="12">
        <v>9821.17</v>
      </c>
    </row>
    <row r="647" spans="1:15">
      <c r="A647" t="s">
        <v>820</v>
      </c>
      <c r="B647" t="s">
        <v>131</v>
      </c>
      <c r="C647" s="9">
        <v>24107</v>
      </c>
      <c r="D647">
        <v>60</v>
      </c>
      <c r="E647" t="s">
        <v>17</v>
      </c>
      <c r="F647" t="s">
        <v>22</v>
      </c>
      <c r="G647" s="9">
        <v>45056</v>
      </c>
      <c r="H647" s="9">
        <v>45722</v>
      </c>
      <c r="I647">
        <v>24</v>
      </c>
      <c r="J647" t="s">
        <v>35</v>
      </c>
      <c r="K647">
        <v>12</v>
      </c>
      <c r="L647">
        <v>7</v>
      </c>
      <c r="M647" s="11">
        <v>346.15</v>
      </c>
      <c r="N647" s="12">
        <v>14257.03</v>
      </c>
      <c r="O647" s="12">
        <v>13935.35</v>
      </c>
    </row>
    <row r="648" spans="1:15">
      <c r="A648" t="s">
        <v>821</v>
      </c>
      <c r="B648" t="s">
        <v>125</v>
      </c>
      <c r="C648" s="9">
        <v>26664</v>
      </c>
      <c r="D648">
        <v>53</v>
      </c>
      <c r="E648" t="s">
        <v>17</v>
      </c>
      <c r="F648" t="s">
        <v>5184</v>
      </c>
      <c r="G648" s="9">
        <v>44994</v>
      </c>
      <c r="H648" s="9">
        <v>45059</v>
      </c>
      <c r="I648">
        <v>29</v>
      </c>
      <c r="J648" t="s">
        <v>32</v>
      </c>
      <c r="K648">
        <v>4</v>
      </c>
      <c r="L648">
        <v>4</v>
      </c>
      <c r="M648" s="11">
        <v>14105.84</v>
      </c>
      <c r="N648" s="12">
        <v>14894.2</v>
      </c>
      <c r="O648" s="12">
        <v>6780.65</v>
      </c>
    </row>
    <row r="649" spans="1:15">
      <c r="A649" t="s">
        <v>822</v>
      </c>
      <c r="B649" t="s">
        <v>671</v>
      </c>
      <c r="C649" s="9">
        <v>32143</v>
      </c>
      <c r="D649">
        <v>38</v>
      </c>
      <c r="E649" t="s">
        <v>17</v>
      </c>
      <c r="F649" t="s">
        <v>5184</v>
      </c>
      <c r="G649" s="9">
        <v>45655</v>
      </c>
      <c r="H649" s="9">
        <v>45511</v>
      </c>
      <c r="I649">
        <v>3</v>
      </c>
      <c r="J649" t="s">
        <v>32</v>
      </c>
      <c r="K649">
        <v>3</v>
      </c>
      <c r="L649">
        <v>0</v>
      </c>
      <c r="M649" s="11">
        <v>788.51</v>
      </c>
      <c r="N649" s="12">
        <v>11675.56</v>
      </c>
      <c r="O649" s="12">
        <v>17364.05</v>
      </c>
    </row>
    <row r="650" spans="1:15">
      <c r="A650" t="s">
        <v>823</v>
      </c>
      <c r="B650" t="s">
        <v>490</v>
      </c>
      <c r="C650" s="9">
        <v>13150</v>
      </c>
      <c r="D650">
        <v>90</v>
      </c>
      <c r="E650" t="s">
        <v>21</v>
      </c>
      <c r="F650" t="s">
        <v>29</v>
      </c>
      <c r="G650" s="9">
        <v>45534</v>
      </c>
      <c r="H650" s="9">
        <v>45743</v>
      </c>
      <c r="I650">
        <v>33</v>
      </c>
      <c r="J650" t="s">
        <v>35</v>
      </c>
      <c r="K650">
        <v>11</v>
      </c>
      <c r="L650">
        <v>2</v>
      </c>
      <c r="M650" s="11">
        <v>8869.19</v>
      </c>
      <c r="N650" s="12">
        <v>402</v>
      </c>
      <c r="O650" s="12">
        <v>16908.25</v>
      </c>
    </row>
    <row r="651" spans="1:15">
      <c r="A651" t="s">
        <v>824</v>
      </c>
      <c r="B651" t="s">
        <v>80</v>
      </c>
      <c r="C651" s="9">
        <v>19359</v>
      </c>
      <c r="D651">
        <v>73</v>
      </c>
      <c r="E651" t="s">
        <v>21</v>
      </c>
      <c r="F651" t="s">
        <v>74</v>
      </c>
      <c r="G651" s="9">
        <v>45583</v>
      </c>
      <c r="H651" s="9">
        <v>45520</v>
      </c>
      <c r="I651">
        <v>5</v>
      </c>
      <c r="J651" t="s">
        <v>32</v>
      </c>
      <c r="K651">
        <v>5</v>
      </c>
      <c r="L651">
        <v>7</v>
      </c>
      <c r="M651" s="11">
        <v>24017.040000000001</v>
      </c>
      <c r="N651" s="12">
        <v>7240.9</v>
      </c>
      <c r="O651" s="12">
        <v>13453.09</v>
      </c>
    </row>
    <row r="652" spans="1:15">
      <c r="A652" t="s">
        <v>825</v>
      </c>
      <c r="B652" t="s">
        <v>444</v>
      </c>
      <c r="C652" s="9">
        <v>13515</v>
      </c>
      <c r="D652">
        <v>89</v>
      </c>
      <c r="E652" t="s">
        <v>17</v>
      </c>
      <c r="F652" t="s">
        <v>74</v>
      </c>
      <c r="G652" s="9">
        <v>45471</v>
      </c>
      <c r="H652" s="9">
        <v>45439</v>
      </c>
      <c r="I652">
        <v>22</v>
      </c>
      <c r="J652" t="s">
        <v>35</v>
      </c>
      <c r="K652">
        <v>3</v>
      </c>
      <c r="L652">
        <v>3</v>
      </c>
      <c r="M652" s="11">
        <v>28293.599999999999</v>
      </c>
      <c r="N652" s="12">
        <v>6091.19</v>
      </c>
      <c r="O652" s="12">
        <v>10692.16</v>
      </c>
    </row>
    <row r="653" spans="1:15">
      <c r="A653" t="s">
        <v>826</v>
      </c>
      <c r="B653" t="s">
        <v>97</v>
      </c>
      <c r="C653" s="9">
        <v>39448</v>
      </c>
      <c r="D653">
        <v>18</v>
      </c>
      <c r="E653" t="s">
        <v>17</v>
      </c>
      <c r="F653" t="s">
        <v>5184</v>
      </c>
      <c r="G653" s="9">
        <v>45212</v>
      </c>
      <c r="H653" s="9">
        <v>45613</v>
      </c>
      <c r="I653">
        <v>4</v>
      </c>
      <c r="J653" t="s">
        <v>26</v>
      </c>
      <c r="K653">
        <v>9</v>
      </c>
      <c r="L653">
        <v>8</v>
      </c>
      <c r="M653" s="11">
        <v>6883.03</v>
      </c>
      <c r="N653" s="12">
        <v>11993.03</v>
      </c>
      <c r="O653" s="12">
        <v>19668.77</v>
      </c>
    </row>
    <row r="654" spans="1:15">
      <c r="A654" t="s">
        <v>827</v>
      </c>
      <c r="B654" t="s">
        <v>427</v>
      </c>
      <c r="C654" s="9">
        <v>32143</v>
      </c>
      <c r="D654">
        <f ca="1">DATEDIF(C605,TODAY(),"Y")</f>
        <v>61</v>
      </c>
      <c r="E654" t="s">
        <v>21</v>
      </c>
      <c r="F654" t="s">
        <v>29</v>
      </c>
      <c r="G654" s="9">
        <v>44931</v>
      </c>
      <c r="H654" s="9">
        <v>45739</v>
      </c>
      <c r="I654">
        <v>14</v>
      </c>
      <c r="J654" t="s">
        <v>32</v>
      </c>
      <c r="K654">
        <v>2</v>
      </c>
      <c r="L654">
        <v>5</v>
      </c>
      <c r="M654" s="11">
        <v>153.47</v>
      </c>
      <c r="N654" s="12">
        <v>4305.12</v>
      </c>
      <c r="O654" s="12">
        <v>14017.85</v>
      </c>
    </row>
    <row r="655" spans="1:15">
      <c r="A655" t="s">
        <v>828</v>
      </c>
      <c r="B655" t="s">
        <v>151</v>
      </c>
      <c r="C655" s="9">
        <v>21916</v>
      </c>
      <c r="D655">
        <v>66</v>
      </c>
      <c r="E655" t="s">
        <v>21</v>
      </c>
      <c r="F655" t="s">
        <v>49</v>
      </c>
      <c r="G655" s="9">
        <v>45044</v>
      </c>
      <c r="H655" s="9">
        <v>44979</v>
      </c>
      <c r="I655">
        <v>27</v>
      </c>
      <c r="J655" t="s">
        <v>26</v>
      </c>
      <c r="K655">
        <v>3</v>
      </c>
      <c r="L655">
        <v>9</v>
      </c>
      <c r="M655" s="11">
        <v>11771.26</v>
      </c>
      <c r="N655" s="12">
        <v>5791.89</v>
      </c>
      <c r="O655" s="12">
        <v>12828.85</v>
      </c>
    </row>
    <row r="656" spans="1:15">
      <c r="A656" t="s">
        <v>829</v>
      </c>
      <c r="B656" t="s">
        <v>242</v>
      </c>
      <c r="C656" s="9">
        <v>29951</v>
      </c>
      <c r="D656">
        <v>44</v>
      </c>
      <c r="E656" t="s">
        <v>21</v>
      </c>
      <c r="F656" t="s">
        <v>18</v>
      </c>
      <c r="G656" s="9">
        <v>45578</v>
      </c>
      <c r="H656" s="9">
        <v>45217</v>
      </c>
      <c r="I656">
        <v>1</v>
      </c>
      <c r="J656" t="s">
        <v>32</v>
      </c>
      <c r="K656">
        <v>10</v>
      </c>
      <c r="L656">
        <v>3</v>
      </c>
      <c r="M656" s="11">
        <v>9721.1200000000008</v>
      </c>
      <c r="N656" s="12">
        <v>1402.52</v>
      </c>
      <c r="O656" s="12">
        <v>17524.04</v>
      </c>
    </row>
    <row r="657" spans="1:15">
      <c r="A657" t="s">
        <v>830</v>
      </c>
      <c r="B657" t="s">
        <v>123</v>
      </c>
      <c r="C657" s="9">
        <v>41639</v>
      </c>
      <c r="D657">
        <v>12</v>
      </c>
      <c r="E657" t="s">
        <v>17</v>
      </c>
      <c r="F657" t="s">
        <v>18</v>
      </c>
      <c r="G657" s="9">
        <v>45156</v>
      </c>
      <c r="H657" s="9">
        <v>45373</v>
      </c>
      <c r="I657">
        <v>14</v>
      </c>
      <c r="J657" t="s">
        <v>26</v>
      </c>
      <c r="K657">
        <v>12</v>
      </c>
      <c r="L657">
        <v>3</v>
      </c>
      <c r="M657" s="11">
        <v>20147.47</v>
      </c>
      <c r="N657" s="12">
        <v>5139.54</v>
      </c>
      <c r="O657" s="12">
        <v>11055.31</v>
      </c>
    </row>
    <row r="658" spans="1:15">
      <c r="A658" t="s">
        <v>831</v>
      </c>
      <c r="B658" t="s">
        <v>108</v>
      </c>
      <c r="C658" s="9">
        <v>12785</v>
      </c>
      <c r="D658">
        <v>91</v>
      </c>
      <c r="E658" t="s">
        <v>21</v>
      </c>
      <c r="F658" t="s">
        <v>18</v>
      </c>
      <c r="G658" s="9">
        <v>45086</v>
      </c>
      <c r="H658" s="9">
        <v>45164</v>
      </c>
      <c r="I658">
        <v>1</v>
      </c>
      <c r="J658" t="s">
        <v>35</v>
      </c>
      <c r="K658">
        <v>9</v>
      </c>
      <c r="L658">
        <v>9</v>
      </c>
      <c r="M658" s="11">
        <v>14599.26</v>
      </c>
      <c r="N658" s="12">
        <v>14607.81</v>
      </c>
      <c r="O658" s="12">
        <v>4782.76</v>
      </c>
    </row>
    <row r="659" spans="1:15">
      <c r="A659" t="s">
        <v>832</v>
      </c>
      <c r="B659" t="s">
        <v>28</v>
      </c>
      <c r="C659" s="9">
        <v>25203</v>
      </c>
      <c r="D659">
        <v>57</v>
      </c>
      <c r="E659" t="s">
        <v>17</v>
      </c>
      <c r="F659" t="s">
        <v>74</v>
      </c>
      <c r="G659" s="9">
        <v>45220</v>
      </c>
      <c r="H659" s="9">
        <v>45716</v>
      </c>
      <c r="I659">
        <v>23</v>
      </c>
      <c r="J659" t="s">
        <v>26</v>
      </c>
      <c r="K659">
        <v>5</v>
      </c>
      <c r="L659">
        <v>4</v>
      </c>
      <c r="M659" s="11">
        <v>11664.84</v>
      </c>
      <c r="N659" s="12">
        <v>14132.25</v>
      </c>
      <c r="O659" s="12">
        <v>2669.22</v>
      </c>
    </row>
    <row r="660" spans="1:15">
      <c r="A660" t="s">
        <v>833</v>
      </c>
      <c r="B660" t="s">
        <v>110</v>
      </c>
      <c r="C660" s="9">
        <v>39083</v>
      </c>
      <c r="D660">
        <v>19</v>
      </c>
      <c r="E660" t="s">
        <v>21</v>
      </c>
      <c r="F660" t="s">
        <v>5184</v>
      </c>
      <c r="G660" s="9">
        <v>45112</v>
      </c>
      <c r="H660" s="9">
        <v>45418</v>
      </c>
      <c r="I660">
        <v>11</v>
      </c>
      <c r="J660" t="s">
        <v>35</v>
      </c>
      <c r="K660">
        <v>12</v>
      </c>
      <c r="L660">
        <v>6</v>
      </c>
      <c r="M660" s="11">
        <v>6501.45</v>
      </c>
      <c r="N660" s="12">
        <v>11253.89</v>
      </c>
      <c r="O660" s="12">
        <v>9367.75</v>
      </c>
    </row>
    <row r="661" spans="1:15">
      <c r="A661" t="s">
        <v>834</v>
      </c>
      <c r="B661" t="s">
        <v>309</v>
      </c>
      <c r="C661" s="9">
        <v>12785</v>
      </c>
      <c r="D661">
        <v>91</v>
      </c>
      <c r="E661" t="s">
        <v>17</v>
      </c>
      <c r="F661" t="s">
        <v>18</v>
      </c>
      <c r="G661" s="9">
        <v>45478</v>
      </c>
      <c r="H661" s="9">
        <v>45207</v>
      </c>
      <c r="I661">
        <v>5</v>
      </c>
      <c r="J661" t="s">
        <v>32</v>
      </c>
      <c r="K661">
        <v>14</v>
      </c>
      <c r="L661">
        <v>6</v>
      </c>
      <c r="M661" s="11">
        <v>24768.65</v>
      </c>
      <c r="N661" s="12">
        <v>13608.95</v>
      </c>
      <c r="O661" s="12">
        <v>10264.65</v>
      </c>
    </row>
    <row r="662" spans="1:15">
      <c r="A662" t="s">
        <v>835</v>
      </c>
      <c r="B662" t="s">
        <v>147</v>
      </c>
      <c r="C662" s="9">
        <v>20090</v>
      </c>
      <c r="D662">
        <v>71</v>
      </c>
      <c r="E662" t="s">
        <v>17</v>
      </c>
      <c r="F662" t="s">
        <v>5184</v>
      </c>
      <c r="G662" s="9">
        <v>45150</v>
      </c>
      <c r="H662" s="9">
        <v>44971</v>
      </c>
      <c r="I662">
        <v>2</v>
      </c>
      <c r="J662" t="s">
        <v>35</v>
      </c>
      <c r="K662">
        <v>9</v>
      </c>
      <c r="L662">
        <v>9</v>
      </c>
      <c r="M662" s="11">
        <v>7075.87</v>
      </c>
      <c r="N662" s="12">
        <v>3167.56</v>
      </c>
      <c r="O662" s="12">
        <v>16536.650000000001</v>
      </c>
    </row>
    <row r="663" spans="1:15">
      <c r="A663" t="s">
        <v>836</v>
      </c>
      <c r="B663" t="s">
        <v>44</v>
      </c>
      <c r="C663" s="9">
        <v>24107</v>
      </c>
      <c r="D663">
        <v>60</v>
      </c>
      <c r="E663" t="s">
        <v>17</v>
      </c>
      <c r="F663" t="s">
        <v>74</v>
      </c>
      <c r="G663" s="9">
        <v>45078</v>
      </c>
      <c r="H663" s="9">
        <v>45809</v>
      </c>
      <c r="I663">
        <v>2</v>
      </c>
      <c r="J663" t="s">
        <v>26</v>
      </c>
      <c r="K663">
        <v>4</v>
      </c>
      <c r="L663">
        <v>6</v>
      </c>
      <c r="M663" s="11">
        <v>1169.42</v>
      </c>
      <c r="N663" s="12">
        <v>9327.48</v>
      </c>
      <c r="O663" s="12">
        <v>2703.44</v>
      </c>
    </row>
    <row r="664" spans="1:15">
      <c r="A664" t="s">
        <v>837</v>
      </c>
      <c r="B664" t="s">
        <v>268</v>
      </c>
      <c r="C664" s="9">
        <f>DATE(2026-D624,1,1)</f>
        <v>31778</v>
      </c>
      <c r="D664">
        <v>38</v>
      </c>
      <c r="E664" t="s">
        <v>21</v>
      </c>
      <c r="F664" t="s">
        <v>5184</v>
      </c>
      <c r="G664" s="9">
        <v>45066</v>
      </c>
      <c r="H664" s="9">
        <v>45693</v>
      </c>
      <c r="I664">
        <v>2</v>
      </c>
      <c r="J664" t="s">
        <v>32</v>
      </c>
      <c r="K664">
        <v>8</v>
      </c>
      <c r="L664">
        <v>4</v>
      </c>
      <c r="M664" s="11">
        <v>16720.62</v>
      </c>
      <c r="N664" s="12">
        <v>7499.58</v>
      </c>
      <c r="O664" s="12">
        <v>13592.73</v>
      </c>
    </row>
    <row r="665" spans="1:15">
      <c r="A665" t="s">
        <v>838</v>
      </c>
      <c r="B665" t="s">
        <v>48</v>
      </c>
      <c r="C665" s="9">
        <v>46022</v>
      </c>
      <c r="D665">
        <v>0</v>
      </c>
      <c r="E665" t="s">
        <v>21</v>
      </c>
      <c r="F665" t="s">
        <v>49</v>
      </c>
      <c r="G665" s="9">
        <v>45293</v>
      </c>
      <c r="H665" s="9">
        <v>45286</v>
      </c>
      <c r="I665">
        <v>24</v>
      </c>
      <c r="J665" t="s">
        <v>32</v>
      </c>
      <c r="K665">
        <v>8</v>
      </c>
      <c r="L665">
        <v>8</v>
      </c>
      <c r="M665" s="11">
        <v>9179.14</v>
      </c>
      <c r="N665" s="12">
        <v>6340.35</v>
      </c>
      <c r="O665" s="12">
        <v>6012.95</v>
      </c>
    </row>
    <row r="666" spans="1:15">
      <c r="A666" t="s">
        <v>839</v>
      </c>
      <c r="B666" t="s">
        <v>69</v>
      </c>
      <c r="C666" s="9">
        <v>45292</v>
      </c>
      <c r="D666">
        <v>2</v>
      </c>
      <c r="E666" t="s">
        <v>21</v>
      </c>
      <c r="F666" t="s">
        <v>29</v>
      </c>
      <c r="G666" s="9">
        <v>45054</v>
      </c>
      <c r="H666" s="9">
        <v>45573</v>
      </c>
      <c r="I666">
        <v>2</v>
      </c>
      <c r="J666" t="s">
        <v>32</v>
      </c>
      <c r="K666">
        <v>11</v>
      </c>
      <c r="L666">
        <v>1</v>
      </c>
      <c r="M666" s="11">
        <v>21229.27</v>
      </c>
      <c r="N666" s="12">
        <v>4872.53</v>
      </c>
      <c r="O666" s="12">
        <v>18774.509999999998</v>
      </c>
    </row>
    <row r="667" spans="1:15">
      <c r="A667" t="s">
        <v>840</v>
      </c>
      <c r="B667" t="s">
        <v>207</v>
      </c>
      <c r="C667" s="9">
        <v>18263</v>
      </c>
      <c r="D667">
        <v>76</v>
      </c>
      <c r="E667" t="s">
        <v>17</v>
      </c>
      <c r="F667" t="s">
        <v>5184</v>
      </c>
      <c r="G667" s="9">
        <v>45277</v>
      </c>
      <c r="H667" s="9">
        <v>45495</v>
      </c>
      <c r="I667">
        <v>0</v>
      </c>
      <c r="J667" t="s">
        <v>32</v>
      </c>
      <c r="K667">
        <v>10</v>
      </c>
      <c r="L667">
        <v>7</v>
      </c>
      <c r="M667" s="11">
        <v>1966.59</v>
      </c>
      <c r="N667" s="12">
        <v>12994.79</v>
      </c>
      <c r="O667" s="12">
        <v>9355.4699999999993</v>
      </c>
    </row>
    <row r="668" spans="1:15">
      <c r="A668" t="s">
        <v>841</v>
      </c>
      <c r="B668" t="s">
        <v>127</v>
      </c>
      <c r="C668" s="9">
        <v>12785</v>
      </c>
      <c r="D668">
        <v>91</v>
      </c>
      <c r="E668" t="s">
        <v>17</v>
      </c>
      <c r="F668" t="s">
        <v>5184</v>
      </c>
      <c r="G668" s="9">
        <v>45073</v>
      </c>
      <c r="H668" s="9">
        <v>45453</v>
      </c>
      <c r="I668">
        <v>35</v>
      </c>
      <c r="J668" t="s">
        <v>32</v>
      </c>
      <c r="K668">
        <v>12</v>
      </c>
      <c r="L668">
        <v>9</v>
      </c>
      <c r="M668" s="11">
        <v>28972.38</v>
      </c>
      <c r="N668" s="12">
        <v>7267.58</v>
      </c>
      <c r="O668" s="12">
        <v>12410.2</v>
      </c>
    </row>
    <row r="669" spans="1:15">
      <c r="A669" t="s">
        <v>842</v>
      </c>
      <c r="B669" t="s">
        <v>254</v>
      </c>
      <c r="C669" s="9">
        <v>23742</v>
      </c>
      <c r="D669">
        <v>61</v>
      </c>
      <c r="E669" t="s">
        <v>17</v>
      </c>
      <c r="F669" t="s">
        <v>29</v>
      </c>
      <c r="G669" s="9">
        <v>45211</v>
      </c>
      <c r="H669" s="9">
        <v>45617</v>
      </c>
      <c r="I669">
        <v>27</v>
      </c>
      <c r="J669" t="s">
        <v>32</v>
      </c>
      <c r="K669">
        <v>14</v>
      </c>
      <c r="L669">
        <v>7</v>
      </c>
      <c r="M669" s="11">
        <v>5199.17</v>
      </c>
      <c r="N669" s="12">
        <v>10860.5</v>
      </c>
      <c r="O669" s="12">
        <v>12967.17</v>
      </c>
    </row>
    <row r="670" spans="1:15">
      <c r="A670" t="s">
        <v>843</v>
      </c>
      <c r="B670" t="s">
        <v>524</v>
      </c>
      <c r="C670" s="9">
        <v>23377</v>
      </c>
      <c r="D670">
        <v>62</v>
      </c>
      <c r="E670" t="s">
        <v>21</v>
      </c>
      <c r="F670" t="s">
        <v>74</v>
      </c>
      <c r="G670" s="9">
        <v>45395</v>
      </c>
      <c r="H670" s="9">
        <v>45389</v>
      </c>
      <c r="I670">
        <v>2</v>
      </c>
      <c r="J670" t="s">
        <v>32</v>
      </c>
      <c r="K670">
        <v>9</v>
      </c>
      <c r="L670">
        <v>2</v>
      </c>
      <c r="M670" s="11">
        <v>10390.24</v>
      </c>
      <c r="N670" s="12">
        <v>10589.25</v>
      </c>
      <c r="O670" s="12">
        <v>1729.2</v>
      </c>
    </row>
    <row r="671" spans="1:15">
      <c r="A671" t="s">
        <v>844</v>
      </c>
      <c r="B671" t="s">
        <v>159</v>
      </c>
      <c r="C671" s="9">
        <v>37256</v>
      </c>
      <c r="D671">
        <v>24</v>
      </c>
      <c r="E671" t="s">
        <v>17</v>
      </c>
      <c r="F671" t="s">
        <v>74</v>
      </c>
      <c r="G671" s="9">
        <v>45144</v>
      </c>
      <c r="H671" s="9">
        <v>45028</v>
      </c>
      <c r="I671">
        <v>5</v>
      </c>
      <c r="J671" t="s">
        <v>26</v>
      </c>
      <c r="K671">
        <v>7</v>
      </c>
      <c r="L671">
        <v>4</v>
      </c>
      <c r="M671" s="11">
        <v>14169.13</v>
      </c>
      <c r="N671" s="12">
        <v>2041.07</v>
      </c>
      <c r="O671" s="12">
        <v>17029.12</v>
      </c>
    </row>
    <row r="672" spans="1:15">
      <c r="A672" t="s">
        <v>845</v>
      </c>
      <c r="B672" t="s">
        <v>244</v>
      </c>
      <c r="C672" s="9">
        <v>25934</v>
      </c>
      <c r="D672">
        <v>55</v>
      </c>
      <c r="E672" t="s">
        <v>21</v>
      </c>
      <c r="F672" t="s">
        <v>5184</v>
      </c>
      <c r="G672" s="9">
        <v>45362</v>
      </c>
      <c r="H672" s="9">
        <v>45619</v>
      </c>
      <c r="I672">
        <v>10</v>
      </c>
      <c r="J672" t="s">
        <v>35</v>
      </c>
      <c r="K672">
        <v>8</v>
      </c>
      <c r="L672">
        <v>7</v>
      </c>
      <c r="M672" s="11">
        <v>26648.58</v>
      </c>
      <c r="N672" s="12">
        <v>734.04</v>
      </c>
      <c r="O672" s="12">
        <v>3201.15</v>
      </c>
    </row>
    <row r="673" spans="1:15">
      <c r="A673" t="s">
        <v>846</v>
      </c>
      <c r="B673" t="s">
        <v>125</v>
      </c>
      <c r="C673" s="9">
        <v>34334</v>
      </c>
      <c r="D673">
        <v>32</v>
      </c>
      <c r="E673" t="s">
        <v>17</v>
      </c>
      <c r="F673" t="s">
        <v>49</v>
      </c>
      <c r="G673" s="9">
        <v>45071</v>
      </c>
      <c r="H673" s="9">
        <v>45388</v>
      </c>
      <c r="I673">
        <v>17</v>
      </c>
      <c r="J673" t="s">
        <v>35</v>
      </c>
      <c r="K673">
        <v>0</v>
      </c>
      <c r="L673">
        <v>9</v>
      </c>
      <c r="M673" s="11">
        <v>21537.5</v>
      </c>
      <c r="N673" s="12">
        <v>12599.45</v>
      </c>
      <c r="O673" s="12">
        <v>7888.12</v>
      </c>
    </row>
    <row r="674" spans="1:15">
      <c r="A674" t="s">
        <v>847</v>
      </c>
      <c r="B674" t="s">
        <v>110</v>
      </c>
      <c r="C674" s="9">
        <v>32508</v>
      </c>
      <c r="D674">
        <v>37</v>
      </c>
      <c r="E674" t="s">
        <v>21</v>
      </c>
      <c r="F674" t="s">
        <v>18</v>
      </c>
      <c r="G674" s="9">
        <v>45203</v>
      </c>
      <c r="H674" s="9">
        <v>45696</v>
      </c>
      <c r="I674">
        <v>3</v>
      </c>
      <c r="J674" t="s">
        <v>32</v>
      </c>
      <c r="K674">
        <v>12</v>
      </c>
      <c r="L674">
        <v>8</v>
      </c>
      <c r="M674" s="11">
        <v>0</v>
      </c>
      <c r="N674" s="12">
        <v>7354.8</v>
      </c>
      <c r="O674" s="12">
        <v>13418.53</v>
      </c>
    </row>
    <row r="675" spans="1:15">
      <c r="A675" t="s">
        <v>848</v>
      </c>
      <c r="B675" t="s">
        <v>95</v>
      </c>
      <c r="C675" s="9">
        <v>44196</v>
      </c>
      <c r="D675">
        <v>5</v>
      </c>
      <c r="E675" t="s">
        <v>17</v>
      </c>
      <c r="F675" t="s">
        <v>49</v>
      </c>
      <c r="G675" s="9">
        <v>44986</v>
      </c>
      <c r="H675" s="9">
        <v>45195</v>
      </c>
      <c r="I675">
        <v>5</v>
      </c>
      <c r="J675" t="s">
        <v>26</v>
      </c>
      <c r="K675">
        <v>5</v>
      </c>
      <c r="L675">
        <v>6</v>
      </c>
      <c r="M675" s="11">
        <v>12877.72</v>
      </c>
      <c r="N675" s="12">
        <v>12151.28</v>
      </c>
      <c r="O675" s="12">
        <v>1009.92</v>
      </c>
    </row>
    <row r="676" spans="1:15">
      <c r="A676" t="s">
        <v>849</v>
      </c>
      <c r="B676" t="s">
        <v>600</v>
      </c>
      <c r="C676" s="9">
        <f>DATE(2026-D636,1,1)</f>
        <v>22647</v>
      </c>
      <c r="D676">
        <v>57</v>
      </c>
      <c r="E676" t="s">
        <v>21</v>
      </c>
      <c r="F676" t="s">
        <v>29</v>
      </c>
      <c r="G676" s="9">
        <v>45536</v>
      </c>
      <c r="H676" s="9">
        <v>45810</v>
      </c>
      <c r="I676">
        <v>27</v>
      </c>
      <c r="J676" t="s">
        <v>32</v>
      </c>
      <c r="K676">
        <v>1</v>
      </c>
      <c r="L676">
        <v>3</v>
      </c>
      <c r="M676" s="11">
        <v>16058.81</v>
      </c>
      <c r="N676" s="12">
        <v>4455.9799999999996</v>
      </c>
      <c r="O676" s="12">
        <v>11566.52</v>
      </c>
    </row>
    <row r="677" spans="1:15">
      <c r="A677" t="s">
        <v>850</v>
      </c>
      <c r="B677" t="s">
        <v>502</v>
      </c>
      <c r="C677" s="9">
        <v>30317</v>
      </c>
      <c r="D677">
        <v>43</v>
      </c>
      <c r="E677" t="s">
        <v>21</v>
      </c>
      <c r="F677" t="s">
        <v>29</v>
      </c>
      <c r="G677" s="9">
        <v>45301</v>
      </c>
      <c r="H677" s="9">
        <v>45289</v>
      </c>
      <c r="I677">
        <v>37</v>
      </c>
      <c r="J677" t="s">
        <v>32</v>
      </c>
      <c r="K677">
        <v>6</v>
      </c>
      <c r="L677">
        <v>3</v>
      </c>
      <c r="M677" s="11">
        <v>20914.830000000002</v>
      </c>
      <c r="N677" s="12">
        <v>12927.48</v>
      </c>
      <c r="O677" s="12">
        <v>8139.31</v>
      </c>
    </row>
    <row r="678" spans="1:15">
      <c r="A678" t="s">
        <v>851</v>
      </c>
      <c r="B678" t="s">
        <v>196</v>
      </c>
      <c r="C678" s="9">
        <v>29951</v>
      </c>
      <c r="D678">
        <v>44</v>
      </c>
      <c r="E678" t="s">
        <v>17</v>
      </c>
      <c r="F678" t="s">
        <v>22</v>
      </c>
      <c r="G678" s="9">
        <v>45330</v>
      </c>
      <c r="H678" s="9">
        <v>45335</v>
      </c>
      <c r="I678">
        <v>12</v>
      </c>
      <c r="J678" t="s">
        <v>32</v>
      </c>
      <c r="K678">
        <v>14</v>
      </c>
      <c r="L678">
        <v>2</v>
      </c>
      <c r="M678" s="11">
        <v>16940.34</v>
      </c>
      <c r="N678" s="12">
        <v>12462.31</v>
      </c>
      <c r="O678" s="12">
        <v>1183.44</v>
      </c>
    </row>
    <row r="679" spans="1:15">
      <c r="A679" t="s">
        <v>852</v>
      </c>
      <c r="B679" t="s">
        <v>275</v>
      </c>
      <c r="C679" s="9">
        <v>34700</v>
      </c>
      <c r="D679">
        <v>31</v>
      </c>
      <c r="E679" t="s">
        <v>21</v>
      </c>
      <c r="F679" t="s">
        <v>18</v>
      </c>
      <c r="G679" s="9">
        <v>45619</v>
      </c>
      <c r="H679" s="9">
        <v>44964</v>
      </c>
      <c r="I679">
        <v>7</v>
      </c>
      <c r="J679" t="s">
        <v>26</v>
      </c>
      <c r="K679">
        <v>2</v>
      </c>
      <c r="L679">
        <v>7</v>
      </c>
      <c r="M679" s="11">
        <v>13448.71</v>
      </c>
      <c r="N679" s="12">
        <v>5725.07</v>
      </c>
      <c r="O679" s="12">
        <v>14500.46</v>
      </c>
    </row>
    <row r="680" spans="1:15">
      <c r="A680" t="s">
        <v>853</v>
      </c>
      <c r="B680" t="s">
        <v>84</v>
      </c>
      <c r="C680" s="9">
        <v>29951</v>
      </c>
      <c r="D680">
        <v>44</v>
      </c>
      <c r="E680" t="s">
        <v>17</v>
      </c>
      <c r="F680" t="s">
        <v>5184</v>
      </c>
      <c r="G680" s="9">
        <v>45040</v>
      </c>
      <c r="H680" s="9">
        <v>45395</v>
      </c>
      <c r="I680">
        <v>30</v>
      </c>
      <c r="J680" t="s">
        <v>32</v>
      </c>
      <c r="K680">
        <v>6</v>
      </c>
      <c r="L680">
        <v>5</v>
      </c>
      <c r="M680" s="11">
        <v>22849.200000000001</v>
      </c>
      <c r="N680" s="12">
        <v>6175.47</v>
      </c>
      <c r="O680" s="12">
        <v>9976.7999999999993</v>
      </c>
    </row>
    <row r="681" spans="1:15">
      <c r="A681" t="s">
        <v>854</v>
      </c>
      <c r="B681" t="s">
        <v>671</v>
      </c>
      <c r="C681" s="9">
        <v>24107</v>
      </c>
      <c r="D681">
        <v>60</v>
      </c>
      <c r="E681" t="s">
        <v>17</v>
      </c>
      <c r="F681" t="s">
        <v>29</v>
      </c>
      <c r="G681" s="9">
        <v>45421</v>
      </c>
      <c r="H681" s="9">
        <v>45643</v>
      </c>
      <c r="I681">
        <v>6</v>
      </c>
      <c r="J681" t="s">
        <v>35</v>
      </c>
      <c r="K681">
        <v>6</v>
      </c>
      <c r="L681">
        <v>9</v>
      </c>
      <c r="M681" s="11">
        <v>11030.76</v>
      </c>
      <c r="N681" s="12">
        <v>5263.39</v>
      </c>
      <c r="O681" s="12">
        <v>5999.15</v>
      </c>
    </row>
    <row r="682" spans="1:15">
      <c r="A682" t="s">
        <v>855</v>
      </c>
      <c r="B682" t="s">
        <v>131</v>
      </c>
      <c r="C682" s="9">
        <v>29221</v>
      </c>
      <c r="D682">
        <v>46</v>
      </c>
      <c r="E682" t="s">
        <v>17</v>
      </c>
      <c r="F682" t="s">
        <v>22</v>
      </c>
      <c r="G682" s="9">
        <v>45541</v>
      </c>
      <c r="H682" s="9">
        <v>45186</v>
      </c>
      <c r="I682">
        <v>30</v>
      </c>
      <c r="J682" t="s">
        <v>32</v>
      </c>
      <c r="K682">
        <v>2</v>
      </c>
      <c r="L682">
        <v>5</v>
      </c>
      <c r="M682" s="11">
        <v>29608.77</v>
      </c>
      <c r="N682" s="12">
        <v>522.34</v>
      </c>
      <c r="O682" s="12">
        <v>1594.99</v>
      </c>
    </row>
    <row r="683" spans="1:15">
      <c r="A683" t="s">
        <v>856</v>
      </c>
      <c r="B683" t="s">
        <v>78</v>
      </c>
      <c r="C683" s="9">
        <v>38717</v>
      </c>
      <c r="D683">
        <v>20</v>
      </c>
      <c r="E683" t="s">
        <v>21</v>
      </c>
      <c r="F683" t="s">
        <v>74</v>
      </c>
      <c r="G683" s="9">
        <v>45262</v>
      </c>
      <c r="H683" s="9">
        <v>45436</v>
      </c>
      <c r="I683">
        <v>6</v>
      </c>
      <c r="J683" t="s">
        <v>32</v>
      </c>
      <c r="K683">
        <v>2</v>
      </c>
      <c r="L683">
        <v>9</v>
      </c>
      <c r="M683" s="11">
        <v>28407.37</v>
      </c>
      <c r="N683" s="12">
        <v>10314.91</v>
      </c>
      <c r="O683" s="12">
        <v>10904.23</v>
      </c>
    </row>
    <row r="684" spans="1:15">
      <c r="A684" t="s">
        <v>857</v>
      </c>
      <c r="B684" t="s">
        <v>53</v>
      </c>
      <c r="C684" s="9">
        <v>17168</v>
      </c>
      <c r="D684">
        <v>79</v>
      </c>
      <c r="E684" t="s">
        <v>17</v>
      </c>
      <c r="F684" t="s">
        <v>29</v>
      </c>
      <c r="G684" s="9">
        <v>45495</v>
      </c>
      <c r="H684" s="9">
        <v>45594</v>
      </c>
      <c r="I684">
        <v>11</v>
      </c>
      <c r="J684" t="s">
        <v>32</v>
      </c>
      <c r="K684">
        <v>3</v>
      </c>
      <c r="L684">
        <v>9</v>
      </c>
      <c r="M684" s="11">
        <v>21075.1</v>
      </c>
      <c r="N684" s="12">
        <v>4090.99</v>
      </c>
      <c r="O684" s="12">
        <v>6049.85</v>
      </c>
    </row>
    <row r="685" spans="1:15">
      <c r="A685" t="s">
        <v>858</v>
      </c>
      <c r="B685" t="s">
        <v>41</v>
      </c>
      <c r="C685" s="9">
        <v>15341</v>
      </c>
      <c r="D685">
        <v>84</v>
      </c>
      <c r="E685" t="s">
        <v>17</v>
      </c>
      <c r="F685" t="s">
        <v>25</v>
      </c>
      <c r="G685" s="9">
        <v>45211</v>
      </c>
      <c r="H685" s="9">
        <v>45677</v>
      </c>
      <c r="I685">
        <v>29</v>
      </c>
      <c r="J685" t="s">
        <v>32</v>
      </c>
      <c r="K685">
        <v>11</v>
      </c>
      <c r="L685">
        <v>8</v>
      </c>
      <c r="M685" s="11">
        <v>26419.66</v>
      </c>
      <c r="N685" s="12">
        <v>13260.21</v>
      </c>
      <c r="O685" s="12">
        <v>18928.349999999999</v>
      </c>
    </row>
    <row r="686" spans="1:15">
      <c r="A686" t="s">
        <v>859</v>
      </c>
      <c r="B686" t="s">
        <v>539</v>
      </c>
      <c r="C686" s="9">
        <v>18994</v>
      </c>
      <c r="D686">
        <v>74</v>
      </c>
      <c r="E686" t="s">
        <v>21</v>
      </c>
      <c r="F686" t="s">
        <v>18</v>
      </c>
      <c r="G686" s="9">
        <v>45055</v>
      </c>
      <c r="H686" s="9">
        <v>45236</v>
      </c>
      <c r="I686">
        <v>34</v>
      </c>
      <c r="J686" t="s">
        <v>26</v>
      </c>
      <c r="K686">
        <v>5</v>
      </c>
      <c r="L686">
        <v>2</v>
      </c>
      <c r="M686" s="11">
        <v>11491.85</v>
      </c>
      <c r="N686" s="12">
        <v>13460.66</v>
      </c>
      <c r="O686" s="12">
        <v>11789.48</v>
      </c>
    </row>
    <row r="687" spans="1:15">
      <c r="A687" t="s">
        <v>860</v>
      </c>
      <c r="B687" t="s">
        <v>469</v>
      </c>
      <c r="C687" s="9">
        <v>33239</v>
      </c>
      <c r="D687">
        <v>35</v>
      </c>
      <c r="E687" t="s">
        <v>17</v>
      </c>
      <c r="F687" t="s">
        <v>22</v>
      </c>
      <c r="G687" s="9">
        <v>45241</v>
      </c>
      <c r="H687" s="9">
        <v>45539</v>
      </c>
      <c r="I687">
        <v>3</v>
      </c>
      <c r="J687" t="s">
        <v>32</v>
      </c>
      <c r="K687">
        <v>4</v>
      </c>
      <c r="L687">
        <v>3</v>
      </c>
      <c r="M687" s="11">
        <v>0</v>
      </c>
      <c r="N687" s="12">
        <v>10838.69</v>
      </c>
      <c r="O687" s="12">
        <v>5629.81</v>
      </c>
    </row>
    <row r="688" spans="1:15">
      <c r="A688" t="s">
        <v>861</v>
      </c>
      <c r="B688" t="s">
        <v>172</v>
      </c>
      <c r="C688" s="9">
        <v>39448</v>
      </c>
      <c r="D688">
        <v>18</v>
      </c>
      <c r="E688" t="s">
        <v>21</v>
      </c>
      <c r="F688" t="s">
        <v>18</v>
      </c>
      <c r="G688" s="9">
        <v>45524</v>
      </c>
      <c r="H688" s="9">
        <v>45200</v>
      </c>
      <c r="I688">
        <v>2</v>
      </c>
      <c r="J688" t="s">
        <v>35</v>
      </c>
      <c r="K688">
        <v>1</v>
      </c>
      <c r="L688">
        <v>2</v>
      </c>
      <c r="M688" s="11">
        <v>7815.98</v>
      </c>
      <c r="N688" s="12">
        <v>2723.46</v>
      </c>
      <c r="O688" s="12">
        <v>10525.22</v>
      </c>
    </row>
    <row r="689" spans="1:15">
      <c r="A689" t="s">
        <v>862</v>
      </c>
      <c r="B689" t="s">
        <v>24</v>
      </c>
      <c r="C689" s="9">
        <v>39083</v>
      </c>
      <c r="D689">
        <f ca="1">DATEDIF(C640,TODAY(),"Y")</f>
        <v>88</v>
      </c>
      <c r="E689" t="s">
        <v>21</v>
      </c>
      <c r="F689" t="s">
        <v>18</v>
      </c>
      <c r="G689" s="9">
        <v>45638</v>
      </c>
      <c r="H689" s="9">
        <v>45552</v>
      </c>
      <c r="I689">
        <v>1</v>
      </c>
      <c r="J689" t="s">
        <v>32</v>
      </c>
      <c r="K689">
        <v>4</v>
      </c>
      <c r="L689">
        <v>2</v>
      </c>
      <c r="M689" s="11">
        <v>26512</v>
      </c>
      <c r="N689" s="12">
        <v>1339.39</v>
      </c>
      <c r="O689" s="12">
        <v>10743.86</v>
      </c>
    </row>
    <row r="690" spans="1:15">
      <c r="A690" t="s">
        <v>863</v>
      </c>
      <c r="B690" t="s">
        <v>139</v>
      </c>
      <c r="C690" s="9">
        <v>25568</v>
      </c>
      <c r="D690">
        <v>56</v>
      </c>
      <c r="E690" t="s">
        <v>21</v>
      </c>
      <c r="F690" t="s">
        <v>25</v>
      </c>
      <c r="G690" s="9">
        <v>44997</v>
      </c>
      <c r="H690" s="9">
        <v>45037</v>
      </c>
      <c r="I690">
        <v>13</v>
      </c>
      <c r="J690" t="s">
        <v>26</v>
      </c>
      <c r="K690">
        <v>1</v>
      </c>
      <c r="L690">
        <v>0</v>
      </c>
      <c r="M690" s="11">
        <v>13866.26</v>
      </c>
      <c r="N690" s="12">
        <v>12246.7</v>
      </c>
      <c r="O690" s="12">
        <v>14507.91</v>
      </c>
    </row>
    <row r="691" spans="1:15">
      <c r="A691" t="s">
        <v>864</v>
      </c>
      <c r="B691" t="s">
        <v>332</v>
      </c>
      <c r="C691" s="9">
        <v>39813</v>
      </c>
      <c r="D691">
        <v>17</v>
      </c>
      <c r="E691" t="s">
        <v>21</v>
      </c>
      <c r="F691" t="s">
        <v>49</v>
      </c>
      <c r="G691" s="9">
        <v>45271</v>
      </c>
      <c r="H691" s="9">
        <v>45582</v>
      </c>
      <c r="I691">
        <v>7</v>
      </c>
      <c r="J691" t="s">
        <v>32</v>
      </c>
      <c r="K691">
        <v>7</v>
      </c>
      <c r="L691">
        <v>9</v>
      </c>
      <c r="M691" s="11">
        <v>15852.38</v>
      </c>
      <c r="N691" s="12">
        <v>13395.99</v>
      </c>
      <c r="O691" s="12">
        <v>18034.27</v>
      </c>
    </row>
    <row r="692" spans="1:15">
      <c r="A692" t="s">
        <v>865</v>
      </c>
      <c r="B692" t="s">
        <v>129</v>
      </c>
      <c r="C692" s="9">
        <v>29221</v>
      </c>
      <c r="D692">
        <v>46</v>
      </c>
      <c r="E692" t="s">
        <v>21</v>
      </c>
      <c r="F692" t="s">
        <v>74</v>
      </c>
      <c r="G692" s="9">
        <v>45024</v>
      </c>
      <c r="H692" s="9">
        <v>45606</v>
      </c>
      <c r="I692">
        <v>28</v>
      </c>
      <c r="J692" t="s">
        <v>35</v>
      </c>
      <c r="K692">
        <v>1</v>
      </c>
      <c r="L692">
        <v>5</v>
      </c>
      <c r="M692" s="11">
        <v>25869.31</v>
      </c>
      <c r="N692" s="12">
        <v>5280.59</v>
      </c>
      <c r="O692" s="12">
        <v>19248.13</v>
      </c>
    </row>
    <row r="693" spans="1:15">
      <c r="A693" t="s">
        <v>866</v>
      </c>
      <c r="B693" t="s">
        <v>196</v>
      </c>
      <c r="C693" s="9">
        <v>28490</v>
      </c>
      <c r="D693">
        <v>48</v>
      </c>
      <c r="E693" t="s">
        <v>17</v>
      </c>
      <c r="F693" t="s">
        <v>18</v>
      </c>
      <c r="G693" s="9">
        <v>45226</v>
      </c>
      <c r="H693" s="9">
        <v>45187</v>
      </c>
      <c r="I693">
        <v>28</v>
      </c>
      <c r="J693" t="s">
        <v>32</v>
      </c>
      <c r="K693">
        <v>7</v>
      </c>
      <c r="L693">
        <v>8</v>
      </c>
      <c r="M693" s="11">
        <v>23816.99</v>
      </c>
      <c r="N693" s="12">
        <v>5294.34</v>
      </c>
      <c r="O693" s="12">
        <v>14329.6</v>
      </c>
    </row>
    <row r="694" spans="1:15">
      <c r="A694" t="s">
        <v>867</v>
      </c>
      <c r="B694" t="s">
        <v>275</v>
      </c>
      <c r="C694" s="9">
        <v>41274</v>
      </c>
      <c r="D694">
        <v>13</v>
      </c>
      <c r="E694" t="s">
        <v>17</v>
      </c>
      <c r="F694" t="s">
        <v>29</v>
      </c>
      <c r="G694" s="9">
        <v>45102</v>
      </c>
      <c r="H694" s="9">
        <v>45584</v>
      </c>
      <c r="I694">
        <v>11</v>
      </c>
      <c r="J694" t="s">
        <v>26</v>
      </c>
      <c r="K694">
        <v>3</v>
      </c>
      <c r="L694">
        <v>4</v>
      </c>
      <c r="M694" s="11">
        <v>9313.17</v>
      </c>
      <c r="N694" s="12">
        <v>5854.14</v>
      </c>
      <c r="O694" s="12">
        <v>10872.86</v>
      </c>
    </row>
    <row r="695" spans="1:15">
      <c r="A695" t="s">
        <v>868</v>
      </c>
      <c r="B695" t="s">
        <v>71</v>
      </c>
      <c r="C695" s="9">
        <v>40909</v>
      </c>
      <c r="D695">
        <v>14</v>
      </c>
      <c r="E695" t="s">
        <v>21</v>
      </c>
      <c r="F695" t="s">
        <v>74</v>
      </c>
      <c r="G695" s="9">
        <v>45001</v>
      </c>
      <c r="H695" s="9">
        <v>45669</v>
      </c>
      <c r="I695">
        <v>10</v>
      </c>
      <c r="J695" t="s">
        <v>32</v>
      </c>
      <c r="K695">
        <v>10</v>
      </c>
      <c r="L695">
        <v>9</v>
      </c>
      <c r="M695" s="11">
        <v>2166.54</v>
      </c>
      <c r="N695" s="12">
        <v>12414.33</v>
      </c>
      <c r="O695" s="12">
        <v>4421.13</v>
      </c>
    </row>
    <row r="696" spans="1:15">
      <c r="A696" t="s">
        <v>869</v>
      </c>
      <c r="B696" t="s">
        <v>229</v>
      </c>
      <c r="C696" s="9">
        <v>35065</v>
      </c>
      <c r="D696">
        <v>30</v>
      </c>
      <c r="E696" t="s">
        <v>17</v>
      </c>
      <c r="F696" t="s">
        <v>29</v>
      </c>
      <c r="G696" s="9">
        <v>45069</v>
      </c>
      <c r="H696" s="9">
        <v>45195</v>
      </c>
      <c r="I696">
        <v>1</v>
      </c>
      <c r="J696" t="s">
        <v>26</v>
      </c>
      <c r="K696">
        <v>8</v>
      </c>
      <c r="L696">
        <v>1</v>
      </c>
      <c r="M696" s="11">
        <v>4443.84</v>
      </c>
      <c r="N696" s="12">
        <v>10606.08</v>
      </c>
      <c r="O696" s="12">
        <v>8000.89</v>
      </c>
    </row>
    <row r="697" spans="1:15">
      <c r="A697" t="s">
        <v>870</v>
      </c>
      <c r="B697" t="s">
        <v>82</v>
      </c>
      <c r="C697" s="9">
        <v>46022</v>
      </c>
      <c r="D697">
        <v>0</v>
      </c>
      <c r="E697" t="s">
        <v>17</v>
      </c>
      <c r="F697" t="s">
        <v>74</v>
      </c>
      <c r="G697" s="9">
        <v>44949</v>
      </c>
      <c r="H697" s="9">
        <v>44959</v>
      </c>
      <c r="I697">
        <v>23</v>
      </c>
      <c r="J697" t="s">
        <v>32</v>
      </c>
      <c r="K697">
        <v>13</v>
      </c>
      <c r="L697">
        <v>9</v>
      </c>
      <c r="M697" s="11">
        <v>9842.42</v>
      </c>
      <c r="N697" s="12">
        <v>1829.65</v>
      </c>
      <c r="O697" s="12">
        <v>9724.66</v>
      </c>
    </row>
    <row r="698" spans="1:15">
      <c r="A698" t="s">
        <v>871</v>
      </c>
      <c r="B698" t="s">
        <v>446</v>
      </c>
      <c r="C698" s="9">
        <v>26664</v>
      </c>
      <c r="D698">
        <v>53</v>
      </c>
      <c r="E698" t="s">
        <v>17</v>
      </c>
      <c r="F698" t="s">
        <v>5184</v>
      </c>
      <c r="G698" s="9">
        <v>45107</v>
      </c>
      <c r="H698" s="9">
        <v>45738</v>
      </c>
      <c r="I698">
        <v>21</v>
      </c>
      <c r="J698" t="s">
        <v>35</v>
      </c>
      <c r="K698">
        <v>6</v>
      </c>
      <c r="L698">
        <v>3</v>
      </c>
      <c r="M698" s="11">
        <v>8811.3700000000008</v>
      </c>
      <c r="N698" s="12">
        <v>9520.36</v>
      </c>
      <c r="O698" s="12">
        <v>2480.2600000000002</v>
      </c>
    </row>
    <row r="699" spans="1:15">
      <c r="A699" t="s">
        <v>872</v>
      </c>
      <c r="B699" t="s">
        <v>254</v>
      </c>
      <c r="C699" s="9">
        <v>45292</v>
      </c>
      <c r="D699">
        <v>2</v>
      </c>
      <c r="E699" t="s">
        <v>17</v>
      </c>
      <c r="F699" t="s">
        <v>74</v>
      </c>
      <c r="G699" s="9">
        <v>44971</v>
      </c>
      <c r="H699" s="9">
        <v>45658</v>
      </c>
      <c r="I699">
        <v>6</v>
      </c>
      <c r="J699" t="s">
        <v>35</v>
      </c>
      <c r="K699">
        <v>7</v>
      </c>
      <c r="L699">
        <v>5</v>
      </c>
      <c r="M699" s="11">
        <v>668.47</v>
      </c>
      <c r="N699" s="12">
        <v>146.66</v>
      </c>
      <c r="O699" s="12">
        <v>5053.72</v>
      </c>
    </row>
    <row r="700" spans="1:15">
      <c r="A700" t="s">
        <v>873</v>
      </c>
      <c r="B700" t="s">
        <v>427</v>
      </c>
      <c r="C700" s="9">
        <v>40544</v>
      </c>
      <c r="D700">
        <f ca="1">DATEDIF(C651,TODAY(),"Y")</f>
        <v>73</v>
      </c>
      <c r="E700" t="s">
        <v>17</v>
      </c>
      <c r="F700" t="s">
        <v>22</v>
      </c>
      <c r="G700" s="9">
        <v>45395</v>
      </c>
      <c r="H700" s="9">
        <v>45104</v>
      </c>
      <c r="I700">
        <v>32</v>
      </c>
      <c r="J700" t="s">
        <v>32</v>
      </c>
      <c r="K700">
        <v>7</v>
      </c>
      <c r="L700">
        <v>6</v>
      </c>
      <c r="M700" s="11">
        <v>12677.99</v>
      </c>
      <c r="N700" s="12">
        <v>10655.79</v>
      </c>
      <c r="O700" s="12">
        <v>19687.5</v>
      </c>
    </row>
    <row r="701" spans="1:15">
      <c r="A701" t="s">
        <v>874</v>
      </c>
      <c r="B701" t="s">
        <v>139</v>
      </c>
      <c r="C701" s="9">
        <v>14611</v>
      </c>
      <c r="D701">
        <v>86</v>
      </c>
      <c r="E701" t="s">
        <v>21</v>
      </c>
      <c r="F701" t="s">
        <v>29</v>
      </c>
      <c r="G701" s="9">
        <v>45018</v>
      </c>
      <c r="H701" s="9">
        <v>45031</v>
      </c>
      <c r="I701">
        <v>39</v>
      </c>
      <c r="J701" t="s">
        <v>35</v>
      </c>
      <c r="K701">
        <v>5</v>
      </c>
      <c r="L701">
        <v>6</v>
      </c>
      <c r="M701" s="11">
        <v>2728.44</v>
      </c>
      <c r="N701" s="12">
        <v>11469.48</v>
      </c>
      <c r="O701" s="12">
        <v>15109.47</v>
      </c>
    </row>
    <row r="702" spans="1:15">
      <c r="A702" t="s">
        <v>875</v>
      </c>
      <c r="B702" t="s">
        <v>226</v>
      </c>
      <c r="C702" s="9">
        <v>25568</v>
      </c>
      <c r="D702">
        <v>56</v>
      </c>
      <c r="E702" t="s">
        <v>21</v>
      </c>
      <c r="F702" t="s">
        <v>29</v>
      </c>
      <c r="G702" s="9">
        <v>45195</v>
      </c>
      <c r="H702" s="9">
        <v>45163</v>
      </c>
      <c r="I702">
        <v>12</v>
      </c>
      <c r="J702" t="s">
        <v>32</v>
      </c>
      <c r="K702">
        <v>8</v>
      </c>
      <c r="L702">
        <v>3</v>
      </c>
      <c r="M702" s="11">
        <v>6237.14</v>
      </c>
      <c r="N702" s="12">
        <v>12224.23</v>
      </c>
      <c r="O702" s="12">
        <v>9588.33</v>
      </c>
    </row>
    <row r="703" spans="1:15">
      <c r="A703" t="s">
        <v>876</v>
      </c>
      <c r="B703" t="s">
        <v>112</v>
      </c>
      <c r="C703" s="9">
        <v>18994</v>
      </c>
      <c r="D703">
        <v>74</v>
      </c>
      <c r="E703" t="s">
        <v>21</v>
      </c>
      <c r="F703" t="s">
        <v>5184</v>
      </c>
      <c r="G703" s="9">
        <v>44960</v>
      </c>
      <c r="H703" s="9">
        <v>45020</v>
      </c>
      <c r="I703">
        <v>21</v>
      </c>
      <c r="J703" t="s">
        <v>26</v>
      </c>
      <c r="K703">
        <v>13</v>
      </c>
      <c r="L703">
        <v>9</v>
      </c>
      <c r="M703" s="11">
        <v>23518.240000000002</v>
      </c>
      <c r="N703" s="12">
        <v>9384.64</v>
      </c>
      <c r="O703" s="12">
        <v>4443.25</v>
      </c>
    </row>
    <row r="704" spans="1:15">
      <c r="A704" t="s">
        <v>877</v>
      </c>
      <c r="B704" t="s">
        <v>61</v>
      </c>
      <c r="C704" s="9">
        <v>42005</v>
      </c>
      <c r="D704">
        <v>11</v>
      </c>
      <c r="E704" t="s">
        <v>17</v>
      </c>
      <c r="F704" t="s">
        <v>74</v>
      </c>
      <c r="G704" s="9">
        <v>45604</v>
      </c>
      <c r="H704" s="9">
        <v>45128</v>
      </c>
      <c r="I704">
        <v>28</v>
      </c>
      <c r="J704" t="s">
        <v>35</v>
      </c>
      <c r="K704">
        <v>1</v>
      </c>
      <c r="L704">
        <v>9</v>
      </c>
      <c r="M704" s="11">
        <v>14593.83</v>
      </c>
      <c r="N704" s="12">
        <v>2708.82</v>
      </c>
      <c r="O704" s="12">
        <v>11426.3</v>
      </c>
    </row>
    <row r="705" spans="1:15">
      <c r="A705" t="s">
        <v>878</v>
      </c>
      <c r="B705" t="s">
        <v>95</v>
      </c>
      <c r="C705" s="9">
        <v>19359</v>
      </c>
      <c r="D705">
        <f ca="1">DATEDIF(C656,TODAY(),"Y")</f>
        <v>44</v>
      </c>
      <c r="E705" t="s">
        <v>21</v>
      </c>
      <c r="F705" t="s">
        <v>18</v>
      </c>
      <c r="G705" s="9">
        <v>45508</v>
      </c>
      <c r="H705" s="9">
        <v>45738</v>
      </c>
      <c r="I705">
        <v>16</v>
      </c>
      <c r="J705" t="s">
        <v>26</v>
      </c>
      <c r="K705">
        <v>6</v>
      </c>
      <c r="L705">
        <v>4</v>
      </c>
      <c r="M705" s="11">
        <v>10875.07</v>
      </c>
      <c r="N705" s="12">
        <v>11906.2</v>
      </c>
      <c r="O705" s="12">
        <v>4560.6899999999996</v>
      </c>
    </row>
    <row r="706" spans="1:15">
      <c r="A706" t="s">
        <v>879</v>
      </c>
      <c r="B706" t="s">
        <v>28</v>
      </c>
      <c r="C706" s="9">
        <v>40544</v>
      </c>
      <c r="D706">
        <v>15</v>
      </c>
      <c r="E706" t="s">
        <v>17</v>
      </c>
      <c r="F706" t="s">
        <v>29</v>
      </c>
      <c r="G706" s="9">
        <v>45290</v>
      </c>
      <c r="H706" s="9">
        <v>45826</v>
      </c>
      <c r="I706">
        <v>1</v>
      </c>
      <c r="J706" t="s">
        <v>32</v>
      </c>
      <c r="K706">
        <v>5</v>
      </c>
      <c r="L706">
        <v>3</v>
      </c>
      <c r="M706" s="11">
        <v>5155.78</v>
      </c>
      <c r="N706" s="12">
        <v>13496.86</v>
      </c>
      <c r="O706" s="12">
        <v>3781.49</v>
      </c>
    </row>
    <row r="707" spans="1:15">
      <c r="A707" t="s">
        <v>880</v>
      </c>
      <c r="B707" t="s">
        <v>550</v>
      </c>
      <c r="C707" s="9">
        <v>20090</v>
      </c>
      <c r="D707">
        <v>71</v>
      </c>
      <c r="E707" t="s">
        <v>21</v>
      </c>
      <c r="F707" t="s">
        <v>5184</v>
      </c>
      <c r="G707" s="9">
        <v>45634</v>
      </c>
      <c r="H707" s="9">
        <v>45670</v>
      </c>
      <c r="I707">
        <v>1</v>
      </c>
      <c r="J707" t="s">
        <v>26</v>
      </c>
      <c r="K707">
        <v>2</v>
      </c>
      <c r="L707">
        <v>9</v>
      </c>
      <c r="M707" s="11">
        <v>25921.54</v>
      </c>
      <c r="N707" s="12">
        <v>9506.94</v>
      </c>
      <c r="O707" s="12">
        <v>1784.5</v>
      </c>
    </row>
    <row r="708" spans="1:15">
      <c r="A708" t="s">
        <v>881</v>
      </c>
      <c r="B708" t="s">
        <v>119</v>
      </c>
      <c r="C708" s="9">
        <v>18629</v>
      </c>
      <c r="D708">
        <v>75</v>
      </c>
      <c r="E708" t="s">
        <v>17</v>
      </c>
      <c r="F708" t="s">
        <v>25</v>
      </c>
      <c r="G708" s="9">
        <v>45059</v>
      </c>
      <c r="H708" s="9">
        <v>45694</v>
      </c>
      <c r="I708">
        <v>38</v>
      </c>
      <c r="J708" t="s">
        <v>32</v>
      </c>
      <c r="K708">
        <v>4</v>
      </c>
      <c r="L708">
        <v>5</v>
      </c>
      <c r="M708" s="11">
        <v>27062.54</v>
      </c>
      <c r="N708" s="12">
        <v>4126.7700000000004</v>
      </c>
      <c r="O708" s="12">
        <v>6851.65</v>
      </c>
    </row>
    <row r="709" spans="1:15">
      <c r="A709" t="s">
        <v>882</v>
      </c>
      <c r="B709" t="s">
        <v>139</v>
      </c>
      <c r="C709" s="9">
        <v>37622</v>
      </c>
      <c r="D709">
        <v>23</v>
      </c>
      <c r="E709" t="s">
        <v>21</v>
      </c>
      <c r="F709" t="s">
        <v>25</v>
      </c>
      <c r="G709" s="9">
        <v>45308</v>
      </c>
      <c r="H709" s="9">
        <v>45524</v>
      </c>
      <c r="I709">
        <v>33</v>
      </c>
      <c r="J709" t="s">
        <v>32</v>
      </c>
      <c r="K709">
        <v>8</v>
      </c>
      <c r="L709">
        <v>6</v>
      </c>
      <c r="M709" s="11">
        <v>0</v>
      </c>
      <c r="N709" s="12">
        <v>2690.41</v>
      </c>
      <c r="O709" s="12">
        <v>10788.64</v>
      </c>
    </row>
    <row r="710" spans="1:15">
      <c r="A710" t="s">
        <v>883</v>
      </c>
      <c r="B710" t="s">
        <v>97</v>
      </c>
      <c r="C710" s="9">
        <v>36161</v>
      </c>
      <c r="D710">
        <f ca="1">DATEDIF(C661,TODAY(),"Y")</f>
        <v>91</v>
      </c>
      <c r="E710" t="s">
        <v>21</v>
      </c>
      <c r="F710" t="s">
        <v>74</v>
      </c>
      <c r="G710" s="9">
        <v>45606</v>
      </c>
      <c r="H710" s="9">
        <v>44962</v>
      </c>
      <c r="I710">
        <v>34</v>
      </c>
      <c r="J710" t="s">
        <v>35</v>
      </c>
      <c r="K710">
        <v>14</v>
      </c>
      <c r="L710">
        <v>1</v>
      </c>
      <c r="M710" s="11">
        <v>27598.880000000001</v>
      </c>
      <c r="N710" s="12">
        <v>3471.95</v>
      </c>
      <c r="O710" s="12">
        <v>3102.49</v>
      </c>
    </row>
    <row r="711" spans="1:15">
      <c r="A711" t="s">
        <v>884</v>
      </c>
      <c r="B711" t="s">
        <v>125</v>
      </c>
      <c r="C711" s="9">
        <v>43466</v>
      </c>
      <c r="D711">
        <v>7</v>
      </c>
      <c r="E711" t="s">
        <v>21</v>
      </c>
      <c r="F711" t="s">
        <v>49</v>
      </c>
      <c r="G711" s="9">
        <v>45203</v>
      </c>
      <c r="H711" s="9">
        <v>45044</v>
      </c>
      <c r="I711">
        <v>31</v>
      </c>
      <c r="J711" t="s">
        <v>35</v>
      </c>
      <c r="K711">
        <v>0</v>
      </c>
      <c r="L711">
        <v>9</v>
      </c>
      <c r="M711" s="11">
        <v>13676.06</v>
      </c>
      <c r="N711" s="12">
        <v>253.56</v>
      </c>
      <c r="O711" s="12">
        <v>3928.75</v>
      </c>
    </row>
    <row r="712" spans="1:15">
      <c r="A712" t="s">
        <v>885</v>
      </c>
      <c r="B712" t="s">
        <v>196</v>
      </c>
      <c r="C712" s="9">
        <v>12785</v>
      </c>
      <c r="D712">
        <v>91</v>
      </c>
      <c r="E712" t="s">
        <v>21</v>
      </c>
      <c r="F712" t="s">
        <v>74</v>
      </c>
      <c r="G712" s="9">
        <v>45082</v>
      </c>
      <c r="H712" s="9">
        <v>45615</v>
      </c>
      <c r="I712">
        <v>36</v>
      </c>
      <c r="J712" t="s">
        <v>32</v>
      </c>
      <c r="K712">
        <v>2</v>
      </c>
      <c r="L712">
        <v>2</v>
      </c>
      <c r="M712" s="11">
        <v>2770.9</v>
      </c>
      <c r="N712" s="12">
        <v>152.53</v>
      </c>
      <c r="O712" s="12">
        <v>7761.9</v>
      </c>
    </row>
    <row r="713" spans="1:15">
      <c r="A713" t="s">
        <v>886</v>
      </c>
      <c r="B713" t="s">
        <v>117</v>
      </c>
      <c r="C713" s="9">
        <v>33239</v>
      </c>
      <c r="D713">
        <v>35</v>
      </c>
      <c r="E713" t="s">
        <v>21</v>
      </c>
      <c r="F713" t="s">
        <v>5184</v>
      </c>
      <c r="G713" s="9">
        <v>45313</v>
      </c>
      <c r="H713" s="9">
        <v>45385</v>
      </c>
      <c r="I713">
        <v>16</v>
      </c>
      <c r="J713" t="s">
        <v>32</v>
      </c>
      <c r="K713">
        <v>6</v>
      </c>
      <c r="L713">
        <v>7</v>
      </c>
      <c r="M713" s="11">
        <v>19.71</v>
      </c>
      <c r="N713" s="12">
        <v>4455.58</v>
      </c>
      <c r="O713" s="12">
        <v>9739.59</v>
      </c>
    </row>
    <row r="714" spans="1:15">
      <c r="A714" t="s">
        <v>887</v>
      </c>
      <c r="B714" t="s">
        <v>292</v>
      </c>
      <c r="C714" s="9">
        <v>13515</v>
      </c>
      <c r="D714">
        <v>89</v>
      </c>
      <c r="E714" t="s">
        <v>17</v>
      </c>
      <c r="F714" t="s">
        <v>74</v>
      </c>
      <c r="G714" s="9">
        <v>45461</v>
      </c>
      <c r="H714" s="9">
        <v>45398</v>
      </c>
      <c r="I714">
        <v>35</v>
      </c>
      <c r="J714" t="s">
        <v>32</v>
      </c>
      <c r="K714">
        <v>2</v>
      </c>
      <c r="L714">
        <v>6</v>
      </c>
      <c r="M714" s="11">
        <v>0</v>
      </c>
      <c r="N714" s="12">
        <v>13844.4</v>
      </c>
      <c r="O714" s="12">
        <v>15221.89</v>
      </c>
    </row>
    <row r="715" spans="1:15">
      <c r="A715" t="s">
        <v>888</v>
      </c>
      <c r="B715" t="s">
        <v>223</v>
      </c>
      <c r="C715" s="9">
        <v>43466</v>
      </c>
      <c r="D715">
        <v>7</v>
      </c>
      <c r="E715" t="s">
        <v>21</v>
      </c>
      <c r="F715" t="s">
        <v>18</v>
      </c>
      <c r="G715" s="9">
        <v>45126</v>
      </c>
      <c r="H715" s="9">
        <v>45715</v>
      </c>
      <c r="I715">
        <v>20</v>
      </c>
      <c r="J715" t="s">
        <v>32</v>
      </c>
      <c r="K715">
        <v>8</v>
      </c>
      <c r="L715">
        <v>0</v>
      </c>
      <c r="M715" s="11">
        <v>18491.02</v>
      </c>
      <c r="N715" s="12">
        <v>9319.91</v>
      </c>
      <c r="O715" s="12">
        <v>11289.23</v>
      </c>
    </row>
    <row r="716" spans="1:15">
      <c r="A716" t="s">
        <v>889</v>
      </c>
      <c r="B716" t="s">
        <v>444</v>
      </c>
      <c r="C716" s="9">
        <v>25203</v>
      </c>
      <c r="D716">
        <v>57</v>
      </c>
      <c r="E716" t="s">
        <v>21</v>
      </c>
      <c r="F716" t="s">
        <v>18</v>
      </c>
      <c r="G716" s="9">
        <v>45201</v>
      </c>
      <c r="H716" s="9">
        <v>45326</v>
      </c>
      <c r="I716">
        <v>13</v>
      </c>
      <c r="J716" t="s">
        <v>32</v>
      </c>
      <c r="K716">
        <v>2</v>
      </c>
      <c r="L716">
        <v>3</v>
      </c>
      <c r="M716" s="11">
        <v>9287.61</v>
      </c>
      <c r="N716" s="12">
        <v>5791.61</v>
      </c>
      <c r="O716" s="12">
        <v>12315.79</v>
      </c>
    </row>
    <row r="717" spans="1:15">
      <c r="A717" t="s">
        <v>890</v>
      </c>
      <c r="B717" t="s">
        <v>286</v>
      </c>
      <c r="C717" s="9">
        <v>24473</v>
      </c>
      <c r="D717">
        <v>59</v>
      </c>
      <c r="E717" t="s">
        <v>17</v>
      </c>
      <c r="F717" t="s">
        <v>22</v>
      </c>
      <c r="G717" s="9">
        <v>45427</v>
      </c>
      <c r="H717" s="9">
        <v>45524</v>
      </c>
      <c r="I717">
        <v>3</v>
      </c>
      <c r="J717" t="s">
        <v>26</v>
      </c>
      <c r="K717">
        <v>12</v>
      </c>
      <c r="L717">
        <v>4</v>
      </c>
      <c r="M717" s="11">
        <v>0</v>
      </c>
      <c r="N717" s="12">
        <v>162.71</v>
      </c>
      <c r="O717" s="12">
        <v>13893.83</v>
      </c>
    </row>
    <row r="718" spans="1:15">
      <c r="A718" t="s">
        <v>891</v>
      </c>
      <c r="B718" t="s">
        <v>196</v>
      </c>
      <c r="C718" s="9">
        <v>28125</v>
      </c>
      <c r="D718">
        <v>49</v>
      </c>
      <c r="E718" t="s">
        <v>21</v>
      </c>
      <c r="F718" t="s">
        <v>5184</v>
      </c>
      <c r="G718" s="9">
        <v>45385</v>
      </c>
      <c r="H718" s="9">
        <v>45044</v>
      </c>
      <c r="I718">
        <v>23</v>
      </c>
      <c r="J718" t="s">
        <v>32</v>
      </c>
      <c r="K718">
        <v>2</v>
      </c>
      <c r="L718">
        <v>2</v>
      </c>
      <c r="M718" s="11">
        <v>14993.27</v>
      </c>
      <c r="N718" s="12">
        <v>14845.5</v>
      </c>
      <c r="O718" s="12">
        <v>8964.76</v>
      </c>
    </row>
    <row r="719" spans="1:15">
      <c r="A719" t="s">
        <v>892</v>
      </c>
      <c r="B719" t="s">
        <v>226</v>
      </c>
      <c r="C719" s="9">
        <v>36161</v>
      </c>
      <c r="D719">
        <v>27</v>
      </c>
      <c r="E719" t="s">
        <v>17</v>
      </c>
      <c r="F719" t="s">
        <v>49</v>
      </c>
      <c r="G719" s="9">
        <v>44976</v>
      </c>
      <c r="H719" s="9">
        <v>45289</v>
      </c>
      <c r="I719">
        <v>19</v>
      </c>
      <c r="J719" t="s">
        <v>26</v>
      </c>
      <c r="K719">
        <v>14</v>
      </c>
      <c r="L719">
        <v>3</v>
      </c>
      <c r="M719" s="11">
        <v>9656.8799999999992</v>
      </c>
      <c r="N719" s="12">
        <v>6837.67</v>
      </c>
      <c r="O719" s="12">
        <v>6796.98</v>
      </c>
    </row>
    <row r="720" spans="1:15">
      <c r="A720" t="s">
        <v>893</v>
      </c>
      <c r="B720" t="s">
        <v>226</v>
      </c>
      <c r="C720" s="9">
        <v>12785</v>
      </c>
      <c r="D720">
        <v>91</v>
      </c>
      <c r="E720" t="s">
        <v>5185</v>
      </c>
      <c r="F720" t="s">
        <v>5184</v>
      </c>
      <c r="G720" s="9">
        <v>45624</v>
      </c>
      <c r="H720" s="9">
        <v>45131</v>
      </c>
      <c r="I720">
        <v>21</v>
      </c>
      <c r="J720" t="s">
        <v>26</v>
      </c>
      <c r="K720">
        <v>12</v>
      </c>
      <c r="L720">
        <v>9</v>
      </c>
      <c r="M720" s="11">
        <v>6169.73</v>
      </c>
      <c r="N720" s="12">
        <v>14872.54</v>
      </c>
      <c r="O720" s="12">
        <v>15988.46</v>
      </c>
    </row>
    <row r="721" spans="1:15">
      <c r="A721" t="s">
        <v>894</v>
      </c>
      <c r="B721" t="s">
        <v>117</v>
      </c>
      <c r="C721" s="9">
        <v>31412</v>
      </c>
      <c r="D721">
        <v>40</v>
      </c>
      <c r="E721" t="s">
        <v>21</v>
      </c>
      <c r="F721" t="s">
        <v>5184</v>
      </c>
      <c r="G721" s="9">
        <v>45458</v>
      </c>
      <c r="H721" s="9">
        <v>45073</v>
      </c>
      <c r="I721">
        <v>37</v>
      </c>
      <c r="J721" t="s">
        <v>35</v>
      </c>
      <c r="K721">
        <v>14</v>
      </c>
      <c r="L721">
        <v>9</v>
      </c>
      <c r="M721" s="11">
        <v>1971.83</v>
      </c>
      <c r="N721" s="12">
        <v>10802.1</v>
      </c>
      <c r="O721" s="12">
        <v>16549.240000000002</v>
      </c>
    </row>
    <row r="722" spans="1:15">
      <c r="A722" t="s">
        <v>895</v>
      </c>
      <c r="B722" t="s">
        <v>671</v>
      </c>
      <c r="C722" s="9">
        <v>23012</v>
      </c>
      <c r="D722">
        <v>63</v>
      </c>
      <c r="E722" t="s">
        <v>21</v>
      </c>
      <c r="F722" t="s">
        <v>49</v>
      </c>
      <c r="G722" s="9">
        <v>45554</v>
      </c>
      <c r="H722" s="9">
        <v>45371</v>
      </c>
      <c r="I722">
        <v>18</v>
      </c>
      <c r="J722" t="s">
        <v>32</v>
      </c>
      <c r="K722">
        <v>10</v>
      </c>
      <c r="L722">
        <v>9</v>
      </c>
      <c r="M722" s="11">
        <v>23362.93</v>
      </c>
      <c r="N722" s="12">
        <v>768.58</v>
      </c>
      <c r="O722" s="12">
        <v>2995.04</v>
      </c>
    </row>
    <row r="723" spans="1:15">
      <c r="A723" t="s">
        <v>896</v>
      </c>
      <c r="B723" t="s">
        <v>619</v>
      </c>
      <c r="C723" s="9">
        <v>36526</v>
      </c>
      <c r="D723">
        <v>26</v>
      </c>
      <c r="E723" t="s">
        <v>21</v>
      </c>
      <c r="F723" t="s">
        <v>5184</v>
      </c>
      <c r="G723" s="9">
        <v>45018</v>
      </c>
      <c r="H723" s="9">
        <v>45654</v>
      </c>
      <c r="I723">
        <v>27</v>
      </c>
      <c r="J723" t="s">
        <v>26</v>
      </c>
      <c r="K723">
        <v>8</v>
      </c>
      <c r="L723">
        <v>6</v>
      </c>
      <c r="M723" s="11">
        <v>24479.63</v>
      </c>
      <c r="N723" s="12">
        <v>12885.38</v>
      </c>
      <c r="O723" s="12">
        <v>19062.73</v>
      </c>
    </row>
    <row r="724" spans="1:15">
      <c r="A724" t="s">
        <v>897</v>
      </c>
      <c r="B724" t="s">
        <v>412</v>
      </c>
      <c r="C724" s="9">
        <v>23377</v>
      </c>
      <c r="D724">
        <v>62</v>
      </c>
      <c r="E724" t="s">
        <v>17</v>
      </c>
      <c r="F724" t="s">
        <v>49</v>
      </c>
      <c r="G724" s="9">
        <v>45382</v>
      </c>
      <c r="H724" s="9">
        <v>45544</v>
      </c>
      <c r="I724">
        <v>8</v>
      </c>
      <c r="J724" t="s">
        <v>32</v>
      </c>
      <c r="K724">
        <v>7</v>
      </c>
      <c r="L724">
        <v>7</v>
      </c>
      <c r="M724" s="11">
        <v>16014.25</v>
      </c>
      <c r="N724" s="12">
        <v>7955.99</v>
      </c>
      <c r="O724" s="12">
        <v>18591.45</v>
      </c>
    </row>
    <row r="725" spans="1:15">
      <c r="A725" t="s">
        <v>898</v>
      </c>
      <c r="B725" t="s">
        <v>292</v>
      </c>
      <c r="C725" s="9">
        <v>40178</v>
      </c>
      <c r="D725">
        <v>16</v>
      </c>
      <c r="E725" t="s">
        <v>17</v>
      </c>
      <c r="F725" t="s">
        <v>49</v>
      </c>
      <c r="G725" s="9">
        <v>45265</v>
      </c>
      <c r="H725" s="9">
        <v>45788</v>
      </c>
      <c r="I725">
        <v>6</v>
      </c>
      <c r="J725" t="s">
        <v>32</v>
      </c>
      <c r="K725">
        <v>9</v>
      </c>
      <c r="L725">
        <v>8</v>
      </c>
      <c r="M725" s="11">
        <v>4291.3900000000003</v>
      </c>
      <c r="N725" s="12">
        <v>6790.93</v>
      </c>
      <c r="O725" s="12">
        <v>17404.64</v>
      </c>
    </row>
    <row r="726" spans="1:15">
      <c r="A726" t="s">
        <v>899</v>
      </c>
      <c r="B726" t="s">
        <v>59</v>
      </c>
      <c r="C726" s="9">
        <f>DATE(2026-D686,1,1)</f>
        <v>18994</v>
      </c>
      <c r="D726">
        <v>72</v>
      </c>
      <c r="E726" t="s">
        <v>17</v>
      </c>
      <c r="F726" t="s">
        <v>49</v>
      </c>
      <c r="G726" s="9">
        <v>44979</v>
      </c>
      <c r="H726" s="9">
        <v>45224</v>
      </c>
      <c r="I726">
        <v>9</v>
      </c>
      <c r="J726" t="s">
        <v>26</v>
      </c>
      <c r="K726">
        <v>0</v>
      </c>
      <c r="L726">
        <v>1</v>
      </c>
      <c r="M726" s="11">
        <v>7537.64</v>
      </c>
      <c r="N726" s="12">
        <v>11367.78</v>
      </c>
      <c r="O726" s="12">
        <v>8395.43</v>
      </c>
    </row>
    <row r="727" spans="1:15">
      <c r="A727" t="s">
        <v>900</v>
      </c>
      <c r="B727" t="s">
        <v>619</v>
      </c>
      <c r="C727" s="9">
        <v>34334</v>
      </c>
      <c r="D727">
        <v>32</v>
      </c>
      <c r="E727" t="s">
        <v>17</v>
      </c>
      <c r="F727" t="s">
        <v>5184</v>
      </c>
      <c r="G727" s="9">
        <v>45422</v>
      </c>
      <c r="H727" s="9">
        <v>45795</v>
      </c>
      <c r="I727">
        <v>23</v>
      </c>
      <c r="J727" t="s">
        <v>35</v>
      </c>
      <c r="K727">
        <v>14</v>
      </c>
      <c r="L727">
        <v>3</v>
      </c>
      <c r="M727" s="11">
        <v>28631.93</v>
      </c>
      <c r="N727" s="12">
        <v>11622.01</v>
      </c>
      <c r="O727" s="12">
        <v>16827.79</v>
      </c>
    </row>
    <row r="728" spans="1:15">
      <c r="A728" t="s">
        <v>901</v>
      </c>
      <c r="B728" t="s">
        <v>155</v>
      </c>
      <c r="C728" s="9">
        <v>15707</v>
      </c>
      <c r="D728">
        <v>83</v>
      </c>
      <c r="E728" t="s">
        <v>21</v>
      </c>
      <c r="F728" t="s">
        <v>5184</v>
      </c>
      <c r="G728" s="9">
        <v>45561</v>
      </c>
      <c r="H728" s="9">
        <v>45508</v>
      </c>
      <c r="I728">
        <v>35</v>
      </c>
      <c r="J728" t="s">
        <v>32</v>
      </c>
      <c r="K728">
        <v>5</v>
      </c>
      <c r="L728">
        <v>0</v>
      </c>
      <c r="M728" s="11">
        <v>6391.19</v>
      </c>
      <c r="N728" s="12">
        <v>11946.45</v>
      </c>
      <c r="O728" s="12">
        <v>12523.98</v>
      </c>
    </row>
    <row r="729" spans="1:15">
      <c r="A729" t="s">
        <v>902</v>
      </c>
      <c r="B729" t="s">
        <v>51</v>
      </c>
      <c r="C729" s="9">
        <v>18263</v>
      </c>
      <c r="D729">
        <v>76</v>
      </c>
      <c r="E729" t="s">
        <v>17</v>
      </c>
      <c r="F729" t="s">
        <v>74</v>
      </c>
      <c r="G729" s="9">
        <v>44930</v>
      </c>
      <c r="H729" s="9">
        <v>45414</v>
      </c>
      <c r="I729">
        <v>0</v>
      </c>
      <c r="J729" t="s">
        <v>35</v>
      </c>
      <c r="K729">
        <v>1</v>
      </c>
      <c r="L729">
        <v>2</v>
      </c>
      <c r="M729" s="11">
        <v>0</v>
      </c>
      <c r="N729" s="12">
        <v>11408.05</v>
      </c>
      <c r="O729" s="12">
        <v>4028.43</v>
      </c>
    </row>
    <row r="730" spans="1:15">
      <c r="A730" t="s">
        <v>903</v>
      </c>
      <c r="B730" t="s">
        <v>309</v>
      </c>
      <c r="C730" s="9">
        <v>12785</v>
      </c>
      <c r="D730">
        <f ca="1">DATEDIF(C681,TODAY(),"Y")</f>
        <v>60</v>
      </c>
      <c r="E730" t="s">
        <v>17</v>
      </c>
      <c r="F730" t="s">
        <v>5184</v>
      </c>
      <c r="G730" s="9">
        <v>45607</v>
      </c>
      <c r="H730" s="9">
        <v>45694</v>
      </c>
      <c r="I730">
        <v>30</v>
      </c>
      <c r="J730" t="s">
        <v>26</v>
      </c>
      <c r="K730">
        <v>10</v>
      </c>
      <c r="L730">
        <v>7</v>
      </c>
      <c r="M730" s="11">
        <v>0</v>
      </c>
      <c r="N730" s="12">
        <v>9619.0499999999993</v>
      </c>
      <c r="O730" s="12">
        <v>15475.15</v>
      </c>
    </row>
    <row r="731" spans="1:15">
      <c r="A731" t="s">
        <v>904</v>
      </c>
      <c r="B731" t="s">
        <v>524</v>
      </c>
      <c r="C731" s="9">
        <v>35795</v>
      </c>
      <c r="D731">
        <v>28</v>
      </c>
      <c r="E731" t="s">
        <v>17</v>
      </c>
      <c r="F731" t="s">
        <v>74</v>
      </c>
      <c r="G731" s="9">
        <v>45207</v>
      </c>
      <c r="H731" s="9">
        <v>45158</v>
      </c>
      <c r="I731">
        <v>12</v>
      </c>
      <c r="J731" t="s">
        <v>26</v>
      </c>
      <c r="K731">
        <v>2</v>
      </c>
      <c r="L731">
        <v>6</v>
      </c>
      <c r="M731" s="11">
        <v>7488.38</v>
      </c>
      <c r="N731" s="12">
        <v>10134.33</v>
      </c>
      <c r="O731" s="12">
        <v>8062.51</v>
      </c>
    </row>
    <row r="732" spans="1:15">
      <c r="A732" t="s">
        <v>905</v>
      </c>
      <c r="B732" t="s">
        <v>41</v>
      </c>
      <c r="C732" s="9">
        <v>41639</v>
      </c>
      <c r="D732">
        <v>12</v>
      </c>
      <c r="E732" t="s">
        <v>17</v>
      </c>
      <c r="F732" t="s">
        <v>22</v>
      </c>
      <c r="G732" s="9">
        <v>45216</v>
      </c>
      <c r="H732" s="9">
        <v>45130</v>
      </c>
      <c r="I732">
        <v>2</v>
      </c>
      <c r="J732" t="s">
        <v>35</v>
      </c>
      <c r="K732">
        <v>1</v>
      </c>
      <c r="L732">
        <v>7</v>
      </c>
      <c r="M732" s="11">
        <v>28701.759999999998</v>
      </c>
      <c r="N732" s="12">
        <v>12878.74</v>
      </c>
      <c r="O732" s="12">
        <v>5772.51</v>
      </c>
    </row>
    <row r="733" spans="1:15">
      <c r="A733" t="s">
        <v>906</v>
      </c>
      <c r="B733" t="s">
        <v>155</v>
      </c>
      <c r="C733" s="9">
        <f>DATE(2026-D693,1,1)</f>
        <v>28491</v>
      </c>
      <c r="D733">
        <v>45</v>
      </c>
      <c r="E733" t="s">
        <v>17</v>
      </c>
      <c r="F733" t="s">
        <v>25</v>
      </c>
      <c r="G733" s="9">
        <v>44999</v>
      </c>
      <c r="H733" s="9">
        <v>45289</v>
      </c>
      <c r="I733">
        <v>21</v>
      </c>
      <c r="J733" t="s">
        <v>32</v>
      </c>
      <c r="K733">
        <v>10</v>
      </c>
      <c r="L733">
        <v>5</v>
      </c>
      <c r="M733" s="11">
        <v>17030.419999999998</v>
      </c>
      <c r="N733" s="12">
        <v>10358.11</v>
      </c>
      <c r="O733" s="12">
        <v>17553.669999999998</v>
      </c>
    </row>
    <row r="734" spans="1:15">
      <c r="A734" t="s">
        <v>907</v>
      </c>
      <c r="B734" t="s">
        <v>397</v>
      </c>
      <c r="C734" s="9">
        <v>33604</v>
      </c>
      <c r="D734">
        <v>34</v>
      </c>
      <c r="E734" t="s">
        <v>21</v>
      </c>
      <c r="F734" t="s">
        <v>25</v>
      </c>
      <c r="G734" s="9">
        <v>45063</v>
      </c>
      <c r="H734" s="9">
        <v>45322</v>
      </c>
      <c r="I734">
        <v>8</v>
      </c>
      <c r="J734" t="s">
        <v>26</v>
      </c>
      <c r="K734">
        <v>13</v>
      </c>
      <c r="L734">
        <v>4</v>
      </c>
      <c r="M734" s="11">
        <v>28957.35</v>
      </c>
      <c r="N734" s="12">
        <v>1520.36</v>
      </c>
      <c r="O734" s="12">
        <v>17231.77</v>
      </c>
    </row>
    <row r="735" spans="1:15">
      <c r="A735" t="s">
        <v>908</v>
      </c>
      <c r="B735" t="s">
        <v>654</v>
      </c>
      <c r="C735" s="9">
        <v>44196</v>
      </c>
      <c r="D735">
        <v>5</v>
      </c>
      <c r="E735" t="s">
        <v>21</v>
      </c>
      <c r="F735" t="s">
        <v>22</v>
      </c>
      <c r="G735" s="9">
        <v>45579</v>
      </c>
      <c r="H735" s="9">
        <v>45175</v>
      </c>
      <c r="I735">
        <v>30</v>
      </c>
      <c r="J735" t="s">
        <v>32</v>
      </c>
      <c r="K735">
        <v>14</v>
      </c>
      <c r="L735">
        <v>9</v>
      </c>
      <c r="M735" s="11">
        <v>23460.09</v>
      </c>
      <c r="N735" s="12">
        <v>9682.51</v>
      </c>
      <c r="O735" s="12">
        <v>17273.900000000001</v>
      </c>
    </row>
    <row r="736" spans="1:15">
      <c r="A736" t="s">
        <v>909</v>
      </c>
      <c r="B736" t="s">
        <v>246</v>
      </c>
      <c r="C736" s="9">
        <v>16437</v>
      </c>
      <c r="D736">
        <v>81</v>
      </c>
      <c r="E736" t="s">
        <v>17</v>
      </c>
      <c r="F736" t="s">
        <v>22</v>
      </c>
      <c r="G736" s="9">
        <v>45319</v>
      </c>
      <c r="H736" s="9">
        <v>45367</v>
      </c>
      <c r="I736">
        <v>20</v>
      </c>
      <c r="J736" t="s">
        <v>35</v>
      </c>
      <c r="K736">
        <v>1</v>
      </c>
      <c r="L736">
        <v>8</v>
      </c>
      <c r="M736" s="11">
        <v>21554.09</v>
      </c>
      <c r="N736" s="12">
        <v>2549.91</v>
      </c>
      <c r="O736" s="12">
        <v>17176.419999999998</v>
      </c>
    </row>
    <row r="737" spans="1:15">
      <c r="A737" t="s">
        <v>910</v>
      </c>
      <c r="B737" t="s">
        <v>187</v>
      </c>
      <c r="C737" s="9">
        <v>21185</v>
      </c>
      <c r="D737">
        <v>68</v>
      </c>
      <c r="E737" t="s">
        <v>21</v>
      </c>
      <c r="F737" t="s">
        <v>29</v>
      </c>
      <c r="G737" s="9">
        <v>45134</v>
      </c>
      <c r="H737" s="9">
        <v>45323</v>
      </c>
      <c r="I737">
        <v>7</v>
      </c>
      <c r="J737" t="s">
        <v>26</v>
      </c>
      <c r="K737">
        <v>0</v>
      </c>
      <c r="L737">
        <v>4</v>
      </c>
      <c r="M737" s="11">
        <v>24826.12</v>
      </c>
      <c r="N737" s="12">
        <v>213.79</v>
      </c>
      <c r="O737" s="12">
        <v>11040</v>
      </c>
    </row>
    <row r="738" spans="1:15">
      <c r="A738" t="s">
        <v>911</v>
      </c>
      <c r="B738" t="s">
        <v>119</v>
      </c>
      <c r="C738" s="9">
        <v>29221</v>
      </c>
      <c r="D738">
        <v>46</v>
      </c>
      <c r="E738" t="s">
        <v>17</v>
      </c>
      <c r="F738" t="s">
        <v>74</v>
      </c>
      <c r="G738" s="9">
        <v>45186</v>
      </c>
      <c r="H738" s="9">
        <v>45688</v>
      </c>
      <c r="I738">
        <v>25</v>
      </c>
      <c r="J738" t="s">
        <v>32</v>
      </c>
      <c r="K738">
        <v>8</v>
      </c>
      <c r="L738">
        <v>8</v>
      </c>
      <c r="M738" s="11">
        <v>17949.009999999998</v>
      </c>
      <c r="N738" s="12">
        <v>3212.5</v>
      </c>
      <c r="O738" s="12">
        <v>12300.1</v>
      </c>
    </row>
    <row r="739" spans="1:15">
      <c r="A739" t="s">
        <v>912</v>
      </c>
      <c r="B739" t="s">
        <v>129</v>
      </c>
      <c r="C739" s="9">
        <v>37256</v>
      </c>
      <c r="D739">
        <v>24</v>
      </c>
      <c r="E739" t="s">
        <v>21</v>
      </c>
      <c r="F739" t="s">
        <v>49</v>
      </c>
      <c r="G739" s="9">
        <v>45189</v>
      </c>
      <c r="H739" s="9">
        <v>45583</v>
      </c>
      <c r="I739">
        <v>36</v>
      </c>
      <c r="J739" t="s">
        <v>26</v>
      </c>
      <c r="K739">
        <v>5</v>
      </c>
      <c r="L739">
        <v>3</v>
      </c>
      <c r="M739" s="11">
        <v>160.80000000000001</v>
      </c>
      <c r="N739" s="12">
        <v>2316.0700000000002</v>
      </c>
      <c r="O739" s="12">
        <v>18972.2</v>
      </c>
    </row>
    <row r="740" spans="1:15">
      <c r="A740" t="s">
        <v>913</v>
      </c>
      <c r="B740" t="s">
        <v>57</v>
      </c>
      <c r="C740" s="9">
        <v>22281</v>
      </c>
      <c r="D740">
        <v>65</v>
      </c>
      <c r="E740" t="s">
        <v>17</v>
      </c>
      <c r="F740" t="s">
        <v>29</v>
      </c>
      <c r="G740" s="9">
        <v>45431</v>
      </c>
      <c r="H740" s="9">
        <v>45722</v>
      </c>
      <c r="I740">
        <v>14</v>
      </c>
      <c r="J740" t="s">
        <v>32</v>
      </c>
      <c r="K740">
        <v>4</v>
      </c>
      <c r="L740">
        <v>4</v>
      </c>
      <c r="M740" s="11">
        <v>11470.18</v>
      </c>
      <c r="N740" s="12">
        <v>1531.44</v>
      </c>
      <c r="O740" s="12">
        <v>2499.7600000000002</v>
      </c>
    </row>
    <row r="741" spans="1:15">
      <c r="A741" t="s">
        <v>914</v>
      </c>
      <c r="B741" t="s">
        <v>159</v>
      </c>
      <c r="C741" s="9">
        <v>42735</v>
      </c>
      <c r="D741">
        <v>9</v>
      </c>
      <c r="E741" t="s">
        <v>17</v>
      </c>
      <c r="F741" t="s">
        <v>18</v>
      </c>
      <c r="G741" s="9">
        <v>45476</v>
      </c>
      <c r="H741" s="9">
        <v>45283</v>
      </c>
      <c r="I741">
        <v>23</v>
      </c>
      <c r="J741" t="s">
        <v>32</v>
      </c>
      <c r="K741">
        <v>1</v>
      </c>
      <c r="L741">
        <v>0</v>
      </c>
      <c r="M741" s="11">
        <v>6180.05</v>
      </c>
      <c r="N741" s="12">
        <v>3224.8</v>
      </c>
      <c r="O741" s="12">
        <v>16105.85</v>
      </c>
    </row>
    <row r="742" spans="1:15">
      <c r="A742" t="s">
        <v>915</v>
      </c>
      <c r="B742" t="s">
        <v>163</v>
      </c>
      <c r="C742" s="9">
        <f>DATE(2026-D702,1,1)</f>
        <v>25569</v>
      </c>
      <c r="D742">
        <v>55</v>
      </c>
      <c r="E742" t="s">
        <v>21</v>
      </c>
      <c r="F742" t="s">
        <v>74</v>
      </c>
      <c r="G742" s="9">
        <v>45129</v>
      </c>
      <c r="H742" s="9">
        <v>45328</v>
      </c>
      <c r="I742">
        <v>22</v>
      </c>
      <c r="J742" t="s">
        <v>26</v>
      </c>
      <c r="K742">
        <v>13</v>
      </c>
      <c r="L742">
        <v>5</v>
      </c>
      <c r="M742" s="11">
        <v>12746.54</v>
      </c>
      <c r="N742" s="12">
        <v>8453.5400000000009</v>
      </c>
      <c r="O742" s="12">
        <v>10477.98</v>
      </c>
    </row>
    <row r="743" spans="1:15">
      <c r="A743" t="s">
        <v>916</v>
      </c>
      <c r="B743" t="s">
        <v>57</v>
      </c>
      <c r="C743" s="9">
        <v>35430</v>
      </c>
      <c r="D743">
        <v>29</v>
      </c>
      <c r="E743" t="s">
        <v>17</v>
      </c>
      <c r="F743" t="s">
        <v>5184</v>
      </c>
      <c r="G743" s="9">
        <v>45273</v>
      </c>
      <c r="H743" s="9">
        <v>45168</v>
      </c>
      <c r="I743">
        <v>33</v>
      </c>
      <c r="J743" t="s">
        <v>32</v>
      </c>
      <c r="K743">
        <v>9</v>
      </c>
      <c r="L743">
        <v>2</v>
      </c>
      <c r="M743" s="11">
        <v>13851.76</v>
      </c>
      <c r="N743" s="12">
        <v>2272.0500000000002</v>
      </c>
      <c r="O743" s="12">
        <v>19565.990000000002</v>
      </c>
    </row>
    <row r="744" spans="1:15">
      <c r="A744" t="s">
        <v>917</v>
      </c>
      <c r="B744" t="s">
        <v>115</v>
      </c>
      <c r="C744" s="9">
        <v>44561</v>
      </c>
      <c r="D744">
        <v>4</v>
      </c>
      <c r="E744" t="s">
        <v>17</v>
      </c>
      <c r="F744" t="s">
        <v>22</v>
      </c>
      <c r="G744" s="9">
        <v>44978</v>
      </c>
      <c r="H744" s="9">
        <v>45268</v>
      </c>
      <c r="I744">
        <v>9</v>
      </c>
      <c r="J744" t="s">
        <v>32</v>
      </c>
      <c r="K744">
        <v>10</v>
      </c>
      <c r="L744">
        <v>9</v>
      </c>
      <c r="M744" s="11">
        <v>3398.85</v>
      </c>
      <c r="N744" s="12">
        <v>4191.57</v>
      </c>
      <c r="O744" s="12">
        <v>12748.4</v>
      </c>
    </row>
    <row r="745" spans="1:15">
      <c r="A745" t="s">
        <v>918</v>
      </c>
      <c r="B745" t="s">
        <v>326</v>
      </c>
      <c r="C745" s="9">
        <v>34334</v>
      </c>
      <c r="D745">
        <v>32</v>
      </c>
      <c r="E745" t="s">
        <v>17</v>
      </c>
      <c r="F745" t="s">
        <v>25</v>
      </c>
      <c r="G745" s="9">
        <v>45519</v>
      </c>
      <c r="H745" s="9">
        <v>45814</v>
      </c>
      <c r="I745">
        <v>0</v>
      </c>
      <c r="J745" t="s">
        <v>35</v>
      </c>
      <c r="K745">
        <v>11</v>
      </c>
      <c r="L745">
        <v>1</v>
      </c>
      <c r="M745" s="11">
        <v>214.66</v>
      </c>
      <c r="N745" s="12">
        <v>12743.88</v>
      </c>
      <c r="O745" s="12">
        <v>3167.14</v>
      </c>
    </row>
    <row r="746" spans="1:15">
      <c r="A746" t="s">
        <v>919</v>
      </c>
      <c r="B746" t="s">
        <v>112</v>
      </c>
      <c r="C746" s="9">
        <v>22646</v>
      </c>
      <c r="D746">
        <v>64</v>
      </c>
      <c r="E746" t="s">
        <v>21</v>
      </c>
      <c r="F746" t="s">
        <v>74</v>
      </c>
      <c r="G746" s="9">
        <v>45282</v>
      </c>
      <c r="H746" s="9">
        <v>45156</v>
      </c>
      <c r="I746">
        <v>26</v>
      </c>
      <c r="J746" t="s">
        <v>32</v>
      </c>
      <c r="K746">
        <v>6</v>
      </c>
      <c r="L746">
        <v>5</v>
      </c>
      <c r="M746" s="11">
        <v>3715.11</v>
      </c>
      <c r="N746" s="12">
        <v>13320.77</v>
      </c>
      <c r="O746" s="12">
        <v>16291.37</v>
      </c>
    </row>
    <row r="747" spans="1:15">
      <c r="A747" t="s">
        <v>920</v>
      </c>
      <c r="B747" t="s">
        <v>469</v>
      </c>
      <c r="C747" s="9">
        <v>39813</v>
      </c>
      <c r="D747">
        <v>17</v>
      </c>
      <c r="E747" t="s">
        <v>21</v>
      </c>
      <c r="F747" t="s">
        <v>22</v>
      </c>
      <c r="G747" s="9">
        <v>45649</v>
      </c>
      <c r="H747" s="9">
        <v>45470</v>
      </c>
      <c r="I747">
        <v>21</v>
      </c>
      <c r="J747" t="s">
        <v>32</v>
      </c>
      <c r="K747">
        <v>7</v>
      </c>
      <c r="L747">
        <v>0</v>
      </c>
      <c r="M747" s="11">
        <v>25651.53</v>
      </c>
      <c r="N747" s="12">
        <v>4996.2700000000004</v>
      </c>
      <c r="O747" s="12">
        <v>13420.7</v>
      </c>
    </row>
    <row r="748" spans="1:15">
      <c r="A748" t="s">
        <v>921</v>
      </c>
      <c r="B748" t="s">
        <v>343</v>
      </c>
      <c r="C748" s="9">
        <v>28490</v>
      </c>
      <c r="D748">
        <f ca="1">DATEDIF(C699,TODAY(),"Y")</f>
        <v>2</v>
      </c>
      <c r="E748" t="s">
        <v>21</v>
      </c>
      <c r="F748" t="s">
        <v>74</v>
      </c>
      <c r="G748" s="9">
        <v>45445</v>
      </c>
      <c r="H748" s="9">
        <v>45548</v>
      </c>
      <c r="I748">
        <v>16</v>
      </c>
      <c r="J748" t="s">
        <v>32</v>
      </c>
      <c r="K748">
        <v>1</v>
      </c>
      <c r="L748">
        <v>8</v>
      </c>
      <c r="M748" s="11">
        <v>22553.55</v>
      </c>
      <c r="N748" s="12">
        <v>13484.27</v>
      </c>
      <c r="O748" s="12">
        <v>2893.45</v>
      </c>
    </row>
    <row r="749" spans="1:15">
      <c r="A749" t="s">
        <v>922</v>
      </c>
      <c r="B749" t="s">
        <v>16</v>
      </c>
      <c r="C749" s="9">
        <v>42370</v>
      </c>
      <c r="D749">
        <v>10</v>
      </c>
      <c r="E749" t="s">
        <v>21</v>
      </c>
      <c r="F749" t="s">
        <v>5184</v>
      </c>
      <c r="G749" s="9">
        <v>45289</v>
      </c>
      <c r="H749" s="9">
        <v>45466</v>
      </c>
      <c r="I749">
        <v>10</v>
      </c>
      <c r="J749" t="s">
        <v>32</v>
      </c>
      <c r="K749">
        <v>3</v>
      </c>
      <c r="L749">
        <v>4</v>
      </c>
      <c r="M749" s="11">
        <v>23866.23</v>
      </c>
      <c r="N749" s="12">
        <v>8785.92</v>
      </c>
      <c r="O749" s="12">
        <v>80.739999999999995</v>
      </c>
    </row>
    <row r="750" spans="1:15">
      <c r="A750" t="s">
        <v>923</v>
      </c>
      <c r="B750" t="s">
        <v>105</v>
      </c>
      <c r="C750" s="9">
        <f ca="1">DATE(2026-D710,1,1)</f>
        <v>12785</v>
      </c>
      <c r="D750">
        <v>84</v>
      </c>
      <c r="E750" t="s">
        <v>17</v>
      </c>
      <c r="F750" t="s">
        <v>74</v>
      </c>
      <c r="G750" s="9">
        <v>44971</v>
      </c>
      <c r="H750" s="9">
        <v>45782</v>
      </c>
      <c r="I750">
        <v>13</v>
      </c>
      <c r="J750" t="s">
        <v>26</v>
      </c>
      <c r="K750">
        <v>5</v>
      </c>
      <c r="L750">
        <v>6</v>
      </c>
      <c r="M750" s="11">
        <v>7927.35</v>
      </c>
      <c r="N750" s="12">
        <v>3395.53</v>
      </c>
      <c r="O750" s="12">
        <v>10827.31</v>
      </c>
    </row>
    <row r="751" spans="1:15">
      <c r="A751" t="s">
        <v>924</v>
      </c>
      <c r="B751" t="s">
        <v>127</v>
      </c>
      <c r="C751" s="9">
        <v>36891</v>
      </c>
      <c r="D751">
        <v>25</v>
      </c>
      <c r="E751" t="s">
        <v>5185</v>
      </c>
      <c r="F751" t="s">
        <v>5184</v>
      </c>
      <c r="G751" s="9">
        <v>45304</v>
      </c>
      <c r="H751" s="9">
        <v>45599</v>
      </c>
      <c r="I751">
        <v>37</v>
      </c>
      <c r="J751" t="s">
        <v>32</v>
      </c>
      <c r="K751">
        <v>0</v>
      </c>
      <c r="L751">
        <v>9</v>
      </c>
      <c r="M751" s="11">
        <v>6701.03</v>
      </c>
      <c r="N751" s="12">
        <v>11314.4</v>
      </c>
      <c r="O751" s="12">
        <v>4753.93</v>
      </c>
    </row>
    <row r="752" spans="1:15">
      <c r="A752" t="s">
        <v>925</v>
      </c>
      <c r="B752" t="s">
        <v>55</v>
      </c>
      <c r="C752" s="9">
        <v>23377</v>
      </c>
      <c r="D752">
        <v>62</v>
      </c>
      <c r="E752" t="s">
        <v>17</v>
      </c>
      <c r="F752" t="s">
        <v>74</v>
      </c>
      <c r="G752" s="9">
        <v>45338</v>
      </c>
      <c r="H752" s="9">
        <v>45456</v>
      </c>
      <c r="I752">
        <v>24</v>
      </c>
      <c r="J752" t="s">
        <v>32</v>
      </c>
      <c r="K752">
        <v>4</v>
      </c>
      <c r="L752">
        <v>8</v>
      </c>
      <c r="M752" s="11">
        <v>639.86</v>
      </c>
      <c r="N752" s="12">
        <v>13831.41</v>
      </c>
      <c r="O752" s="12">
        <v>17331.55</v>
      </c>
    </row>
    <row r="753" spans="1:15">
      <c r="A753" t="s">
        <v>926</v>
      </c>
      <c r="B753" t="s">
        <v>127</v>
      </c>
      <c r="C753" s="9">
        <v>13880</v>
      </c>
      <c r="D753">
        <v>88</v>
      </c>
      <c r="E753" t="s">
        <v>17</v>
      </c>
      <c r="F753" t="s">
        <v>18</v>
      </c>
      <c r="G753" s="9">
        <v>45068</v>
      </c>
      <c r="H753" s="9">
        <v>45194</v>
      </c>
      <c r="I753">
        <v>3</v>
      </c>
      <c r="J753" t="s">
        <v>26</v>
      </c>
      <c r="K753">
        <v>6</v>
      </c>
      <c r="L753">
        <v>8</v>
      </c>
      <c r="M753" s="11">
        <v>13904.19</v>
      </c>
      <c r="N753" s="12">
        <v>9888.5400000000009</v>
      </c>
      <c r="O753" s="12">
        <v>4943.6899999999996</v>
      </c>
    </row>
    <row r="754" spans="1:15">
      <c r="A754" t="s">
        <v>927</v>
      </c>
      <c r="B754" t="s">
        <v>292</v>
      </c>
      <c r="C754" s="9">
        <v>14976</v>
      </c>
      <c r="D754">
        <v>85</v>
      </c>
      <c r="E754" t="s">
        <v>17</v>
      </c>
      <c r="F754" t="s">
        <v>25</v>
      </c>
      <c r="G754" s="9">
        <v>45184</v>
      </c>
      <c r="H754" s="9">
        <v>45056</v>
      </c>
      <c r="I754">
        <v>39</v>
      </c>
      <c r="J754" t="s">
        <v>26</v>
      </c>
      <c r="K754">
        <v>6</v>
      </c>
      <c r="L754">
        <v>6</v>
      </c>
      <c r="M754" s="11">
        <v>11163.47</v>
      </c>
      <c r="N754" s="12">
        <v>3019.96</v>
      </c>
      <c r="O754" s="12">
        <v>13223.41</v>
      </c>
    </row>
    <row r="755" spans="1:15">
      <c r="A755" t="s">
        <v>928</v>
      </c>
      <c r="B755" t="s">
        <v>284</v>
      </c>
      <c r="C755" s="9">
        <v>24838</v>
      </c>
      <c r="D755">
        <v>58</v>
      </c>
      <c r="E755" t="s">
        <v>21</v>
      </c>
      <c r="F755" t="s">
        <v>74</v>
      </c>
      <c r="G755" s="9">
        <v>44963</v>
      </c>
      <c r="H755" s="9">
        <v>45147</v>
      </c>
      <c r="I755">
        <v>7</v>
      </c>
      <c r="J755" t="s">
        <v>32</v>
      </c>
      <c r="K755">
        <v>8</v>
      </c>
      <c r="L755">
        <v>3</v>
      </c>
      <c r="M755" s="11">
        <v>24994.53</v>
      </c>
      <c r="N755" s="12">
        <v>1288.2</v>
      </c>
      <c r="O755" s="12">
        <v>6837.12</v>
      </c>
    </row>
    <row r="756" spans="1:15">
      <c r="A756" t="s">
        <v>929</v>
      </c>
      <c r="B756" t="s">
        <v>20</v>
      </c>
      <c r="C756" s="9">
        <v>36526</v>
      </c>
      <c r="D756">
        <v>26</v>
      </c>
      <c r="E756" t="s">
        <v>17</v>
      </c>
      <c r="F756" t="s">
        <v>22</v>
      </c>
      <c r="G756" s="9">
        <v>44971</v>
      </c>
      <c r="H756" s="9">
        <v>45009</v>
      </c>
      <c r="I756">
        <v>35</v>
      </c>
      <c r="J756" t="s">
        <v>35</v>
      </c>
      <c r="K756">
        <v>8</v>
      </c>
      <c r="L756">
        <v>3</v>
      </c>
      <c r="M756" s="11">
        <v>20296.96</v>
      </c>
      <c r="N756" s="12">
        <v>3441.18</v>
      </c>
      <c r="O756" s="12">
        <v>6941.39</v>
      </c>
    </row>
    <row r="757" spans="1:15">
      <c r="A757" t="s">
        <v>930</v>
      </c>
      <c r="B757" t="s">
        <v>198</v>
      </c>
      <c r="C757" s="9">
        <f>DATE(2026-D717,1,1)</f>
        <v>24473</v>
      </c>
      <c r="D757">
        <v>48</v>
      </c>
      <c r="E757" t="s">
        <v>21</v>
      </c>
      <c r="F757" t="s">
        <v>18</v>
      </c>
      <c r="G757" s="9">
        <v>45558</v>
      </c>
      <c r="H757" s="9">
        <v>45488</v>
      </c>
      <c r="I757">
        <v>5</v>
      </c>
      <c r="J757" t="s">
        <v>35</v>
      </c>
      <c r="K757">
        <v>11</v>
      </c>
      <c r="L757">
        <v>6</v>
      </c>
      <c r="M757" s="11">
        <v>3900.72</v>
      </c>
      <c r="N757" s="12">
        <v>5077.63</v>
      </c>
      <c r="O757" s="12">
        <v>3554.48</v>
      </c>
    </row>
    <row r="758" spans="1:15">
      <c r="A758" t="s">
        <v>931</v>
      </c>
      <c r="B758" t="s">
        <v>343</v>
      </c>
      <c r="C758" s="9">
        <v>18263</v>
      </c>
      <c r="D758">
        <v>76</v>
      </c>
      <c r="E758" t="s">
        <v>17</v>
      </c>
      <c r="F758" t="s">
        <v>29</v>
      </c>
      <c r="G758" s="9">
        <v>44972</v>
      </c>
      <c r="H758" s="9">
        <v>45480</v>
      </c>
      <c r="I758">
        <v>15</v>
      </c>
      <c r="J758" t="s">
        <v>32</v>
      </c>
      <c r="K758">
        <v>6</v>
      </c>
      <c r="L758">
        <v>7</v>
      </c>
      <c r="M758" s="11">
        <v>29608.23</v>
      </c>
      <c r="N758" s="12">
        <v>5006.03</v>
      </c>
      <c r="O758" s="12">
        <v>10004.709999999999</v>
      </c>
    </row>
    <row r="759" spans="1:15">
      <c r="A759" t="s">
        <v>932</v>
      </c>
      <c r="B759" t="s">
        <v>254</v>
      </c>
      <c r="C759" s="9">
        <v>34334</v>
      </c>
      <c r="D759">
        <v>32</v>
      </c>
      <c r="E759" t="s">
        <v>21</v>
      </c>
      <c r="F759" t="s">
        <v>74</v>
      </c>
      <c r="G759" s="9">
        <v>45578</v>
      </c>
      <c r="H759" s="9">
        <v>44947</v>
      </c>
      <c r="I759">
        <v>29</v>
      </c>
      <c r="J759" t="s">
        <v>32</v>
      </c>
      <c r="K759">
        <v>10</v>
      </c>
      <c r="L759">
        <v>6</v>
      </c>
      <c r="M759" s="11">
        <v>0</v>
      </c>
      <c r="N759" s="12">
        <v>7478.19</v>
      </c>
      <c r="O759" s="12">
        <v>11543.36</v>
      </c>
    </row>
    <row r="760" spans="1:15">
      <c r="A760" t="s">
        <v>933</v>
      </c>
      <c r="B760" t="s">
        <v>163</v>
      </c>
      <c r="C760" s="9">
        <v>46022</v>
      </c>
      <c r="D760">
        <v>0</v>
      </c>
      <c r="E760" t="s">
        <v>21</v>
      </c>
      <c r="F760" t="s">
        <v>5184</v>
      </c>
      <c r="G760" s="9">
        <v>45491</v>
      </c>
      <c r="H760" s="9">
        <v>45254</v>
      </c>
      <c r="I760">
        <v>14</v>
      </c>
      <c r="J760" t="s">
        <v>26</v>
      </c>
      <c r="K760">
        <v>14</v>
      </c>
      <c r="L760">
        <v>9</v>
      </c>
      <c r="M760" s="11">
        <v>21467.24</v>
      </c>
      <c r="N760" s="12">
        <v>7577.54</v>
      </c>
      <c r="O760" s="12">
        <v>11578.37</v>
      </c>
    </row>
    <row r="761" spans="1:15">
      <c r="A761" t="s">
        <v>934</v>
      </c>
      <c r="B761" t="s">
        <v>78</v>
      </c>
      <c r="C761" s="9">
        <v>38717</v>
      </c>
      <c r="D761">
        <v>20</v>
      </c>
      <c r="E761" t="s">
        <v>17</v>
      </c>
      <c r="F761" t="s">
        <v>18</v>
      </c>
      <c r="G761" s="9">
        <v>45227</v>
      </c>
      <c r="H761" s="9">
        <v>44964</v>
      </c>
      <c r="I761">
        <v>39</v>
      </c>
      <c r="J761" t="s">
        <v>32</v>
      </c>
      <c r="K761">
        <v>10</v>
      </c>
      <c r="L761">
        <v>3</v>
      </c>
      <c r="M761" s="11">
        <v>6106.78</v>
      </c>
      <c r="N761" s="12">
        <v>7071.49</v>
      </c>
      <c r="O761" s="12">
        <v>17117.86</v>
      </c>
    </row>
    <row r="762" spans="1:15">
      <c r="A762" t="s">
        <v>935</v>
      </c>
      <c r="B762" t="s">
        <v>103</v>
      </c>
      <c r="C762" s="9">
        <v>26299</v>
      </c>
      <c r="D762">
        <v>54</v>
      </c>
      <c r="E762" t="s">
        <v>17</v>
      </c>
      <c r="F762" t="s">
        <v>49</v>
      </c>
      <c r="G762" s="9">
        <v>45214</v>
      </c>
      <c r="H762" s="9">
        <v>45309</v>
      </c>
      <c r="I762">
        <v>1</v>
      </c>
      <c r="J762" t="s">
        <v>32</v>
      </c>
      <c r="K762">
        <v>4</v>
      </c>
      <c r="L762">
        <v>3</v>
      </c>
      <c r="M762" s="11">
        <v>27107.279999999999</v>
      </c>
      <c r="N762" s="12">
        <v>5157.3599999999997</v>
      </c>
      <c r="O762" s="12">
        <v>13012.18</v>
      </c>
    </row>
    <row r="763" spans="1:15">
      <c r="A763" t="s">
        <v>936</v>
      </c>
      <c r="B763" t="s">
        <v>350</v>
      </c>
      <c r="C763" s="9">
        <v>44196</v>
      </c>
      <c r="D763">
        <v>5</v>
      </c>
      <c r="E763" t="s">
        <v>17</v>
      </c>
      <c r="F763" t="s">
        <v>29</v>
      </c>
      <c r="G763" s="9">
        <v>45195</v>
      </c>
      <c r="H763" s="9">
        <v>44966</v>
      </c>
      <c r="I763">
        <v>17</v>
      </c>
      <c r="J763" t="s">
        <v>26</v>
      </c>
      <c r="K763">
        <v>4</v>
      </c>
      <c r="L763">
        <v>7</v>
      </c>
      <c r="M763" s="11">
        <v>13954.58</v>
      </c>
      <c r="N763" s="12">
        <v>1602.46</v>
      </c>
      <c r="O763" s="12">
        <v>14778.78</v>
      </c>
    </row>
    <row r="764" spans="1:15">
      <c r="A764" t="s">
        <v>937</v>
      </c>
      <c r="B764" t="s">
        <v>119</v>
      </c>
      <c r="C764" s="9">
        <v>12785</v>
      </c>
      <c r="D764">
        <v>91</v>
      </c>
      <c r="E764" t="s">
        <v>17</v>
      </c>
      <c r="F764" t="s">
        <v>25</v>
      </c>
      <c r="G764" s="9">
        <v>44988</v>
      </c>
      <c r="H764" s="9">
        <v>45036</v>
      </c>
      <c r="I764">
        <v>7</v>
      </c>
      <c r="J764" t="s">
        <v>32</v>
      </c>
      <c r="K764">
        <v>9</v>
      </c>
      <c r="L764">
        <v>8</v>
      </c>
      <c r="M764" s="11">
        <v>8578.51</v>
      </c>
      <c r="N764" s="12">
        <v>6274.77</v>
      </c>
      <c r="O764" s="12">
        <v>6401.31</v>
      </c>
    </row>
    <row r="765" spans="1:15">
      <c r="A765" t="s">
        <v>938</v>
      </c>
      <c r="B765" t="s">
        <v>229</v>
      </c>
      <c r="C765" s="9">
        <v>16802</v>
      </c>
      <c r="D765">
        <v>80</v>
      </c>
      <c r="E765" t="s">
        <v>21</v>
      </c>
      <c r="F765" t="s">
        <v>74</v>
      </c>
      <c r="G765" s="9">
        <v>45492</v>
      </c>
      <c r="H765" s="9">
        <v>45356</v>
      </c>
      <c r="I765">
        <v>6</v>
      </c>
      <c r="J765" t="s">
        <v>32</v>
      </c>
      <c r="K765">
        <v>1</v>
      </c>
      <c r="L765">
        <v>6</v>
      </c>
      <c r="M765" s="11">
        <v>19472.419999999998</v>
      </c>
      <c r="N765" s="12">
        <v>14786.41</v>
      </c>
      <c r="O765" s="12">
        <v>8355.7800000000007</v>
      </c>
    </row>
    <row r="766" spans="1:15">
      <c r="A766" t="s">
        <v>939</v>
      </c>
      <c r="B766" t="s">
        <v>502</v>
      </c>
      <c r="C766" s="9">
        <v>21185</v>
      </c>
      <c r="D766">
        <v>68</v>
      </c>
      <c r="E766" t="s">
        <v>17</v>
      </c>
      <c r="F766" t="s">
        <v>74</v>
      </c>
      <c r="G766" s="9">
        <v>45507</v>
      </c>
      <c r="H766" s="9">
        <v>44991</v>
      </c>
      <c r="I766">
        <v>36</v>
      </c>
      <c r="J766" t="s">
        <v>32</v>
      </c>
      <c r="K766">
        <v>0</v>
      </c>
      <c r="L766">
        <v>2</v>
      </c>
      <c r="M766" s="11">
        <v>5958.43</v>
      </c>
      <c r="N766" s="12">
        <v>9808.1200000000008</v>
      </c>
      <c r="O766" s="12">
        <v>267.68</v>
      </c>
    </row>
    <row r="767" spans="1:15">
      <c r="A767" t="s">
        <v>940</v>
      </c>
      <c r="B767" t="s">
        <v>427</v>
      </c>
      <c r="C767" s="9">
        <v>11689</v>
      </c>
      <c r="D767">
        <v>94</v>
      </c>
      <c r="E767" t="s">
        <v>21</v>
      </c>
      <c r="F767" t="s">
        <v>18</v>
      </c>
      <c r="G767" s="9">
        <v>45168</v>
      </c>
      <c r="H767" s="9">
        <v>45102</v>
      </c>
      <c r="I767">
        <v>38</v>
      </c>
      <c r="J767" t="s">
        <v>26</v>
      </c>
      <c r="K767">
        <v>3</v>
      </c>
      <c r="L767">
        <v>9</v>
      </c>
      <c r="M767" s="11">
        <v>27180.75</v>
      </c>
      <c r="N767" s="12">
        <v>6596.66</v>
      </c>
      <c r="O767" s="12">
        <v>1490.1</v>
      </c>
    </row>
    <row r="768" spans="1:15">
      <c r="A768" t="s">
        <v>941</v>
      </c>
      <c r="B768" t="s">
        <v>229</v>
      </c>
      <c r="C768" s="9">
        <v>44561</v>
      </c>
      <c r="D768">
        <v>4</v>
      </c>
      <c r="E768" t="s">
        <v>17</v>
      </c>
      <c r="F768" t="s">
        <v>25</v>
      </c>
      <c r="G768" s="9">
        <v>45280</v>
      </c>
      <c r="H768" s="9">
        <v>45718</v>
      </c>
      <c r="I768">
        <v>22</v>
      </c>
      <c r="J768" t="s">
        <v>32</v>
      </c>
      <c r="K768">
        <v>12</v>
      </c>
      <c r="L768">
        <v>0</v>
      </c>
      <c r="M768" s="11">
        <v>25557.48</v>
      </c>
      <c r="N768" s="12">
        <v>1252.3599999999999</v>
      </c>
      <c r="O768" s="12">
        <v>7640.9</v>
      </c>
    </row>
    <row r="769" spans="1:15">
      <c r="A769" t="s">
        <v>942</v>
      </c>
      <c r="B769" t="s">
        <v>181</v>
      </c>
      <c r="C769" s="9">
        <v>45292</v>
      </c>
      <c r="D769">
        <f ca="1">DATEDIF(C720,TODAY(),"Y")</f>
        <v>91</v>
      </c>
      <c r="E769" t="s">
        <v>17</v>
      </c>
      <c r="F769" t="s">
        <v>49</v>
      </c>
      <c r="G769" s="9">
        <v>44997</v>
      </c>
      <c r="H769" s="9">
        <v>44959</v>
      </c>
      <c r="I769">
        <v>22</v>
      </c>
      <c r="J769" t="s">
        <v>35</v>
      </c>
      <c r="K769">
        <v>7</v>
      </c>
      <c r="L769">
        <v>4</v>
      </c>
      <c r="M769" s="11">
        <v>13679.8</v>
      </c>
      <c r="N769" s="12">
        <v>3198.73</v>
      </c>
      <c r="O769" s="12">
        <v>4115.6499999999996</v>
      </c>
    </row>
    <row r="770" spans="1:15">
      <c r="A770" t="s">
        <v>943</v>
      </c>
      <c r="B770" t="s">
        <v>397</v>
      </c>
      <c r="C770" s="9">
        <v>27029</v>
      </c>
      <c r="D770">
        <v>52</v>
      </c>
      <c r="E770" t="s">
        <v>21</v>
      </c>
      <c r="F770" t="s">
        <v>29</v>
      </c>
      <c r="G770" s="9">
        <v>45339</v>
      </c>
      <c r="H770" s="9">
        <v>45648</v>
      </c>
      <c r="I770">
        <v>21</v>
      </c>
      <c r="J770" t="s">
        <v>32</v>
      </c>
      <c r="K770">
        <v>2</v>
      </c>
      <c r="L770">
        <v>5</v>
      </c>
      <c r="M770" s="11">
        <v>5315.05</v>
      </c>
      <c r="N770" s="12">
        <v>8619.7099999999991</v>
      </c>
      <c r="O770" s="12">
        <v>16240.48</v>
      </c>
    </row>
    <row r="771" spans="1:15">
      <c r="A771" t="s">
        <v>944</v>
      </c>
      <c r="B771" t="s">
        <v>240</v>
      </c>
      <c r="C771" s="9">
        <v>37987</v>
      </c>
      <c r="D771">
        <v>22</v>
      </c>
      <c r="E771" t="s">
        <v>17</v>
      </c>
      <c r="F771" t="s">
        <v>22</v>
      </c>
      <c r="G771" s="9">
        <v>45538</v>
      </c>
      <c r="H771" s="9">
        <v>45818</v>
      </c>
      <c r="I771">
        <v>3</v>
      </c>
      <c r="J771" t="s">
        <v>35</v>
      </c>
      <c r="K771">
        <v>13</v>
      </c>
      <c r="L771">
        <v>8</v>
      </c>
      <c r="M771" s="11">
        <v>14643.38</v>
      </c>
      <c r="N771" s="12">
        <v>7468.11</v>
      </c>
      <c r="O771" s="12">
        <v>13497.38</v>
      </c>
    </row>
    <row r="772" spans="1:15">
      <c r="A772" t="s">
        <v>945</v>
      </c>
      <c r="B772" t="s">
        <v>226</v>
      </c>
      <c r="C772" s="9">
        <v>27029</v>
      </c>
      <c r="D772">
        <v>52</v>
      </c>
      <c r="E772" t="s">
        <v>17</v>
      </c>
      <c r="F772" t="s">
        <v>25</v>
      </c>
      <c r="G772" s="9">
        <v>44987</v>
      </c>
      <c r="H772" s="9">
        <v>45458</v>
      </c>
      <c r="I772">
        <v>27</v>
      </c>
      <c r="J772" t="s">
        <v>32</v>
      </c>
      <c r="K772">
        <v>3</v>
      </c>
      <c r="L772">
        <v>4</v>
      </c>
      <c r="M772" s="11">
        <v>4048.72</v>
      </c>
      <c r="N772" s="12">
        <v>287.93</v>
      </c>
      <c r="O772" s="12">
        <v>19403.14</v>
      </c>
    </row>
    <row r="773" spans="1:15">
      <c r="A773" t="s">
        <v>946</v>
      </c>
      <c r="B773" t="s">
        <v>153</v>
      </c>
      <c r="C773" s="9">
        <v>32873</v>
      </c>
      <c r="D773">
        <v>36</v>
      </c>
      <c r="E773" t="s">
        <v>21</v>
      </c>
      <c r="F773" t="s">
        <v>74</v>
      </c>
      <c r="G773" s="9">
        <v>45541</v>
      </c>
      <c r="H773" s="9">
        <v>45033</v>
      </c>
      <c r="I773">
        <v>7</v>
      </c>
      <c r="J773" t="s">
        <v>26</v>
      </c>
      <c r="K773">
        <v>14</v>
      </c>
      <c r="L773">
        <v>0</v>
      </c>
      <c r="M773" s="11">
        <v>7730.39</v>
      </c>
      <c r="N773" s="12">
        <v>1293.54</v>
      </c>
      <c r="O773" s="12">
        <v>17729.38</v>
      </c>
    </row>
    <row r="774" spans="1:15">
      <c r="A774" t="s">
        <v>947</v>
      </c>
      <c r="B774" t="s">
        <v>170</v>
      </c>
      <c r="C774" s="9">
        <v>19359</v>
      </c>
      <c r="D774">
        <v>73</v>
      </c>
      <c r="E774" t="s">
        <v>17</v>
      </c>
      <c r="F774" t="s">
        <v>18</v>
      </c>
      <c r="G774" s="9">
        <v>45378</v>
      </c>
      <c r="H774" s="9">
        <v>45409</v>
      </c>
      <c r="I774">
        <v>36</v>
      </c>
      <c r="J774" t="s">
        <v>35</v>
      </c>
      <c r="K774">
        <v>4</v>
      </c>
      <c r="L774">
        <v>3</v>
      </c>
      <c r="M774" s="11">
        <v>14223.34</v>
      </c>
      <c r="N774" s="12">
        <v>5340.13</v>
      </c>
      <c r="O774" s="12">
        <v>19550.990000000002</v>
      </c>
    </row>
    <row r="775" spans="1:15">
      <c r="A775" t="s">
        <v>948</v>
      </c>
      <c r="B775" t="s">
        <v>356</v>
      </c>
      <c r="C775" s="9">
        <v>19359</v>
      </c>
      <c r="D775">
        <v>73</v>
      </c>
      <c r="E775" t="s">
        <v>17</v>
      </c>
      <c r="F775" t="s">
        <v>49</v>
      </c>
      <c r="G775" s="9">
        <v>45319</v>
      </c>
      <c r="H775" s="9">
        <v>45133</v>
      </c>
      <c r="I775">
        <v>28</v>
      </c>
      <c r="J775" t="s">
        <v>32</v>
      </c>
      <c r="K775">
        <v>9</v>
      </c>
      <c r="L775">
        <v>1</v>
      </c>
      <c r="M775" s="11">
        <v>144.76</v>
      </c>
      <c r="N775" s="12">
        <v>2112.39</v>
      </c>
      <c r="O775" s="12">
        <v>7242.03</v>
      </c>
    </row>
    <row r="776" spans="1:15">
      <c r="A776" t="s">
        <v>949</v>
      </c>
      <c r="B776" t="s">
        <v>240</v>
      </c>
      <c r="C776" s="9">
        <v>16072</v>
      </c>
      <c r="D776">
        <v>82</v>
      </c>
      <c r="E776" t="s">
        <v>17</v>
      </c>
      <c r="F776" t="s">
        <v>18</v>
      </c>
      <c r="G776" s="9">
        <v>45557</v>
      </c>
      <c r="H776" s="9">
        <v>45174</v>
      </c>
      <c r="I776">
        <v>15</v>
      </c>
      <c r="J776" t="s">
        <v>32</v>
      </c>
      <c r="K776">
        <v>4</v>
      </c>
      <c r="L776">
        <v>3</v>
      </c>
      <c r="M776" s="11">
        <v>22854.54</v>
      </c>
      <c r="N776" s="12">
        <v>14367.64</v>
      </c>
      <c r="O776" s="12">
        <v>9635.9599999999991</v>
      </c>
    </row>
    <row r="777" spans="1:15">
      <c r="A777" t="s">
        <v>950</v>
      </c>
      <c r="B777" t="s">
        <v>387</v>
      </c>
      <c r="C777" s="9">
        <v>40178</v>
      </c>
      <c r="D777">
        <v>16</v>
      </c>
      <c r="E777" t="s">
        <v>21</v>
      </c>
      <c r="F777" t="s">
        <v>29</v>
      </c>
      <c r="G777" s="9">
        <v>45455</v>
      </c>
      <c r="H777" s="9">
        <v>45762</v>
      </c>
      <c r="I777">
        <v>30</v>
      </c>
      <c r="J777" t="s">
        <v>32</v>
      </c>
      <c r="K777">
        <v>14</v>
      </c>
      <c r="L777">
        <v>6</v>
      </c>
      <c r="M777" s="11">
        <v>5505.9</v>
      </c>
      <c r="N777" s="12">
        <v>511.77</v>
      </c>
      <c r="O777" s="12">
        <v>7389.78</v>
      </c>
    </row>
    <row r="778" spans="1:15">
      <c r="A778" t="s">
        <v>951</v>
      </c>
      <c r="B778" t="s">
        <v>53</v>
      </c>
      <c r="C778" s="9">
        <v>15341</v>
      </c>
      <c r="D778">
        <v>84</v>
      </c>
      <c r="E778" t="s">
        <v>21</v>
      </c>
      <c r="F778" t="s">
        <v>5184</v>
      </c>
      <c r="G778" s="9">
        <v>45231</v>
      </c>
      <c r="H778" s="9">
        <v>45606</v>
      </c>
      <c r="I778">
        <v>16</v>
      </c>
      <c r="J778" t="s">
        <v>32</v>
      </c>
      <c r="K778">
        <v>2</v>
      </c>
      <c r="L778">
        <v>8</v>
      </c>
      <c r="M778" s="11">
        <v>25931.64</v>
      </c>
      <c r="N778" s="12">
        <v>14610.74</v>
      </c>
      <c r="O778" s="12">
        <v>19282.55</v>
      </c>
    </row>
    <row r="779" spans="1:15">
      <c r="A779" t="s">
        <v>952</v>
      </c>
      <c r="B779" t="s">
        <v>379</v>
      </c>
      <c r="C779" s="9">
        <v>17898</v>
      </c>
      <c r="D779">
        <v>77</v>
      </c>
      <c r="E779" t="s">
        <v>17</v>
      </c>
      <c r="F779" t="s">
        <v>5184</v>
      </c>
      <c r="G779" s="9">
        <v>45117</v>
      </c>
      <c r="H779" s="9">
        <v>45016</v>
      </c>
      <c r="I779">
        <v>20</v>
      </c>
      <c r="J779" t="s">
        <v>26</v>
      </c>
      <c r="K779">
        <v>12</v>
      </c>
      <c r="L779">
        <v>2</v>
      </c>
      <c r="M779" s="11">
        <v>178.92</v>
      </c>
      <c r="N779" s="12">
        <v>9848.31</v>
      </c>
      <c r="O779" s="12">
        <v>7994.44</v>
      </c>
    </row>
    <row r="780" spans="1:15">
      <c r="A780" t="s">
        <v>953</v>
      </c>
      <c r="B780" t="s">
        <v>194</v>
      </c>
      <c r="C780" s="9">
        <v>19724</v>
      </c>
      <c r="D780">
        <v>72</v>
      </c>
      <c r="E780" t="s">
        <v>21</v>
      </c>
      <c r="F780" t="s">
        <v>25</v>
      </c>
      <c r="G780" s="9">
        <v>45650</v>
      </c>
      <c r="H780" s="9">
        <v>45243</v>
      </c>
      <c r="I780">
        <v>2</v>
      </c>
      <c r="J780" t="s">
        <v>32</v>
      </c>
      <c r="K780">
        <v>2</v>
      </c>
      <c r="L780">
        <v>2</v>
      </c>
      <c r="M780" s="11">
        <v>15730.02</v>
      </c>
      <c r="N780" s="12">
        <v>6108.42</v>
      </c>
      <c r="O780" s="12">
        <v>2246.91</v>
      </c>
    </row>
    <row r="781" spans="1:15">
      <c r="A781" t="s">
        <v>954</v>
      </c>
      <c r="B781" t="s">
        <v>198</v>
      </c>
      <c r="C781" s="9">
        <v>46022</v>
      </c>
      <c r="D781">
        <v>0</v>
      </c>
      <c r="E781" t="s">
        <v>5185</v>
      </c>
      <c r="F781" t="s">
        <v>18</v>
      </c>
      <c r="G781" s="9">
        <v>45004</v>
      </c>
      <c r="H781" s="9">
        <v>44938</v>
      </c>
      <c r="I781">
        <v>23</v>
      </c>
      <c r="J781" t="s">
        <v>35</v>
      </c>
      <c r="K781">
        <v>6</v>
      </c>
      <c r="L781">
        <v>3</v>
      </c>
      <c r="M781" s="11">
        <v>23187.85</v>
      </c>
      <c r="N781" s="12">
        <v>8091.49</v>
      </c>
      <c r="O781" s="12">
        <v>4935.25</v>
      </c>
    </row>
    <row r="782" spans="1:15">
      <c r="A782" t="s">
        <v>955</v>
      </c>
      <c r="B782" t="s">
        <v>69</v>
      </c>
      <c r="C782" s="9">
        <f>DATE(2026-D742,1,1)</f>
        <v>25934</v>
      </c>
      <c r="D782">
        <v>50</v>
      </c>
      <c r="E782" t="s">
        <v>21</v>
      </c>
      <c r="F782" t="s">
        <v>22</v>
      </c>
      <c r="G782" s="9">
        <v>45484</v>
      </c>
      <c r="H782" s="9">
        <v>44976</v>
      </c>
      <c r="I782">
        <v>26</v>
      </c>
      <c r="J782" t="s">
        <v>32</v>
      </c>
      <c r="K782">
        <v>3</v>
      </c>
      <c r="L782">
        <v>6</v>
      </c>
      <c r="M782" s="11">
        <v>6757.43</v>
      </c>
      <c r="N782" s="12">
        <v>6151.87</v>
      </c>
      <c r="O782" s="12">
        <v>8438.89</v>
      </c>
    </row>
    <row r="783" spans="1:15">
      <c r="A783" t="s">
        <v>956</v>
      </c>
      <c r="B783" t="s">
        <v>275</v>
      </c>
      <c r="C783" s="9">
        <v>29951</v>
      </c>
      <c r="D783">
        <v>44</v>
      </c>
      <c r="E783" t="s">
        <v>17</v>
      </c>
      <c r="F783" t="s">
        <v>22</v>
      </c>
      <c r="G783" s="9">
        <v>45531</v>
      </c>
      <c r="H783" s="9">
        <v>45823</v>
      </c>
      <c r="I783">
        <v>21</v>
      </c>
      <c r="J783" t="s">
        <v>26</v>
      </c>
      <c r="K783">
        <v>12</v>
      </c>
      <c r="L783">
        <v>5</v>
      </c>
      <c r="M783" s="11">
        <v>21080.37</v>
      </c>
      <c r="N783" s="12">
        <v>8598.11</v>
      </c>
      <c r="O783" s="12">
        <v>12020.18</v>
      </c>
    </row>
    <row r="784" spans="1:15">
      <c r="A784" t="s">
        <v>957</v>
      </c>
      <c r="B784" t="s">
        <v>226</v>
      </c>
      <c r="C784" s="9">
        <v>18263</v>
      </c>
      <c r="D784">
        <v>76</v>
      </c>
      <c r="E784" t="s">
        <v>17</v>
      </c>
      <c r="F784" t="s">
        <v>5184</v>
      </c>
      <c r="G784" s="9">
        <v>45451</v>
      </c>
      <c r="H784" s="9">
        <v>45500</v>
      </c>
      <c r="I784">
        <v>3</v>
      </c>
      <c r="J784" t="s">
        <v>32</v>
      </c>
      <c r="K784">
        <v>12</v>
      </c>
      <c r="L784">
        <v>4</v>
      </c>
      <c r="M784" s="11">
        <v>21486.47</v>
      </c>
      <c r="N784" s="12">
        <v>2280.09</v>
      </c>
      <c r="O784" s="12">
        <v>12323.54</v>
      </c>
    </row>
    <row r="785" spans="1:15">
      <c r="A785" t="s">
        <v>958</v>
      </c>
      <c r="B785" t="s">
        <v>379</v>
      </c>
      <c r="C785" s="9">
        <v>44927</v>
      </c>
      <c r="D785">
        <v>3</v>
      </c>
      <c r="E785" t="s">
        <v>21</v>
      </c>
      <c r="F785" t="s">
        <v>5184</v>
      </c>
      <c r="G785" s="9">
        <v>45227</v>
      </c>
      <c r="H785" s="9">
        <v>45098</v>
      </c>
      <c r="I785">
        <v>36</v>
      </c>
      <c r="J785" t="s">
        <v>26</v>
      </c>
      <c r="K785">
        <v>9</v>
      </c>
      <c r="L785">
        <v>3</v>
      </c>
      <c r="M785" s="11">
        <v>18954.23</v>
      </c>
      <c r="N785" s="12">
        <v>1800.2</v>
      </c>
      <c r="O785" s="12">
        <v>15151.55</v>
      </c>
    </row>
    <row r="786" spans="1:15">
      <c r="A786" t="s">
        <v>959</v>
      </c>
      <c r="B786" t="s">
        <v>422</v>
      </c>
      <c r="C786" s="9">
        <v>23742</v>
      </c>
      <c r="D786">
        <v>61</v>
      </c>
      <c r="E786" t="s">
        <v>21</v>
      </c>
      <c r="F786" t="s">
        <v>18</v>
      </c>
      <c r="G786" s="9">
        <v>44943</v>
      </c>
      <c r="H786" s="9">
        <v>45070</v>
      </c>
      <c r="I786">
        <v>1</v>
      </c>
      <c r="J786" t="s">
        <v>32</v>
      </c>
      <c r="K786">
        <v>3</v>
      </c>
      <c r="L786">
        <v>7</v>
      </c>
      <c r="M786" s="11">
        <v>10609.71</v>
      </c>
      <c r="N786" s="12">
        <v>7928.86</v>
      </c>
      <c r="O786" s="12">
        <v>12922.12</v>
      </c>
    </row>
    <row r="787" spans="1:15">
      <c r="A787" t="s">
        <v>960</v>
      </c>
      <c r="B787" t="s">
        <v>53</v>
      </c>
      <c r="C787" s="9">
        <v>22646</v>
      </c>
      <c r="D787">
        <v>64</v>
      </c>
      <c r="E787" t="s">
        <v>17</v>
      </c>
      <c r="F787" t="s">
        <v>74</v>
      </c>
      <c r="G787" s="9">
        <v>45500</v>
      </c>
      <c r="H787" s="9">
        <v>45134</v>
      </c>
      <c r="I787">
        <v>39</v>
      </c>
      <c r="J787" t="s">
        <v>32</v>
      </c>
      <c r="K787">
        <v>7</v>
      </c>
      <c r="L787">
        <v>3</v>
      </c>
      <c r="M787" s="11">
        <v>23444.48</v>
      </c>
      <c r="N787" s="12">
        <v>1070.0899999999999</v>
      </c>
      <c r="O787" s="12">
        <v>9779.83</v>
      </c>
    </row>
    <row r="788" spans="1:15">
      <c r="A788" t="s">
        <v>961</v>
      </c>
      <c r="B788" t="s">
        <v>328</v>
      </c>
      <c r="C788" s="9">
        <v>34700</v>
      </c>
      <c r="D788">
        <v>31</v>
      </c>
      <c r="E788" t="s">
        <v>17</v>
      </c>
      <c r="F788" t="s">
        <v>18</v>
      </c>
      <c r="G788" s="9">
        <v>45360</v>
      </c>
      <c r="H788" s="9">
        <v>45390</v>
      </c>
      <c r="I788">
        <v>23</v>
      </c>
      <c r="J788" t="s">
        <v>35</v>
      </c>
      <c r="K788">
        <v>2</v>
      </c>
      <c r="L788">
        <v>2</v>
      </c>
      <c r="M788" s="11">
        <v>18667.23</v>
      </c>
      <c r="N788" s="12">
        <v>4387.26</v>
      </c>
      <c r="O788" s="12">
        <v>506.45</v>
      </c>
    </row>
    <row r="789" spans="1:15">
      <c r="A789" t="s">
        <v>962</v>
      </c>
      <c r="B789" t="s">
        <v>139</v>
      </c>
      <c r="C789" s="9">
        <v>33969</v>
      </c>
      <c r="D789">
        <v>33</v>
      </c>
      <c r="E789" t="s">
        <v>21</v>
      </c>
      <c r="F789" t="s">
        <v>49</v>
      </c>
      <c r="G789" s="9">
        <v>44969</v>
      </c>
      <c r="H789" s="9">
        <v>45436</v>
      </c>
      <c r="I789">
        <v>12</v>
      </c>
      <c r="J789" t="s">
        <v>35</v>
      </c>
      <c r="K789">
        <v>5</v>
      </c>
      <c r="L789">
        <v>6</v>
      </c>
      <c r="M789" s="11">
        <v>17506.84</v>
      </c>
      <c r="N789" s="12">
        <v>13903.43</v>
      </c>
      <c r="O789" s="12">
        <v>13870.07</v>
      </c>
    </row>
    <row r="790" spans="1:15">
      <c r="A790" t="s">
        <v>963</v>
      </c>
      <c r="B790" t="s">
        <v>278</v>
      </c>
      <c r="C790" s="9">
        <v>12785</v>
      </c>
      <c r="D790">
        <v>91</v>
      </c>
      <c r="E790" t="s">
        <v>17</v>
      </c>
      <c r="F790" t="s">
        <v>25</v>
      </c>
      <c r="G790" s="9">
        <v>44994</v>
      </c>
      <c r="H790" s="9">
        <v>45128</v>
      </c>
      <c r="I790">
        <v>10</v>
      </c>
      <c r="J790" t="s">
        <v>26</v>
      </c>
      <c r="K790">
        <v>13</v>
      </c>
      <c r="L790">
        <v>1</v>
      </c>
      <c r="M790" s="11">
        <v>24484.42</v>
      </c>
      <c r="N790" s="12">
        <v>13143.2</v>
      </c>
      <c r="O790" s="12">
        <v>1617.71</v>
      </c>
    </row>
    <row r="791" spans="1:15">
      <c r="A791" t="s">
        <v>964</v>
      </c>
      <c r="B791" t="s">
        <v>31</v>
      </c>
      <c r="C791" s="9">
        <v>11689</v>
      </c>
      <c r="D791">
        <v>94</v>
      </c>
      <c r="E791" t="s">
        <v>21</v>
      </c>
      <c r="F791" t="s">
        <v>29</v>
      </c>
      <c r="G791" s="9">
        <v>45306</v>
      </c>
      <c r="H791" s="9">
        <v>44932</v>
      </c>
      <c r="I791">
        <v>37</v>
      </c>
      <c r="J791" t="s">
        <v>35</v>
      </c>
      <c r="K791">
        <v>3</v>
      </c>
      <c r="L791">
        <v>3</v>
      </c>
      <c r="M791" s="11">
        <v>6961.46</v>
      </c>
      <c r="N791" s="12">
        <v>12471.03</v>
      </c>
      <c r="O791" s="12">
        <v>9323.11</v>
      </c>
    </row>
    <row r="792" spans="1:15">
      <c r="A792" t="s">
        <v>965</v>
      </c>
      <c r="B792" t="s">
        <v>194</v>
      </c>
      <c r="C792" s="9">
        <v>20090</v>
      </c>
      <c r="D792">
        <v>71</v>
      </c>
      <c r="E792" t="s">
        <v>21</v>
      </c>
      <c r="F792" t="s">
        <v>22</v>
      </c>
      <c r="G792" s="9">
        <v>45138</v>
      </c>
      <c r="H792" s="9">
        <v>45138</v>
      </c>
      <c r="I792">
        <v>19</v>
      </c>
      <c r="J792" t="s">
        <v>35</v>
      </c>
      <c r="K792">
        <v>13</v>
      </c>
      <c r="L792">
        <v>7</v>
      </c>
      <c r="M792" s="11">
        <v>6590.88</v>
      </c>
      <c r="N792" s="12">
        <v>7607.46</v>
      </c>
      <c r="O792" s="12">
        <v>17917.560000000001</v>
      </c>
    </row>
    <row r="793" spans="1:15">
      <c r="A793" t="s">
        <v>966</v>
      </c>
      <c r="B793" t="s">
        <v>16</v>
      </c>
      <c r="C793" s="9">
        <v>32143</v>
      </c>
      <c r="D793">
        <v>38</v>
      </c>
      <c r="E793" t="s">
        <v>17</v>
      </c>
      <c r="F793" t="s">
        <v>18</v>
      </c>
      <c r="G793" s="9">
        <v>45129</v>
      </c>
      <c r="H793" s="9">
        <v>44956</v>
      </c>
      <c r="I793">
        <v>10</v>
      </c>
      <c r="J793" t="s">
        <v>32</v>
      </c>
      <c r="K793">
        <v>11</v>
      </c>
      <c r="L793">
        <v>3</v>
      </c>
      <c r="M793" s="11">
        <v>11286.63</v>
      </c>
      <c r="N793" s="12">
        <v>418.27</v>
      </c>
      <c r="O793" s="12">
        <v>11897.27</v>
      </c>
    </row>
    <row r="794" spans="1:15">
      <c r="A794" t="s">
        <v>967</v>
      </c>
      <c r="B794" t="s">
        <v>226</v>
      </c>
      <c r="C794" s="9">
        <v>36891</v>
      </c>
      <c r="D794">
        <v>25</v>
      </c>
      <c r="E794" t="s">
        <v>21</v>
      </c>
      <c r="F794" t="s">
        <v>49</v>
      </c>
      <c r="G794" s="9">
        <v>45652</v>
      </c>
      <c r="H794" s="9">
        <v>45117</v>
      </c>
      <c r="I794">
        <v>36</v>
      </c>
      <c r="J794" t="s">
        <v>35</v>
      </c>
      <c r="K794">
        <v>13</v>
      </c>
      <c r="L794">
        <v>9</v>
      </c>
      <c r="M794" s="11">
        <v>1730.56</v>
      </c>
      <c r="N794" s="12">
        <v>1820.54</v>
      </c>
      <c r="O794" s="12">
        <v>3899.19</v>
      </c>
    </row>
    <row r="795" spans="1:15">
      <c r="A795" t="s">
        <v>968</v>
      </c>
      <c r="B795" t="s">
        <v>289</v>
      </c>
      <c r="C795" s="9">
        <v>33969</v>
      </c>
      <c r="D795">
        <v>33</v>
      </c>
      <c r="E795" t="s">
        <v>17</v>
      </c>
      <c r="F795" t="s">
        <v>5184</v>
      </c>
      <c r="G795" s="9">
        <v>45035</v>
      </c>
      <c r="H795" s="9">
        <v>45115</v>
      </c>
      <c r="I795">
        <v>14</v>
      </c>
      <c r="J795" t="s">
        <v>32</v>
      </c>
      <c r="K795">
        <v>7</v>
      </c>
      <c r="L795">
        <v>6</v>
      </c>
      <c r="M795" s="11">
        <v>9790.5</v>
      </c>
      <c r="N795" s="12">
        <v>13791.77</v>
      </c>
      <c r="O795" s="12">
        <v>16139.96</v>
      </c>
    </row>
    <row r="796" spans="1:15">
      <c r="A796" t="s">
        <v>969</v>
      </c>
      <c r="B796" t="s">
        <v>306</v>
      </c>
      <c r="C796" s="9">
        <f>DATE(2026-D756,1,1)</f>
        <v>36526</v>
      </c>
      <c r="D796">
        <v>53</v>
      </c>
      <c r="E796" t="s">
        <v>21</v>
      </c>
      <c r="F796" t="s">
        <v>22</v>
      </c>
      <c r="G796" s="9">
        <v>45210</v>
      </c>
      <c r="H796" s="9">
        <v>45764</v>
      </c>
      <c r="I796">
        <v>33</v>
      </c>
      <c r="J796" t="s">
        <v>32</v>
      </c>
      <c r="K796">
        <v>11</v>
      </c>
      <c r="L796">
        <v>1</v>
      </c>
      <c r="M796" s="11">
        <v>11891.3</v>
      </c>
      <c r="N796" s="12">
        <v>12546.11</v>
      </c>
      <c r="O796" s="12">
        <v>5938.22</v>
      </c>
    </row>
    <row r="797" spans="1:15">
      <c r="A797" t="s">
        <v>970</v>
      </c>
      <c r="B797" t="s">
        <v>487</v>
      </c>
      <c r="C797" s="9">
        <v>45292</v>
      </c>
      <c r="D797">
        <v>2</v>
      </c>
      <c r="E797" t="s">
        <v>21</v>
      </c>
      <c r="F797" t="s">
        <v>22</v>
      </c>
      <c r="G797" s="9">
        <v>45532</v>
      </c>
      <c r="H797" s="9">
        <v>45694</v>
      </c>
      <c r="I797">
        <v>36</v>
      </c>
      <c r="J797" t="s">
        <v>32</v>
      </c>
      <c r="K797">
        <v>10</v>
      </c>
      <c r="L797">
        <v>4</v>
      </c>
      <c r="M797" s="11">
        <v>14599.27</v>
      </c>
      <c r="N797" s="12">
        <v>5647.83</v>
      </c>
      <c r="O797" s="12">
        <v>11503.14</v>
      </c>
    </row>
    <row r="798" spans="1:15">
      <c r="A798" t="s">
        <v>971</v>
      </c>
      <c r="B798" t="s">
        <v>397</v>
      </c>
      <c r="C798" s="9">
        <v>28125</v>
      </c>
      <c r="D798">
        <v>49</v>
      </c>
      <c r="E798" t="s">
        <v>21</v>
      </c>
      <c r="F798" t="s">
        <v>29</v>
      </c>
      <c r="G798" s="9">
        <v>45151</v>
      </c>
      <c r="H798" s="9">
        <v>45077</v>
      </c>
      <c r="I798">
        <v>22</v>
      </c>
      <c r="J798" t="s">
        <v>35</v>
      </c>
      <c r="K798">
        <v>6</v>
      </c>
      <c r="L798">
        <v>3</v>
      </c>
      <c r="M798" s="11">
        <v>7247.41</v>
      </c>
      <c r="N798" s="12">
        <v>10934.63</v>
      </c>
      <c r="O798" s="12">
        <v>12680.56</v>
      </c>
    </row>
    <row r="799" spans="1:15">
      <c r="A799" t="s">
        <v>972</v>
      </c>
      <c r="B799" t="s">
        <v>176</v>
      </c>
      <c r="C799" s="9">
        <v>42005</v>
      </c>
      <c r="D799">
        <v>11</v>
      </c>
      <c r="E799" t="s">
        <v>17</v>
      </c>
      <c r="F799" t="s">
        <v>22</v>
      </c>
      <c r="G799" s="9">
        <v>45044</v>
      </c>
      <c r="H799" s="9">
        <v>45452</v>
      </c>
      <c r="I799">
        <v>31</v>
      </c>
      <c r="J799" t="s">
        <v>26</v>
      </c>
      <c r="K799">
        <v>13</v>
      </c>
      <c r="L799">
        <v>8</v>
      </c>
      <c r="M799" s="11">
        <v>27158.69</v>
      </c>
      <c r="N799" s="12">
        <v>12817.92</v>
      </c>
      <c r="O799" s="12">
        <v>14595.54</v>
      </c>
    </row>
    <row r="800" spans="1:15">
      <c r="A800" t="s">
        <v>973</v>
      </c>
      <c r="B800" t="s">
        <v>44</v>
      </c>
      <c r="C800" s="9">
        <v>22646</v>
      </c>
      <c r="D800">
        <v>64</v>
      </c>
      <c r="E800" t="s">
        <v>17</v>
      </c>
      <c r="F800" t="s">
        <v>49</v>
      </c>
      <c r="G800" s="9">
        <v>45529</v>
      </c>
      <c r="H800" s="9">
        <v>45811</v>
      </c>
      <c r="I800">
        <v>18</v>
      </c>
      <c r="J800" t="s">
        <v>26</v>
      </c>
      <c r="K800">
        <v>6</v>
      </c>
      <c r="L800">
        <v>6</v>
      </c>
      <c r="M800" s="11">
        <v>8194.89</v>
      </c>
      <c r="N800" s="12">
        <v>9305.0300000000007</v>
      </c>
      <c r="O800" s="12">
        <v>1206.1500000000001</v>
      </c>
    </row>
    <row r="801" spans="1:15">
      <c r="A801" t="s">
        <v>974</v>
      </c>
      <c r="B801" t="s">
        <v>223</v>
      </c>
      <c r="C801" s="9">
        <f>DATE(2026-D761,1,1)</f>
        <v>38718</v>
      </c>
      <c r="D801">
        <v>53</v>
      </c>
      <c r="E801" t="s">
        <v>17</v>
      </c>
      <c r="F801" t="s">
        <v>22</v>
      </c>
      <c r="G801" s="9">
        <v>45266</v>
      </c>
      <c r="H801" s="9">
        <v>45293</v>
      </c>
      <c r="I801">
        <v>22</v>
      </c>
      <c r="J801" t="s">
        <v>35</v>
      </c>
      <c r="K801">
        <v>8</v>
      </c>
      <c r="L801">
        <v>8</v>
      </c>
      <c r="M801" s="11">
        <v>25472.3</v>
      </c>
      <c r="N801" s="12">
        <v>12802.9</v>
      </c>
      <c r="O801" s="12">
        <v>17070.77</v>
      </c>
    </row>
    <row r="802" spans="1:15">
      <c r="A802" t="s">
        <v>975</v>
      </c>
      <c r="B802" t="s">
        <v>215</v>
      </c>
      <c r="C802" s="9">
        <v>44561</v>
      </c>
      <c r="D802">
        <v>4</v>
      </c>
      <c r="E802" t="s">
        <v>21</v>
      </c>
      <c r="F802" t="s">
        <v>22</v>
      </c>
      <c r="G802" s="9">
        <v>45207</v>
      </c>
      <c r="H802" s="9">
        <v>45084</v>
      </c>
      <c r="I802">
        <v>22</v>
      </c>
      <c r="J802" t="s">
        <v>32</v>
      </c>
      <c r="K802">
        <v>8</v>
      </c>
      <c r="L802">
        <v>9</v>
      </c>
      <c r="M802" s="11">
        <v>13071.05</v>
      </c>
      <c r="N802" s="12">
        <v>3670.11</v>
      </c>
      <c r="O802" s="12">
        <v>2188.39</v>
      </c>
    </row>
    <row r="803" spans="1:15">
      <c r="A803" t="s">
        <v>976</v>
      </c>
      <c r="B803" t="s">
        <v>176</v>
      </c>
      <c r="C803" s="9">
        <v>12054</v>
      </c>
      <c r="D803">
        <v>93</v>
      </c>
      <c r="E803" t="s">
        <v>21</v>
      </c>
      <c r="F803" t="s">
        <v>18</v>
      </c>
      <c r="G803" s="9">
        <v>45417</v>
      </c>
      <c r="H803" s="9">
        <v>45007</v>
      </c>
      <c r="I803">
        <v>19</v>
      </c>
      <c r="J803" t="s">
        <v>35</v>
      </c>
      <c r="K803">
        <v>1</v>
      </c>
      <c r="L803">
        <v>6</v>
      </c>
      <c r="M803" s="11">
        <v>21403.78</v>
      </c>
      <c r="N803" s="12">
        <v>6932.04</v>
      </c>
      <c r="O803" s="12">
        <v>1800.13</v>
      </c>
    </row>
    <row r="804" spans="1:15">
      <c r="A804" t="s">
        <v>977</v>
      </c>
      <c r="B804" t="s">
        <v>95</v>
      </c>
      <c r="C804" s="9">
        <v>12054</v>
      </c>
      <c r="D804">
        <v>93</v>
      </c>
      <c r="E804" t="s">
        <v>17</v>
      </c>
      <c r="F804" t="s">
        <v>18</v>
      </c>
      <c r="G804" s="9">
        <v>44945</v>
      </c>
      <c r="H804" s="9">
        <v>45795</v>
      </c>
      <c r="I804">
        <v>20</v>
      </c>
      <c r="J804" t="s">
        <v>32</v>
      </c>
      <c r="K804">
        <v>7</v>
      </c>
      <c r="L804">
        <v>1</v>
      </c>
      <c r="M804" s="11">
        <v>2882.52</v>
      </c>
      <c r="N804" s="12">
        <v>8685.6299999999992</v>
      </c>
      <c r="O804" s="12">
        <v>9083.3799999999992</v>
      </c>
    </row>
    <row r="805" spans="1:15">
      <c r="A805" t="s">
        <v>978</v>
      </c>
      <c r="B805" t="s">
        <v>341</v>
      </c>
      <c r="C805" s="9">
        <v>25568</v>
      </c>
      <c r="D805">
        <v>56</v>
      </c>
      <c r="E805" t="s">
        <v>21</v>
      </c>
      <c r="F805" t="s">
        <v>5184</v>
      </c>
      <c r="G805" s="9">
        <v>45101</v>
      </c>
      <c r="H805" s="9">
        <v>45200</v>
      </c>
      <c r="I805">
        <v>22</v>
      </c>
      <c r="J805" t="s">
        <v>26</v>
      </c>
      <c r="K805">
        <v>6</v>
      </c>
      <c r="L805">
        <v>1</v>
      </c>
      <c r="M805" s="11">
        <v>16111.44</v>
      </c>
      <c r="N805" s="12">
        <v>9467.36</v>
      </c>
      <c r="O805" s="12">
        <v>7380.85</v>
      </c>
    </row>
    <row r="806" spans="1:15">
      <c r="A806" t="s">
        <v>979</v>
      </c>
      <c r="B806" t="s">
        <v>232</v>
      </c>
      <c r="C806" s="9">
        <v>40178</v>
      </c>
      <c r="D806">
        <v>16</v>
      </c>
      <c r="E806" t="s">
        <v>17</v>
      </c>
      <c r="F806" t="s">
        <v>25</v>
      </c>
      <c r="G806" s="9">
        <v>45395</v>
      </c>
      <c r="H806" s="9">
        <v>45587</v>
      </c>
      <c r="I806">
        <v>11</v>
      </c>
      <c r="J806" t="s">
        <v>32</v>
      </c>
      <c r="K806">
        <v>1</v>
      </c>
      <c r="L806">
        <v>1</v>
      </c>
      <c r="M806" s="11">
        <v>0</v>
      </c>
      <c r="N806" s="12">
        <v>14804.85</v>
      </c>
      <c r="O806" s="12">
        <v>997.73</v>
      </c>
    </row>
    <row r="807" spans="1:15">
      <c r="A807" t="s">
        <v>980</v>
      </c>
      <c r="B807" t="s">
        <v>412</v>
      </c>
      <c r="C807" s="9">
        <v>29221</v>
      </c>
      <c r="D807">
        <v>46</v>
      </c>
      <c r="E807" t="s">
        <v>21</v>
      </c>
      <c r="F807" t="s">
        <v>74</v>
      </c>
      <c r="G807" s="9">
        <v>45544</v>
      </c>
      <c r="H807" s="9">
        <v>45645</v>
      </c>
      <c r="I807">
        <v>11</v>
      </c>
      <c r="J807" t="s">
        <v>35</v>
      </c>
      <c r="K807">
        <v>8</v>
      </c>
      <c r="L807">
        <v>4</v>
      </c>
      <c r="M807" s="11">
        <v>19820.66</v>
      </c>
      <c r="N807" s="12">
        <v>12688.97</v>
      </c>
      <c r="O807" s="12">
        <v>3236.61</v>
      </c>
    </row>
    <row r="808" spans="1:15">
      <c r="A808" t="s">
        <v>981</v>
      </c>
      <c r="B808" t="s">
        <v>427</v>
      </c>
      <c r="C808" s="9">
        <v>37987</v>
      </c>
      <c r="D808">
        <v>22</v>
      </c>
      <c r="E808" t="s">
        <v>17</v>
      </c>
      <c r="F808" t="s">
        <v>49</v>
      </c>
      <c r="G808" s="9">
        <v>45068</v>
      </c>
      <c r="H808" s="9">
        <v>45553</v>
      </c>
      <c r="I808">
        <v>23</v>
      </c>
      <c r="J808" t="s">
        <v>32</v>
      </c>
      <c r="K808">
        <v>1</v>
      </c>
      <c r="L808">
        <v>0</v>
      </c>
      <c r="M808" s="11">
        <v>24518.82</v>
      </c>
      <c r="N808" s="12">
        <v>828.91</v>
      </c>
      <c r="O808" s="12">
        <v>8728.19</v>
      </c>
    </row>
    <row r="809" spans="1:15">
      <c r="A809" t="s">
        <v>982</v>
      </c>
      <c r="B809" t="s">
        <v>110</v>
      </c>
      <c r="C809" s="9">
        <v>17533</v>
      </c>
      <c r="D809">
        <v>78</v>
      </c>
      <c r="E809" t="s">
        <v>21</v>
      </c>
      <c r="F809" t="s">
        <v>74</v>
      </c>
      <c r="G809" s="9">
        <v>45389</v>
      </c>
      <c r="H809" s="9">
        <v>45445</v>
      </c>
      <c r="I809">
        <v>37</v>
      </c>
      <c r="J809" t="s">
        <v>32</v>
      </c>
      <c r="K809">
        <v>14</v>
      </c>
      <c r="L809">
        <v>6</v>
      </c>
      <c r="M809" s="11">
        <v>7462.65</v>
      </c>
      <c r="N809" s="12">
        <v>2537</v>
      </c>
      <c r="O809" s="12">
        <v>16564.349999999999</v>
      </c>
    </row>
    <row r="810" spans="1:15">
      <c r="A810" t="s">
        <v>983</v>
      </c>
      <c r="B810" t="s">
        <v>127</v>
      </c>
      <c r="C810" s="9">
        <v>15341</v>
      </c>
      <c r="D810">
        <v>84</v>
      </c>
      <c r="E810" t="s">
        <v>17</v>
      </c>
      <c r="F810" t="s">
        <v>74</v>
      </c>
      <c r="G810" s="9">
        <v>45224</v>
      </c>
      <c r="H810" s="9">
        <v>45717</v>
      </c>
      <c r="I810">
        <v>27</v>
      </c>
      <c r="J810" t="s">
        <v>32</v>
      </c>
      <c r="K810">
        <v>3</v>
      </c>
      <c r="L810">
        <v>1</v>
      </c>
      <c r="M810" s="11">
        <v>23905.15</v>
      </c>
      <c r="N810" s="12">
        <v>9857.1299999999992</v>
      </c>
      <c r="O810" s="12">
        <v>2338.2199999999998</v>
      </c>
    </row>
    <row r="811" spans="1:15">
      <c r="A811" t="s">
        <v>984</v>
      </c>
      <c r="B811" t="s">
        <v>215</v>
      </c>
      <c r="C811" s="9">
        <v>41274</v>
      </c>
      <c r="D811">
        <v>13</v>
      </c>
      <c r="E811" t="s">
        <v>21</v>
      </c>
      <c r="F811" t="s">
        <v>22</v>
      </c>
      <c r="G811" s="9">
        <v>45396</v>
      </c>
      <c r="H811" s="9">
        <v>45159</v>
      </c>
      <c r="I811">
        <v>23</v>
      </c>
      <c r="J811" t="s">
        <v>32</v>
      </c>
      <c r="K811">
        <v>11</v>
      </c>
      <c r="L811">
        <v>3</v>
      </c>
      <c r="M811" s="11">
        <v>10213.23</v>
      </c>
      <c r="N811" s="12">
        <v>3607.65</v>
      </c>
      <c r="O811" s="12">
        <v>2001.06</v>
      </c>
    </row>
    <row r="812" spans="1:15">
      <c r="A812" t="s">
        <v>985</v>
      </c>
      <c r="B812" t="s">
        <v>105</v>
      </c>
      <c r="C812" s="9">
        <v>22281</v>
      </c>
      <c r="D812">
        <v>65</v>
      </c>
      <c r="E812" t="s">
        <v>21</v>
      </c>
      <c r="F812" t="s">
        <v>5184</v>
      </c>
      <c r="G812" s="9">
        <v>45631</v>
      </c>
      <c r="H812" s="9">
        <v>45576</v>
      </c>
      <c r="I812">
        <v>35</v>
      </c>
      <c r="J812" t="s">
        <v>26</v>
      </c>
      <c r="K812">
        <v>2</v>
      </c>
      <c r="L812">
        <v>8</v>
      </c>
      <c r="M812" s="11">
        <v>14294.88</v>
      </c>
      <c r="N812" s="12">
        <v>2384.52</v>
      </c>
      <c r="O812" s="12">
        <v>16077.07</v>
      </c>
    </row>
    <row r="813" spans="1:15">
      <c r="A813" t="s">
        <v>986</v>
      </c>
      <c r="B813" t="s">
        <v>163</v>
      </c>
      <c r="C813" s="9">
        <v>18994</v>
      </c>
      <c r="D813">
        <v>74</v>
      </c>
      <c r="E813" t="s">
        <v>21</v>
      </c>
      <c r="F813" t="s">
        <v>29</v>
      </c>
      <c r="G813" s="9">
        <v>45299</v>
      </c>
      <c r="H813" s="9">
        <v>45087</v>
      </c>
      <c r="I813">
        <v>19</v>
      </c>
      <c r="J813" t="s">
        <v>32</v>
      </c>
      <c r="K813">
        <v>6</v>
      </c>
      <c r="L813">
        <v>7</v>
      </c>
      <c r="M813" s="11">
        <v>5232.71</v>
      </c>
      <c r="N813" s="12">
        <v>9999.76</v>
      </c>
      <c r="O813" s="12">
        <v>9795.5400000000009</v>
      </c>
    </row>
    <row r="814" spans="1:15">
      <c r="A814" t="s">
        <v>987</v>
      </c>
      <c r="B814" t="s">
        <v>275</v>
      </c>
      <c r="C814" s="9">
        <v>27760</v>
      </c>
      <c r="D814">
        <v>50</v>
      </c>
      <c r="E814" t="s">
        <v>21</v>
      </c>
      <c r="F814" t="s">
        <v>29</v>
      </c>
      <c r="G814" s="9">
        <v>45394</v>
      </c>
      <c r="H814" s="9">
        <v>45271</v>
      </c>
      <c r="I814">
        <v>36</v>
      </c>
      <c r="J814" t="s">
        <v>35</v>
      </c>
      <c r="K814">
        <v>4</v>
      </c>
      <c r="L814">
        <v>9</v>
      </c>
      <c r="M814" s="11">
        <v>14313.8</v>
      </c>
      <c r="N814" s="12">
        <v>8046.37</v>
      </c>
      <c r="O814" s="12">
        <v>7141.01</v>
      </c>
    </row>
    <row r="815" spans="1:15">
      <c r="A815" t="s">
        <v>988</v>
      </c>
      <c r="B815" t="s">
        <v>135</v>
      </c>
      <c r="C815" s="9">
        <v>32508</v>
      </c>
      <c r="D815">
        <f ca="1">DATEDIF(C766,TODAY(),"Y")</f>
        <v>68</v>
      </c>
      <c r="E815" t="s">
        <v>21</v>
      </c>
      <c r="F815" t="s">
        <v>22</v>
      </c>
      <c r="G815" s="9">
        <v>45364</v>
      </c>
      <c r="H815" s="9">
        <v>45216</v>
      </c>
      <c r="I815">
        <v>36</v>
      </c>
      <c r="J815" t="s">
        <v>32</v>
      </c>
      <c r="K815">
        <v>8</v>
      </c>
      <c r="L815">
        <v>1</v>
      </c>
      <c r="M815" s="11">
        <v>15228.91</v>
      </c>
      <c r="N815" s="12">
        <v>12077.85</v>
      </c>
      <c r="O815" s="12">
        <v>9173.2099999999991</v>
      </c>
    </row>
    <row r="816" spans="1:15">
      <c r="A816" t="s">
        <v>989</v>
      </c>
      <c r="B816" t="s">
        <v>446</v>
      </c>
      <c r="C816" s="9">
        <v>23012</v>
      </c>
      <c r="D816">
        <v>63</v>
      </c>
      <c r="E816" t="s">
        <v>17</v>
      </c>
      <c r="F816" t="s">
        <v>5184</v>
      </c>
      <c r="G816" s="9">
        <v>45646</v>
      </c>
      <c r="H816" s="9">
        <v>45132</v>
      </c>
      <c r="I816">
        <v>31</v>
      </c>
      <c r="J816" t="s">
        <v>32</v>
      </c>
      <c r="K816">
        <v>3</v>
      </c>
      <c r="L816">
        <v>3</v>
      </c>
      <c r="M816" s="11">
        <v>18480.98</v>
      </c>
      <c r="N816" s="12">
        <v>4790.42</v>
      </c>
      <c r="O816" s="12">
        <v>8158.02</v>
      </c>
    </row>
    <row r="817" spans="1:15">
      <c r="A817" t="s">
        <v>990</v>
      </c>
      <c r="B817" t="s">
        <v>159</v>
      </c>
      <c r="C817" s="9">
        <v>32508</v>
      </c>
      <c r="D817">
        <v>37</v>
      </c>
      <c r="E817" t="s">
        <v>17</v>
      </c>
      <c r="F817" t="s">
        <v>49</v>
      </c>
      <c r="G817" s="9">
        <v>45369</v>
      </c>
      <c r="H817" s="9">
        <v>45765</v>
      </c>
      <c r="I817">
        <v>22</v>
      </c>
      <c r="J817" t="s">
        <v>32</v>
      </c>
      <c r="K817">
        <v>7</v>
      </c>
      <c r="L817">
        <v>3</v>
      </c>
      <c r="M817" s="11">
        <v>25993.33</v>
      </c>
      <c r="N817" s="12">
        <v>4945.5600000000004</v>
      </c>
      <c r="O817" s="12">
        <v>15616.07</v>
      </c>
    </row>
    <row r="818" spans="1:15">
      <c r="A818" t="s">
        <v>991</v>
      </c>
      <c r="B818" t="s">
        <v>326</v>
      </c>
      <c r="C818" s="9">
        <v>28125</v>
      </c>
      <c r="D818">
        <v>49</v>
      </c>
      <c r="E818" t="s">
        <v>17</v>
      </c>
      <c r="F818" t="s">
        <v>74</v>
      </c>
      <c r="G818" s="9">
        <v>45382</v>
      </c>
      <c r="H818" s="9">
        <v>45232</v>
      </c>
      <c r="I818">
        <v>33</v>
      </c>
      <c r="J818" t="s">
        <v>32</v>
      </c>
      <c r="K818">
        <v>4</v>
      </c>
      <c r="L818">
        <v>1</v>
      </c>
      <c r="M818" s="11">
        <v>8797.9599999999991</v>
      </c>
      <c r="N818" s="12">
        <v>2257.38</v>
      </c>
      <c r="O818" s="12">
        <v>87.48</v>
      </c>
    </row>
    <row r="819" spans="1:15">
      <c r="A819" t="s">
        <v>992</v>
      </c>
      <c r="B819" t="s">
        <v>264</v>
      </c>
      <c r="C819" s="9">
        <v>16437</v>
      </c>
      <c r="D819">
        <v>81</v>
      </c>
      <c r="E819" t="s">
        <v>17</v>
      </c>
      <c r="F819" t="s">
        <v>25</v>
      </c>
      <c r="G819" s="9">
        <v>45174</v>
      </c>
      <c r="H819" s="9">
        <v>45287</v>
      </c>
      <c r="I819">
        <v>10</v>
      </c>
      <c r="J819" t="s">
        <v>35</v>
      </c>
      <c r="K819">
        <v>12</v>
      </c>
      <c r="L819">
        <v>1</v>
      </c>
      <c r="M819" s="11">
        <v>29516.17</v>
      </c>
      <c r="N819" s="12">
        <v>9783.8700000000008</v>
      </c>
      <c r="O819" s="12">
        <v>8606.49</v>
      </c>
    </row>
    <row r="820" spans="1:15">
      <c r="A820" t="s">
        <v>993</v>
      </c>
      <c r="B820" t="s">
        <v>157</v>
      </c>
      <c r="C820" s="9">
        <v>35430</v>
      </c>
      <c r="D820">
        <v>29</v>
      </c>
      <c r="E820" t="s">
        <v>17</v>
      </c>
      <c r="F820" t="s">
        <v>5184</v>
      </c>
      <c r="G820" s="9">
        <v>45068</v>
      </c>
      <c r="H820" s="9">
        <v>45597</v>
      </c>
      <c r="I820">
        <v>26</v>
      </c>
      <c r="J820" t="s">
        <v>26</v>
      </c>
      <c r="K820">
        <v>11</v>
      </c>
      <c r="L820">
        <v>4</v>
      </c>
      <c r="M820" s="11">
        <v>25354.54</v>
      </c>
      <c r="N820" s="12">
        <v>10633.38</v>
      </c>
      <c r="O820" s="12">
        <v>3092.98</v>
      </c>
    </row>
    <row r="821" spans="1:15">
      <c r="A821" t="s">
        <v>994</v>
      </c>
      <c r="B821" t="s">
        <v>129</v>
      </c>
      <c r="C821" s="9">
        <v>17533</v>
      </c>
      <c r="D821">
        <v>78</v>
      </c>
      <c r="E821" t="s">
        <v>21</v>
      </c>
      <c r="F821" t="s">
        <v>74</v>
      </c>
      <c r="G821" s="9">
        <v>45328</v>
      </c>
      <c r="H821" s="9">
        <v>45797</v>
      </c>
      <c r="I821">
        <v>39</v>
      </c>
      <c r="J821" t="s">
        <v>26</v>
      </c>
      <c r="K821">
        <v>9</v>
      </c>
      <c r="L821">
        <v>3</v>
      </c>
      <c r="M821" s="11">
        <v>11789.14</v>
      </c>
      <c r="N821" s="12">
        <v>2076.4</v>
      </c>
      <c r="O821" s="12">
        <v>6096.55</v>
      </c>
    </row>
    <row r="822" spans="1:15">
      <c r="A822" t="s">
        <v>995</v>
      </c>
      <c r="B822" t="s">
        <v>127</v>
      </c>
      <c r="C822" s="9">
        <v>13150</v>
      </c>
      <c r="D822">
        <v>90</v>
      </c>
      <c r="E822" t="s">
        <v>21</v>
      </c>
      <c r="F822" t="s">
        <v>29</v>
      </c>
      <c r="G822" s="9">
        <v>45148</v>
      </c>
      <c r="H822" s="9">
        <v>45327</v>
      </c>
      <c r="I822">
        <v>6</v>
      </c>
      <c r="J822" t="s">
        <v>32</v>
      </c>
      <c r="K822">
        <v>9</v>
      </c>
      <c r="L822">
        <v>7</v>
      </c>
      <c r="M822" s="11">
        <v>6413.24</v>
      </c>
      <c r="N822" s="12">
        <v>3811.7</v>
      </c>
      <c r="O822" s="12">
        <v>2154.64</v>
      </c>
    </row>
    <row r="823" spans="1:15">
      <c r="A823" t="s">
        <v>996</v>
      </c>
      <c r="B823" t="s">
        <v>286</v>
      </c>
      <c r="C823" s="9">
        <v>27760</v>
      </c>
      <c r="D823">
        <v>50</v>
      </c>
      <c r="E823" t="s">
        <v>21</v>
      </c>
      <c r="F823" t="s">
        <v>74</v>
      </c>
      <c r="G823" s="9">
        <v>45110</v>
      </c>
      <c r="H823" s="9">
        <v>45376</v>
      </c>
      <c r="I823">
        <v>12</v>
      </c>
      <c r="J823" t="s">
        <v>35</v>
      </c>
      <c r="K823">
        <v>9</v>
      </c>
      <c r="L823">
        <v>3</v>
      </c>
      <c r="M823" s="11">
        <v>1680.58</v>
      </c>
      <c r="N823" s="12">
        <v>2314.0700000000002</v>
      </c>
      <c r="O823" s="12">
        <v>8482.4599999999991</v>
      </c>
    </row>
    <row r="824" spans="1:15">
      <c r="A824" t="s">
        <v>997</v>
      </c>
      <c r="B824" t="s">
        <v>119</v>
      </c>
      <c r="C824" s="9">
        <v>23377</v>
      </c>
      <c r="D824">
        <v>62</v>
      </c>
      <c r="E824" t="s">
        <v>17</v>
      </c>
      <c r="F824" t="s">
        <v>18</v>
      </c>
      <c r="G824" s="9">
        <v>45290</v>
      </c>
      <c r="H824" s="9">
        <v>45033</v>
      </c>
      <c r="I824">
        <v>28</v>
      </c>
      <c r="J824" t="s">
        <v>32</v>
      </c>
      <c r="K824">
        <v>14</v>
      </c>
      <c r="L824">
        <v>7</v>
      </c>
      <c r="M824" s="11">
        <v>6648.11</v>
      </c>
      <c r="N824" s="12">
        <v>11215.15</v>
      </c>
      <c r="O824" s="12">
        <v>12830.23</v>
      </c>
    </row>
    <row r="825" spans="1:15">
      <c r="A825" t="s">
        <v>998</v>
      </c>
      <c r="B825" t="s">
        <v>341</v>
      </c>
      <c r="C825" s="9">
        <v>27395</v>
      </c>
      <c r="D825">
        <v>51</v>
      </c>
      <c r="E825" t="s">
        <v>21</v>
      </c>
      <c r="F825" t="s">
        <v>18</v>
      </c>
      <c r="G825" s="9">
        <v>45114</v>
      </c>
      <c r="H825" s="9">
        <v>45009</v>
      </c>
      <c r="I825">
        <v>24</v>
      </c>
      <c r="J825" t="s">
        <v>35</v>
      </c>
      <c r="K825">
        <v>12</v>
      </c>
      <c r="L825">
        <v>4</v>
      </c>
      <c r="M825" s="11">
        <v>26477.95</v>
      </c>
      <c r="N825" s="12">
        <v>3136.47</v>
      </c>
      <c r="O825" s="12">
        <v>13198.02</v>
      </c>
    </row>
    <row r="826" spans="1:15">
      <c r="A826" t="s">
        <v>999</v>
      </c>
      <c r="B826" t="s">
        <v>103</v>
      </c>
      <c r="C826" s="9">
        <v>32508</v>
      </c>
      <c r="D826">
        <v>37</v>
      </c>
      <c r="E826" t="s">
        <v>21</v>
      </c>
      <c r="F826" t="s">
        <v>25</v>
      </c>
      <c r="G826" s="9">
        <v>45039</v>
      </c>
      <c r="H826" s="9">
        <v>45269</v>
      </c>
      <c r="I826">
        <v>28</v>
      </c>
      <c r="J826" t="s">
        <v>35</v>
      </c>
      <c r="K826">
        <v>9</v>
      </c>
      <c r="L826">
        <v>0</v>
      </c>
      <c r="M826" s="11">
        <v>8406.9599999999991</v>
      </c>
      <c r="N826" s="12">
        <v>2283.6999999999998</v>
      </c>
      <c r="O826" s="12">
        <v>15914.55</v>
      </c>
    </row>
    <row r="827" spans="1:15">
      <c r="A827" t="s">
        <v>1000</v>
      </c>
      <c r="B827" t="s">
        <v>133</v>
      </c>
      <c r="C827" s="9">
        <v>14246</v>
      </c>
      <c r="D827">
        <v>87</v>
      </c>
      <c r="E827" t="s">
        <v>17</v>
      </c>
      <c r="F827" t="s">
        <v>49</v>
      </c>
      <c r="G827" s="9">
        <v>45107</v>
      </c>
      <c r="H827" s="9">
        <v>45709</v>
      </c>
      <c r="I827">
        <v>7</v>
      </c>
      <c r="J827" t="s">
        <v>35</v>
      </c>
      <c r="K827">
        <v>1</v>
      </c>
      <c r="L827">
        <v>8</v>
      </c>
      <c r="M827" s="11">
        <v>3708.38</v>
      </c>
      <c r="N827" s="12">
        <v>1047.78</v>
      </c>
      <c r="O827" s="12">
        <v>16281.73</v>
      </c>
    </row>
    <row r="828" spans="1:15">
      <c r="A828" t="s">
        <v>1001</v>
      </c>
      <c r="B828" t="s">
        <v>341</v>
      </c>
      <c r="C828" s="9">
        <v>17533</v>
      </c>
      <c r="D828">
        <v>78</v>
      </c>
      <c r="E828" t="s">
        <v>21</v>
      </c>
      <c r="F828" t="s">
        <v>74</v>
      </c>
      <c r="G828" s="9">
        <v>45125</v>
      </c>
      <c r="H828" s="9">
        <v>45348</v>
      </c>
      <c r="I828">
        <v>34</v>
      </c>
      <c r="J828" t="s">
        <v>26</v>
      </c>
      <c r="K828">
        <v>4</v>
      </c>
      <c r="L828">
        <v>7</v>
      </c>
      <c r="M828" s="11">
        <v>191.57</v>
      </c>
      <c r="N828" s="12">
        <v>12469.49</v>
      </c>
      <c r="O828" s="12">
        <v>11914.44</v>
      </c>
    </row>
    <row r="829" spans="1:15">
      <c r="A829" t="s">
        <v>1002</v>
      </c>
      <c r="B829" t="s">
        <v>80</v>
      </c>
      <c r="C829" s="9">
        <f>DATE(2026-D789,1,1)</f>
        <v>33970</v>
      </c>
      <c r="D829">
        <v>29</v>
      </c>
      <c r="E829" t="s">
        <v>17</v>
      </c>
      <c r="F829" t="s">
        <v>18</v>
      </c>
      <c r="G829" s="9">
        <v>44996</v>
      </c>
      <c r="H829" s="9">
        <v>44976</v>
      </c>
      <c r="I829">
        <v>4</v>
      </c>
      <c r="J829" t="s">
        <v>32</v>
      </c>
      <c r="K829">
        <v>10</v>
      </c>
      <c r="L829">
        <v>0</v>
      </c>
      <c r="M829" s="11">
        <v>8579.25</v>
      </c>
      <c r="N829" s="12">
        <v>1859.69</v>
      </c>
      <c r="O829" s="12">
        <v>6998.31</v>
      </c>
    </row>
    <row r="830" spans="1:15">
      <c r="A830" t="s">
        <v>1003</v>
      </c>
      <c r="B830" t="s">
        <v>168</v>
      </c>
      <c r="C830" s="9">
        <v>27760</v>
      </c>
      <c r="D830">
        <v>50</v>
      </c>
      <c r="E830" t="s">
        <v>17</v>
      </c>
      <c r="F830" t="s">
        <v>49</v>
      </c>
      <c r="G830" s="9">
        <v>45524</v>
      </c>
      <c r="H830" s="9">
        <v>45133</v>
      </c>
      <c r="I830">
        <v>29</v>
      </c>
      <c r="J830" t="s">
        <v>35</v>
      </c>
      <c r="K830">
        <v>9</v>
      </c>
      <c r="L830">
        <v>2</v>
      </c>
      <c r="M830" s="11">
        <v>6092.66</v>
      </c>
      <c r="N830" s="12">
        <v>445.01</v>
      </c>
      <c r="O830" s="12">
        <v>931.44</v>
      </c>
    </row>
    <row r="831" spans="1:15">
      <c r="A831" t="s">
        <v>1004</v>
      </c>
      <c r="B831" t="s">
        <v>619</v>
      </c>
      <c r="C831" s="9">
        <v>16802</v>
      </c>
      <c r="D831">
        <v>80</v>
      </c>
      <c r="E831" t="s">
        <v>21</v>
      </c>
      <c r="F831" t="s">
        <v>5184</v>
      </c>
      <c r="G831" s="9">
        <v>45411</v>
      </c>
      <c r="H831" s="9">
        <v>45145</v>
      </c>
      <c r="I831">
        <v>8</v>
      </c>
      <c r="J831" t="s">
        <v>26</v>
      </c>
      <c r="K831">
        <v>10</v>
      </c>
      <c r="L831">
        <v>2</v>
      </c>
      <c r="M831" s="11">
        <v>2617.17</v>
      </c>
      <c r="N831" s="12">
        <v>964.58</v>
      </c>
      <c r="O831" s="12">
        <v>620.99</v>
      </c>
    </row>
    <row r="832" spans="1:15">
      <c r="A832" t="s">
        <v>1005</v>
      </c>
      <c r="B832" t="s">
        <v>348</v>
      </c>
      <c r="C832" s="9">
        <v>44561</v>
      </c>
      <c r="D832">
        <v>4</v>
      </c>
      <c r="E832" t="s">
        <v>21</v>
      </c>
      <c r="F832" t="s">
        <v>5184</v>
      </c>
      <c r="G832" s="9">
        <v>45325</v>
      </c>
      <c r="H832" s="9">
        <v>45745</v>
      </c>
      <c r="I832">
        <v>25</v>
      </c>
      <c r="J832" t="s">
        <v>26</v>
      </c>
      <c r="K832">
        <v>2</v>
      </c>
      <c r="L832">
        <v>4</v>
      </c>
      <c r="M832" s="11">
        <v>28508.12</v>
      </c>
      <c r="N832" s="12">
        <v>5502.46</v>
      </c>
      <c r="O832" s="12">
        <v>2176.59</v>
      </c>
    </row>
    <row r="833" spans="1:15">
      <c r="A833" t="s">
        <v>1006</v>
      </c>
      <c r="B833" t="s">
        <v>343</v>
      </c>
      <c r="C833" s="9">
        <v>35795</v>
      </c>
      <c r="D833">
        <v>28</v>
      </c>
      <c r="E833" t="s">
        <v>17</v>
      </c>
      <c r="F833" t="s">
        <v>18</v>
      </c>
      <c r="G833" s="9">
        <v>45477</v>
      </c>
      <c r="H833" s="9">
        <v>45603</v>
      </c>
      <c r="I833">
        <v>1</v>
      </c>
      <c r="J833" t="s">
        <v>32</v>
      </c>
      <c r="K833">
        <v>3</v>
      </c>
      <c r="L833">
        <v>6</v>
      </c>
      <c r="M833" s="11">
        <v>7662.47</v>
      </c>
      <c r="N833" s="12">
        <v>8949.7900000000009</v>
      </c>
      <c r="O833" s="12">
        <v>19675.009999999998</v>
      </c>
    </row>
    <row r="834" spans="1:15">
      <c r="A834" t="s">
        <v>1007</v>
      </c>
      <c r="B834" t="s">
        <v>275</v>
      </c>
      <c r="C834" s="9">
        <v>44927</v>
      </c>
      <c r="D834">
        <v>3</v>
      </c>
      <c r="E834" t="s">
        <v>17</v>
      </c>
      <c r="F834" t="s">
        <v>49</v>
      </c>
      <c r="G834" s="9">
        <v>45569</v>
      </c>
      <c r="H834" s="9">
        <v>45363</v>
      </c>
      <c r="I834">
        <v>28</v>
      </c>
      <c r="J834" t="s">
        <v>32</v>
      </c>
      <c r="K834">
        <v>4</v>
      </c>
      <c r="L834">
        <v>0</v>
      </c>
      <c r="M834" s="11">
        <v>311.61</v>
      </c>
      <c r="N834" s="12">
        <v>5973.07</v>
      </c>
      <c r="O834" s="12">
        <v>15698.15</v>
      </c>
    </row>
    <row r="835" spans="1:15">
      <c r="A835" t="s">
        <v>1008</v>
      </c>
      <c r="B835" t="s">
        <v>108</v>
      </c>
      <c r="C835" s="9">
        <v>42735</v>
      </c>
      <c r="D835">
        <v>9</v>
      </c>
      <c r="E835" t="s">
        <v>21</v>
      </c>
      <c r="F835" t="s">
        <v>49</v>
      </c>
      <c r="G835" s="9">
        <v>44936</v>
      </c>
      <c r="H835" s="9">
        <v>45718</v>
      </c>
      <c r="I835">
        <v>26</v>
      </c>
      <c r="J835" t="s">
        <v>35</v>
      </c>
      <c r="K835">
        <v>7</v>
      </c>
      <c r="L835">
        <v>0</v>
      </c>
      <c r="M835" s="11">
        <v>28300.41</v>
      </c>
      <c r="N835" s="12">
        <v>6831.1</v>
      </c>
      <c r="O835" s="12">
        <v>8037.93</v>
      </c>
    </row>
    <row r="836" spans="1:15">
      <c r="A836" t="s">
        <v>1009</v>
      </c>
      <c r="B836" t="s">
        <v>115</v>
      </c>
      <c r="C836" s="9">
        <v>25934</v>
      </c>
      <c r="D836">
        <v>55</v>
      </c>
      <c r="E836" t="s">
        <v>17</v>
      </c>
      <c r="F836" t="s">
        <v>18</v>
      </c>
      <c r="G836" s="9">
        <v>44929</v>
      </c>
      <c r="H836" s="9">
        <v>45249</v>
      </c>
      <c r="I836">
        <v>30</v>
      </c>
      <c r="J836" t="s">
        <v>32</v>
      </c>
      <c r="K836">
        <v>1</v>
      </c>
      <c r="L836">
        <v>9</v>
      </c>
      <c r="M836" s="11">
        <v>17144.650000000001</v>
      </c>
      <c r="N836" s="12">
        <v>13789.58</v>
      </c>
      <c r="O836" s="12">
        <v>9270.64</v>
      </c>
    </row>
    <row r="837" spans="1:15">
      <c r="A837" t="s">
        <v>1010</v>
      </c>
      <c r="B837" t="s">
        <v>619</v>
      </c>
      <c r="C837" s="9">
        <v>40178</v>
      </c>
      <c r="D837">
        <v>16</v>
      </c>
      <c r="E837" t="s">
        <v>17</v>
      </c>
      <c r="F837" t="s">
        <v>22</v>
      </c>
      <c r="G837" s="9">
        <v>45404</v>
      </c>
      <c r="H837" s="9">
        <v>45158</v>
      </c>
      <c r="I837">
        <v>1</v>
      </c>
      <c r="J837" t="s">
        <v>32</v>
      </c>
      <c r="K837">
        <v>1</v>
      </c>
      <c r="L837">
        <v>5</v>
      </c>
      <c r="M837" s="11">
        <v>2025.8</v>
      </c>
      <c r="N837" s="12">
        <v>11383.82</v>
      </c>
      <c r="O837" s="12">
        <v>14721.37</v>
      </c>
    </row>
    <row r="838" spans="1:15">
      <c r="A838" t="s">
        <v>1011</v>
      </c>
      <c r="B838" t="s">
        <v>397</v>
      </c>
      <c r="C838" s="9">
        <f>DATE(2026-D798,1,1)</f>
        <v>28126</v>
      </c>
      <c r="D838">
        <v>73</v>
      </c>
      <c r="E838" t="s">
        <v>21</v>
      </c>
      <c r="F838" t="s">
        <v>29</v>
      </c>
      <c r="G838" s="9">
        <v>45588</v>
      </c>
      <c r="H838" s="9">
        <v>45638</v>
      </c>
      <c r="I838">
        <v>23</v>
      </c>
      <c r="J838" t="s">
        <v>32</v>
      </c>
      <c r="K838">
        <v>0</v>
      </c>
      <c r="L838">
        <v>4</v>
      </c>
      <c r="M838" s="11">
        <v>458.37</v>
      </c>
      <c r="N838" s="12">
        <v>5115.62</v>
      </c>
      <c r="O838" s="12">
        <v>10239.450000000001</v>
      </c>
    </row>
    <row r="839" spans="1:15">
      <c r="A839" t="s">
        <v>1012</v>
      </c>
      <c r="B839" t="s">
        <v>129</v>
      </c>
      <c r="C839" s="9">
        <v>40178</v>
      </c>
      <c r="D839">
        <v>16</v>
      </c>
      <c r="E839" t="s">
        <v>21</v>
      </c>
      <c r="F839" t="s">
        <v>49</v>
      </c>
      <c r="G839" s="9">
        <v>44993</v>
      </c>
      <c r="H839" s="9">
        <v>45414</v>
      </c>
      <c r="I839">
        <v>28</v>
      </c>
      <c r="J839" t="s">
        <v>35</v>
      </c>
      <c r="K839">
        <v>6</v>
      </c>
      <c r="L839">
        <v>2</v>
      </c>
      <c r="M839" s="11">
        <v>2789.4</v>
      </c>
      <c r="N839" s="12">
        <v>2314.7199999999998</v>
      </c>
      <c r="O839" s="12">
        <v>7144.37</v>
      </c>
    </row>
    <row r="840" spans="1:15">
      <c r="A840" t="s">
        <v>1013</v>
      </c>
      <c r="B840" t="s">
        <v>91</v>
      </c>
      <c r="C840" s="9">
        <v>15707</v>
      </c>
      <c r="D840">
        <v>83</v>
      </c>
      <c r="E840" t="s">
        <v>17</v>
      </c>
      <c r="F840" t="s">
        <v>5184</v>
      </c>
      <c r="G840" s="9">
        <v>45631</v>
      </c>
      <c r="H840" s="9">
        <v>45356</v>
      </c>
      <c r="I840">
        <v>28</v>
      </c>
      <c r="J840" t="s">
        <v>26</v>
      </c>
      <c r="K840">
        <v>2</v>
      </c>
      <c r="L840">
        <v>2</v>
      </c>
      <c r="M840" s="11">
        <v>17540.47</v>
      </c>
      <c r="N840" s="12">
        <v>11237.59</v>
      </c>
      <c r="O840" s="12">
        <v>6926.17</v>
      </c>
    </row>
    <row r="841" spans="1:15">
      <c r="A841" t="s">
        <v>1014</v>
      </c>
      <c r="B841" t="s">
        <v>112</v>
      </c>
      <c r="C841" s="9">
        <v>14246</v>
      </c>
      <c r="D841">
        <f ca="1">DATEDIF(C792,TODAY(),"Y")</f>
        <v>71</v>
      </c>
      <c r="E841" t="s">
        <v>21</v>
      </c>
      <c r="F841" t="s">
        <v>22</v>
      </c>
      <c r="G841" s="9">
        <v>45023</v>
      </c>
      <c r="H841" s="9">
        <v>45810</v>
      </c>
      <c r="I841">
        <v>24</v>
      </c>
      <c r="J841" t="s">
        <v>32</v>
      </c>
      <c r="K841">
        <v>5</v>
      </c>
      <c r="L841">
        <v>3</v>
      </c>
      <c r="M841" s="11">
        <v>1387.08</v>
      </c>
      <c r="N841" s="12">
        <v>8602.86</v>
      </c>
      <c r="O841" s="12">
        <v>4113.8</v>
      </c>
    </row>
    <row r="842" spans="1:15">
      <c r="A842" t="s">
        <v>1015</v>
      </c>
      <c r="B842" t="s">
        <v>133</v>
      </c>
      <c r="C842" s="9">
        <v>21185</v>
      </c>
      <c r="D842">
        <v>68</v>
      </c>
      <c r="E842" t="s">
        <v>17</v>
      </c>
      <c r="F842" t="s">
        <v>74</v>
      </c>
      <c r="G842" s="9">
        <v>45457</v>
      </c>
      <c r="H842" s="9">
        <v>45653</v>
      </c>
      <c r="I842">
        <v>22</v>
      </c>
      <c r="J842" t="s">
        <v>26</v>
      </c>
      <c r="K842">
        <v>0</v>
      </c>
      <c r="L842">
        <v>9</v>
      </c>
      <c r="M842" s="11">
        <v>16828.29</v>
      </c>
      <c r="N842" s="12">
        <v>14433.7</v>
      </c>
      <c r="O842" s="12">
        <v>17700.79</v>
      </c>
    </row>
    <row r="843" spans="1:15">
      <c r="A843" t="s">
        <v>1016</v>
      </c>
      <c r="B843" t="s">
        <v>550</v>
      </c>
      <c r="C843" s="9">
        <v>33969</v>
      </c>
      <c r="D843">
        <v>33</v>
      </c>
      <c r="E843" t="s">
        <v>21</v>
      </c>
      <c r="F843" t="s">
        <v>22</v>
      </c>
      <c r="G843" s="9">
        <v>45244</v>
      </c>
      <c r="H843" s="9">
        <v>45211</v>
      </c>
      <c r="I843">
        <v>33</v>
      </c>
      <c r="J843" t="s">
        <v>32</v>
      </c>
      <c r="K843">
        <v>10</v>
      </c>
      <c r="L843">
        <v>1</v>
      </c>
      <c r="M843" s="11">
        <v>19402.5</v>
      </c>
      <c r="N843" s="12">
        <v>13626.64</v>
      </c>
      <c r="O843" s="12">
        <v>8224.49</v>
      </c>
    </row>
    <row r="844" spans="1:15">
      <c r="A844" t="s">
        <v>1017</v>
      </c>
      <c r="B844" t="s">
        <v>427</v>
      </c>
      <c r="C844" s="9">
        <f>DATE(2026-D804,1,1)</f>
        <v>12055</v>
      </c>
      <c r="D844">
        <v>5</v>
      </c>
      <c r="E844" t="s">
        <v>17</v>
      </c>
      <c r="F844" t="s">
        <v>18</v>
      </c>
      <c r="G844" s="9">
        <v>45024</v>
      </c>
      <c r="H844" s="9">
        <v>45413</v>
      </c>
      <c r="I844">
        <v>28</v>
      </c>
      <c r="J844" t="s">
        <v>32</v>
      </c>
      <c r="K844">
        <v>9</v>
      </c>
      <c r="L844">
        <v>8</v>
      </c>
      <c r="M844" s="11">
        <v>4001.09</v>
      </c>
      <c r="N844" s="12">
        <v>8454.64</v>
      </c>
      <c r="O844" s="12">
        <v>15022.5</v>
      </c>
    </row>
    <row r="845" spans="1:15">
      <c r="A845" t="s">
        <v>1018</v>
      </c>
      <c r="B845" t="s">
        <v>264</v>
      </c>
      <c r="C845" s="9">
        <v>27029</v>
      </c>
      <c r="D845">
        <v>52</v>
      </c>
      <c r="E845" t="s">
        <v>17</v>
      </c>
      <c r="F845" t="s">
        <v>22</v>
      </c>
      <c r="G845" s="9">
        <v>44983</v>
      </c>
      <c r="H845" s="9">
        <v>45203</v>
      </c>
      <c r="I845">
        <v>34</v>
      </c>
      <c r="J845" t="s">
        <v>35</v>
      </c>
      <c r="K845">
        <v>8</v>
      </c>
      <c r="L845">
        <v>3</v>
      </c>
      <c r="M845" s="11">
        <v>14397.2</v>
      </c>
      <c r="N845" s="12">
        <v>1048.6500000000001</v>
      </c>
      <c r="O845" s="12">
        <v>11432.62</v>
      </c>
    </row>
    <row r="846" spans="1:15">
      <c r="A846" t="s">
        <v>1019</v>
      </c>
      <c r="B846" t="s">
        <v>286</v>
      </c>
      <c r="C846" s="9">
        <v>22281</v>
      </c>
      <c r="D846">
        <v>65</v>
      </c>
      <c r="E846" t="s">
        <v>17</v>
      </c>
      <c r="F846" t="s">
        <v>29</v>
      </c>
      <c r="G846" s="9">
        <v>45033</v>
      </c>
      <c r="H846" s="9">
        <v>45360</v>
      </c>
      <c r="I846">
        <v>20</v>
      </c>
      <c r="J846" t="s">
        <v>32</v>
      </c>
      <c r="K846">
        <v>12</v>
      </c>
      <c r="L846">
        <v>9</v>
      </c>
      <c r="M846" s="11">
        <v>28898.34</v>
      </c>
      <c r="N846" s="12">
        <v>464.4</v>
      </c>
      <c r="O846" s="12">
        <v>15057.28</v>
      </c>
    </row>
    <row r="847" spans="1:15">
      <c r="A847" t="s">
        <v>1020</v>
      </c>
      <c r="B847" t="s">
        <v>226</v>
      </c>
      <c r="C847" s="9">
        <v>18263</v>
      </c>
      <c r="D847">
        <v>76</v>
      </c>
      <c r="E847" t="s">
        <v>21</v>
      </c>
      <c r="F847" t="s">
        <v>18</v>
      </c>
      <c r="G847" s="9">
        <v>45014</v>
      </c>
      <c r="H847" s="9">
        <v>45112</v>
      </c>
      <c r="I847">
        <v>32</v>
      </c>
      <c r="J847" t="s">
        <v>32</v>
      </c>
      <c r="K847">
        <v>11</v>
      </c>
      <c r="L847">
        <v>2</v>
      </c>
      <c r="M847" s="11">
        <v>25012.9</v>
      </c>
      <c r="N847" s="12">
        <v>12562.81</v>
      </c>
      <c r="O847" s="12">
        <v>6350.29</v>
      </c>
    </row>
    <row r="848" spans="1:15">
      <c r="A848" t="s">
        <v>1021</v>
      </c>
      <c r="B848" t="s">
        <v>46</v>
      </c>
      <c r="C848" s="9">
        <v>30682</v>
      </c>
      <c r="D848">
        <v>42</v>
      </c>
      <c r="E848" t="s">
        <v>21</v>
      </c>
      <c r="F848" t="s">
        <v>25</v>
      </c>
      <c r="G848" s="9">
        <v>45579</v>
      </c>
      <c r="H848" s="9">
        <v>45649</v>
      </c>
      <c r="I848">
        <v>1</v>
      </c>
      <c r="J848" t="s">
        <v>32</v>
      </c>
      <c r="K848">
        <v>6</v>
      </c>
      <c r="L848">
        <v>9</v>
      </c>
      <c r="M848" s="11">
        <v>21562.61</v>
      </c>
      <c r="N848" s="12">
        <v>10470.629999999999</v>
      </c>
      <c r="O848" s="12">
        <v>15015.38</v>
      </c>
    </row>
    <row r="849" spans="1:15">
      <c r="A849" t="s">
        <v>1022</v>
      </c>
      <c r="B849" t="s">
        <v>117</v>
      </c>
      <c r="C849" s="9">
        <v>18994</v>
      </c>
      <c r="D849">
        <v>74</v>
      </c>
      <c r="E849" t="s">
        <v>17</v>
      </c>
      <c r="F849" t="s">
        <v>74</v>
      </c>
      <c r="G849" s="9">
        <v>45582</v>
      </c>
      <c r="H849" s="9">
        <v>45560</v>
      </c>
      <c r="I849">
        <v>25</v>
      </c>
      <c r="J849" t="s">
        <v>35</v>
      </c>
      <c r="K849">
        <v>8</v>
      </c>
      <c r="L849">
        <v>6</v>
      </c>
      <c r="M849" s="11">
        <v>15290.92</v>
      </c>
      <c r="N849" s="12">
        <v>8402.36</v>
      </c>
      <c r="O849" s="12">
        <v>15778.36</v>
      </c>
    </row>
    <row r="850" spans="1:15">
      <c r="A850" t="s">
        <v>1023</v>
      </c>
      <c r="B850" t="s">
        <v>84</v>
      </c>
      <c r="C850" s="9">
        <v>37987</v>
      </c>
      <c r="D850">
        <v>22</v>
      </c>
      <c r="E850" t="s">
        <v>21</v>
      </c>
      <c r="F850" t="s">
        <v>5184</v>
      </c>
      <c r="G850" s="9">
        <v>45297</v>
      </c>
      <c r="H850" s="9">
        <v>45143</v>
      </c>
      <c r="I850">
        <v>39</v>
      </c>
      <c r="J850" t="s">
        <v>32</v>
      </c>
      <c r="K850">
        <v>14</v>
      </c>
      <c r="L850">
        <v>8</v>
      </c>
      <c r="M850" s="11">
        <v>0</v>
      </c>
      <c r="N850" s="12">
        <v>10333.879999999999</v>
      </c>
      <c r="O850" s="12">
        <v>1996.03</v>
      </c>
    </row>
    <row r="851" spans="1:15">
      <c r="A851" t="s">
        <v>1024</v>
      </c>
      <c r="B851" t="s">
        <v>97</v>
      </c>
      <c r="C851" s="9">
        <f>DATE(2026-D811,1,1)</f>
        <v>41275</v>
      </c>
      <c r="D851">
        <v>54</v>
      </c>
      <c r="E851" t="s">
        <v>21</v>
      </c>
      <c r="F851" t="s">
        <v>25</v>
      </c>
      <c r="G851" s="9">
        <v>45301</v>
      </c>
      <c r="H851" s="9">
        <v>45024</v>
      </c>
      <c r="I851">
        <v>38</v>
      </c>
      <c r="J851" t="s">
        <v>26</v>
      </c>
      <c r="K851">
        <v>10</v>
      </c>
      <c r="L851">
        <v>1</v>
      </c>
      <c r="M851" s="11">
        <v>13268.76</v>
      </c>
      <c r="N851" s="12">
        <v>8096.8</v>
      </c>
      <c r="O851" s="12">
        <v>1738.42</v>
      </c>
    </row>
    <row r="852" spans="1:15">
      <c r="A852" t="s">
        <v>1025</v>
      </c>
      <c r="B852" t="s">
        <v>145</v>
      </c>
      <c r="C852" s="9">
        <v>17168</v>
      </c>
      <c r="D852">
        <v>79</v>
      </c>
      <c r="E852" t="s">
        <v>17</v>
      </c>
      <c r="F852" t="s">
        <v>22</v>
      </c>
      <c r="G852" s="9">
        <v>44978</v>
      </c>
      <c r="H852" s="9">
        <v>45046</v>
      </c>
      <c r="I852">
        <v>39</v>
      </c>
      <c r="J852" t="s">
        <v>32</v>
      </c>
      <c r="K852">
        <v>12</v>
      </c>
      <c r="L852">
        <v>5</v>
      </c>
      <c r="M852" s="11">
        <v>22820.61</v>
      </c>
      <c r="N852" s="12">
        <v>8675.07</v>
      </c>
      <c r="O852" s="12">
        <v>19708.46</v>
      </c>
    </row>
    <row r="853" spans="1:15">
      <c r="A853" t="s">
        <v>1026</v>
      </c>
      <c r="B853" t="s">
        <v>31</v>
      </c>
      <c r="C853" s="9">
        <v>11689</v>
      </c>
      <c r="D853">
        <v>94</v>
      </c>
      <c r="E853" t="s">
        <v>21</v>
      </c>
      <c r="F853" t="s">
        <v>49</v>
      </c>
      <c r="G853" s="9">
        <v>45650</v>
      </c>
      <c r="H853" s="9">
        <v>45292</v>
      </c>
      <c r="I853">
        <v>10</v>
      </c>
      <c r="J853" t="s">
        <v>32</v>
      </c>
      <c r="K853">
        <v>10</v>
      </c>
      <c r="L853">
        <v>4</v>
      </c>
      <c r="M853" s="11">
        <v>16406.09</v>
      </c>
      <c r="N853" s="12">
        <v>3388.33</v>
      </c>
      <c r="O853" s="12">
        <v>2270.88</v>
      </c>
    </row>
    <row r="854" spans="1:15">
      <c r="A854" t="s">
        <v>1027</v>
      </c>
      <c r="B854" t="s">
        <v>343</v>
      </c>
      <c r="C854" s="9">
        <v>18994</v>
      </c>
      <c r="D854">
        <v>74</v>
      </c>
      <c r="E854" t="s">
        <v>21</v>
      </c>
      <c r="F854" t="s">
        <v>22</v>
      </c>
      <c r="G854" s="9">
        <v>44967</v>
      </c>
      <c r="H854" s="9">
        <v>45721</v>
      </c>
      <c r="I854">
        <v>2</v>
      </c>
      <c r="J854" t="s">
        <v>32</v>
      </c>
      <c r="K854">
        <v>7</v>
      </c>
      <c r="L854">
        <v>0</v>
      </c>
      <c r="M854" s="11">
        <v>22821.95</v>
      </c>
      <c r="N854" s="12">
        <v>6832.57</v>
      </c>
      <c r="O854" s="12">
        <v>13665.3</v>
      </c>
    </row>
    <row r="855" spans="1:15">
      <c r="A855" t="s">
        <v>1028</v>
      </c>
      <c r="B855" t="s">
        <v>524</v>
      </c>
      <c r="C855" s="9">
        <f ca="1">DATE(2026-D815,1,1)</f>
        <v>21186</v>
      </c>
      <c r="D855">
        <v>15</v>
      </c>
      <c r="E855" t="s">
        <v>21</v>
      </c>
      <c r="F855" t="s">
        <v>5184</v>
      </c>
      <c r="G855" s="9">
        <v>45017</v>
      </c>
      <c r="H855" s="9">
        <v>45330</v>
      </c>
      <c r="I855">
        <v>9</v>
      </c>
      <c r="J855" t="s">
        <v>35</v>
      </c>
      <c r="K855">
        <v>13</v>
      </c>
      <c r="L855">
        <v>6</v>
      </c>
      <c r="M855" s="11">
        <v>29081.13</v>
      </c>
      <c r="N855" s="12">
        <v>166.1</v>
      </c>
      <c r="O855" s="12">
        <v>14931.05</v>
      </c>
    </row>
    <row r="856" spans="1:15">
      <c r="A856" t="s">
        <v>1029</v>
      </c>
      <c r="B856" t="s">
        <v>232</v>
      </c>
      <c r="C856" s="9">
        <v>43466</v>
      </c>
      <c r="D856">
        <v>7</v>
      </c>
      <c r="E856" t="s">
        <v>17</v>
      </c>
      <c r="F856" t="s">
        <v>5184</v>
      </c>
      <c r="G856" s="9">
        <v>44965</v>
      </c>
      <c r="H856" s="9">
        <v>45545</v>
      </c>
      <c r="I856">
        <v>37</v>
      </c>
      <c r="J856" t="s">
        <v>32</v>
      </c>
      <c r="K856">
        <v>5</v>
      </c>
      <c r="L856">
        <v>0</v>
      </c>
      <c r="M856" s="11">
        <v>19035.68</v>
      </c>
      <c r="N856" s="12">
        <v>10031</v>
      </c>
      <c r="O856" s="12">
        <v>1176.57</v>
      </c>
    </row>
    <row r="857" spans="1:15">
      <c r="A857" t="s">
        <v>1030</v>
      </c>
      <c r="B857" t="s">
        <v>306</v>
      </c>
      <c r="C857" s="9">
        <v>44927</v>
      </c>
      <c r="D857">
        <v>3</v>
      </c>
      <c r="E857" t="s">
        <v>17</v>
      </c>
      <c r="F857" t="s">
        <v>49</v>
      </c>
      <c r="G857" s="9">
        <v>44939</v>
      </c>
      <c r="H857" s="9">
        <v>45324</v>
      </c>
      <c r="I857">
        <v>23</v>
      </c>
      <c r="J857" t="s">
        <v>32</v>
      </c>
      <c r="K857">
        <v>8</v>
      </c>
      <c r="L857">
        <v>9</v>
      </c>
      <c r="M857" s="11">
        <v>17894.66</v>
      </c>
      <c r="N857" s="12">
        <v>4984.54</v>
      </c>
      <c r="O857" s="12">
        <v>14904.87</v>
      </c>
    </row>
    <row r="858" spans="1:15">
      <c r="A858" t="s">
        <v>1031</v>
      </c>
      <c r="B858" t="s">
        <v>309</v>
      </c>
      <c r="C858" s="9">
        <f>DATE(2026-D818,1,1)</f>
        <v>28126</v>
      </c>
      <c r="D858">
        <v>3</v>
      </c>
      <c r="E858" t="s">
        <v>21</v>
      </c>
      <c r="F858" t="s">
        <v>25</v>
      </c>
      <c r="G858" s="9">
        <v>45534</v>
      </c>
      <c r="H858" s="9">
        <v>45385</v>
      </c>
      <c r="I858">
        <v>20</v>
      </c>
      <c r="J858" t="s">
        <v>35</v>
      </c>
      <c r="K858">
        <v>11</v>
      </c>
      <c r="L858">
        <v>8</v>
      </c>
      <c r="M858" s="11">
        <v>11887.94</v>
      </c>
      <c r="N858" s="12">
        <v>9844.86</v>
      </c>
      <c r="O858" s="12">
        <v>8332.25</v>
      </c>
    </row>
    <row r="859" spans="1:15">
      <c r="A859" t="s">
        <v>1032</v>
      </c>
      <c r="B859" t="s">
        <v>514</v>
      </c>
      <c r="C859" s="9">
        <v>25934</v>
      </c>
      <c r="D859">
        <v>55</v>
      </c>
      <c r="E859" t="s">
        <v>21</v>
      </c>
      <c r="F859" t="s">
        <v>25</v>
      </c>
      <c r="G859" s="9">
        <v>45547</v>
      </c>
      <c r="H859" s="9">
        <v>45245</v>
      </c>
      <c r="I859">
        <v>19</v>
      </c>
      <c r="J859" t="s">
        <v>32</v>
      </c>
      <c r="K859">
        <v>9</v>
      </c>
      <c r="L859">
        <v>3</v>
      </c>
      <c r="M859" s="11">
        <v>5501</v>
      </c>
      <c r="N859" s="12">
        <v>13896.93</v>
      </c>
      <c r="O859" s="12">
        <v>5420.95</v>
      </c>
    </row>
    <row r="860" spans="1:15">
      <c r="A860" t="s">
        <v>1033</v>
      </c>
      <c r="B860" t="s">
        <v>350</v>
      </c>
      <c r="C860" s="9">
        <v>37256</v>
      </c>
      <c r="D860">
        <v>24</v>
      </c>
      <c r="E860" t="s">
        <v>21</v>
      </c>
      <c r="F860" t="s">
        <v>49</v>
      </c>
      <c r="G860" s="9">
        <v>45030</v>
      </c>
      <c r="H860" s="9">
        <v>45309</v>
      </c>
      <c r="I860">
        <v>25</v>
      </c>
      <c r="J860" t="s">
        <v>32</v>
      </c>
      <c r="K860">
        <v>1</v>
      </c>
      <c r="L860">
        <v>7</v>
      </c>
      <c r="M860" s="11">
        <v>10913.12</v>
      </c>
      <c r="N860" s="12">
        <v>8874.65</v>
      </c>
      <c r="O860" s="12">
        <v>13273.15</v>
      </c>
    </row>
    <row r="861" spans="1:15">
      <c r="A861" t="s">
        <v>1034</v>
      </c>
      <c r="B861" t="s">
        <v>196</v>
      </c>
      <c r="C861" s="9">
        <v>21916</v>
      </c>
      <c r="D861">
        <v>66</v>
      </c>
      <c r="E861" t="s">
        <v>17</v>
      </c>
      <c r="F861" t="s">
        <v>29</v>
      </c>
      <c r="G861" s="9">
        <v>44969</v>
      </c>
      <c r="H861" s="9">
        <v>45069</v>
      </c>
      <c r="I861">
        <v>14</v>
      </c>
      <c r="J861" t="s">
        <v>35</v>
      </c>
      <c r="K861">
        <v>0</v>
      </c>
      <c r="L861">
        <v>0</v>
      </c>
      <c r="M861" s="11">
        <v>15362.96</v>
      </c>
      <c r="N861" s="12">
        <v>4921.28</v>
      </c>
      <c r="O861" s="12">
        <v>16645.8</v>
      </c>
    </row>
    <row r="862" spans="1:15">
      <c r="A862" t="s">
        <v>1035</v>
      </c>
      <c r="B862" t="s">
        <v>664</v>
      </c>
      <c r="C862" s="9">
        <v>21916</v>
      </c>
      <c r="D862">
        <f ca="1">DATEDIF(C813,TODAY(),"Y")</f>
        <v>74</v>
      </c>
      <c r="E862" t="s">
        <v>21</v>
      </c>
      <c r="F862" t="s">
        <v>74</v>
      </c>
      <c r="G862" s="9">
        <v>45135</v>
      </c>
      <c r="H862" s="9">
        <v>45384</v>
      </c>
      <c r="I862">
        <v>3</v>
      </c>
      <c r="J862" t="s">
        <v>32</v>
      </c>
      <c r="K862">
        <v>7</v>
      </c>
      <c r="L862">
        <v>4</v>
      </c>
      <c r="M862" s="11">
        <v>563.1</v>
      </c>
      <c r="N862" s="12">
        <v>3107.38</v>
      </c>
      <c r="O862" s="12">
        <v>11413.17</v>
      </c>
    </row>
    <row r="863" spans="1:15">
      <c r="A863" t="s">
        <v>1036</v>
      </c>
      <c r="B863" t="s">
        <v>229</v>
      </c>
      <c r="C863" s="9">
        <v>36526</v>
      </c>
      <c r="D863">
        <v>26</v>
      </c>
      <c r="E863" t="s">
        <v>17</v>
      </c>
      <c r="F863" t="s">
        <v>18</v>
      </c>
      <c r="G863" s="9">
        <v>45526</v>
      </c>
      <c r="H863" s="9">
        <v>45428</v>
      </c>
      <c r="I863">
        <v>11</v>
      </c>
      <c r="J863" t="s">
        <v>32</v>
      </c>
      <c r="K863">
        <v>8</v>
      </c>
      <c r="L863">
        <v>2</v>
      </c>
      <c r="M863" s="11">
        <v>14012.05</v>
      </c>
      <c r="N863" s="12">
        <v>3775.63</v>
      </c>
      <c r="O863" s="12">
        <v>17399.61</v>
      </c>
    </row>
    <row r="864" spans="1:15">
      <c r="A864" t="s">
        <v>1037</v>
      </c>
      <c r="B864" t="s">
        <v>229</v>
      </c>
      <c r="C864" s="9">
        <v>12419</v>
      </c>
      <c r="D864">
        <v>92</v>
      </c>
      <c r="E864" t="s">
        <v>21</v>
      </c>
      <c r="F864" t="s">
        <v>25</v>
      </c>
      <c r="G864" s="9">
        <v>45531</v>
      </c>
      <c r="H864" s="9">
        <v>45250</v>
      </c>
      <c r="I864">
        <v>14</v>
      </c>
      <c r="J864" t="s">
        <v>35</v>
      </c>
      <c r="K864">
        <v>5</v>
      </c>
      <c r="L864">
        <v>3</v>
      </c>
      <c r="M864" s="11">
        <v>25795.55</v>
      </c>
      <c r="N864" s="12">
        <v>14809.46</v>
      </c>
      <c r="O864" s="12">
        <v>349.35</v>
      </c>
    </row>
    <row r="865" spans="1:15">
      <c r="A865" t="s">
        <v>1038</v>
      </c>
      <c r="B865" t="s">
        <v>546</v>
      </c>
      <c r="C865" s="9">
        <v>34700</v>
      </c>
      <c r="D865">
        <v>31</v>
      </c>
      <c r="E865" t="s">
        <v>5185</v>
      </c>
      <c r="F865" t="s">
        <v>74</v>
      </c>
      <c r="G865" s="9">
        <v>45612</v>
      </c>
      <c r="H865" s="9">
        <v>45195</v>
      </c>
      <c r="I865">
        <v>35</v>
      </c>
      <c r="J865" t="s">
        <v>35</v>
      </c>
      <c r="K865">
        <v>9</v>
      </c>
      <c r="L865">
        <v>3</v>
      </c>
      <c r="M865" s="11">
        <v>29287.040000000001</v>
      </c>
      <c r="N865" s="12">
        <v>9230.4500000000007</v>
      </c>
      <c r="O865" s="12">
        <v>14745.96</v>
      </c>
    </row>
    <row r="866" spans="1:15">
      <c r="A866" t="s">
        <v>1039</v>
      </c>
      <c r="B866" t="s">
        <v>578</v>
      </c>
      <c r="C866" s="9">
        <v>28125</v>
      </c>
      <c r="D866">
        <v>49</v>
      </c>
      <c r="E866" t="s">
        <v>21</v>
      </c>
      <c r="F866" t="s">
        <v>18</v>
      </c>
      <c r="G866" s="9">
        <v>45402</v>
      </c>
      <c r="H866" s="9">
        <v>45730</v>
      </c>
      <c r="I866">
        <v>2</v>
      </c>
      <c r="J866" t="s">
        <v>32</v>
      </c>
      <c r="K866">
        <v>1</v>
      </c>
      <c r="L866">
        <v>7</v>
      </c>
      <c r="M866" s="11">
        <v>25594.23</v>
      </c>
      <c r="N866" s="12">
        <v>6608.18</v>
      </c>
      <c r="O866" s="12">
        <v>3304.99</v>
      </c>
    </row>
    <row r="867" spans="1:15">
      <c r="A867" t="s">
        <v>1040</v>
      </c>
      <c r="B867" t="s">
        <v>252</v>
      </c>
      <c r="C867" s="9">
        <v>24107</v>
      </c>
      <c r="D867">
        <v>60</v>
      </c>
      <c r="E867" t="s">
        <v>17</v>
      </c>
      <c r="F867" t="s">
        <v>22</v>
      </c>
      <c r="G867" s="9">
        <v>45564</v>
      </c>
      <c r="H867" s="9">
        <v>45414</v>
      </c>
      <c r="I867">
        <v>10</v>
      </c>
      <c r="J867" t="s">
        <v>32</v>
      </c>
      <c r="K867">
        <v>13</v>
      </c>
      <c r="L867">
        <v>9</v>
      </c>
      <c r="M867" s="11">
        <v>4745.4399999999996</v>
      </c>
      <c r="N867" s="12">
        <v>3464.63</v>
      </c>
      <c r="O867" s="12">
        <v>5650.09</v>
      </c>
    </row>
    <row r="868" spans="1:15">
      <c r="A868" t="s">
        <v>1041</v>
      </c>
      <c r="B868" t="s">
        <v>341</v>
      </c>
      <c r="C868" s="9">
        <v>27760</v>
      </c>
      <c r="D868">
        <v>50</v>
      </c>
      <c r="E868" t="s">
        <v>21</v>
      </c>
      <c r="F868" t="s">
        <v>18</v>
      </c>
      <c r="G868" s="9">
        <v>45035</v>
      </c>
      <c r="H868" s="9">
        <v>45805</v>
      </c>
      <c r="I868">
        <v>6</v>
      </c>
      <c r="J868" t="s">
        <v>32</v>
      </c>
      <c r="K868">
        <v>14</v>
      </c>
      <c r="L868">
        <v>9</v>
      </c>
      <c r="M868" s="11">
        <v>0</v>
      </c>
      <c r="N868" s="12">
        <v>11595.76</v>
      </c>
      <c r="O868" s="12">
        <v>11402.27</v>
      </c>
    </row>
    <row r="869" spans="1:15">
      <c r="A869" t="s">
        <v>1042</v>
      </c>
      <c r="B869" t="s">
        <v>181</v>
      </c>
      <c r="C869" s="9">
        <v>39448</v>
      </c>
      <c r="D869">
        <v>18</v>
      </c>
      <c r="E869" t="s">
        <v>21</v>
      </c>
      <c r="F869" t="s">
        <v>25</v>
      </c>
      <c r="G869" s="9">
        <v>45485</v>
      </c>
      <c r="H869" s="9">
        <v>45606</v>
      </c>
      <c r="I869">
        <v>39</v>
      </c>
      <c r="J869" t="s">
        <v>32</v>
      </c>
      <c r="K869">
        <v>3</v>
      </c>
      <c r="L869">
        <v>2</v>
      </c>
      <c r="M869" s="11">
        <v>11496.02</v>
      </c>
      <c r="N869" s="12">
        <v>5811.65</v>
      </c>
      <c r="O869" s="12">
        <v>5416.35</v>
      </c>
    </row>
    <row r="870" spans="1:15">
      <c r="A870" t="s">
        <v>1043</v>
      </c>
      <c r="B870" t="s">
        <v>338</v>
      </c>
      <c r="C870" s="9">
        <v>38717</v>
      </c>
      <c r="D870">
        <v>20</v>
      </c>
      <c r="E870" t="s">
        <v>17</v>
      </c>
      <c r="F870" t="s">
        <v>29</v>
      </c>
      <c r="G870" s="9">
        <v>45140</v>
      </c>
      <c r="H870" s="9">
        <v>45087</v>
      </c>
      <c r="I870">
        <v>23</v>
      </c>
      <c r="J870" t="s">
        <v>32</v>
      </c>
      <c r="K870">
        <v>1</v>
      </c>
      <c r="L870">
        <v>0</v>
      </c>
      <c r="M870" s="11">
        <v>6375.63</v>
      </c>
      <c r="N870" s="12">
        <v>4516.8999999999996</v>
      </c>
      <c r="O870" s="12">
        <v>3279.89</v>
      </c>
    </row>
    <row r="871" spans="1:15">
      <c r="A871" t="s">
        <v>1044</v>
      </c>
      <c r="B871" t="s">
        <v>774</v>
      </c>
      <c r="C871" s="9">
        <v>44561</v>
      </c>
      <c r="D871">
        <v>4</v>
      </c>
      <c r="E871" t="s">
        <v>17</v>
      </c>
      <c r="F871" t="s">
        <v>29</v>
      </c>
      <c r="G871" s="9">
        <v>45530</v>
      </c>
      <c r="H871" s="9">
        <v>45670</v>
      </c>
      <c r="I871">
        <v>10</v>
      </c>
      <c r="J871" t="s">
        <v>32</v>
      </c>
      <c r="K871">
        <v>11</v>
      </c>
      <c r="L871">
        <v>4</v>
      </c>
      <c r="M871" s="11">
        <v>20117.830000000002</v>
      </c>
      <c r="N871" s="12">
        <v>3334.57</v>
      </c>
      <c r="O871" s="12">
        <v>17698.509999999998</v>
      </c>
    </row>
    <row r="872" spans="1:15">
      <c r="A872" t="s">
        <v>1045</v>
      </c>
      <c r="B872" t="s">
        <v>226</v>
      </c>
      <c r="C872" s="9">
        <v>16437</v>
      </c>
      <c r="D872">
        <v>81</v>
      </c>
      <c r="E872" t="s">
        <v>21</v>
      </c>
      <c r="F872" t="s">
        <v>74</v>
      </c>
      <c r="G872" s="9">
        <v>45619</v>
      </c>
      <c r="H872" s="9">
        <v>44941</v>
      </c>
      <c r="I872">
        <v>16</v>
      </c>
      <c r="J872" t="s">
        <v>32</v>
      </c>
      <c r="K872">
        <v>8</v>
      </c>
      <c r="L872">
        <v>1</v>
      </c>
      <c r="M872" s="11">
        <v>2079.02</v>
      </c>
      <c r="N872" s="12">
        <v>2784.47</v>
      </c>
      <c r="O872" s="12">
        <v>18125.14</v>
      </c>
    </row>
    <row r="873" spans="1:15">
      <c r="A873" t="s">
        <v>1046</v>
      </c>
      <c r="B873" t="s">
        <v>546</v>
      </c>
      <c r="C873" s="9">
        <f>DATE(2026-D833,1,1)</f>
        <v>35796</v>
      </c>
      <c r="D873">
        <v>91</v>
      </c>
      <c r="E873" t="s">
        <v>17</v>
      </c>
      <c r="F873" t="s">
        <v>22</v>
      </c>
      <c r="G873" s="9">
        <v>45335</v>
      </c>
      <c r="H873" s="9">
        <v>45632</v>
      </c>
      <c r="I873">
        <v>14</v>
      </c>
      <c r="J873" t="s">
        <v>26</v>
      </c>
      <c r="K873">
        <v>1</v>
      </c>
      <c r="L873">
        <v>5</v>
      </c>
      <c r="M873" s="11">
        <v>13033.44</v>
      </c>
      <c r="N873" s="12">
        <v>4100.6499999999996</v>
      </c>
      <c r="O873" s="12">
        <v>631.07000000000005</v>
      </c>
    </row>
    <row r="874" spans="1:15">
      <c r="A874" t="s">
        <v>1047</v>
      </c>
      <c r="B874" t="s">
        <v>289</v>
      </c>
      <c r="C874" s="9">
        <v>31047</v>
      </c>
      <c r="D874">
        <v>41</v>
      </c>
      <c r="E874" t="s">
        <v>17</v>
      </c>
      <c r="F874" t="s">
        <v>74</v>
      </c>
      <c r="G874" s="9">
        <v>45479</v>
      </c>
      <c r="H874" s="9">
        <v>45082</v>
      </c>
      <c r="I874">
        <v>13</v>
      </c>
      <c r="J874" t="s">
        <v>35</v>
      </c>
      <c r="K874">
        <v>9</v>
      </c>
      <c r="L874">
        <v>3</v>
      </c>
      <c r="M874" s="11">
        <v>8050.87</v>
      </c>
      <c r="N874" s="12">
        <v>9408.0400000000009</v>
      </c>
      <c r="O874" s="12">
        <v>9952.43</v>
      </c>
    </row>
    <row r="875" spans="1:15">
      <c r="A875" t="s">
        <v>1048</v>
      </c>
      <c r="B875" t="s">
        <v>163</v>
      </c>
      <c r="C875" s="9">
        <v>24107</v>
      </c>
      <c r="D875">
        <v>60</v>
      </c>
      <c r="E875" t="s">
        <v>17</v>
      </c>
      <c r="F875" t="s">
        <v>49</v>
      </c>
      <c r="G875" s="9">
        <v>45559</v>
      </c>
      <c r="H875" s="9">
        <v>45028</v>
      </c>
      <c r="I875">
        <v>27</v>
      </c>
      <c r="J875" t="s">
        <v>26</v>
      </c>
      <c r="K875">
        <v>2</v>
      </c>
      <c r="L875">
        <v>8</v>
      </c>
      <c r="M875" s="11">
        <v>17659.79</v>
      </c>
      <c r="N875" s="12">
        <v>3597.72</v>
      </c>
      <c r="O875" s="12">
        <v>3993.94</v>
      </c>
    </row>
    <row r="876" spans="1:15">
      <c r="A876" t="s">
        <v>1049</v>
      </c>
      <c r="B876" t="s">
        <v>350</v>
      </c>
      <c r="C876" s="9">
        <v>38352</v>
      </c>
      <c r="D876">
        <v>21</v>
      </c>
      <c r="E876" t="s">
        <v>21</v>
      </c>
      <c r="F876" t="s">
        <v>29</v>
      </c>
      <c r="G876" s="9">
        <v>45003</v>
      </c>
      <c r="H876" s="9">
        <v>45499</v>
      </c>
      <c r="I876">
        <v>29</v>
      </c>
      <c r="J876" t="s">
        <v>26</v>
      </c>
      <c r="K876">
        <v>2</v>
      </c>
      <c r="L876">
        <v>6</v>
      </c>
      <c r="M876" s="11">
        <v>23810.48</v>
      </c>
      <c r="N876" s="12">
        <v>908.98</v>
      </c>
      <c r="O876" s="12">
        <v>17254.52</v>
      </c>
    </row>
    <row r="877" spans="1:15">
      <c r="A877" t="s">
        <v>1050</v>
      </c>
      <c r="B877" t="s">
        <v>427</v>
      </c>
      <c r="C877" s="9">
        <v>38717</v>
      </c>
      <c r="D877">
        <v>20</v>
      </c>
      <c r="E877" t="s">
        <v>17</v>
      </c>
      <c r="F877" t="s">
        <v>74</v>
      </c>
      <c r="G877" s="9">
        <v>45021</v>
      </c>
      <c r="H877" s="9">
        <v>44970</v>
      </c>
      <c r="I877">
        <v>11</v>
      </c>
      <c r="J877" t="s">
        <v>35</v>
      </c>
      <c r="K877">
        <v>5</v>
      </c>
      <c r="L877">
        <v>1</v>
      </c>
      <c r="M877" s="11">
        <v>27668.68</v>
      </c>
      <c r="N877" s="12">
        <v>5385.37</v>
      </c>
      <c r="O877" s="12">
        <v>9196.68</v>
      </c>
    </row>
    <row r="878" spans="1:15">
      <c r="A878" t="s">
        <v>1051</v>
      </c>
      <c r="B878" t="s">
        <v>78</v>
      </c>
      <c r="C878" s="9">
        <v>20820</v>
      </c>
      <c r="D878">
        <v>69</v>
      </c>
      <c r="E878" t="s">
        <v>17</v>
      </c>
      <c r="F878" t="s">
        <v>49</v>
      </c>
      <c r="G878" s="9">
        <v>45195</v>
      </c>
      <c r="H878" s="9">
        <v>45120</v>
      </c>
      <c r="I878">
        <v>12</v>
      </c>
      <c r="J878" t="s">
        <v>26</v>
      </c>
      <c r="K878">
        <v>3</v>
      </c>
      <c r="L878">
        <v>6</v>
      </c>
      <c r="M878" s="11">
        <v>28897.51</v>
      </c>
      <c r="N878" s="12">
        <v>8772.7800000000007</v>
      </c>
      <c r="O878" s="12">
        <v>9517</v>
      </c>
    </row>
    <row r="879" spans="1:15">
      <c r="A879" t="s">
        <v>1052</v>
      </c>
      <c r="B879" t="s">
        <v>194</v>
      </c>
      <c r="C879" s="9">
        <v>46022</v>
      </c>
      <c r="D879">
        <v>0</v>
      </c>
      <c r="E879" t="s">
        <v>21</v>
      </c>
      <c r="F879" t="s">
        <v>22</v>
      </c>
      <c r="G879" s="9">
        <v>45287</v>
      </c>
      <c r="H879" s="9">
        <v>45238</v>
      </c>
      <c r="I879">
        <v>9</v>
      </c>
      <c r="J879" t="s">
        <v>32</v>
      </c>
      <c r="K879">
        <v>7</v>
      </c>
      <c r="L879">
        <v>9</v>
      </c>
      <c r="M879" s="11">
        <v>10211.43</v>
      </c>
      <c r="N879" s="12">
        <v>903.27</v>
      </c>
      <c r="O879" s="12">
        <v>12512.2</v>
      </c>
    </row>
    <row r="880" spans="1:15">
      <c r="A880" t="s">
        <v>1053</v>
      </c>
      <c r="B880" t="s">
        <v>100</v>
      </c>
      <c r="C880" s="9">
        <v>44561</v>
      </c>
      <c r="D880">
        <f ca="1">DATEDIF(C831,TODAY(),"Y")</f>
        <v>80</v>
      </c>
      <c r="E880" t="s">
        <v>17</v>
      </c>
      <c r="F880" t="s">
        <v>5184</v>
      </c>
      <c r="G880" s="9">
        <v>45456</v>
      </c>
      <c r="H880" s="9">
        <v>45548</v>
      </c>
      <c r="I880">
        <v>34</v>
      </c>
      <c r="J880" t="s">
        <v>26</v>
      </c>
      <c r="K880">
        <v>5</v>
      </c>
      <c r="L880">
        <v>7</v>
      </c>
      <c r="M880" s="11">
        <v>25603.360000000001</v>
      </c>
      <c r="N880" s="12">
        <v>6789.38</v>
      </c>
      <c r="O880" s="12">
        <v>1018.04</v>
      </c>
    </row>
    <row r="881" spans="1:15">
      <c r="A881" t="s">
        <v>1054</v>
      </c>
      <c r="B881" t="s">
        <v>103</v>
      </c>
      <c r="C881" s="9">
        <v>42005</v>
      </c>
      <c r="D881">
        <v>11</v>
      </c>
      <c r="E881" t="s">
        <v>21</v>
      </c>
      <c r="F881" t="s">
        <v>18</v>
      </c>
      <c r="G881" s="9">
        <v>45609</v>
      </c>
      <c r="H881" s="9">
        <v>45532</v>
      </c>
      <c r="I881">
        <v>8</v>
      </c>
      <c r="J881" t="s">
        <v>32</v>
      </c>
      <c r="K881">
        <v>0</v>
      </c>
      <c r="L881">
        <v>2</v>
      </c>
      <c r="M881" s="11">
        <v>17554.87</v>
      </c>
      <c r="N881" s="12">
        <v>784.33</v>
      </c>
      <c r="O881" s="12">
        <v>2458.69</v>
      </c>
    </row>
    <row r="882" spans="1:15">
      <c r="A882" t="s">
        <v>1055</v>
      </c>
      <c r="B882" t="s">
        <v>244</v>
      </c>
      <c r="C882" s="9">
        <v>13515</v>
      </c>
      <c r="D882">
        <v>89</v>
      </c>
      <c r="E882" t="s">
        <v>21</v>
      </c>
      <c r="F882" t="s">
        <v>74</v>
      </c>
      <c r="G882" s="9">
        <v>45088</v>
      </c>
      <c r="H882" s="9">
        <v>45655</v>
      </c>
      <c r="I882">
        <v>2</v>
      </c>
      <c r="J882" t="s">
        <v>35</v>
      </c>
      <c r="K882">
        <v>11</v>
      </c>
      <c r="L882">
        <v>2</v>
      </c>
      <c r="M882" s="11">
        <v>20613.79</v>
      </c>
      <c r="N882" s="12">
        <v>11522.69</v>
      </c>
      <c r="O882" s="12">
        <v>9917.5400000000009</v>
      </c>
    </row>
    <row r="883" spans="1:15">
      <c r="A883" t="s">
        <v>1056</v>
      </c>
      <c r="B883" t="s">
        <v>41</v>
      </c>
      <c r="C883" s="9">
        <v>29586</v>
      </c>
      <c r="D883">
        <v>45</v>
      </c>
      <c r="E883" t="s">
        <v>17</v>
      </c>
      <c r="F883" t="s">
        <v>49</v>
      </c>
      <c r="G883" s="9">
        <v>45391</v>
      </c>
      <c r="H883" s="9">
        <v>45392</v>
      </c>
      <c r="I883">
        <v>8</v>
      </c>
      <c r="J883" t="s">
        <v>32</v>
      </c>
      <c r="K883">
        <v>9</v>
      </c>
      <c r="L883">
        <v>1</v>
      </c>
      <c r="M883" s="11">
        <v>25459.48</v>
      </c>
      <c r="N883" s="12">
        <v>13078.24</v>
      </c>
      <c r="O883" s="12">
        <v>19330.810000000001</v>
      </c>
    </row>
    <row r="884" spans="1:15">
      <c r="A884" t="s">
        <v>1057</v>
      </c>
      <c r="B884" t="s">
        <v>125</v>
      </c>
      <c r="C884" s="9">
        <v>33969</v>
      </c>
      <c r="D884">
        <f ca="1">DATEDIF(C835,TODAY(),"Y")</f>
        <v>9</v>
      </c>
      <c r="E884" t="s">
        <v>17</v>
      </c>
      <c r="F884" t="s">
        <v>29</v>
      </c>
      <c r="G884" s="9">
        <v>45490</v>
      </c>
      <c r="H884" s="9">
        <v>45090</v>
      </c>
      <c r="I884">
        <v>31</v>
      </c>
      <c r="J884" t="s">
        <v>35</v>
      </c>
      <c r="K884">
        <v>9</v>
      </c>
      <c r="L884">
        <v>0</v>
      </c>
      <c r="M884" s="11">
        <v>3468.45</v>
      </c>
      <c r="N884" s="12">
        <v>14457.12</v>
      </c>
      <c r="O884" s="12">
        <v>16856.47</v>
      </c>
    </row>
    <row r="885" spans="1:15">
      <c r="A885" t="s">
        <v>1058</v>
      </c>
      <c r="B885" t="s">
        <v>229</v>
      </c>
      <c r="C885" s="9">
        <v>28490</v>
      </c>
      <c r="D885">
        <v>48</v>
      </c>
      <c r="E885" t="s">
        <v>21</v>
      </c>
      <c r="F885" t="s">
        <v>18</v>
      </c>
      <c r="G885" s="9">
        <v>45474</v>
      </c>
      <c r="H885" s="9">
        <v>45278</v>
      </c>
      <c r="I885">
        <v>16</v>
      </c>
      <c r="J885" t="s">
        <v>35</v>
      </c>
      <c r="K885">
        <v>14</v>
      </c>
      <c r="L885">
        <v>2</v>
      </c>
      <c r="M885" s="11">
        <v>28395.919999999998</v>
      </c>
      <c r="N885" s="12">
        <v>10368.950000000001</v>
      </c>
      <c r="O885" s="12">
        <v>17776.16</v>
      </c>
    </row>
    <row r="886" spans="1:15">
      <c r="A886" t="s">
        <v>1059</v>
      </c>
      <c r="B886" t="s">
        <v>82</v>
      </c>
      <c r="C886" s="9">
        <v>17898</v>
      </c>
      <c r="D886">
        <v>77</v>
      </c>
      <c r="E886" t="s">
        <v>21</v>
      </c>
      <c r="F886" t="s">
        <v>74</v>
      </c>
      <c r="G886" s="9">
        <v>45113</v>
      </c>
      <c r="H886" s="9">
        <v>45161</v>
      </c>
      <c r="I886">
        <v>23</v>
      </c>
      <c r="J886" t="s">
        <v>26</v>
      </c>
      <c r="K886">
        <v>6</v>
      </c>
      <c r="L886">
        <v>9</v>
      </c>
      <c r="M886" s="11">
        <v>0</v>
      </c>
      <c r="N886" s="12">
        <v>9480.9699999999993</v>
      </c>
      <c r="O886" s="12">
        <v>2656.82</v>
      </c>
    </row>
    <row r="887" spans="1:15">
      <c r="A887" t="s">
        <v>1060</v>
      </c>
      <c r="B887" t="s">
        <v>681</v>
      </c>
      <c r="C887" s="9">
        <v>13515</v>
      </c>
      <c r="D887">
        <v>89</v>
      </c>
      <c r="E887" t="s">
        <v>17</v>
      </c>
      <c r="F887" t="s">
        <v>29</v>
      </c>
      <c r="G887" s="9">
        <v>44978</v>
      </c>
      <c r="H887" s="9">
        <v>45330</v>
      </c>
      <c r="I887">
        <v>23</v>
      </c>
      <c r="J887" t="s">
        <v>35</v>
      </c>
      <c r="K887">
        <v>9</v>
      </c>
      <c r="L887">
        <v>6</v>
      </c>
      <c r="M887" s="11">
        <v>9748.1</v>
      </c>
      <c r="N887" s="12">
        <v>10411.16</v>
      </c>
      <c r="O887" s="12">
        <v>19168.34</v>
      </c>
    </row>
    <row r="888" spans="1:15">
      <c r="A888" t="s">
        <v>1061</v>
      </c>
      <c r="B888" t="s">
        <v>444</v>
      </c>
      <c r="C888" s="9">
        <v>29951</v>
      </c>
      <c r="D888">
        <v>44</v>
      </c>
      <c r="E888" t="s">
        <v>21</v>
      </c>
      <c r="F888" t="s">
        <v>5184</v>
      </c>
      <c r="G888" s="9">
        <v>45414</v>
      </c>
      <c r="H888" s="9">
        <v>45278</v>
      </c>
      <c r="I888">
        <v>14</v>
      </c>
      <c r="J888" t="s">
        <v>35</v>
      </c>
      <c r="K888">
        <v>0</v>
      </c>
      <c r="L888">
        <v>8</v>
      </c>
      <c r="M888" s="11">
        <v>9831.2999999999993</v>
      </c>
      <c r="N888" s="12">
        <v>12819.72</v>
      </c>
      <c r="O888" s="12">
        <v>14572.85</v>
      </c>
    </row>
    <row r="889" spans="1:15">
      <c r="A889" t="s">
        <v>1062</v>
      </c>
      <c r="B889" t="s">
        <v>244</v>
      </c>
      <c r="C889" s="9">
        <v>36526</v>
      </c>
      <c r="D889">
        <v>26</v>
      </c>
      <c r="E889" t="s">
        <v>17</v>
      </c>
      <c r="F889" t="s">
        <v>18</v>
      </c>
      <c r="G889" s="9">
        <v>45457</v>
      </c>
      <c r="H889" s="9">
        <v>45094</v>
      </c>
      <c r="I889">
        <v>28</v>
      </c>
      <c r="J889" t="s">
        <v>32</v>
      </c>
      <c r="K889">
        <v>5</v>
      </c>
      <c r="L889">
        <v>8</v>
      </c>
      <c r="M889" s="11">
        <v>22405.51</v>
      </c>
      <c r="N889" s="12">
        <v>12106.39</v>
      </c>
      <c r="O889" s="12">
        <v>6446.27</v>
      </c>
    </row>
    <row r="890" spans="1:15">
      <c r="A890" t="s">
        <v>1063</v>
      </c>
      <c r="B890" t="s">
        <v>16</v>
      </c>
      <c r="C890" s="9">
        <v>19724</v>
      </c>
      <c r="D890">
        <v>72</v>
      </c>
      <c r="E890" t="s">
        <v>17</v>
      </c>
      <c r="F890" t="s">
        <v>25</v>
      </c>
      <c r="G890" s="9">
        <v>45322</v>
      </c>
      <c r="H890" s="9">
        <v>45075</v>
      </c>
      <c r="I890">
        <v>16</v>
      </c>
      <c r="J890" t="s">
        <v>32</v>
      </c>
      <c r="K890">
        <v>3</v>
      </c>
      <c r="L890">
        <v>5</v>
      </c>
      <c r="M890" s="11">
        <v>20199.13</v>
      </c>
      <c r="N890" s="12">
        <v>6577.45</v>
      </c>
      <c r="O890" s="12">
        <v>17275.79</v>
      </c>
    </row>
    <row r="891" spans="1:15">
      <c r="A891" t="s">
        <v>1064</v>
      </c>
      <c r="B891" t="s">
        <v>412</v>
      </c>
      <c r="C891" s="9">
        <v>36891</v>
      </c>
      <c r="D891">
        <v>25</v>
      </c>
      <c r="E891" t="s">
        <v>21</v>
      </c>
      <c r="F891" t="s">
        <v>29</v>
      </c>
      <c r="G891" s="9">
        <v>45018</v>
      </c>
      <c r="H891" s="9">
        <v>44955</v>
      </c>
      <c r="I891">
        <v>17</v>
      </c>
      <c r="J891" t="s">
        <v>26</v>
      </c>
      <c r="K891">
        <v>8</v>
      </c>
      <c r="L891">
        <v>5</v>
      </c>
      <c r="M891" s="11">
        <v>21749.14</v>
      </c>
      <c r="N891" s="12">
        <v>9766.1</v>
      </c>
      <c r="O891" s="12">
        <v>14920.93</v>
      </c>
    </row>
    <row r="892" spans="1:15">
      <c r="A892" t="s">
        <v>1065</v>
      </c>
      <c r="B892" t="s">
        <v>379</v>
      </c>
      <c r="C892" s="9">
        <v>29221</v>
      </c>
      <c r="D892">
        <v>46</v>
      </c>
      <c r="E892" t="s">
        <v>17</v>
      </c>
      <c r="F892" t="s">
        <v>25</v>
      </c>
      <c r="G892" s="9">
        <v>45577</v>
      </c>
      <c r="H892" s="9">
        <v>45186</v>
      </c>
      <c r="I892">
        <v>20</v>
      </c>
      <c r="J892" t="s">
        <v>32</v>
      </c>
      <c r="K892">
        <v>4</v>
      </c>
      <c r="L892">
        <v>4</v>
      </c>
      <c r="M892" s="11">
        <v>7216.36</v>
      </c>
      <c r="N892" s="12">
        <v>2428.8000000000002</v>
      </c>
      <c r="O892" s="12">
        <v>14703.85</v>
      </c>
    </row>
    <row r="893" spans="1:15">
      <c r="A893" t="s">
        <v>1066</v>
      </c>
      <c r="B893" t="s">
        <v>166</v>
      </c>
      <c r="C893" s="9">
        <v>14976</v>
      </c>
      <c r="D893">
        <v>85</v>
      </c>
      <c r="E893" t="s">
        <v>17</v>
      </c>
      <c r="F893" t="s">
        <v>22</v>
      </c>
      <c r="G893" s="9">
        <v>45283</v>
      </c>
      <c r="H893" s="9">
        <v>45525</v>
      </c>
      <c r="I893">
        <v>22</v>
      </c>
      <c r="J893" t="s">
        <v>32</v>
      </c>
      <c r="K893">
        <v>14</v>
      </c>
      <c r="L893">
        <v>1</v>
      </c>
      <c r="M893" s="11">
        <v>4690.9799999999996</v>
      </c>
      <c r="N893" s="12">
        <v>10423.879999999999</v>
      </c>
      <c r="O893" s="12">
        <v>14665.87</v>
      </c>
    </row>
    <row r="894" spans="1:15">
      <c r="A894" t="s">
        <v>1067</v>
      </c>
      <c r="B894" t="s">
        <v>184</v>
      </c>
      <c r="C894" s="9">
        <v>25934</v>
      </c>
      <c r="D894">
        <v>55</v>
      </c>
      <c r="E894" t="s">
        <v>21</v>
      </c>
      <c r="F894" t="s">
        <v>74</v>
      </c>
      <c r="G894" s="9">
        <v>45537</v>
      </c>
      <c r="H894" s="9">
        <v>45547</v>
      </c>
      <c r="I894">
        <v>25</v>
      </c>
      <c r="J894" t="s">
        <v>32</v>
      </c>
      <c r="K894">
        <v>9</v>
      </c>
      <c r="L894">
        <v>6</v>
      </c>
      <c r="M894" s="11">
        <v>21516.720000000001</v>
      </c>
      <c r="N894" s="12">
        <v>10961.56</v>
      </c>
      <c r="O894" s="12">
        <v>15997.16</v>
      </c>
    </row>
    <row r="895" spans="1:15">
      <c r="A895" t="s">
        <v>1068</v>
      </c>
      <c r="B895" t="s">
        <v>73</v>
      </c>
      <c r="C895" s="9">
        <v>12054</v>
      </c>
      <c r="D895">
        <v>93</v>
      </c>
      <c r="E895" t="s">
        <v>17</v>
      </c>
      <c r="F895" t="s">
        <v>5184</v>
      </c>
      <c r="G895" s="9">
        <v>45645</v>
      </c>
      <c r="H895" s="9">
        <v>45369</v>
      </c>
      <c r="I895">
        <v>34</v>
      </c>
      <c r="J895" t="s">
        <v>26</v>
      </c>
      <c r="K895">
        <v>2</v>
      </c>
      <c r="L895">
        <v>0</v>
      </c>
      <c r="M895" s="11">
        <v>8603.66</v>
      </c>
      <c r="N895" s="12">
        <v>12019.65</v>
      </c>
      <c r="O895" s="12">
        <v>18965.439999999999</v>
      </c>
    </row>
    <row r="896" spans="1:15">
      <c r="A896" t="s">
        <v>1069</v>
      </c>
      <c r="B896" t="s">
        <v>774</v>
      </c>
      <c r="C896" s="9">
        <v>23377</v>
      </c>
      <c r="D896">
        <v>62</v>
      </c>
      <c r="E896" t="s">
        <v>17</v>
      </c>
      <c r="F896" t="s">
        <v>49</v>
      </c>
      <c r="G896" s="9">
        <v>45070</v>
      </c>
      <c r="H896" s="9">
        <v>45556</v>
      </c>
      <c r="I896">
        <v>9</v>
      </c>
      <c r="J896" t="s">
        <v>35</v>
      </c>
      <c r="K896">
        <v>3</v>
      </c>
      <c r="L896">
        <v>5</v>
      </c>
      <c r="M896" s="11">
        <v>6284.3</v>
      </c>
      <c r="N896" s="12">
        <v>12264.73</v>
      </c>
      <c r="O896" s="12">
        <v>2651.12</v>
      </c>
    </row>
    <row r="897" spans="1:15">
      <c r="A897" t="s">
        <v>1070</v>
      </c>
      <c r="B897" t="s">
        <v>273</v>
      </c>
      <c r="C897" s="9">
        <v>28856</v>
      </c>
      <c r="D897">
        <v>47</v>
      </c>
      <c r="E897" t="s">
        <v>17</v>
      </c>
      <c r="F897" t="s">
        <v>74</v>
      </c>
      <c r="G897" s="9">
        <v>45125</v>
      </c>
      <c r="H897" s="9">
        <v>45803</v>
      </c>
      <c r="I897">
        <v>2</v>
      </c>
      <c r="J897" t="s">
        <v>32</v>
      </c>
      <c r="K897">
        <v>10</v>
      </c>
      <c r="L897">
        <v>3</v>
      </c>
      <c r="M897" s="11">
        <v>6045.56</v>
      </c>
      <c r="N897" s="12">
        <v>6598.62</v>
      </c>
      <c r="O897" s="12">
        <v>19990.400000000001</v>
      </c>
    </row>
    <row r="898" spans="1:15">
      <c r="A898" t="s">
        <v>1071</v>
      </c>
      <c r="B898" t="s">
        <v>350</v>
      </c>
      <c r="C898" s="9">
        <v>24107</v>
      </c>
      <c r="D898">
        <v>60</v>
      </c>
      <c r="E898" t="s">
        <v>17</v>
      </c>
      <c r="F898" t="s">
        <v>29</v>
      </c>
      <c r="G898" s="9">
        <v>45249</v>
      </c>
      <c r="H898" s="9">
        <v>45454</v>
      </c>
      <c r="I898">
        <v>1</v>
      </c>
      <c r="J898" t="s">
        <v>26</v>
      </c>
      <c r="K898">
        <v>3</v>
      </c>
      <c r="L898">
        <v>2</v>
      </c>
      <c r="M898" s="11">
        <v>4026.23</v>
      </c>
      <c r="N898" s="12">
        <v>13552.75</v>
      </c>
      <c r="O898" s="12">
        <v>17434.03</v>
      </c>
    </row>
    <row r="899" spans="1:15">
      <c r="A899" t="s">
        <v>1072</v>
      </c>
      <c r="B899" t="s">
        <v>181</v>
      </c>
      <c r="C899" s="9">
        <v>16802</v>
      </c>
      <c r="D899">
        <v>80</v>
      </c>
      <c r="E899" t="s">
        <v>21</v>
      </c>
      <c r="F899" t="s">
        <v>25</v>
      </c>
      <c r="G899" s="9">
        <v>45258</v>
      </c>
      <c r="H899" s="9">
        <v>45138</v>
      </c>
      <c r="I899">
        <v>7</v>
      </c>
      <c r="J899" t="s">
        <v>35</v>
      </c>
      <c r="K899">
        <v>5</v>
      </c>
      <c r="L899">
        <v>0</v>
      </c>
      <c r="M899" s="11">
        <v>12517.88</v>
      </c>
      <c r="N899" s="12">
        <v>14714.25</v>
      </c>
      <c r="O899" s="12">
        <v>8776.7099999999991</v>
      </c>
    </row>
    <row r="900" spans="1:15">
      <c r="A900" t="s">
        <v>1073</v>
      </c>
      <c r="B900" t="s">
        <v>194</v>
      </c>
      <c r="C900" s="9">
        <v>36891</v>
      </c>
      <c r="D900">
        <v>25</v>
      </c>
      <c r="E900" t="s">
        <v>21</v>
      </c>
      <c r="F900" t="s">
        <v>25</v>
      </c>
      <c r="G900" s="9">
        <v>45190</v>
      </c>
      <c r="H900" s="9">
        <v>45757</v>
      </c>
      <c r="I900">
        <v>31</v>
      </c>
      <c r="J900" t="s">
        <v>32</v>
      </c>
      <c r="K900">
        <v>9</v>
      </c>
      <c r="L900">
        <v>5</v>
      </c>
      <c r="M900" s="11">
        <v>7458.93</v>
      </c>
      <c r="N900" s="12">
        <v>14670.62</v>
      </c>
      <c r="O900" s="12">
        <v>3064.5</v>
      </c>
    </row>
    <row r="901" spans="1:15">
      <c r="A901" t="s">
        <v>1074</v>
      </c>
      <c r="B901" t="s">
        <v>240</v>
      </c>
      <c r="C901" s="9">
        <v>33239</v>
      </c>
      <c r="D901">
        <v>35</v>
      </c>
      <c r="E901" t="s">
        <v>21</v>
      </c>
      <c r="F901" t="s">
        <v>18</v>
      </c>
      <c r="G901" s="9">
        <v>45143</v>
      </c>
      <c r="H901" s="9">
        <v>45470</v>
      </c>
      <c r="I901">
        <v>29</v>
      </c>
      <c r="J901" t="s">
        <v>32</v>
      </c>
      <c r="K901">
        <v>10</v>
      </c>
      <c r="L901">
        <v>6</v>
      </c>
      <c r="M901" s="11">
        <v>26762.9</v>
      </c>
      <c r="N901" s="12">
        <v>8786.41</v>
      </c>
      <c r="O901" s="12">
        <v>9021.15</v>
      </c>
    </row>
    <row r="902" spans="1:15">
      <c r="A902" t="s">
        <v>1075</v>
      </c>
      <c r="B902" t="s">
        <v>348</v>
      </c>
      <c r="C902" s="9">
        <v>46022</v>
      </c>
      <c r="D902">
        <f ca="1">DATEDIF(C853,TODAY(),"Y")</f>
        <v>94</v>
      </c>
      <c r="E902" t="s">
        <v>21</v>
      </c>
      <c r="F902" t="s">
        <v>74</v>
      </c>
      <c r="G902" s="9">
        <v>45627</v>
      </c>
      <c r="H902" s="9">
        <v>45372</v>
      </c>
      <c r="I902">
        <v>22</v>
      </c>
      <c r="J902" t="s">
        <v>26</v>
      </c>
      <c r="K902">
        <v>14</v>
      </c>
      <c r="L902">
        <v>0</v>
      </c>
      <c r="M902" s="11">
        <v>20518.759999999998</v>
      </c>
      <c r="N902" s="12">
        <v>8392.24</v>
      </c>
      <c r="O902" s="12">
        <v>15550.1</v>
      </c>
    </row>
    <row r="903" spans="1:15">
      <c r="A903" t="s">
        <v>1076</v>
      </c>
      <c r="B903" t="s">
        <v>73</v>
      </c>
      <c r="C903" s="9">
        <v>43466</v>
      </c>
      <c r="D903">
        <v>7</v>
      </c>
      <c r="E903" t="s">
        <v>21</v>
      </c>
      <c r="F903" t="s">
        <v>74</v>
      </c>
      <c r="G903" s="9">
        <v>45482</v>
      </c>
      <c r="H903" s="9">
        <v>45721</v>
      </c>
      <c r="I903">
        <v>7</v>
      </c>
      <c r="J903" t="s">
        <v>32</v>
      </c>
      <c r="K903">
        <v>2</v>
      </c>
      <c r="L903">
        <v>0</v>
      </c>
      <c r="M903" s="11">
        <v>22187.79</v>
      </c>
      <c r="N903" s="12">
        <v>6860.01</v>
      </c>
      <c r="O903" s="12">
        <v>12009.31</v>
      </c>
    </row>
    <row r="904" spans="1:15">
      <c r="A904" t="s">
        <v>1077</v>
      </c>
      <c r="B904" t="s">
        <v>82</v>
      </c>
      <c r="C904" s="9">
        <v>27395</v>
      </c>
      <c r="D904">
        <v>51</v>
      </c>
      <c r="E904" t="s">
        <v>17</v>
      </c>
      <c r="F904" t="s">
        <v>29</v>
      </c>
      <c r="G904" s="9">
        <v>45360</v>
      </c>
      <c r="H904" s="9">
        <v>45380</v>
      </c>
      <c r="I904">
        <v>2</v>
      </c>
      <c r="J904" t="s">
        <v>26</v>
      </c>
      <c r="K904">
        <v>3</v>
      </c>
      <c r="L904">
        <v>6</v>
      </c>
      <c r="M904" s="11">
        <v>11810.12</v>
      </c>
      <c r="N904" s="12">
        <v>4496.91</v>
      </c>
      <c r="O904" s="12">
        <v>5518.97</v>
      </c>
    </row>
    <row r="905" spans="1:15">
      <c r="A905" t="s">
        <v>1078</v>
      </c>
      <c r="B905" t="s">
        <v>201</v>
      </c>
      <c r="C905" s="9">
        <v>17533</v>
      </c>
      <c r="D905">
        <v>78</v>
      </c>
      <c r="E905" t="s">
        <v>17</v>
      </c>
      <c r="F905" t="s">
        <v>25</v>
      </c>
      <c r="G905" s="9">
        <v>45386</v>
      </c>
      <c r="H905" s="9">
        <v>45624</v>
      </c>
      <c r="I905">
        <v>29</v>
      </c>
      <c r="J905" t="s">
        <v>32</v>
      </c>
      <c r="K905">
        <v>12</v>
      </c>
      <c r="L905">
        <v>5</v>
      </c>
      <c r="M905" s="11">
        <v>17806.39</v>
      </c>
      <c r="N905" s="12">
        <v>5006.37</v>
      </c>
      <c r="O905" s="12">
        <v>8076.57</v>
      </c>
    </row>
    <row r="906" spans="1:15">
      <c r="A906" t="s">
        <v>1079</v>
      </c>
      <c r="B906" t="s">
        <v>479</v>
      </c>
      <c r="C906" s="9">
        <v>29221</v>
      </c>
      <c r="D906">
        <v>46</v>
      </c>
      <c r="E906" t="s">
        <v>17</v>
      </c>
      <c r="F906" t="s">
        <v>29</v>
      </c>
      <c r="G906" s="9">
        <v>45627</v>
      </c>
      <c r="H906" s="9">
        <v>45331</v>
      </c>
      <c r="I906">
        <v>34</v>
      </c>
      <c r="J906" t="s">
        <v>26</v>
      </c>
      <c r="K906">
        <v>12</v>
      </c>
      <c r="L906">
        <v>6</v>
      </c>
      <c r="M906" s="11">
        <v>14774.33</v>
      </c>
      <c r="N906" s="12">
        <v>3236.28</v>
      </c>
      <c r="O906" s="12">
        <v>19081.41</v>
      </c>
    </row>
    <row r="907" spans="1:15">
      <c r="A907" t="s">
        <v>1080</v>
      </c>
      <c r="B907" t="s">
        <v>37</v>
      </c>
      <c r="C907" s="9">
        <v>25934</v>
      </c>
      <c r="D907">
        <v>55</v>
      </c>
      <c r="E907" t="s">
        <v>17</v>
      </c>
      <c r="F907" t="s">
        <v>29</v>
      </c>
      <c r="G907" s="9">
        <v>45429</v>
      </c>
      <c r="H907" s="9">
        <v>44993</v>
      </c>
      <c r="I907">
        <v>9</v>
      </c>
      <c r="J907" t="s">
        <v>35</v>
      </c>
      <c r="K907">
        <v>2</v>
      </c>
      <c r="L907">
        <v>7</v>
      </c>
      <c r="M907" s="11">
        <v>4607.2700000000004</v>
      </c>
      <c r="N907" s="12">
        <v>14335.84</v>
      </c>
      <c r="O907" s="12">
        <v>16056.8</v>
      </c>
    </row>
    <row r="908" spans="1:15">
      <c r="A908" t="s">
        <v>1081</v>
      </c>
      <c r="B908" t="s">
        <v>341</v>
      </c>
      <c r="C908" s="9">
        <v>14976</v>
      </c>
      <c r="D908">
        <v>85</v>
      </c>
      <c r="E908" t="s">
        <v>17</v>
      </c>
      <c r="F908" t="s">
        <v>22</v>
      </c>
      <c r="G908" s="9">
        <v>45395</v>
      </c>
      <c r="H908" s="9">
        <v>45332</v>
      </c>
      <c r="I908">
        <v>15</v>
      </c>
      <c r="J908" t="s">
        <v>32</v>
      </c>
      <c r="K908">
        <v>2</v>
      </c>
      <c r="L908">
        <v>7</v>
      </c>
      <c r="M908" s="11">
        <v>959.54</v>
      </c>
      <c r="N908" s="12">
        <v>9297.4</v>
      </c>
      <c r="O908" s="12">
        <v>2393.79</v>
      </c>
    </row>
    <row r="909" spans="1:15">
      <c r="A909" t="s">
        <v>1082</v>
      </c>
      <c r="B909" t="s">
        <v>249</v>
      </c>
      <c r="C909" s="9">
        <v>41274</v>
      </c>
      <c r="D909">
        <v>13</v>
      </c>
      <c r="E909" t="s">
        <v>17</v>
      </c>
      <c r="F909" t="s">
        <v>25</v>
      </c>
      <c r="G909" s="9">
        <v>45632</v>
      </c>
      <c r="H909" s="9">
        <v>45810</v>
      </c>
      <c r="I909">
        <v>27</v>
      </c>
      <c r="J909" t="s">
        <v>26</v>
      </c>
      <c r="K909">
        <v>13</v>
      </c>
      <c r="L909">
        <v>8</v>
      </c>
      <c r="M909" s="11">
        <v>20347.310000000001</v>
      </c>
      <c r="N909" s="12">
        <v>14016.95</v>
      </c>
      <c r="O909" s="12">
        <v>10862.38</v>
      </c>
    </row>
    <row r="910" spans="1:15">
      <c r="A910" t="s">
        <v>1083</v>
      </c>
      <c r="B910" t="s">
        <v>600</v>
      </c>
      <c r="C910" s="9">
        <v>13515</v>
      </c>
      <c r="D910">
        <v>89</v>
      </c>
      <c r="E910" t="s">
        <v>17</v>
      </c>
      <c r="F910" t="s">
        <v>29</v>
      </c>
      <c r="G910" s="9">
        <v>45292</v>
      </c>
      <c r="H910" s="9">
        <v>45755</v>
      </c>
      <c r="I910">
        <v>10</v>
      </c>
      <c r="J910" t="s">
        <v>26</v>
      </c>
      <c r="K910">
        <v>6</v>
      </c>
      <c r="L910">
        <v>8</v>
      </c>
      <c r="M910" s="11">
        <v>3195.76</v>
      </c>
      <c r="N910" s="12">
        <v>5806.88</v>
      </c>
      <c r="O910" s="12">
        <v>18612.8</v>
      </c>
    </row>
    <row r="911" spans="1:15">
      <c r="A911" t="s">
        <v>1084</v>
      </c>
      <c r="B911" t="s">
        <v>412</v>
      </c>
      <c r="C911" s="9">
        <v>36161</v>
      </c>
      <c r="D911">
        <f ca="1">DATEDIF(C862,TODAY(),"Y")</f>
        <v>66</v>
      </c>
      <c r="E911" t="s">
        <v>21</v>
      </c>
      <c r="F911" t="s">
        <v>25</v>
      </c>
      <c r="G911" s="9">
        <v>45165</v>
      </c>
      <c r="H911" s="9">
        <v>45502</v>
      </c>
      <c r="I911">
        <v>0</v>
      </c>
      <c r="J911" t="s">
        <v>32</v>
      </c>
      <c r="K911">
        <v>9</v>
      </c>
      <c r="L911">
        <v>6</v>
      </c>
      <c r="M911" s="11">
        <v>1249.1500000000001</v>
      </c>
      <c r="N911" s="12">
        <v>4472.92</v>
      </c>
      <c r="O911" s="12">
        <v>589.61</v>
      </c>
    </row>
    <row r="912" spans="1:15">
      <c r="A912" t="s">
        <v>1085</v>
      </c>
      <c r="B912" t="s">
        <v>147</v>
      </c>
      <c r="C912" s="9">
        <v>14611</v>
      </c>
      <c r="D912">
        <v>86</v>
      </c>
      <c r="E912" t="s">
        <v>17</v>
      </c>
      <c r="F912" t="s">
        <v>29</v>
      </c>
      <c r="G912" s="9">
        <v>45550</v>
      </c>
      <c r="H912" s="9">
        <v>45362</v>
      </c>
      <c r="I912">
        <v>18</v>
      </c>
      <c r="J912" t="s">
        <v>32</v>
      </c>
      <c r="K912">
        <v>3</v>
      </c>
      <c r="L912">
        <v>8</v>
      </c>
      <c r="M912" s="11">
        <v>12976.95</v>
      </c>
      <c r="N912" s="12">
        <v>1991.17</v>
      </c>
      <c r="O912" s="12">
        <v>755.2</v>
      </c>
    </row>
    <row r="913" spans="1:15">
      <c r="A913" t="s">
        <v>1086</v>
      </c>
      <c r="B913" t="s">
        <v>596</v>
      </c>
      <c r="C913" s="9">
        <v>17898</v>
      </c>
      <c r="D913">
        <v>77</v>
      </c>
      <c r="E913" t="s">
        <v>17</v>
      </c>
      <c r="F913" t="s">
        <v>49</v>
      </c>
      <c r="G913" s="9">
        <v>45507</v>
      </c>
      <c r="H913" s="9">
        <v>45155</v>
      </c>
      <c r="I913">
        <v>39</v>
      </c>
      <c r="J913" t="s">
        <v>32</v>
      </c>
      <c r="K913">
        <v>11</v>
      </c>
      <c r="L913">
        <v>5</v>
      </c>
      <c r="M913" s="11">
        <v>22009.8</v>
      </c>
      <c r="N913" s="12">
        <v>4503.6899999999996</v>
      </c>
      <c r="O913" s="12">
        <v>14306.33</v>
      </c>
    </row>
    <row r="914" spans="1:15">
      <c r="A914" t="s">
        <v>1087</v>
      </c>
      <c r="B914" t="s">
        <v>207</v>
      </c>
      <c r="C914" s="9">
        <v>14246</v>
      </c>
      <c r="D914">
        <f ca="1">DATEDIF(C865,TODAY(),"Y")</f>
        <v>31</v>
      </c>
      <c r="E914" t="s">
        <v>21</v>
      </c>
      <c r="F914" t="s">
        <v>29</v>
      </c>
      <c r="G914" s="9">
        <v>45487</v>
      </c>
      <c r="H914" s="9">
        <v>45403</v>
      </c>
      <c r="I914">
        <v>11</v>
      </c>
      <c r="J914" t="s">
        <v>32</v>
      </c>
      <c r="K914">
        <v>7</v>
      </c>
      <c r="L914">
        <v>8</v>
      </c>
      <c r="M914" s="11">
        <v>22950.49</v>
      </c>
      <c r="N914" s="12">
        <v>13352.41</v>
      </c>
      <c r="O914" s="12">
        <v>11468.47</v>
      </c>
    </row>
    <row r="915" spans="1:15">
      <c r="A915" t="s">
        <v>1088</v>
      </c>
      <c r="B915" t="s">
        <v>129</v>
      </c>
      <c r="C915" s="9">
        <v>45657</v>
      </c>
      <c r="D915">
        <v>1</v>
      </c>
      <c r="E915" t="s">
        <v>17</v>
      </c>
      <c r="F915" t="s">
        <v>29</v>
      </c>
      <c r="G915" s="9">
        <v>45589</v>
      </c>
      <c r="H915" s="9">
        <v>45395</v>
      </c>
      <c r="I915">
        <v>37</v>
      </c>
      <c r="J915" t="s">
        <v>32</v>
      </c>
      <c r="K915">
        <v>3</v>
      </c>
      <c r="L915">
        <v>1</v>
      </c>
      <c r="M915" s="11">
        <v>26140.82</v>
      </c>
      <c r="N915" s="12">
        <v>8734.14</v>
      </c>
      <c r="O915" s="12">
        <v>824.59</v>
      </c>
    </row>
    <row r="916" spans="1:15">
      <c r="A916" t="s">
        <v>1089</v>
      </c>
      <c r="B916" t="s">
        <v>249</v>
      </c>
      <c r="C916" s="9">
        <v>36891</v>
      </c>
      <c r="D916">
        <v>25</v>
      </c>
      <c r="E916" t="s">
        <v>17</v>
      </c>
      <c r="F916" t="s">
        <v>5184</v>
      </c>
      <c r="G916" s="9">
        <v>45322</v>
      </c>
      <c r="H916" s="9">
        <v>45028</v>
      </c>
      <c r="I916">
        <v>7</v>
      </c>
      <c r="J916" t="s">
        <v>35</v>
      </c>
      <c r="K916">
        <v>14</v>
      </c>
      <c r="L916">
        <v>1</v>
      </c>
      <c r="M916" s="11">
        <v>5576.03</v>
      </c>
      <c r="N916" s="12">
        <v>6787.17</v>
      </c>
      <c r="O916" s="12">
        <v>19919.93</v>
      </c>
    </row>
    <row r="917" spans="1:15">
      <c r="A917" t="s">
        <v>1090</v>
      </c>
      <c r="B917" t="s">
        <v>16</v>
      </c>
      <c r="C917" s="9">
        <v>41274</v>
      </c>
      <c r="D917">
        <v>13</v>
      </c>
      <c r="E917" t="s">
        <v>21</v>
      </c>
      <c r="F917" t="s">
        <v>49</v>
      </c>
      <c r="G917" s="9">
        <v>45321</v>
      </c>
      <c r="H917" s="9">
        <v>45350</v>
      </c>
      <c r="I917">
        <v>1</v>
      </c>
      <c r="J917" t="s">
        <v>26</v>
      </c>
      <c r="K917">
        <v>6</v>
      </c>
      <c r="L917">
        <v>5</v>
      </c>
      <c r="M917" s="11">
        <v>29561.54</v>
      </c>
      <c r="N917" s="12">
        <v>8523.74</v>
      </c>
      <c r="O917" s="12">
        <v>11559.92</v>
      </c>
    </row>
    <row r="918" spans="1:15">
      <c r="A918" t="s">
        <v>1091</v>
      </c>
      <c r="B918" t="s">
        <v>252</v>
      </c>
      <c r="C918" s="9">
        <v>24838</v>
      </c>
      <c r="D918">
        <v>58</v>
      </c>
      <c r="E918" t="s">
        <v>17</v>
      </c>
      <c r="F918" t="s">
        <v>74</v>
      </c>
      <c r="G918" s="9">
        <v>45553</v>
      </c>
      <c r="H918" s="9">
        <v>45283</v>
      </c>
      <c r="I918">
        <v>34</v>
      </c>
      <c r="J918" t="s">
        <v>26</v>
      </c>
      <c r="K918">
        <v>1</v>
      </c>
      <c r="L918">
        <v>2</v>
      </c>
      <c r="M918" s="11">
        <v>22777.88</v>
      </c>
      <c r="N918" s="12">
        <v>13390.34</v>
      </c>
      <c r="O918" s="12">
        <v>9787.7900000000009</v>
      </c>
    </row>
    <row r="919" spans="1:15">
      <c r="A919" t="s">
        <v>1092</v>
      </c>
      <c r="B919" t="s">
        <v>223</v>
      </c>
      <c r="C919" s="9">
        <v>25934</v>
      </c>
      <c r="D919">
        <v>55</v>
      </c>
      <c r="E919" t="s">
        <v>21</v>
      </c>
      <c r="F919" t="s">
        <v>25</v>
      </c>
      <c r="G919" s="9">
        <v>45001</v>
      </c>
      <c r="H919" s="9">
        <v>45066</v>
      </c>
      <c r="I919">
        <v>8</v>
      </c>
      <c r="J919" t="s">
        <v>32</v>
      </c>
      <c r="K919">
        <v>10</v>
      </c>
      <c r="L919">
        <v>1</v>
      </c>
      <c r="M919" s="11">
        <v>4295.01</v>
      </c>
      <c r="N919" s="12">
        <v>2892.34</v>
      </c>
      <c r="O919" s="12">
        <v>8898.7099999999991</v>
      </c>
    </row>
    <row r="920" spans="1:15">
      <c r="A920" t="s">
        <v>1093</v>
      </c>
      <c r="B920" t="s">
        <v>273</v>
      </c>
      <c r="C920" s="9">
        <v>43831</v>
      </c>
      <c r="D920">
        <v>6</v>
      </c>
      <c r="E920" t="s">
        <v>21</v>
      </c>
      <c r="F920" t="s">
        <v>5184</v>
      </c>
      <c r="G920" s="9">
        <v>45024</v>
      </c>
      <c r="H920" s="9">
        <v>45558</v>
      </c>
      <c r="I920">
        <v>2</v>
      </c>
      <c r="J920" t="s">
        <v>35</v>
      </c>
      <c r="K920">
        <v>5</v>
      </c>
      <c r="L920">
        <v>7</v>
      </c>
      <c r="M920" s="11">
        <v>25142</v>
      </c>
      <c r="N920" s="12">
        <v>14484.89</v>
      </c>
      <c r="O920" s="12">
        <v>13983.75</v>
      </c>
    </row>
    <row r="921" spans="1:15">
      <c r="A921" t="s">
        <v>1094</v>
      </c>
      <c r="B921" t="s">
        <v>596</v>
      </c>
      <c r="C921" s="9">
        <v>45292</v>
      </c>
      <c r="D921">
        <v>2</v>
      </c>
      <c r="E921" t="s">
        <v>17</v>
      </c>
      <c r="F921" t="s">
        <v>18</v>
      </c>
      <c r="G921" s="9">
        <v>45309</v>
      </c>
      <c r="H921" s="9">
        <v>45496</v>
      </c>
      <c r="I921">
        <v>23</v>
      </c>
      <c r="J921" t="s">
        <v>26</v>
      </c>
      <c r="K921">
        <v>1</v>
      </c>
      <c r="L921">
        <v>6</v>
      </c>
      <c r="M921" s="11">
        <v>14718.26</v>
      </c>
      <c r="N921" s="12">
        <v>9992.92</v>
      </c>
      <c r="O921" s="12">
        <v>9112.98</v>
      </c>
    </row>
    <row r="922" spans="1:15">
      <c r="A922" t="s">
        <v>1095</v>
      </c>
      <c r="B922" t="s">
        <v>422</v>
      </c>
      <c r="C922" s="9">
        <v>37987</v>
      </c>
      <c r="D922">
        <v>22</v>
      </c>
      <c r="E922" t="s">
        <v>17</v>
      </c>
      <c r="F922" t="s">
        <v>49</v>
      </c>
      <c r="G922" s="9">
        <v>45549</v>
      </c>
      <c r="H922" s="9">
        <v>45058</v>
      </c>
      <c r="I922">
        <v>39</v>
      </c>
      <c r="J922" t="s">
        <v>35</v>
      </c>
      <c r="K922">
        <v>13</v>
      </c>
      <c r="L922">
        <v>7</v>
      </c>
      <c r="M922" s="11">
        <v>1529.66</v>
      </c>
      <c r="N922" s="12">
        <v>12830.25</v>
      </c>
      <c r="O922" s="12">
        <v>13147.44</v>
      </c>
    </row>
    <row r="923" spans="1:15">
      <c r="A923" t="s">
        <v>1096</v>
      </c>
      <c r="B923" t="s">
        <v>44</v>
      </c>
      <c r="C923" s="9">
        <v>39813</v>
      </c>
      <c r="D923">
        <v>17</v>
      </c>
      <c r="E923" t="s">
        <v>17</v>
      </c>
      <c r="F923" t="s">
        <v>5184</v>
      </c>
      <c r="G923" s="9">
        <v>45296</v>
      </c>
      <c r="H923" s="9">
        <v>45476</v>
      </c>
      <c r="I923">
        <v>10</v>
      </c>
      <c r="J923" t="s">
        <v>32</v>
      </c>
      <c r="K923">
        <v>13</v>
      </c>
      <c r="L923">
        <v>5</v>
      </c>
      <c r="M923" s="11">
        <v>3527.27</v>
      </c>
      <c r="N923" s="12">
        <v>7881.1</v>
      </c>
      <c r="O923" s="12">
        <v>9715.52</v>
      </c>
    </row>
    <row r="924" spans="1:15">
      <c r="A924" t="s">
        <v>1097</v>
      </c>
      <c r="B924" t="s">
        <v>292</v>
      </c>
      <c r="C924" s="9">
        <v>32508</v>
      </c>
      <c r="D924">
        <v>37</v>
      </c>
      <c r="E924" t="s">
        <v>17</v>
      </c>
      <c r="F924" t="s">
        <v>74</v>
      </c>
      <c r="G924" s="9">
        <v>45211</v>
      </c>
      <c r="H924" s="9">
        <v>45395</v>
      </c>
      <c r="I924">
        <v>25</v>
      </c>
      <c r="J924" t="s">
        <v>26</v>
      </c>
      <c r="K924">
        <v>10</v>
      </c>
      <c r="L924">
        <v>8</v>
      </c>
      <c r="M924" s="11">
        <v>12733.75</v>
      </c>
      <c r="N924" s="12">
        <v>3549.57</v>
      </c>
      <c r="O924" s="12">
        <v>12175.43</v>
      </c>
    </row>
    <row r="925" spans="1:15">
      <c r="A925" t="s">
        <v>1098</v>
      </c>
      <c r="B925" t="s">
        <v>166</v>
      </c>
      <c r="C925" s="9">
        <v>40909</v>
      </c>
      <c r="D925">
        <v>14</v>
      </c>
      <c r="E925" t="s">
        <v>21</v>
      </c>
      <c r="F925" t="s">
        <v>29</v>
      </c>
      <c r="G925" s="9">
        <v>45182</v>
      </c>
      <c r="H925" s="9">
        <v>45407</v>
      </c>
      <c r="I925">
        <v>33</v>
      </c>
      <c r="J925" t="s">
        <v>32</v>
      </c>
      <c r="K925">
        <v>3</v>
      </c>
      <c r="L925">
        <v>8</v>
      </c>
      <c r="M925" s="11">
        <v>15680.46</v>
      </c>
      <c r="N925" s="12">
        <v>8511.52</v>
      </c>
      <c r="O925" s="12">
        <v>16084.24</v>
      </c>
    </row>
    <row r="926" spans="1:15">
      <c r="A926" t="s">
        <v>1099</v>
      </c>
      <c r="B926" t="s">
        <v>619</v>
      </c>
      <c r="C926" s="9">
        <v>23012</v>
      </c>
      <c r="D926">
        <v>63</v>
      </c>
      <c r="E926" t="s">
        <v>17</v>
      </c>
      <c r="F926" t="s">
        <v>22</v>
      </c>
      <c r="G926" s="9">
        <v>45235</v>
      </c>
      <c r="H926" s="9">
        <v>45038</v>
      </c>
      <c r="I926">
        <v>18</v>
      </c>
      <c r="J926" t="s">
        <v>32</v>
      </c>
      <c r="K926">
        <v>0</v>
      </c>
      <c r="L926">
        <v>1</v>
      </c>
      <c r="M926" s="11">
        <v>28398.52</v>
      </c>
      <c r="N926" s="12">
        <v>1019.09</v>
      </c>
      <c r="O926" s="12">
        <v>16325.08</v>
      </c>
    </row>
    <row r="927" spans="1:15">
      <c r="A927" t="s">
        <v>1100</v>
      </c>
      <c r="B927" t="s">
        <v>24</v>
      </c>
      <c r="C927" s="9">
        <v>13880</v>
      </c>
      <c r="D927">
        <v>88</v>
      </c>
      <c r="E927" t="s">
        <v>17</v>
      </c>
      <c r="F927" t="s">
        <v>74</v>
      </c>
      <c r="G927" s="9">
        <v>45555</v>
      </c>
      <c r="H927" s="9">
        <v>45080</v>
      </c>
      <c r="I927">
        <v>7</v>
      </c>
      <c r="J927" t="s">
        <v>32</v>
      </c>
      <c r="K927">
        <v>6</v>
      </c>
      <c r="L927">
        <v>9</v>
      </c>
      <c r="M927" s="11">
        <v>6079.23</v>
      </c>
      <c r="N927" s="12">
        <v>12782.93</v>
      </c>
      <c r="O927" s="12">
        <v>16965.87</v>
      </c>
    </row>
    <row r="928" spans="1:15">
      <c r="A928" t="s">
        <v>1101</v>
      </c>
      <c r="B928" t="s">
        <v>78</v>
      </c>
      <c r="C928" s="9">
        <v>36161</v>
      </c>
      <c r="D928">
        <v>27</v>
      </c>
      <c r="E928" t="s">
        <v>5185</v>
      </c>
      <c r="F928" t="s">
        <v>49</v>
      </c>
      <c r="G928" s="9">
        <v>45102</v>
      </c>
      <c r="H928" s="9">
        <v>45689</v>
      </c>
      <c r="I928">
        <v>9</v>
      </c>
      <c r="J928" t="s">
        <v>32</v>
      </c>
      <c r="K928">
        <v>10</v>
      </c>
      <c r="L928">
        <v>4</v>
      </c>
      <c r="M928" s="11">
        <v>13960.19</v>
      </c>
      <c r="N928" s="12">
        <v>9743.69</v>
      </c>
      <c r="O928" s="12">
        <v>3979.69</v>
      </c>
    </row>
    <row r="929" spans="1:15">
      <c r="A929" t="s">
        <v>1102</v>
      </c>
      <c r="B929" t="s">
        <v>100</v>
      </c>
      <c r="C929" s="9">
        <v>19359</v>
      </c>
      <c r="D929">
        <v>73</v>
      </c>
      <c r="E929" t="s">
        <v>21</v>
      </c>
      <c r="F929" t="s">
        <v>22</v>
      </c>
      <c r="G929" s="9">
        <v>45154</v>
      </c>
      <c r="H929" s="9">
        <v>45169</v>
      </c>
      <c r="I929">
        <v>24</v>
      </c>
      <c r="J929" t="s">
        <v>32</v>
      </c>
      <c r="K929">
        <v>4</v>
      </c>
      <c r="L929">
        <v>8</v>
      </c>
      <c r="M929" s="11">
        <v>6389.63</v>
      </c>
      <c r="N929" s="12">
        <v>4242.8599999999997</v>
      </c>
      <c r="O929" s="12">
        <v>1128.51</v>
      </c>
    </row>
    <row r="930" spans="1:15">
      <c r="A930" t="s">
        <v>1103</v>
      </c>
      <c r="B930" t="s">
        <v>69</v>
      </c>
      <c r="C930" s="9">
        <v>32143</v>
      </c>
      <c r="D930">
        <f ca="1">DATEDIF(C881,TODAY(),"Y")</f>
        <v>11</v>
      </c>
      <c r="E930" t="s">
        <v>17</v>
      </c>
      <c r="F930" t="s">
        <v>29</v>
      </c>
      <c r="G930" s="9">
        <v>45273</v>
      </c>
      <c r="H930" s="9">
        <v>45647</v>
      </c>
      <c r="I930">
        <v>0</v>
      </c>
      <c r="J930" t="s">
        <v>32</v>
      </c>
      <c r="K930">
        <v>3</v>
      </c>
      <c r="L930">
        <v>2</v>
      </c>
      <c r="M930" s="11">
        <v>16531.22</v>
      </c>
      <c r="N930" s="12">
        <v>4117.04</v>
      </c>
      <c r="O930" s="12">
        <v>16706.38</v>
      </c>
    </row>
    <row r="931" spans="1:15">
      <c r="A931" t="s">
        <v>1104</v>
      </c>
      <c r="B931" t="s">
        <v>387</v>
      </c>
      <c r="C931" s="9">
        <v>25568</v>
      </c>
      <c r="D931">
        <v>56</v>
      </c>
      <c r="E931" t="s">
        <v>17</v>
      </c>
      <c r="F931" t="s">
        <v>74</v>
      </c>
      <c r="G931" s="9">
        <v>45544</v>
      </c>
      <c r="H931" s="9">
        <v>45807</v>
      </c>
      <c r="I931">
        <v>25</v>
      </c>
      <c r="J931" t="s">
        <v>32</v>
      </c>
      <c r="K931">
        <v>12</v>
      </c>
      <c r="L931">
        <v>4</v>
      </c>
      <c r="M931" s="11">
        <v>27234.2</v>
      </c>
      <c r="N931" s="12">
        <v>13542.09</v>
      </c>
      <c r="O931" s="12">
        <v>750.19</v>
      </c>
    </row>
    <row r="932" spans="1:15">
      <c r="A932" t="s">
        <v>1105</v>
      </c>
      <c r="B932" t="s">
        <v>356</v>
      </c>
      <c r="C932" s="9">
        <v>40178</v>
      </c>
      <c r="D932">
        <v>16</v>
      </c>
      <c r="E932" t="s">
        <v>17</v>
      </c>
      <c r="F932" t="s">
        <v>18</v>
      </c>
      <c r="G932" s="9">
        <v>45268</v>
      </c>
      <c r="H932" s="9">
        <v>45609</v>
      </c>
      <c r="I932">
        <v>1</v>
      </c>
      <c r="J932" t="s">
        <v>32</v>
      </c>
      <c r="K932">
        <v>1</v>
      </c>
      <c r="L932">
        <v>7</v>
      </c>
      <c r="M932" s="11">
        <v>16816.39</v>
      </c>
      <c r="N932" s="12">
        <v>12613.61</v>
      </c>
      <c r="O932" s="12">
        <v>4191.16</v>
      </c>
    </row>
    <row r="933" spans="1:15">
      <c r="A933" t="s">
        <v>1106</v>
      </c>
      <c r="B933" t="s">
        <v>170</v>
      </c>
      <c r="C933" s="9">
        <v>14976</v>
      </c>
      <c r="D933">
        <v>85</v>
      </c>
      <c r="E933" t="s">
        <v>17</v>
      </c>
      <c r="F933" t="s">
        <v>25</v>
      </c>
      <c r="G933" s="9">
        <v>45165</v>
      </c>
      <c r="H933" s="9">
        <v>45696</v>
      </c>
      <c r="I933">
        <v>25</v>
      </c>
      <c r="J933" t="s">
        <v>32</v>
      </c>
      <c r="K933">
        <v>12</v>
      </c>
      <c r="L933">
        <v>1</v>
      </c>
      <c r="M933" s="11">
        <v>15057.15</v>
      </c>
      <c r="N933" s="12">
        <v>11446.63</v>
      </c>
      <c r="O933" s="12">
        <v>10476.6</v>
      </c>
    </row>
    <row r="934" spans="1:15">
      <c r="A934" t="s">
        <v>1107</v>
      </c>
      <c r="B934" t="s">
        <v>53</v>
      </c>
      <c r="C934" s="9">
        <v>13515</v>
      </c>
      <c r="D934">
        <v>89</v>
      </c>
      <c r="E934" t="s">
        <v>21</v>
      </c>
      <c r="F934" t="s">
        <v>25</v>
      </c>
      <c r="G934" s="9">
        <v>45538</v>
      </c>
      <c r="H934" s="9">
        <v>45206</v>
      </c>
      <c r="I934">
        <v>28</v>
      </c>
      <c r="J934" t="s">
        <v>32</v>
      </c>
      <c r="K934">
        <v>11</v>
      </c>
      <c r="L934">
        <v>5</v>
      </c>
      <c r="M934" s="11">
        <v>22378.95</v>
      </c>
      <c r="N934" s="12">
        <v>6221.88</v>
      </c>
      <c r="O934" s="12">
        <v>17094.21</v>
      </c>
    </row>
    <row r="935" spans="1:15">
      <c r="A935" t="s">
        <v>1108</v>
      </c>
      <c r="B935" t="s">
        <v>93</v>
      </c>
      <c r="C935" s="9">
        <v>30317</v>
      </c>
      <c r="D935">
        <v>43</v>
      </c>
      <c r="E935" t="s">
        <v>17</v>
      </c>
      <c r="F935" t="s">
        <v>49</v>
      </c>
      <c r="G935" s="9">
        <v>45614</v>
      </c>
      <c r="H935" s="9">
        <v>45290</v>
      </c>
      <c r="I935">
        <v>18</v>
      </c>
      <c r="J935" t="s">
        <v>32</v>
      </c>
      <c r="K935">
        <v>1</v>
      </c>
      <c r="L935">
        <v>3</v>
      </c>
      <c r="M935" s="11">
        <v>4002.21</v>
      </c>
      <c r="N935" s="12">
        <v>13087.58</v>
      </c>
      <c r="O935" s="12">
        <v>17925.3</v>
      </c>
    </row>
    <row r="936" spans="1:15">
      <c r="A936" t="s">
        <v>1109</v>
      </c>
      <c r="B936" t="s">
        <v>774</v>
      </c>
      <c r="C936" s="9">
        <v>37256</v>
      </c>
      <c r="D936">
        <v>24</v>
      </c>
      <c r="E936" t="s">
        <v>17</v>
      </c>
      <c r="F936" t="s">
        <v>5184</v>
      </c>
      <c r="G936" s="9">
        <v>45276</v>
      </c>
      <c r="H936" s="9">
        <v>45552</v>
      </c>
      <c r="I936">
        <v>4</v>
      </c>
      <c r="J936" t="s">
        <v>32</v>
      </c>
      <c r="K936">
        <v>12</v>
      </c>
      <c r="L936">
        <v>5</v>
      </c>
      <c r="M936" s="11">
        <v>27121.26</v>
      </c>
      <c r="N936" s="12">
        <v>3703.35</v>
      </c>
      <c r="O936" s="12">
        <v>12523.82</v>
      </c>
    </row>
    <row r="937" spans="1:15">
      <c r="A937" t="s">
        <v>1110</v>
      </c>
      <c r="B937" t="s">
        <v>78</v>
      </c>
      <c r="C937" s="9">
        <v>40178</v>
      </c>
      <c r="D937">
        <v>16</v>
      </c>
      <c r="E937" t="s">
        <v>21</v>
      </c>
      <c r="F937" t="s">
        <v>29</v>
      </c>
      <c r="G937" s="9">
        <v>45381</v>
      </c>
      <c r="H937" s="9">
        <v>45335</v>
      </c>
      <c r="I937">
        <v>28</v>
      </c>
      <c r="J937" t="s">
        <v>35</v>
      </c>
      <c r="K937">
        <v>14</v>
      </c>
      <c r="L937">
        <v>2</v>
      </c>
      <c r="M937" s="11">
        <v>17117.84</v>
      </c>
      <c r="N937" s="12">
        <v>363.81</v>
      </c>
      <c r="O937" s="12">
        <v>19331.849999999999</v>
      </c>
    </row>
    <row r="938" spans="1:15">
      <c r="A938" t="s">
        <v>1111</v>
      </c>
      <c r="B938" t="s">
        <v>223</v>
      </c>
      <c r="C938" s="9">
        <v>41639</v>
      </c>
      <c r="D938">
        <v>12</v>
      </c>
      <c r="E938" t="s">
        <v>17</v>
      </c>
      <c r="F938" t="s">
        <v>29</v>
      </c>
      <c r="G938" s="9">
        <v>45367</v>
      </c>
      <c r="H938" s="9">
        <v>45102</v>
      </c>
      <c r="I938">
        <v>11</v>
      </c>
      <c r="J938" t="s">
        <v>32</v>
      </c>
      <c r="K938">
        <v>8</v>
      </c>
      <c r="L938">
        <v>5</v>
      </c>
      <c r="M938" s="11">
        <v>20432.439999999999</v>
      </c>
      <c r="N938" s="12">
        <v>6491.55</v>
      </c>
      <c r="O938" s="12">
        <v>14571.85</v>
      </c>
    </row>
    <row r="939" spans="1:15">
      <c r="A939" t="s">
        <v>1112</v>
      </c>
      <c r="B939" t="s">
        <v>166</v>
      </c>
      <c r="C939" s="9">
        <v>15707</v>
      </c>
      <c r="D939">
        <v>83</v>
      </c>
      <c r="E939" t="s">
        <v>17</v>
      </c>
      <c r="F939" t="s">
        <v>25</v>
      </c>
      <c r="G939" s="9">
        <v>45514</v>
      </c>
      <c r="H939" s="9">
        <v>45528</v>
      </c>
      <c r="I939">
        <v>36</v>
      </c>
      <c r="J939" t="s">
        <v>35</v>
      </c>
      <c r="K939">
        <v>13</v>
      </c>
      <c r="L939">
        <v>6</v>
      </c>
      <c r="M939" s="11">
        <v>24478.3</v>
      </c>
      <c r="N939" s="12">
        <v>13792.88</v>
      </c>
      <c r="O939" s="12">
        <v>10507.26</v>
      </c>
    </row>
    <row r="940" spans="1:15">
      <c r="A940" t="s">
        <v>1113</v>
      </c>
      <c r="B940" t="s">
        <v>176</v>
      </c>
      <c r="C940" s="9">
        <v>37256</v>
      </c>
      <c r="D940">
        <f ca="1">DATEDIF(C891,TODAY(),"Y")</f>
        <v>25</v>
      </c>
      <c r="E940" t="s">
        <v>21</v>
      </c>
      <c r="F940" t="s">
        <v>74</v>
      </c>
      <c r="G940" s="9">
        <v>45441</v>
      </c>
      <c r="H940" s="9">
        <v>45062</v>
      </c>
      <c r="I940">
        <v>36</v>
      </c>
      <c r="J940" t="s">
        <v>32</v>
      </c>
      <c r="K940">
        <v>8</v>
      </c>
      <c r="L940">
        <v>9</v>
      </c>
      <c r="M940" s="11">
        <v>18868.650000000001</v>
      </c>
      <c r="N940" s="12">
        <v>8568.41</v>
      </c>
      <c r="O940" s="12">
        <v>2600.85</v>
      </c>
    </row>
    <row r="941" spans="1:15">
      <c r="A941" t="s">
        <v>1114</v>
      </c>
      <c r="B941" t="s">
        <v>444</v>
      </c>
      <c r="C941" s="9">
        <v>21551</v>
      </c>
      <c r="D941">
        <v>67</v>
      </c>
      <c r="E941" t="s">
        <v>17</v>
      </c>
      <c r="F941" t="s">
        <v>29</v>
      </c>
      <c r="G941" s="9">
        <v>45007</v>
      </c>
      <c r="H941" s="9">
        <v>45433</v>
      </c>
      <c r="I941">
        <v>6</v>
      </c>
      <c r="J941" t="s">
        <v>26</v>
      </c>
      <c r="K941">
        <v>8</v>
      </c>
      <c r="L941">
        <v>2</v>
      </c>
      <c r="M941" s="11">
        <v>19056.759999999998</v>
      </c>
      <c r="N941" s="12">
        <v>3441.54</v>
      </c>
      <c r="O941" s="12">
        <v>8518.59</v>
      </c>
    </row>
    <row r="942" spans="1:15">
      <c r="A942" t="s">
        <v>1115</v>
      </c>
      <c r="B942" t="s">
        <v>159</v>
      </c>
      <c r="C942" s="9">
        <v>42735</v>
      </c>
      <c r="D942">
        <v>9</v>
      </c>
      <c r="E942" t="s">
        <v>21</v>
      </c>
      <c r="F942" t="s">
        <v>18</v>
      </c>
      <c r="G942" s="9">
        <v>45287</v>
      </c>
      <c r="H942" s="9">
        <v>45221</v>
      </c>
      <c r="I942">
        <v>20</v>
      </c>
      <c r="J942" t="s">
        <v>26</v>
      </c>
      <c r="K942">
        <v>12</v>
      </c>
      <c r="L942">
        <v>4</v>
      </c>
      <c r="M942" s="11">
        <v>21753.45</v>
      </c>
      <c r="N942" s="12">
        <v>9762.32</v>
      </c>
      <c r="O942" s="12">
        <v>16429.05</v>
      </c>
    </row>
    <row r="943" spans="1:15">
      <c r="A943" t="s">
        <v>1116</v>
      </c>
      <c r="B943" t="s">
        <v>207</v>
      </c>
      <c r="C943" s="9">
        <v>21916</v>
      </c>
      <c r="D943">
        <f ca="1">DATEDIF(C894,TODAY(),"Y")</f>
        <v>55</v>
      </c>
      <c r="E943" t="s">
        <v>21</v>
      </c>
      <c r="F943" t="s">
        <v>18</v>
      </c>
      <c r="G943" s="9">
        <v>45214</v>
      </c>
      <c r="H943" s="9">
        <v>45422</v>
      </c>
      <c r="I943">
        <v>9</v>
      </c>
      <c r="J943" t="s">
        <v>26</v>
      </c>
      <c r="K943">
        <v>9</v>
      </c>
      <c r="L943">
        <v>7</v>
      </c>
      <c r="M943" s="11">
        <v>1093.21</v>
      </c>
      <c r="N943" s="12">
        <v>11174.79</v>
      </c>
      <c r="O943" s="12">
        <v>5601.31</v>
      </c>
    </row>
    <row r="944" spans="1:15">
      <c r="A944" t="s">
        <v>1117</v>
      </c>
      <c r="B944" t="s">
        <v>215</v>
      </c>
      <c r="C944" s="9">
        <v>39813</v>
      </c>
      <c r="D944">
        <v>17</v>
      </c>
      <c r="E944" t="s">
        <v>17</v>
      </c>
      <c r="F944" t="s">
        <v>29</v>
      </c>
      <c r="G944" s="9">
        <v>44934</v>
      </c>
      <c r="H944" s="9">
        <v>45742</v>
      </c>
      <c r="I944">
        <v>26</v>
      </c>
      <c r="J944" t="s">
        <v>35</v>
      </c>
      <c r="K944">
        <v>8</v>
      </c>
      <c r="L944">
        <v>1</v>
      </c>
      <c r="M944" s="11">
        <v>11157.42</v>
      </c>
      <c r="N944" s="12">
        <v>8255.07</v>
      </c>
      <c r="O944" s="12">
        <v>11523.25</v>
      </c>
    </row>
    <row r="945" spans="1:15">
      <c r="A945" t="s">
        <v>1118</v>
      </c>
      <c r="B945" t="s">
        <v>302</v>
      </c>
      <c r="C945" s="9">
        <v>14976</v>
      </c>
      <c r="D945">
        <v>85</v>
      </c>
      <c r="E945" t="s">
        <v>21</v>
      </c>
      <c r="F945" t="s">
        <v>29</v>
      </c>
      <c r="G945" s="9">
        <v>45013</v>
      </c>
      <c r="H945" s="9">
        <v>45798</v>
      </c>
      <c r="I945">
        <v>35</v>
      </c>
      <c r="J945" t="s">
        <v>32</v>
      </c>
      <c r="K945">
        <v>10</v>
      </c>
      <c r="L945">
        <v>6</v>
      </c>
      <c r="M945" s="11">
        <v>28869.57</v>
      </c>
      <c r="N945" s="12">
        <v>12638.97</v>
      </c>
      <c r="O945" s="12">
        <v>19667.03</v>
      </c>
    </row>
    <row r="946" spans="1:15">
      <c r="A946" t="s">
        <v>1119</v>
      </c>
      <c r="B946" t="s">
        <v>41</v>
      </c>
      <c r="C946" s="9">
        <v>33969</v>
      </c>
      <c r="D946">
        <v>33</v>
      </c>
      <c r="E946" t="s">
        <v>21</v>
      </c>
      <c r="F946" t="s">
        <v>25</v>
      </c>
      <c r="G946" s="9">
        <v>45212</v>
      </c>
      <c r="H946" s="9">
        <v>45346</v>
      </c>
      <c r="I946">
        <v>36</v>
      </c>
      <c r="J946" t="s">
        <v>32</v>
      </c>
      <c r="K946">
        <v>13</v>
      </c>
      <c r="L946">
        <v>0</v>
      </c>
      <c r="M946" s="11">
        <v>7367.04</v>
      </c>
      <c r="N946" s="12">
        <v>8885.59</v>
      </c>
      <c r="O946" s="12">
        <v>3405.92</v>
      </c>
    </row>
    <row r="947" spans="1:15">
      <c r="A947" t="s">
        <v>1120</v>
      </c>
      <c r="B947" t="s">
        <v>69</v>
      </c>
      <c r="C947" s="9">
        <v>43466</v>
      </c>
      <c r="D947">
        <v>7</v>
      </c>
      <c r="E947" t="s">
        <v>21</v>
      </c>
      <c r="F947" t="s">
        <v>49</v>
      </c>
      <c r="G947" s="9">
        <v>45325</v>
      </c>
      <c r="H947" s="9">
        <v>45133</v>
      </c>
      <c r="I947">
        <v>19</v>
      </c>
      <c r="J947" t="s">
        <v>35</v>
      </c>
      <c r="K947">
        <v>6</v>
      </c>
      <c r="L947">
        <v>6</v>
      </c>
      <c r="M947" s="11">
        <v>16038.79</v>
      </c>
      <c r="N947" s="12">
        <v>1440.31</v>
      </c>
      <c r="O947" s="12">
        <v>1939.29</v>
      </c>
    </row>
    <row r="948" spans="1:15">
      <c r="A948" t="s">
        <v>1121</v>
      </c>
      <c r="B948" t="s">
        <v>422</v>
      </c>
      <c r="C948" s="9">
        <v>31778</v>
      </c>
      <c r="D948">
        <v>39</v>
      </c>
      <c r="E948" t="s">
        <v>21</v>
      </c>
      <c r="F948" t="s">
        <v>25</v>
      </c>
      <c r="G948" s="9">
        <v>45000</v>
      </c>
      <c r="H948" s="9">
        <v>45245</v>
      </c>
      <c r="I948">
        <v>1</v>
      </c>
      <c r="J948" t="s">
        <v>32</v>
      </c>
      <c r="K948">
        <v>9</v>
      </c>
      <c r="L948">
        <v>0</v>
      </c>
      <c r="M948" s="11">
        <v>4850.54</v>
      </c>
      <c r="N948" s="12">
        <v>12143.18</v>
      </c>
      <c r="O948" s="12">
        <v>15891.49</v>
      </c>
    </row>
    <row r="949" spans="1:15">
      <c r="A949" t="s">
        <v>1122</v>
      </c>
      <c r="B949" t="s">
        <v>28</v>
      </c>
      <c r="C949" s="9">
        <v>16072</v>
      </c>
      <c r="D949">
        <v>82</v>
      </c>
      <c r="E949" t="s">
        <v>17</v>
      </c>
      <c r="F949" t="s">
        <v>49</v>
      </c>
      <c r="G949" s="9">
        <v>45365</v>
      </c>
      <c r="H949" s="9">
        <v>45000</v>
      </c>
      <c r="I949">
        <v>4</v>
      </c>
      <c r="J949" t="s">
        <v>26</v>
      </c>
      <c r="K949">
        <v>3</v>
      </c>
      <c r="L949">
        <v>3</v>
      </c>
      <c r="M949" s="11">
        <v>9359.8700000000008</v>
      </c>
      <c r="N949" s="12">
        <v>2195.34</v>
      </c>
      <c r="O949" s="12">
        <v>400.93</v>
      </c>
    </row>
    <row r="950" spans="1:15">
      <c r="A950" t="s">
        <v>1123</v>
      </c>
      <c r="B950" t="s">
        <v>31</v>
      </c>
      <c r="C950" s="9">
        <f>DATE(2026-D910,1,1)</f>
        <v>13516</v>
      </c>
      <c r="D950">
        <v>41</v>
      </c>
      <c r="E950" t="s">
        <v>17</v>
      </c>
      <c r="F950" t="s">
        <v>18</v>
      </c>
      <c r="G950" s="9">
        <v>45049</v>
      </c>
      <c r="H950" s="9">
        <v>45186</v>
      </c>
      <c r="I950">
        <v>37</v>
      </c>
      <c r="J950" t="s">
        <v>35</v>
      </c>
      <c r="K950">
        <v>7</v>
      </c>
      <c r="L950">
        <v>3</v>
      </c>
      <c r="M950" s="11">
        <v>21370.94</v>
      </c>
      <c r="N950" s="12">
        <v>13241.33</v>
      </c>
      <c r="O950" s="12">
        <v>12829.44</v>
      </c>
    </row>
    <row r="951" spans="1:15">
      <c r="A951" t="s">
        <v>1124</v>
      </c>
      <c r="B951" t="s">
        <v>82</v>
      </c>
      <c r="C951" s="9">
        <v>31412</v>
      </c>
      <c r="D951">
        <v>40</v>
      </c>
      <c r="E951" t="s">
        <v>17</v>
      </c>
      <c r="F951" t="s">
        <v>49</v>
      </c>
      <c r="G951" s="9">
        <v>45303</v>
      </c>
      <c r="H951" s="9">
        <v>45285</v>
      </c>
      <c r="I951">
        <v>5</v>
      </c>
      <c r="J951" t="s">
        <v>32</v>
      </c>
      <c r="K951">
        <v>9</v>
      </c>
      <c r="L951">
        <v>4</v>
      </c>
      <c r="M951" s="11">
        <v>19114.37</v>
      </c>
      <c r="N951" s="12">
        <v>7827.68</v>
      </c>
      <c r="O951" s="12">
        <v>6648.47</v>
      </c>
    </row>
    <row r="952" spans="1:15">
      <c r="A952" t="s">
        <v>1125</v>
      </c>
      <c r="B952" t="s">
        <v>55</v>
      </c>
      <c r="C952" s="9">
        <v>44196</v>
      </c>
      <c r="D952">
        <v>5</v>
      </c>
      <c r="E952" t="s">
        <v>17</v>
      </c>
      <c r="F952" t="s">
        <v>25</v>
      </c>
      <c r="G952" s="9">
        <v>45069</v>
      </c>
      <c r="H952" s="9">
        <v>45075</v>
      </c>
      <c r="I952">
        <v>32</v>
      </c>
      <c r="J952" t="s">
        <v>32</v>
      </c>
      <c r="K952">
        <v>13</v>
      </c>
      <c r="L952">
        <v>1</v>
      </c>
      <c r="M952" s="11">
        <v>12136.65</v>
      </c>
      <c r="N952" s="12">
        <v>10978</v>
      </c>
      <c r="O952" s="12">
        <v>14448.66</v>
      </c>
    </row>
    <row r="953" spans="1:15">
      <c r="A953" t="s">
        <v>1126</v>
      </c>
      <c r="B953" t="s">
        <v>119</v>
      </c>
      <c r="C953" s="9">
        <v>27395</v>
      </c>
      <c r="D953">
        <v>51</v>
      </c>
      <c r="E953" t="s">
        <v>21</v>
      </c>
      <c r="F953" t="s">
        <v>29</v>
      </c>
      <c r="G953" s="9">
        <v>45084</v>
      </c>
      <c r="H953" s="9">
        <v>45152</v>
      </c>
      <c r="I953">
        <v>6</v>
      </c>
      <c r="J953" t="s">
        <v>35</v>
      </c>
      <c r="K953">
        <v>5</v>
      </c>
      <c r="L953">
        <v>5</v>
      </c>
      <c r="M953" s="11">
        <v>28111.32</v>
      </c>
      <c r="N953" s="12">
        <v>14581.42</v>
      </c>
      <c r="O953" s="12">
        <v>2317.09</v>
      </c>
    </row>
    <row r="954" spans="1:15">
      <c r="A954" t="s">
        <v>1127</v>
      </c>
      <c r="B954" t="s">
        <v>37</v>
      </c>
      <c r="C954" s="9">
        <v>36891</v>
      </c>
      <c r="D954">
        <v>25</v>
      </c>
      <c r="E954" t="s">
        <v>17</v>
      </c>
      <c r="F954" t="s">
        <v>49</v>
      </c>
      <c r="G954" s="9">
        <v>45356</v>
      </c>
      <c r="H954" s="9">
        <v>45032</v>
      </c>
      <c r="I954">
        <v>10</v>
      </c>
      <c r="J954" t="s">
        <v>32</v>
      </c>
      <c r="K954">
        <v>1</v>
      </c>
      <c r="L954">
        <v>5</v>
      </c>
      <c r="M954" s="11">
        <v>23138.93</v>
      </c>
      <c r="N954" s="12">
        <v>6479.15</v>
      </c>
      <c r="O954" s="12">
        <v>6533.88</v>
      </c>
    </row>
    <row r="955" spans="1:15">
      <c r="A955" t="s">
        <v>1128</v>
      </c>
      <c r="B955" t="s">
        <v>95</v>
      </c>
      <c r="C955" s="9">
        <v>23012</v>
      </c>
      <c r="D955">
        <v>63</v>
      </c>
      <c r="E955" t="s">
        <v>17</v>
      </c>
      <c r="F955" t="s">
        <v>25</v>
      </c>
      <c r="G955" s="9">
        <v>45374</v>
      </c>
      <c r="H955" s="9">
        <v>45483</v>
      </c>
      <c r="I955">
        <v>36</v>
      </c>
      <c r="J955" t="s">
        <v>35</v>
      </c>
      <c r="K955">
        <v>9</v>
      </c>
      <c r="L955">
        <v>7</v>
      </c>
      <c r="M955" s="11">
        <v>7671.68</v>
      </c>
      <c r="N955" s="12">
        <v>6895.83</v>
      </c>
      <c r="O955" s="12">
        <v>242.44</v>
      </c>
    </row>
    <row r="956" spans="1:15">
      <c r="A956" t="s">
        <v>1129</v>
      </c>
      <c r="B956" t="s">
        <v>82</v>
      </c>
      <c r="C956" s="9">
        <v>24838</v>
      </c>
      <c r="D956">
        <v>58</v>
      </c>
      <c r="E956" t="s">
        <v>17</v>
      </c>
      <c r="F956" t="s">
        <v>18</v>
      </c>
      <c r="G956" s="9">
        <v>45336</v>
      </c>
      <c r="H956" s="9">
        <v>45283</v>
      </c>
      <c r="I956">
        <v>17</v>
      </c>
      <c r="J956" t="s">
        <v>26</v>
      </c>
      <c r="K956">
        <v>11</v>
      </c>
      <c r="L956">
        <v>9</v>
      </c>
      <c r="M956" s="11">
        <v>13696.11</v>
      </c>
      <c r="N956" s="12">
        <v>12387.69</v>
      </c>
      <c r="O956" s="12">
        <v>4625.33</v>
      </c>
    </row>
    <row r="957" spans="1:15">
      <c r="A957" t="s">
        <v>1130</v>
      </c>
      <c r="B957" t="s">
        <v>341</v>
      </c>
      <c r="C957" s="9">
        <v>25934</v>
      </c>
      <c r="D957">
        <v>55</v>
      </c>
      <c r="E957" t="s">
        <v>17</v>
      </c>
      <c r="F957" t="s">
        <v>22</v>
      </c>
      <c r="G957" s="9">
        <v>45297</v>
      </c>
      <c r="H957" s="9">
        <v>45465</v>
      </c>
      <c r="I957">
        <v>18</v>
      </c>
      <c r="J957" t="s">
        <v>26</v>
      </c>
      <c r="K957">
        <v>1</v>
      </c>
      <c r="L957">
        <v>0</v>
      </c>
      <c r="M957" s="11">
        <v>26280.05</v>
      </c>
      <c r="N957" s="12">
        <v>1653.57</v>
      </c>
      <c r="O957" s="12">
        <v>9613.5</v>
      </c>
    </row>
    <row r="958" spans="1:15">
      <c r="A958" t="s">
        <v>1131</v>
      </c>
      <c r="B958" t="s">
        <v>469</v>
      </c>
      <c r="C958" s="9">
        <v>24838</v>
      </c>
      <c r="D958">
        <v>58</v>
      </c>
      <c r="E958" t="s">
        <v>17</v>
      </c>
      <c r="F958" t="s">
        <v>49</v>
      </c>
      <c r="G958" s="9">
        <v>45035</v>
      </c>
      <c r="H958" s="9">
        <v>45743</v>
      </c>
      <c r="I958">
        <v>16</v>
      </c>
      <c r="J958" t="s">
        <v>26</v>
      </c>
      <c r="K958">
        <v>5</v>
      </c>
      <c r="L958">
        <v>3</v>
      </c>
      <c r="M958" s="11">
        <v>185.16</v>
      </c>
      <c r="N958" s="12">
        <v>415.48</v>
      </c>
      <c r="O958" s="12">
        <v>3470.03</v>
      </c>
    </row>
    <row r="959" spans="1:15">
      <c r="A959" t="s">
        <v>1132</v>
      </c>
      <c r="B959" t="s">
        <v>550</v>
      </c>
      <c r="C959" s="9">
        <v>20820</v>
      </c>
      <c r="D959">
        <f ca="1">DATEDIF(C910,TODAY(),"Y")</f>
        <v>89</v>
      </c>
      <c r="E959" t="s">
        <v>17</v>
      </c>
      <c r="F959" t="s">
        <v>18</v>
      </c>
      <c r="G959" s="9">
        <v>45633</v>
      </c>
      <c r="H959" s="9">
        <v>45188</v>
      </c>
      <c r="I959">
        <v>1</v>
      </c>
      <c r="J959" t="s">
        <v>32</v>
      </c>
      <c r="K959">
        <v>9</v>
      </c>
      <c r="L959">
        <v>1</v>
      </c>
      <c r="M959" s="11">
        <v>17234.72</v>
      </c>
      <c r="N959" s="12">
        <v>9064.75</v>
      </c>
      <c r="O959" s="12">
        <v>11953.08</v>
      </c>
    </row>
    <row r="960" spans="1:15">
      <c r="A960" t="s">
        <v>1133</v>
      </c>
      <c r="B960" t="s">
        <v>20</v>
      </c>
      <c r="C960" s="9">
        <v>34334</v>
      </c>
      <c r="D960">
        <v>32</v>
      </c>
      <c r="E960" t="s">
        <v>21</v>
      </c>
      <c r="F960" t="s">
        <v>18</v>
      </c>
      <c r="G960" s="9">
        <v>44962</v>
      </c>
      <c r="H960" s="9">
        <v>45498</v>
      </c>
      <c r="I960">
        <v>37</v>
      </c>
      <c r="J960" t="s">
        <v>26</v>
      </c>
      <c r="K960">
        <v>5</v>
      </c>
      <c r="L960">
        <v>7</v>
      </c>
      <c r="M960" s="11">
        <v>6574.79</v>
      </c>
      <c r="N960" s="12">
        <v>2512.8000000000002</v>
      </c>
      <c r="O960" s="12">
        <v>2274.75</v>
      </c>
    </row>
    <row r="961" spans="1:15">
      <c r="A961" t="s">
        <v>1134</v>
      </c>
      <c r="B961" t="s">
        <v>242</v>
      </c>
      <c r="C961" s="9">
        <v>27029</v>
      </c>
      <c r="D961">
        <v>52</v>
      </c>
      <c r="E961" t="s">
        <v>17</v>
      </c>
      <c r="F961" t="s">
        <v>74</v>
      </c>
      <c r="G961" s="9">
        <v>45016</v>
      </c>
      <c r="H961" s="9">
        <v>45500</v>
      </c>
      <c r="I961">
        <v>27</v>
      </c>
      <c r="J961" t="s">
        <v>32</v>
      </c>
      <c r="K961">
        <v>7</v>
      </c>
      <c r="L961">
        <v>3</v>
      </c>
      <c r="M961" s="11">
        <v>1446.51</v>
      </c>
      <c r="N961" s="12">
        <v>3836.07</v>
      </c>
      <c r="O961" s="12">
        <v>14878.99</v>
      </c>
    </row>
    <row r="962" spans="1:15">
      <c r="A962" t="s">
        <v>1135</v>
      </c>
      <c r="B962" t="s">
        <v>264</v>
      </c>
      <c r="C962" s="9">
        <v>38352</v>
      </c>
      <c r="D962">
        <v>21</v>
      </c>
      <c r="E962" t="s">
        <v>21</v>
      </c>
      <c r="F962" t="s">
        <v>22</v>
      </c>
      <c r="G962" s="9">
        <v>45341</v>
      </c>
      <c r="H962" s="9">
        <v>45744</v>
      </c>
      <c r="I962">
        <v>20</v>
      </c>
      <c r="J962" t="s">
        <v>32</v>
      </c>
      <c r="K962">
        <v>0</v>
      </c>
      <c r="L962">
        <v>7</v>
      </c>
      <c r="M962" s="11">
        <v>27342.26</v>
      </c>
      <c r="N962" s="12">
        <v>14644.2</v>
      </c>
      <c r="O962" s="12">
        <v>18425.46</v>
      </c>
    </row>
    <row r="963" spans="1:15">
      <c r="A963" t="s">
        <v>1136</v>
      </c>
      <c r="B963" t="s">
        <v>143</v>
      </c>
      <c r="C963" s="9">
        <v>38717</v>
      </c>
      <c r="D963">
        <v>20</v>
      </c>
      <c r="E963" t="s">
        <v>21</v>
      </c>
      <c r="F963" t="s">
        <v>49</v>
      </c>
      <c r="G963" s="9">
        <v>45222</v>
      </c>
      <c r="H963" s="9">
        <v>44997</v>
      </c>
      <c r="I963">
        <v>37</v>
      </c>
      <c r="J963" t="s">
        <v>32</v>
      </c>
      <c r="K963">
        <v>5</v>
      </c>
      <c r="L963">
        <v>1</v>
      </c>
      <c r="M963" s="11">
        <v>24396.63</v>
      </c>
      <c r="N963" s="12">
        <v>9797.2199999999993</v>
      </c>
      <c r="O963" s="12">
        <v>7657.1</v>
      </c>
    </row>
    <row r="964" spans="1:15">
      <c r="A964" t="s">
        <v>1137</v>
      </c>
      <c r="B964" t="s">
        <v>209</v>
      </c>
      <c r="C964" s="9">
        <v>20820</v>
      </c>
      <c r="D964">
        <v>69</v>
      </c>
      <c r="E964" t="s">
        <v>21</v>
      </c>
      <c r="F964" t="s">
        <v>25</v>
      </c>
      <c r="G964" s="9">
        <v>45639</v>
      </c>
      <c r="H964" s="9">
        <v>45374</v>
      </c>
      <c r="I964">
        <v>10</v>
      </c>
      <c r="J964" t="s">
        <v>26</v>
      </c>
      <c r="K964">
        <v>0</v>
      </c>
      <c r="L964">
        <v>3</v>
      </c>
      <c r="M964" s="11">
        <v>5151.45</v>
      </c>
      <c r="N964" s="12">
        <v>12836.44</v>
      </c>
      <c r="O964" s="12">
        <v>10516.94</v>
      </c>
    </row>
    <row r="965" spans="1:15">
      <c r="A965" t="s">
        <v>1138</v>
      </c>
      <c r="B965" t="s">
        <v>176</v>
      </c>
      <c r="C965" s="9">
        <v>20820</v>
      </c>
      <c r="D965">
        <v>69</v>
      </c>
      <c r="E965" t="s">
        <v>21</v>
      </c>
      <c r="F965" t="s">
        <v>49</v>
      </c>
      <c r="G965" s="9">
        <v>44972</v>
      </c>
      <c r="H965" s="9">
        <v>45374</v>
      </c>
      <c r="I965">
        <v>30</v>
      </c>
      <c r="J965" t="s">
        <v>32</v>
      </c>
      <c r="K965">
        <v>12</v>
      </c>
      <c r="L965">
        <v>8</v>
      </c>
      <c r="M965" s="11">
        <v>25026.87</v>
      </c>
      <c r="N965" s="12">
        <v>13466.87</v>
      </c>
      <c r="O965" s="12">
        <v>9719.1200000000008</v>
      </c>
    </row>
    <row r="966" spans="1:15">
      <c r="A966" t="s">
        <v>1139</v>
      </c>
      <c r="B966" t="s">
        <v>181</v>
      </c>
      <c r="C966" s="9">
        <f>DATE(2026-D926,1,1)</f>
        <v>23012</v>
      </c>
      <c r="D966">
        <v>3</v>
      </c>
      <c r="E966" t="s">
        <v>21</v>
      </c>
      <c r="F966" t="s">
        <v>49</v>
      </c>
      <c r="G966" s="9">
        <v>45414</v>
      </c>
      <c r="H966" s="9">
        <v>45710</v>
      </c>
      <c r="I966">
        <v>29</v>
      </c>
      <c r="J966" t="s">
        <v>32</v>
      </c>
      <c r="K966">
        <v>8</v>
      </c>
      <c r="L966">
        <v>4</v>
      </c>
      <c r="M966" s="11">
        <v>3966.04</v>
      </c>
      <c r="N966" s="12">
        <v>1820.25</v>
      </c>
      <c r="O966" s="12">
        <v>15686.45</v>
      </c>
    </row>
    <row r="967" spans="1:15">
      <c r="A967" t="s">
        <v>1140</v>
      </c>
      <c r="B967" t="s">
        <v>78</v>
      </c>
      <c r="C967" s="9">
        <v>12054</v>
      </c>
      <c r="D967">
        <v>93</v>
      </c>
      <c r="E967" t="s">
        <v>21</v>
      </c>
      <c r="F967" t="s">
        <v>22</v>
      </c>
      <c r="G967" s="9">
        <v>45545</v>
      </c>
      <c r="H967" s="9">
        <v>45184</v>
      </c>
      <c r="I967">
        <v>25</v>
      </c>
      <c r="J967" t="s">
        <v>32</v>
      </c>
      <c r="K967">
        <v>10</v>
      </c>
      <c r="L967">
        <v>5</v>
      </c>
      <c r="M967" s="11">
        <v>14022.92</v>
      </c>
      <c r="N967" s="12">
        <v>13916.66</v>
      </c>
      <c r="O967" s="12">
        <v>19883.240000000002</v>
      </c>
    </row>
    <row r="968" spans="1:15">
      <c r="A968" t="s">
        <v>1141</v>
      </c>
      <c r="B968" t="s">
        <v>166</v>
      </c>
      <c r="C968" s="9">
        <v>18994</v>
      </c>
      <c r="D968">
        <v>74</v>
      </c>
      <c r="E968" t="s">
        <v>17</v>
      </c>
      <c r="F968" t="s">
        <v>5184</v>
      </c>
      <c r="G968" s="9">
        <v>45096</v>
      </c>
      <c r="H968" s="9">
        <v>45823</v>
      </c>
      <c r="I968">
        <v>21</v>
      </c>
      <c r="J968" t="s">
        <v>32</v>
      </c>
      <c r="K968">
        <v>8</v>
      </c>
      <c r="L968">
        <v>9</v>
      </c>
      <c r="M968" s="11">
        <v>21636.09</v>
      </c>
      <c r="N968" s="12">
        <v>12997.79</v>
      </c>
      <c r="O968" s="12">
        <v>14687.29</v>
      </c>
    </row>
    <row r="969" spans="1:15">
      <c r="A969" t="s">
        <v>1142</v>
      </c>
      <c r="B969" t="s">
        <v>80</v>
      </c>
      <c r="C969" s="9">
        <v>23742</v>
      </c>
      <c r="D969">
        <v>61</v>
      </c>
      <c r="E969" t="s">
        <v>17</v>
      </c>
      <c r="F969" t="s">
        <v>18</v>
      </c>
      <c r="G969" s="9">
        <v>45072</v>
      </c>
      <c r="H969" s="9">
        <v>45564</v>
      </c>
      <c r="I969">
        <v>39</v>
      </c>
      <c r="J969" t="s">
        <v>26</v>
      </c>
      <c r="K969">
        <v>0</v>
      </c>
      <c r="L969">
        <v>8</v>
      </c>
      <c r="M969" s="11">
        <v>15781.07</v>
      </c>
      <c r="N969" s="12">
        <v>680.14</v>
      </c>
      <c r="O969" s="12">
        <v>4212.0600000000004</v>
      </c>
    </row>
    <row r="970" spans="1:15">
      <c r="A970" t="s">
        <v>1143</v>
      </c>
      <c r="B970" t="s">
        <v>215</v>
      </c>
      <c r="C970" s="9">
        <v>23742</v>
      </c>
      <c r="D970">
        <v>61</v>
      </c>
      <c r="E970" t="s">
        <v>5185</v>
      </c>
      <c r="F970" t="s">
        <v>18</v>
      </c>
      <c r="G970" s="9">
        <v>45346</v>
      </c>
      <c r="H970" s="9">
        <v>45458</v>
      </c>
      <c r="I970">
        <v>25</v>
      </c>
      <c r="J970" t="s">
        <v>26</v>
      </c>
      <c r="K970">
        <v>3</v>
      </c>
      <c r="L970">
        <v>8</v>
      </c>
      <c r="M970" s="11">
        <v>25448.81</v>
      </c>
      <c r="N970" s="12">
        <v>14658.11</v>
      </c>
      <c r="O970" s="12">
        <v>13891.21</v>
      </c>
    </row>
    <row r="971" spans="1:15">
      <c r="A971" t="s">
        <v>1144</v>
      </c>
      <c r="B971" t="s">
        <v>20</v>
      </c>
      <c r="C971" s="9">
        <v>12054</v>
      </c>
      <c r="D971">
        <v>93</v>
      </c>
      <c r="E971" t="s">
        <v>21</v>
      </c>
      <c r="F971" t="s">
        <v>18</v>
      </c>
      <c r="G971" s="9">
        <v>45616</v>
      </c>
      <c r="H971" s="9">
        <v>45046</v>
      </c>
      <c r="I971">
        <v>27</v>
      </c>
      <c r="J971" t="s">
        <v>26</v>
      </c>
      <c r="K971">
        <v>14</v>
      </c>
      <c r="L971">
        <v>6</v>
      </c>
      <c r="M971" s="11">
        <v>18314.77</v>
      </c>
      <c r="N971" s="12">
        <v>6874.75</v>
      </c>
      <c r="O971" s="12">
        <v>12276.86</v>
      </c>
    </row>
    <row r="972" spans="1:15">
      <c r="A972" t="s">
        <v>1145</v>
      </c>
      <c r="B972" t="s">
        <v>87</v>
      </c>
      <c r="C972" s="9">
        <v>11689</v>
      </c>
      <c r="D972">
        <v>94</v>
      </c>
      <c r="E972" t="s">
        <v>17</v>
      </c>
      <c r="F972" t="s">
        <v>18</v>
      </c>
      <c r="G972" s="9">
        <v>45499</v>
      </c>
      <c r="H972" s="9">
        <v>45759</v>
      </c>
      <c r="I972">
        <v>38</v>
      </c>
      <c r="J972" t="s">
        <v>35</v>
      </c>
      <c r="K972">
        <v>7</v>
      </c>
      <c r="L972">
        <v>1</v>
      </c>
      <c r="M972" s="11">
        <v>12674.53</v>
      </c>
      <c r="N972" s="12">
        <v>14617.33</v>
      </c>
      <c r="O972" s="12">
        <v>4123.41</v>
      </c>
    </row>
    <row r="973" spans="1:15">
      <c r="A973" t="s">
        <v>1146</v>
      </c>
      <c r="B973" t="s">
        <v>278</v>
      </c>
      <c r="C973" s="9">
        <v>37622</v>
      </c>
      <c r="D973">
        <v>23</v>
      </c>
      <c r="E973" t="s">
        <v>17</v>
      </c>
      <c r="F973" t="s">
        <v>22</v>
      </c>
      <c r="G973" s="9">
        <v>44929</v>
      </c>
      <c r="H973" s="9">
        <v>44993</v>
      </c>
      <c r="I973">
        <v>26</v>
      </c>
      <c r="J973" t="s">
        <v>26</v>
      </c>
      <c r="K973">
        <v>7</v>
      </c>
      <c r="L973">
        <v>6</v>
      </c>
      <c r="M973" s="11">
        <v>0</v>
      </c>
      <c r="N973" s="12">
        <v>12357.82</v>
      </c>
      <c r="O973" s="12">
        <v>4743.33</v>
      </c>
    </row>
    <row r="974" spans="1:15">
      <c r="A974" t="s">
        <v>1147</v>
      </c>
      <c r="B974" t="s">
        <v>1148</v>
      </c>
      <c r="C974" s="9">
        <v>26299</v>
      </c>
      <c r="D974">
        <v>54</v>
      </c>
      <c r="E974" t="s">
        <v>21</v>
      </c>
      <c r="F974" t="s">
        <v>25</v>
      </c>
      <c r="G974" s="9">
        <v>45520</v>
      </c>
      <c r="H974" s="9">
        <v>45172</v>
      </c>
      <c r="I974">
        <v>31</v>
      </c>
      <c r="J974" t="s">
        <v>32</v>
      </c>
      <c r="K974">
        <v>8</v>
      </c>
      <c r="L974">
        <v>8</v>
      </c>
      <c r="M974" s="11">
        <v>606.99</v>
      </c>
      <c r="N974" s="12">
        <v>6602.01</v>
      </c>
      <c r="O974" s="12">
        <v>13021.01</v>
      </c>
    </row>
    <row r="975" spans="1:15">
      <c r="A975" t="s">
        <v>1149</v>
      </c>
      <c r="B975" t="s">
        <v>172</v>
      </c>
      <c r="C975" s="9">
        <v>43100</v>
      </c>
      <c r="D975">
        <v>8</v>
      </c>
      <c r="E975" t="s">
        <v>17</v>
      </c>
      <c r="F975" t="s">
        <v>29</v>
      </c>
      <c r="G975" s="9">
        <v>45189</v>
      </c>
      <c r="H975" s="9">
        <v>44984</v>
      </c>
      <c r="I975">
        <v>19</v>
      </c>
      <c r="J975" t="s">
        <v>32</v>
      </c>
      <c r="K975">
        <v>1</v>
      </c>
      <c r="L975">
        <v>1</v>
      </c>
      <c r="M975" s="11">
        <v>14396.17</v>
      </c>
      <c r="N975" s="12">
        <v>7673.36</v>
      </c>
      <c r="O975" s="12">
        <v>16137.16</v>
      </c>
    </row>
    <row r="976" spans="1:15">
      <c r="A976" t="s">
        <v>1150</v>
      </c>
      <c r="B976" t="s">
        <v>302</v>
      </c>
      <c r="C976" s="9">
        <v>45292</v>
      </c>
      <c r="D976">
        <v>2</v>
      </c>
      <c r="E976" t="s">
        <v>17</v>
      </c>
      <c r="F976" t="s">
        <v>74</v>
      </c>
      <c r="G976" s="9">
        <v>45247</v>
      </c>
      <c r="H976" s="9">
        <v>44971</v>
      </c>
      <c r="I976">
        <v>22</v>
      </c>
      <c r="J976" t="s">
        <v>32</v>
      </c>
      <c r="K976">
        <v>9</v>
      </c>
      <c r="L976">
        <v>6</v>
      </c>
      <c r="M976" s="11">
        <v>19653.84</v>
      </c>
      <c r="N976" s="12">
        <v>4126.46</v>
      </c>
      <c r="O976" s="12">
        <v>15224.32</v>
      </c>
    </row>
    <row r="977" spans="1:15">
      <c r="A977" t="s">
        <v>1151</v>
      </c>
      <c r="B977" t="s">
        <v>671</v>
      </c>
      <c r="C977" s="9">
        <v>35065</v>
      </c>
      <c r="D977">
        <v>30</v>
      </c>
      <c r="E977" t="s">
        <v>21</v>
      </c>
      <c r="F977" t="s">
        <v>5184</v>
      </c>
      <c r="G977" s="9">
        <v>45533</v>
      </c>
      <c r="H977" s="9">
        <v>45451</v>
      </c>
      <c r="I977">
        <v>11</v>
      </c>
      <c r="J977" t="s">
        <v>35</v>
      </c>
      <c r="K977">
        <v>12</v>
      </c>
      <c r="L977">
        <v>6</v>
      </c>
      <c r="M977" s="11">
        <v>24999.78</v>
      </c>
      <c r="N977" s="12">
        <v>7303.8</v>
      </c>
      <c r="O977" s="12">
        <v>12088.88</v>
      </c>
    </row>
    <row r="978" spans="1:15">
      <c r="A978" t="s">
        <v>1152</v>
      </c>
      <c r="B978" t="s">
        <v>207</v>
      </c>
      <c r="C978" s="9">
        <v>31778</v>
      </c>
      <c r="D978">
        <v>39</v>
      </c>
      <c r="E978" t="s">
        <v>17</v>
      </c>
      <c r="F978" t="s">
        <v>5184</v>
      </c>
      <c r="G978" s="9">
        <v>45502</v>
      </c>
      <c r="H978" s="9">
        <v>45817</v>
      </c>
      <c r="I978">
        <v>7</v>
      </c>
      <c r="J978" t="s">
        <v>32</v>
      </c>
      <c r="K978">
        <v>5</v>
      </c>
      <c r="L978">
        <v>2</v>
      </c>
      <c r="M978" s="11">
        <v>16005.27</v>
      </c>
      <c r="N978" s="12">
        <v>1612.39</v>
      </c>
      <c r="O978" s="12">
        <v>18744.599999999999</v>
      </c>
    </row>
    <row r="979" spans="1:15">
      <c r="A979" t="s">
        <v>1153</v>
      </c>
      <c r="B979" t="s">
        <v>196</v>
      </c>
      <c r="C979" s="9">
        <v>33239</v>
      </c>
      <c r="D979">
        <v>35</v>
      </c>
      <c r="E979" t="s">
        <v>17</v>
      </c>
      <c r="F979" t="s">
        <v>18</v>
      </c>
      <c r="G979" s="9">
        <v>45172</v>
      </c>
      <c r="H979" s="9">
        <v>45351</v>
      </c>
      <c r="I979">
        <v>7</v>
      </c>
      <c r="J979" t="s">
        <v>32</v>
      </c>
      <c r="K979">
        <v>8</v>
      </c>
      <c r="L979">
        <v>5</v>
      </c>
      <c r="M979" s="11">
        <v>26508.29</v>
      </c>
      <c r="N979" s="12">
        <v>13629.53</v>
      </c>
      <c r="O979" s="12">
        <v>14594.02</v>
      </c>
    </row>
    <row r="980" spans="1:15">
      <c r="A980" t="s">
        <v>1154</v>
      </c>
      <c r="B980" t="s">
        <v>209</v>
      </c>
      <c r="C980" s="9">
        <v>37622</v>
      </c>
      <c r="D980">
        <v>23</v>
      </c>
      <c r="E980" t="s">
        <v>21</v>
      </c>
      <c r="F980" t="s">
        <v>18</v>
      </c>
      <c r="G980" s="9">
        <v>45515</v>
      </c>
      <c r="H980" s="9">
        <v>45675</v>
      </c>
      <c r="I980">
        <v>5</v>
      </c>
      <c r="J980" t="s">
        <v>32</v>
      </c>
      <c r="K980">
        <v>12</v>
      </c>
      <c r="L980">
        <v>7</v>
      </c>
      <c r="M980" s="11">
        <v>12501.44</v>
      </c>
      <c r="N980" s="12">
        <v>10698.18</v>
      </c>
      <c r="O980" s="12">
        <v>10792.51</v>
      </c>
    </row>
    <row r="981" spans="1:15">
      <c r="A981" t="s">
        <v>1155</v>
      </c>
      <c r="B981" t="s">
        <v>147</v>
      </c>
      <c r="C981" s="9">
        <v>11689</v>
      </c>
      <c r="D981">
        <v>94</v>
      </c>
      <c r="E981" t="s">
        <v>21</v>
      </c>
      <c r="F981" t="s">
        <v>74</v>
      </c>
      <c r="G981" s="9">
        <v>45403</v>
      </c>
      <c r="H981" s="9">
        <v>45463</v>
      </c>
      <c r="I981">
        <v>11</v>
      </c>
      <c r="J981" t="s">
        <v>26</v>
      </c>
      <c r="K981">
        <v>8</v>
      </c>
      <c r="L981">
        <v>9</v>
      </c>
      <c r="M981" s="11">
        <v>9172.42</v>
      </c>
      <c r="N981" s="12">
        <v>12078.1</v>
      </c>
      <c r="O981" s="12">
        <v>16305.72</v>
      </c>
    </row>
    <row r="982" spans="1:15">
      <c r="A982" t="s">
        <v>1156</v>
      </c>
      <c r="B982" t="s">
        <v>654</v>
      </c>
      <c r="C982" s="9">
        <v>44196</v>
      </c>
      <c r="D982">
        <v>5</v>
      </c>
      <c r="E982" t="s">
        <v>21</v>
      </c>
      <c r="F982" t="s">
        <v>18</v>
      </c>
      <c r="G982" s="9">
        <v>45185</v>
      </c>
      <c r="H982" s="9">
        <v>45322</v>
      </c>
      <c r="I982">
        <v>35</v>
      </c>
      <c r="J982" t="s">
        <v>35</v>
      </c>
      <c r="K982">
        <v>10</v>
      </c>
      <c r="L982">
        <v>7</v>
      </c>
      <c r="M982" s="11">
        <v>29201.27</v>
      </c>
      <c r="N982" s="12">
        <v>7966.83</v>
      </c>
      <c r="O982" s="12">
        <v>5738.73</v>
      </c>
    </row>
    <row r="983" spans="1:15">
      <c r="A983" t="s">
        <v>1157</v>
      </c>
      <c r="B983" t="s">
        <v>664</v>
      </c>
      <c r="C983" s="9">
        <v>22281</v>
      </c>
      <c r="D983">
        <v>65</v>
      </c>
      <c r="E983" t="s">
        <v>21</v>
      </c>
      <c r="F983" t="s">
        <v>29</v>
      </c>
      <c r="G983" s="9">
        <v>45019</v>
      </c>
      <c r="H983" s="9">
        <v>45377</v>
      </c>
      <c r="I983">
        <v>29</v>
      </c>
      <c r="J983" t="s">
        <v>35</v>
      </c>
      <c r="K983">
        <v>12</v>
      </c>
      <c r="L983">
        <v>2</v>
      </c>
      <c r="M983" s="11">
        <v>19849.02</v>
      </c>
      <c r="N983" s="12">
        <v>1884.51</v>
      </c>
      <c r="O983" s="12">
        <v>5196.2</v>
      </c>
    </row>
    <row r="984" spans="1:15">
      <c r="A984" t="s">
        <v>1158</v>
      </c>
      <c r="B984" t="s">
        <v>91</v>
      </c>
      <c r="C984" s="9">
        <v>15707</v>
      </c>
      <c r="D984">
        <v>83</v>
      </c>
      <c r="E984" t="s">
        <v>17</v>
      </c>
      <c r="F984" t="s">
        <v>5184</v>
      </c>
      <c r="G984" s="9">
        <v>45459</v>
      </c>
      <c r="H984" s="9">
        <v>45184</v>
      </c>
      <c r="I984">
        <v>29</v>
      </c>
      <c r="J984" t="s">
        <v>32</v>
      </c>
      <c r="K984">
        <v>1</v>
      </c>
      <c r="L984">
        <v>5</v>
      </c>
      <c r="M984" s="11">
        <v>12486.23</v>
      </c>
      <c r="N984" s="12">
        <v>8058.67</v>
      </c>
      <c r="O984" s="12">
        <v>19426.25</v>
      </c>
    </row>
    <row r="985" spans="1:15">
      <c r="A985" t="s">
        <v>1159</v>
      </c>
      <c r="B985" t="s">
        <v>367</v>
      </c>
      <c r="C985" s="9">
        <v>12785</v>
      </c>
      <c r="D985">
        <v>91</v>
      </c>
      <c r="E985" t="s">
        <v>17</v>
      </c>
      <c r="F985" t="s">
        <v>49</v>
      </c>
      <c r="G985" s="9">
        <v>45500</v>
      </c>
      <c r="H985" s="9">
        <v>45723</v>
      </c>
      <c r="I985">
        <v>0</v>
      </c>
      <c r="J985" t="s">
        <v>26</v>
      </c>
      <c r="K985">
        <v>8</v>
      </c>
      <c r="L985">
        <v>1</v>
      </c>
      <c r="M985" s="11">
        <v>26284.79</v>
      </c>
      <c r="N985" s="12">
        <v>4938.09</v>
      </c>
      <c r="O985" s="12">
        <v>18991.419999999998</v>
      </c>
    </row>
    <row r="986" spans="1:15">
      <c r="A986" t="s">
        <v>1160</v>
      </c>
      <c r="B986" t="s">
        <v>654</v>
      </c>
      <c r="C986" s="9">
        <v>18994</v>
      </c>
      <c r="D986">
        <v>74</v>
      </c>
      <c r="E986" t="s">
        <v>21</v>
      </c>
      <c r="F986" t="s">
        <v>74</v>
      </c>
      <c r="G986" s="9">
        <v>45265</v>
      </c>
      <c r="H986" s="9">
        <v>45763</v>
      </c>
      <c r="I986">
        <v>17</v>
      </c>
      <c r="J986" t="s">
        <v>26</v>
      </c>
      <c r="K986">
        <v>8</v>
      </c>
      <c r="L986">
        <v>1</v>
      </c>
      <c r="M986" s="11">
        <v>20333.95</v>
      </c>
      <c r="N986" s="12">
        <v>151.59</v>
      </c>
      <c r="O986" s="12">
        <v>17598.38</v>
      </c>
    </row>
    <row r="987" spans="1:15">
      <c r="A987" t="s">
        <v>1161</v>
      </c>
      <c r="B987" t="s">
        <v>97</v>
      </c>
      <c r="C987" s="9">
        <v>44927</v>
      </c>
      <c r="D987">
        <v>3</v>
      </c>
      <c r="E987" t="s">
        <v>17</v>
      </c>
      <c r="F987" t="s">
        <v>5184</v>
      </c>
      <c r="G987" s="9">
        <v>45186</v>
      </c>
      <c r="H987" s="9">
        <v>45288</v>
      </c>
      <c r="I987">
        <v>10</v>
      </c>
      <c r="J987" t="s">
        <v>26</v>
      </c>
      <c r="K987">
        <v>1</v>
      </c>
      <c r="L987">
        <v>7</v>
      </c>
      <c r="M987" s="11">
        <v>18957.009999999998</v>
      </c>
      <c r="N987" s="12">
        <v>9225.5400000000009</v>
      </c>
      <c r="O987" s="12">
        <v>4208.82</v>
      </c>
    </row>
    <row r="988" spans="1:15">
      <c r="A988" t="s">
        <v>1162</v>
      </c>
      <c r="B988" t="s">
        <v>264</v>
      </c>
      <c r="C988" s="9">
        <v>17533</v>
      </c>
      <c r="D988">
        <v>78</v>
      </c>
      <c r="E988" t="s">
        <v>21</v>
      </c>
      <c r="F988" t="s">
        <v>25</v>
      </c>
      <c r="G988" s="9">
        <v>45163</v>
      </c>
      <c r="H988" s="9">
        <v>45690</v>
      </c>
      <c r="I988">
        <v>20</v>
      </c>
      <c r="J988" t="s">
        <v>32</v>
      </c>
      <c r="K988">
        <v>0</v>
      </c>
      <c r="L988">
        <v>9</v>
      </c>
      <c r="M988" s="11">
        <v>21720.41</v>
      </c>
      <c r="N988" s="12">
        <v>12804.74</v>
      </c>
      <c r="O988" s="12">
        <v>11712.55</v>
      </c>
    </row>
    <row r="989" spans="1:15">
      <c r="A989" t="s">
        <v>1163</v>
      </c>
      <c r="B989" t="s">
        <v>61</v>
      </c>
      <c r="C989" s="9">
        <v>44196</v>
      </c>
      <c r="D989">
        <v>5</v>
      </c>
      <c r="E989" t="s">
        <v>21</v>
      </c>
      <c r="F989" t="s">
        <v>5184</v>
      </c>
      <c r="G989" s="9">
        <v>45067</v>
      </c>
      <c r="H989" s="9">
        <v>45533</v>
      </c>
      <c r="I989">
        <v>16</v>
      </c>
      <c r="J989" t="s">
        <v>35</v>
      </c>
      <c r="K989">
        <v>4</v>
      </c>
      <c r="L989">
        <v>4</v>
      </c>
      <c r="M989" s="11">
        <v>22017.94</v>
      </c>
      <c r="N989" s="12">
        <v>10658.28</v>
      </c>
      <c r="O989" s="12">
        <v>10654.51</v>
      </c>
    </row>
    <row r="990" spans="1:15">
      <c r="A990" t="s">
        <v>1164</v>
      </c>
      <c r="B990" t="s">
        <v>59</v>
      </c>
      <c r="C990" s="9">
        <v>12054</v>
      </c>
      <c r="D990">
        <v>93</v>
      </c>
      <c r="E990" t="s">
        <v>21</v>
      </c>
      <c r="F990" t="s">
        <v>74</v>
      </c>
      <c r="G990" s="9">
        <v>45605</v>
      </c>
      <c r="H990" s="9">
        <v>45307</v>
      </c>
      <c r="I990">
        <v>13</v>
      </c>
      <c r="J990" t="s">
        <v>32</v>
      </c>
      <c r="K990">
        <v>12</v>
      </c>
      <c r="L990">
        <v>4</v>
      </c>
      <c r="M990" s="11">
        <v>14535.99</v>
      </c>
      <c r="N990" s="12">
        <v>3352.99</v>
      </c>
      <c r="O990" s="12">
        <v>3982.48</v>
      </c>
    </row>
    <row r="991" spans="1:15">
      <c r="A991" t="s">
        <v>1165</v>
      </c>
      <c r="B991" t="s">
        <v>119</v>
      </c>
      <c r="C991" s="9">
        <v>27760</v>
      </c>
      <c r="D991">
        <v>50</v>
      </c>
      <c r="E991" t="s">
        <v>17</v>
      </c>
      <c r="F991" t="s">
        <v>29</v>
      </c>
      <c r="G991" s="9">
        <v>45406</v>
      </c>
      <c r="H991" s="9">
        <v>45370</v>
      </c>
      <c r="I991">
        <v>33</v>
      </c>
      <c r="J991" t="s">
        <v>32</v>
      </c>
      <c r="K991">
        <v>8</v>
      </c>
      <c r="L991">
        <v>3</v>
      </c>
      <c r="M991" s="11">
        <v>12288.88</v>
      </c>
      <c r="N991" s="12">
        <v>12287</v>
      </c>
      <c r="O991" s="12">
        <v>8900.5400000000009</v>
      </c>
    </row>
    <row r="992" spans="1:15">
      <c r="A992" t="s">
        <v>1166</v>
      </c>
      <c r="B992" t="s">
        <v>16</v>
      </c>
      <c r="C992" s="9">
        <v>23742</v>
      </c>
      <c r="D992">
        <f ca="1">DATEDIF(C943,TODAY(),"Y")</f>
        <v>66</v>
      </c>
      <c r="E992" t="s">
        <v>21</v>
      </c>
      <c r="F992" t="s">
        <v>22</v>
      </c>
      <c r="G992" s="9">
        <v>45505</v>
      </c>
      <c r="H992" s="9">
        <v>45819</v>
      </c>
      <c r="I992">
        <v>32</v>
      </c>
      <c r="J992" t="s">
        <v>32</v>
      </c>
      <c r="K992">
        <v>0</v>
      </c>
      <c r="L992">
        <v>9</v>
      </c>
      <c r="M992" s="11">
        <v>27233.119999999999</v>
      </c>
      <c r="N992" s="12">
        <v>4642.49</v>
      </c>
      <c r="O992" s="12">
        <v>9249.43</v>
      </c>
    </row>
    <row r="993" spans="1:15">
      <c r="A993" t="s">
        <v>1167</v>
      </c>
      <c r="B993" t="s">
        <v>302</v>
      </c>
      <c r="C993" s="9">
        <v>25568</v>
      </c>
      <c r="D993">
        <v>56</v>
      </c>
      <c r="E993" t="s">
        <v>21</v>
      </c>
      <c r="F993" t="s">
        <v>25</v>
      </c>
      <c r="G993" s="9">
        <v>45276</v>
      </c>
      <c r="H993" s="9">
        <v>45461</v>
      </c>
      <c r="I993">
        <v>4</v>
      </c>
      <c r="J993" t="s">
        <v>26</v>
      </c>
      <c r="K993">
        <v>0</v>
      </c>
      <c r="L993">
        <v>3</v>
      </c>
      <c r="M993" s="11">
        <v>14666.06</v>
      </c>
      <c r="N993" s="12">
        <v>3277.28</v>
      </c>
      <c r="O993" s="12">
        <v>4736.5200000000004</v>
      </c>
    </row>
    <row r="994" spans="1:15">
      <c r="A994" t="s">
        <v>1168</v>
      </c>
      <c r="B994" t="s">
        <v>204</v>
      </c>
      <c r="C994" s="9">
        <v>22281</v>
      </c>
      <c r="D994">
        <v>65</v>
      </c>
      <c r="E994" t="s">
        <v>21</v>
      </c>
      <c r="F994" t="s">
        <v>49</v>
      </c>
      <c r="G994" s="9">
        <v>45496</v>
      </c>
      <c r="H994" s="9">
        <v>45401</v>
      </c>
      <c r="I994">
        <v>34</v>
      </c>
      <c r="J994" t="s">
        <v>35</v>
      </c>
      <c r="K994">
        <v>2</v>
      </c>
      <c r="L994">
        <v>7</v>
      </c>
      <c r="M994" s="11">
        <v>6082.56</v>
      </c>
      <c r="N994" s="12">
        <v>14417.13</v>
      </c>
      <c r="O994" s="12">
        <v>19093.099999999999</v>
      </c>
    </row>
    <row r="995" spans="1:15">
      <c r="A995" t="s">
        <v>1169</v>
      </c>
      <c r="B995" t="s">
        <v>242</v>
      </c>
      <c r="C995" s="9">
        <v>17533</v>
      </c>
      <c r="D995">
        <v>78</v>
      </c>
      <c r="E995" t="s">
        <v>17</v>
      </c>
      <c r="F995" t="s">
        <v>18</v>
      </c>
      <c r="G995" s="9">
        <v>45650</v>
      </c>
      <c r="H995" s="9">
        <v>45084</v>
      </c>
      <c r="I995">
        <v>5</v>
      </c>
      <c r="J995" t="s">
        <v>35</v>
      </c>
      <c r="K995">
        <v>1</v>
      </c>
      <c r="L995">
        <v>2</v>
      </c>
      <c r="M995" s="11">
        <v>15408.88</v>
      </c>
      <c r="N995" s="12">
        <v>248.96</v>
      </c>
      <c r="O995" s="12">
        <v>9803.57</v>
      </c>
    </row>
    <row r="996" spans="1:15">
      <c r="A996" t="s">
        <v>1170</v>
      </c>
      <c r="B996" t="s">
        <v>137</v>
      </c>
      <c r="C996" s="9">
        <v>18994</v>
      </c>
      <c r="D996">
        <v>74</v>
      </c>
      <c r="E996" t="s">
        <v>5185</v>
      </c>
      <c r="F996" t="s">
        <v>74</v>
      </c>
      <c r="G996" s="9">
        <v>45056</v>
      </c>
      <c r="H996" s="9">
        <v>45016</v>
      </c>
      <c r="I996">
        <v>22</v>
      </c>
      <c r="J996" t="s">
        <v>32</v>
      </c>
      <c r="K996">
        <v>6</v>
      </c>
      <c r="L996">
        <v>2</v>
      </c>
      <c r="M996" s="11">
        <v>549.87</v>
      </c>
      <c r="N996" s="12">
        <v>2513.54</v>
      </c>
      <c r="O996" s="12">
        <v>10450.33</v>
      </c>
    </row>
    <row r="997" spans="1:15">
      <c r="A997" t="s">
        <v>1171</v>
      </c>
      <c r="B997" t="s">
        <v>174</v>
      </c>
      <c r="C997" s="9">
        <v>43466</v>
      </c>
      <c r="D997">
        <v>7</v>
      </c>
      <c r="E997" t="s">
        <v>21</v>
      </c>
      <c r="F997" t="s">
        <v>25</v>
      </c>
      <c r="G997" s="9">
        <v>45463</v>
      </c>
      <c r="H997" s="9">
        <v>45129</v>
      </c>
      <c r="I997">
        <v>20</v>
      </c>
      <c r="J997" t="s">
        <v>32</v>
      </c>
      <c r="K997">
        <v>13</v>
      </c>
      <c r="L997">
        <v>7</v>
      </c>
      <c r="M997" s="11">
        <v>21561.21</v>
      </c>
      <c r="N997" s="12">
        <v>7005.02</v>
      </c>
      <c r="O997" s="12">
        <v>11931.44</v>
      </c>
    </row>
    <row r="998" spans="1:15">
      <c r="A998" t="s">
        <v>1172</v>
      </c>
      <c r="B998" t="s">
        <v>143</v>
      </c>
      <c r="C998" s="9">
        <v>36891</v>
      </c>
      <c r="D998">
        <v>25</v>
      </c>
      <c r="E998" t="s">
        <v>21</v>
      </c>
      <c r="F998" t="s">
        <v>74</v>
      </c>
      <c r="G998" s="9">
        <v>44937</v>
      </c>
      <c r="H998" s="9">
        <v>45389</v>
      </c>
      <c r="I998">
        <v>7</v>
      </c>
      <c r="J998" t="s">
        <v>32</v>
      </c>
      <c r="K998">
        <v>6</v>
      </c>
      <c r="L998">
        <v>2</v>
      </c>
      <c r="M998" s="11">
        <v>3373.01</v>
      </c>
      <c r="N998" s="12">
        <v>2506.04</v>
      </c>
      <c r="O998" s="12">
        <v>17727.740000000002</v>
      </c>
    </row>
    <row r="999" spans="1:15">
      <c r="A999" t="s">
        <v>1173</v>
      </c>
      <c r="B999" t="s">
        <v>302</v>
      </c>
      <c r="C999" s="9">
        <v>27760</v>
      </c>
      <c r="D999">
        <v>50</v>
      </c>
      <c r="E999" t="s">
        <v>17</v>
      </c>
      <c r="F999" t="s">
        <v>49</v>
      </c>
      <c r="G999" s="9">
        <v>45183</v>
      </c>
      <c r="H999" s="9">
        <v>45408</v>
      </c>
      <c r="I999">
        <v>27</v>
      </c>
      <c r="J999" t="s">
        <v>32</v>
      </c>
      <c r="K999">
        <v>4</v>
      </c>
      <c r="L999">
        <v>1</v>
      </c>
      <c r="M999" s="11">
        <v>2907.59</v>
      </c>
      <c r="N999" s="12">
        <v>2503.04</v>
      </c>
      <c r="O999" s="12">
        <v>10619.52</v>
      </c>
    </row>
    <row r="1000" spans="1:15">
      <c r="A1000" t="s">
        <v>1174</v>
      </c>
      <c r="B1000" t="s">
        <v>63</v>
      </c>
      <c r="C1000" s="9">
        <v>29951</v>
      </c>
      <c r="D1000">
        <v>44</v>
      </c>
      <c r="E1000" t="s">
        <v>17</v>
      </c>
      <c r="F1000" t="s">
        <v>74</v>
      </c>
      <c r="G1000" s="9">
        <v>45295</v>
      </c>
      <c r="H1000" s="9">
        <v>45636</v>
      </c>
      <c r="I1000">
        <v>30</v>
      </c>
      <c r="J1000" t="s">
        <v>32</v>
      </c>
      <c r="K1000">
        <v>2</v>
      </c>
      <c r="L1000">
        <v>4</v>
      </c>
      <c r="M1000" s="11">
        <v>28363.86</v>
      </c>
      <c r="N1000" s="12">
        <v>9515.2199999999993</v>
      </c>
      <c r="O1000" s="12">
        <v>10773.41</v>
      </c>
    </row>
    <row r="1001" spans="1:15">
      <c r="A1001" t="s">
        <v>1175</v>
      </c>
      <c r="B1001" t="s">
        <v>246</v>
      </c>
      <c r="C1001" s="9">
        <v>30317</v>
      </c>
      <c r="D1001">
        <v>43</v>
      </c>
      <c r="E1001" t="s">
        <v>21</v>
      </c>
      <c r="F1001" t="s">
        <v>5184</v>
      </c>
      <c r="G1001" s="9">
        <v>45320</v>
      </c>
      <c r="H1001" s="9">
        <v>45484</v>
      </c>
      <c r="I1001">
        <v>8</v>
      </c>
      <c r="J1001" t="s">
        <v>35</v>
      </c>
      <c r="K1001">
        <v>5</v>
      </c>
      <c r="L1001">
        <v>2</v>
      </c>
      <c r="M1001" s="11">
        <v>23062.98</v>
      </c>
      <c r="N1001" s="12">
        <v>12285.45</v>
      </c>
      <c r="O1001" s="12">
        <v>4727.8900000000003</v>
      </c>
    </row>
    <row r="1002" spans="1:15">
      <c r="A1002" t="s">
        <v>1176</v>
      </c>
      <c r="B1002" t="s">
        <v>110</v>
      </c>
      <c r="C1002" s="9">
        <v>44561</v>
      </c>
      <c r="D1002">
        <v>4</v>
      </c>
      <c r="E1002" t="s">
        <v>17</v>
      </c>
      <c r="F1002" t="s">
        <v>5184</v>
      </c>
      <c r="G1002" s="9">
        <v>45519</v>
      </c>
      <c r="H1002" s="9">
        <v>45381</v>
      </c>
      <c r="I1002">
        <v>32</v>
      </c>
      <c r="J1002" t="s">
        <v>32</v>
      </c>
      <c r="K1002">
        <v>7</v>
      </c>
      <c r="L1002">
        <v>5</v>
      </c>
      <c r="M1002" s="11">
        <v>12133.98</v>
      </c>
      <c r="N1002" s="12">
        <v>9924.26</v>
      </c>
      <c r="O1002" s="12">
        <v>12016.63</v>
      </c>
    </row>
    <row r="1003" spans="1:15">
      <c r="A1003" t="s">
        <v>1177</v>
      </c>
      <c r="B1003" t="s">
        <v>44</v>
      </c>
      <c r="C1003" s="9">
        <v>20820</v>
      </c>
      <c r="D1003">
        <v>69</v>
      </c>
      <c r="E1003" t="s">
        <v>17</v>
      </c>
      <c r="F1003" t="s">
        <v>25</v>
      </c>
      <c r="G1003" s="9">
        <v>45345</v>
      </c>
      <c r="H1003" s="9">
        <v>45397</v>
      </c>
      <c r="I1003">
        <v>24</v>
      </c>
      <c r="J1003" t="s">
        <v>32</v>
      </c>
      <c r="K1003">
        <v>11</v>
      </c>
      <c r="L1003">
        <v>6</v>
      </c>
      <c r="M1003" s="11">
        <v>6807.07</v>
      </c>
      <c r="N1003" s="12">
        <v>1521.78</v>
      </c>
      <c r="O1003" s="12">
        <v>7561.11</v>
      </c>
    </row>
    <row r="1004" spans="1:15">
      <c r="A1004" t="s">
        <v>1178</v>
      </c>
      <c r="B1004" t="s">
        <v>427</v>
      </c>
      <c r="C1004" s="9">
        <v>36891</v>
      </c>
      <c r="D1004">
        <v>25</v>
      </c>
      <c r="E1004" t="s">
        <v>21</v>
      </c>
      <c r="F1004" t="s">
        <v>29</v>
      </c>
      <c r="G1004" s="9">
        <v>44945</v>
      </c>
      <c r="H1004" s="9">
        <v>45307</v>
      </c>
      <c r="I1004">
        <v>0</v>
      </c>
      <c r="J1004" t="s">
        <v>32</v>
      </c>
      <c r="K1004">
        <v>0</v>
      </c>
      <c r="L1004">
        <v>2</v>
      </c>
      <c r="M1004" s="11">
        <v>25226.46</v>
      </c>
      <c r="N1004" s="12">
        <v>13430.68</v>
      </c>
      <c r="O1004" s="12">
        <v>12900.31</v>
      </c>
    </row>
    <row r="1005" spans="1:15">
      <c r="A1005" t="s">
        <v>1179</v>
      </c>
      <c r="B1005" t="s">
        <v>163</v>
      </c>
      <c r="C1005" s="9">
        <v>21551</v>
      </c>
      <c r="D1005">
        <v>67</v>
      </c>
      <c r="E1005" t="s">
        <v>17</v>
      </c>
      <c r="F1005" t="s">
        <v>22</v>
      </c>
      <c r="G1005" s="9">
        <v>45036</v>
      </c>
      <c r="H1005" s="9">
        <v>45328</v>
      </c>
      <c r="I1005">
        <v>5</v>
      </c>
      <c r="J1005" t="s">
        <v>32</v>
      </c>
      <c r="K1005">
        <v>4</v>
      </c>
      <c r="L1005">
        <v>8</v>
      </c>
      <c r="M1005" s="11">
        <v>0</v>
      </c>
      <c r="N1005" s="12">
        <v>13841.22</v>
      </c>
      <c r="O1005" s="12">
        <v>5945</v>
      </c>
    </row>
    <row r="1006" spans="1:15">
      <c r="A1006" t="s">
        <v>1180</v>
      </c>
      <c r="B1006" t="s">
        <v>57</v>
      </c>
      <c r="C1006" s="9">
        <v>39448</v>
      </c>
      <c r="D1006">
        <v>18</v>
      </c>
      <c r="E1006" t="s">
        <v>17</v>
      </c>
      <c r="F1006" t="s">
        <v>25</v>
      </c>
      <c r="G1006" s="9">
        <v>45363</v>
      </c>
      <c r="H1006" s="9">
        <v>45006</v>
      </c>
      <c r="I1006">
        <v>10</v>
      </c>
      <c r="J1006" t="s">
        <v>35</v>
      </c>
      <c r="K1006">
        <v>5</v>
      </c>
      <c r="L1006">
        <v>9</v>
      </c>
      <c r="M1006" s="11">
        <v>15004.8</v>
      </c>
      <c r="N1006" s="12">
        <v>4215.04</v>
      </c>
      <c r="O1006" s="12">
        <v>14286.14</v>
      </c>
    </row>
    <row r="1007" spans="1:15">
      <c r="A1007" t="s">
        <v>1181</v>
      </c>
      <c r="B1007" t="s">
        <v>170</v>
      </c>
      <c r="C1007" s="9">
        <v>15707</v>
      </c>
      <c r="D1007">
        <v>83</v>
      </c>
      <c r="E1007" t="s">
        <v>17</v>
      </c>
      <c r="F1007" t="s">
        <v>74</v>
      </c>
      <c r="G1007" s="9">
        <v>45431</v>
      </c>
      <c r="H1007" s="9">
        <v>45478</v>
      </c>
      <c r="I1007">
        <v>39</v>
      </c>
      <c r="J1007" t="s">
        <v>35</v>
      </c>
      <c r="K1007">
        <v>1</v>
      </c>
      <c r="L1007">
        <v>0</v>
      </c>
      <c r="M1007" s="11">
        <v>17192.32</v>
      </c>
      <c r="N1007" s="12">
        <v>8296.69</v>
      </c>
      <c r="O1007" s="12">
        <v>12339.95</v>
      </c>
    </row>
    <row r="1008" spans="1:15">
      <c r="A1008" t="s">
        <v>1182</v>
      </c>
      <c r="B1008" t="s">
        <v>209</v>
      </c>
      <c r="C1008" s="9">
        <v>39083</v>
      </c>
      <c r="D1008">
        <v>19</v>
      </c>
      <c r="E1008" t="s">
        <v>21</v>
      </c>
      <c r="F1008" t="s">
        <v>49</v>
      </c>
      <c r="G1008" s="9">
        <v>44960</v>
      </c>
      <c r="H1008" s="9">
        <v>45723</v>
      </c>
      <c r="I1008">
        <v>0</v>
      </c>
      <c r="J1008" t="s">
        <v>32</v>
      </c>
      <c r="K1008">
        <v>4</v>
      </c>
      <c r="L1008">
        <v>6</v>
      </c>
      <c r="M1008" s="11">
        <v>0</v>
      </c>
      <c r="N1008" s="12">
        <v>7278.55</v>
      </c>
      <c r="O1008" s="12">
        <v>9437.1299999999992</v>
      </c>
    </row>
    <row r="1009" spans="1:15">
      <c r="A1009" t="s">
        <v>1183</v>
      </c>
      <c r="B1009" t="s">
        <v>275</v>
      </c>
      <c r="C1009" s="9">
        <v>42005</v>
      </c>
      <c r="D1009">
        <v>11</v>
      </c>
      <c r="E1009" t="s">
        <v>21</v>
      </c>
      <c r="F1009" t="s">
        <v>5184</v>
      </c>
      <c r="G1009" s="9">
        <v>45214</v>
      </c>
      <c r="H1009" s="9">
        <v>45313</v>
      </c>
      <c r="I1009">
        <v>17</v>
      </c>
      <c r="J1009" t="s">
        <v>35</v>
      </c>
      <c r="K1009">
        <v>14</v>
      </c>
      <c r="L1009">
        <v>3</v>
      </c>
      <c r="M1009" s="11">
        <v>17472.13</v>
      </c>
      <c r="N1009" s="12">
        <v>10023.370000000001</v>
      </c>
      <c r="O1009" s="12">
        <v>1843.12</v>
      </c>
    </row>
    <row r="1010" spans="1:15">
      <c r="A1010" t="s">
        <v>1184</v>
      </c>
      <c r="B1010" t="s">
        <v>196</v>
      </c>
      <c r="C1010" s="9">
        <f>DATE(2026-D970,1,1)</f>
        <v>23743</v>
      </c>
      <c r="D1010">
        <v>46</v>
      </c>
      <c r="E1010" t="s">
        <v>21</v>
      </c>
      <c r="F1010" t="s">
        <v>18</v>
      </c>
      <c r="G1010" s="9">
        <v>45181</v>
      </c>
      <c r="H1010" s="9">
        <v>45594</v>
      </c>
      <c r="I1010">
        <v>32</v>
      </c>
      <c r="J1010" t="s">
        <v>32</v>
      </c>
      <c r="K1010">
        <v>6</v>
      </c>
      <c r="L1010">
        <v>6</v>
      </c>
      <c r="M1010" s="11">
        <v>11718.23</v>
      </c>
      <c r="N1010" s="12">
        <v>14669.2</v>
      </c>
      <c r="O1010" s="12">
        <v>12502.06</v>
      </c>
    </row>
    <row r="1011" spans="1:15">
      <c r="A1011" t="s">
        <v>1185</v>
      </c>
      <c r="B1011" t="s">
        <v>89</v>
      </c>
      <c r="C1011" s="9">
        <v>46022</v>
      </c>
      <c r="D1011">
        <v>0</v>
      </c>
      <c r="E1011" t="s">
        <v>21</v>
      </c>
      <c r="F1011" t="s">
        <v>18</v>
      </c>
      <c r="G1011" s="9">
        <v>45564</v>
      </c>
      <c r="H1011" s="9">
        <v>45588</v>
      </c>
      <c r="I1011">
        <v>10</v>
      </c>
      <c r="J1011" t="s">
        <v>35</v>
      </c>
      <c r="K1011">
        <v>11</v>
      </c>
      <c r="L1011">
        <v>8</v>
      </c>
      <c r="M1011" s="11">
        <v>25290.14</v>
      </c>
      <c r="N1011" s="12">
        <v>14795.71</v>
      </c>
      <c r="O1011" s="12">
        <v>17171.509999999998</v>
      </c>
    </row>
    <row r="1012" spans="1:15">
      <c r="A1012" t="s">
        <v>1186</v>
      </c>
      <c r="B1012" t="s">
        <v>681</v>
      </c>
      <c r="C1012" s="9">
        <v>13515</v>
      </c>
      <c r="D1012">
        <v>89</v>
      </c>
      <c r="E1012" t="s">
        <v>17</v>
      </c>
      <c r="F1012" t="s">
        <v>49</v>
      </c>
      <c r="G1012" s="9">
        <v>45647</v>
      </c>
      <c r="H1012" s="9">
        <v>45270</v>
      </c>
      <c r="I1012">
        <v>17</v>
      </c>
      <c r="J1012" t="s">
        <v>32</v>
      </c>
      <c r="K1012">
        <v>5</v>
      </c>
      <c r="L1012">
        <v>8</v>
      </c>
      <c r="M1012" s="11">
        <v>11001.95</v>
      </c>
      <c r="N1012" s="12">
        <v>7637.16</v>
      </c>
      <c r="O1012" s="12">
        <v>3338.6</v>
      </c>
    </row>
    <row r="1013" spans="1:15">
      <c r="A1013" t="s">
        <v>1187</v>
      </c>
      <c r="B1013" t="s">
        <v>16</v>
      </c>
      <c r="C1013" s="9">
        <v>41274</v>
      </c>
      <c r="D1013">
        <v>13</v>
      </c>
      <c r="E1013" t="s">
        <v>17</v>
      </c>
      <c r="F1013" t="s">
        <v>74</v>
      </c>
      <c r="G1013" s="9">
        <v>45060</v>
      </c>
      <c r="H1013" s="9">
        <v>45372</v>
      </c>
      <c r="I1013">
        <v>21</v>
      </c>
      <c r="J1013" t="s">
        <v>32</v>
      </c>
      <c r="K1013">
        <v>0</v>
      </c>
      <c r="L1013">
        <v>0</v>
      </c>
      <c r="M1013" s="11">
        <v>19287.759999999998</v>
      </c>
      <c r="N1013" s="12">
        <v>1379.24</v>
      </c>
      <c r="O1013" s="12">
        <v>1602.86</v>
      </c>
    </row>
    <row r="1014" spans="1:15">
      <c r="A1014" t="s">
        <v>1188</v>
      </c>
      <c r="B1014" t="s">
        <v>412</v>
      </c>
      <c r="C1014" s="9">
        <v>23012</v>
      </c>
      <c r="D1014">
        <v>63</v>
      </c>
      <c r="E1014" t="s">
        <v>17</v>
      </c>
      <c r="F1014" t="s">
        <v>22</v>
      </c>
      <c r="G1014" s="9">
        <v>45425</v>
      </c>
      <c r="H1014" s="9">
        <v>44979</v>
      </c>
      <c r="I1014">
        <v>6</v>
      </c>
      <c r="J1014" t="s">
        <v>32</v>
      </c>
      <c r="K1014">
        <v>12</v>
      </c>
      <c r="L1014">
        <v>9</v>
      </c>
      <c r="M1014" s="11">
        <v>5705.71</v>
      </c>
      <c r="N1014" s="12">
        <v>5017.09</v>
      </c>
      <c r="O1014" s="12">
        <v>695.33</v>
      </c>
    </row>
    <row r="1015" spans="1:15">
      <c r="A1015" t="s">
        <v>1189</v>
      </c>
      <c r="B1015" t="s">
        <v>502</v>
      </c>
      <c r="C1015" s="9">
        <v>32508</v>
      </c>
      <c r="D1015">
        <v>37</v>
      </c>
      <c r="E1015" t="s">
        <v>5185</v>
      </c>
      <c r="F1015" t="s">
        <v>49</v>
      </c>
      <c r="G1015" s="9">
        <v>45323</v>
      </c>
      <c r="H1015" s="9">
        <v>45178</v>
      </c>
      <c r="I1015">
        <v>27</v>
      </c>
      <c r="J1015" t="s">
        <v>32</v>
      </c>
      <c r="K1015">
        <v>0</v>
      </c>
      <c r="L1015">
        <v>3</v>
      </c>
      <c r="M1015" s="11">
        <v>2265.52</v>
      </c>
      <c r="N1015" s="12">
        <v>6203.5</v>
      </c>
      <c r="O1015" s="12">
        <v>539.55999999999995</v>
      </c>
    </row>
    <row r="1016" spans="1:15">
      <c r="A1016" t="s">
        <v>1190</v>
      </c>
      <c r="B1016" t="s">
        <v>93</v>
      </c>
      <c r="C1016" s="9">
        <v>32873</v>
      </c>
      <c r="D1016">
        <v>36</v>
      </c>
      <c r="E1016" t="s">
        <v>21</v>
      </c>
      <c r="F1016" t="s">
        <v>74</v>
      </c>
      <c r="G1016" s="9">
        <v>45413</v>
      </c>
      <c r="H1016" s="9">
        <v>45821</v>
      </c>
      <c r="I1016">
        <v>22</v>
      </c>
      <c r="J1016" t="s">
        <v>32</v>
      </c>
      <c r="K1016">
        <v>11</v>
      </c>
      <c r="L1016">
        <v>6</v>
      </c>
      <c r="M1016" s="11">
        <v>730.83</v>
      </c>
      <c r="N1016" s="12">
        <v>8019.5</v>
      </c>
      <c r="O1016" s="12">
        <v>16825.59</v>
      </c>
    </row>
    <row r="1017" spans="1:15">
      <c r="A1017" t="s">
        <v>1191</v>
      </c>
      <c r="B1017" t="s">
        <v>100</v>
      </c>
      <c r="C1017" s="9">
        <f>DATE(2026-D977,1,1)</f>
        <v>35065</v>
      </c>
      <c r="D1017">
        <v>10</v>
      </c>
      <c r="E1017" t="s">
        <v>17</v>
      </c>
      <c r="F1017" t="s">
        <v>25</v>
      </c>
      <c r="G1017" s="9">
        <v>45524</v>
      </c>
      <c r="H1017" s="9">
        <v>45586</v>
      </c>
      <c r="I1017">
        <v>13</v>
      </c>
      <c r="J1017" t="s">
        <v>32</v>
      </c>
      <c r="K1017">
        <v>2</v>
      </c>
      <c r="L1017">
        <v>9</v>
      </c>
      <c r="M1017" s="11">
        <v>12177.19</v>
      </c>
      <c r="N1017" s="12">
        <v>14405.56</v>
      </c>
      <c r="O1017" s="12">
        <v>14525.06</v>
      </c>
    </row>
    <row r="1018" spans="1:15">
      <c r="A1018" t="s">
        <v>1192</v>
      </c>
      <c r="B1018" t="s">
        <v>502</v>
      </c>
      <c r="C1018" s="9">
        <v>18263</v>
      </c>
      <c r="D1018">
        <v>76</v>
      </c>
      <c r="E1018" t="s">
        <v>17</v>
      </c>
      <c r="F1018" t="s">
        <v>22</v>
      </c>
      <c r="G1018" s="9">
        <v>45513</v>
      </c>
      <c r="H1018" s="9">
        <v>45256</v>
      </c>
      <c r="I1018">
        <v>5</v>
      </c>
      <c r="J1018" t="s">
        <v>35</v>
      </c>
      <c r="K1018">
        <v>13</v>
      </c>
      <c r="L1018">
        <v>5</v>
      </c>
      <c r="M1018" s="11">
        <v>4487.63</v>
      </c>
      <c r="N1018" s="12">
        <v>3936.26</v>
      </c>
      <c r="O1018" s="12">
        <v>3966.2</v>
      </c>
    </row>
    <row r="1019" spans="1:15">
      <c r="A1019" t="s">
        <v>1193</v>
      </c>
      <c r="B1019" t="s">
        <v>100</v>
      </c>
      <c r="C1019" s="9">
        <v>45292</v>
      </c>
      <c r="D1019">
        <v>2</v>
      </c>
      <c r="E1019" t="s">
        <v>21</v>
      </c>
      <c r="F1019" t="s">
        <v>29</v>
      </c>
      <c r="G1019" s="9">
        <v>45573</v>
      </c>
      <c r="H1019" s="9">
        <v>45421</v>
      </c>
      <c r="I1019">
        <v>25</v>
      </c>
      <c r="J1019" t="s">
        <v>32</v>
      </c>
      <c r="K1019">
        <v>3</v>
      </c>
      <c r="L1019">
        <v>8</v>
      </c>
      <c r="M1019" s="11">
        <v>29801.15</v>
      </c>
      <c r="N1019" s="12">
        <v>8050.32</v>
      </c>
      <c r="O1019" s="12">
        <v>18334.060000000001</v>
      </c>
    </row>
    <row r="1020" spans="1:15">
      <c r="A1020" t="s">
        <v>1194</v>
      </c>
      <c r="B1020" t="s">
        <v>59</v>
      </c>
      <c r="C1020" s="9">
        <v>34334</v>
      </c>
      <c r="D1020">
        <f ca="1">DATEDIF(C971,TODAY(),"Y")</f>
        <v>93</v>
      </c>
      <c r="E1020" t="s">
        <v>17</v>
      </c>
      <c r="F1020" t="s">
        <v>74</v>
      </c>
      <c r="G1020" s="9">
        <v>45611</v>
      </c>
      <c r="H1020" s="9">
        <v>45277</v>
      </c>
      <c r="I1020">
        <v>9</v>
      </c>
      <c r="J1020" t="s">
        <v>32</v>
      </c>
      <c r="K1020">
        <v>3</v>
      </c>
      <c r="L1020">
        <v>6</v>
      </c>
      <c r="M1020" s="11">
        <v>23850.69</v>
      </c>
      <c r="N1020" s="12">
        <v>4365.72</v>
      </c>
      <c r="O1020" s="12">
        <v>2620.33</v>
      </c>
    </row>
    <row r="1021" spans="1:15">
      <c r="A1021" t="s">
        <v>1195</v>
      </c>
      <c r="B1021" t="s">
        <v>172</v>
      </c>
      <c r="C1021" s="9">
        <v>44196</v>
      </c>
      <c r="D1021">
        <v>5</v>
      </c>
      <c r="E1021" t="s">
        <v>21</v>
      </c>
      <c r="F1021" t="s">
        <v>18</v>
      </c>
      <c r="G1021" s="9">
        <v>45139</v>
      </c>
      <c r="H1021" s="9">
        <v>45697</v>
      </c>
      <c r="I1021">
        <v>21</v>
      </c>
      <c r="J1021" t="s">
        <v>35</v>
      </c>
      <c r="K1021">
        <v>12</v>
      </c>
      <c r="L1021">
        <v>2</v>
      </c>
      <c r="M1021" s="11">
        <v>20647.88</v>
      </c>
      <c r="N1021" s="12">
        <v>13791.93</v>
      </c>
      <c r="O1021" s="12">
        <v>7420.67</v>
      </c>
    </row>
    <row r="1022" spans="1:15">
      <c r="A1022" t="s">
        <v>1196</v>
      </c>
      <c r="B1022" t="s">
        <v>28</v>
      </c>
      <c r="C1022" s="9">
        <v>28125</v>
      </c>
      <c r="D1022">
        <v>49</v>
      </c>
      <c r="E1022" t="s">
        <v>17</v>
      </c>
      <c r="F1022" t="s">
        <v>18</v>
      </c>
      <c r="G1022" s="9">
        <v>45276</v>
      </c>
      <c r="H1022" s="9">
        <v>45712</v>
      </c>
      <c r="I1022">
        <v>26</v>
      </c>
      <c r="J1022" t="s">
        <v>35</v>
      </c>
      <c r="K1022">
        <v>14</v>
      </c>
      <c r="L1022">
        <v>6</v>
      </c>
      <c r="M1022" s="11">
        <v>24001.21</v>
      </c>
      <c r="N1022" s="12">
        <v>14849.37</v>
      </c>
      <c r="O1022" s="12">
        <v>8987.3799999999992</v>
      </c>
    </row>
    <row r="1023" spans="1:15">
      <c r="A1023" t="s">
        <v>1197</v>
      </c>
      <c r="B1023" t="s">
        <v>145</v>
      </c>
      <c r="C1023" s="9">
        <v>42735</v>
      </c>
      <c r="D1023">
        <v>9</v>
      </c>
      <c r="E1023" t="s">
        <v>17</v>
      </c>
      <c r="F1023" t="s">
        <v>5184</v>
      </c>
      <c r="G1023" s="9">
        <v>44945</v>
      </c>
      <c r="H1023" s="9">
        <v>45386</v>
      </c>
      <c r="I1023">
        <v>12</v>
      </c>
      <c r="J1023" t="s">
        <v>32</v>
      </c>
      <c r="K1023">
        <v>13</v>
      </c>
      <c r="L1023">
        <v>9</v>
      </c>
      <c r="M1023" s="11">
        <v>7513.79</v>
      </c>
      <c r="N1023" s="12">
        <v>13061.09</v>
      </c>
      <c r="O1023" s="12">
        <v>1425.5</v>
      </c>
    </row>
    <row r="1024" spans="1:15">
      <c r="A1024" t="s">
        <v>1198</v>
      </c>
      <c r="B1024" t="s">
        <v>71</v>
      </c>
      <c r="C1024" s="9">
        <v>44561</v>
      </c>
      <c r="D1024">
        <v>4</v>
      </c>
      <c r="E1024" t="s">
        <v>21</v>
      </c>
      <c r="F1024" t="s">
        <v>22</v>
      </c>
      <c r="G1024" s="9">
        <v>45045</v>
      </c>
      <c r="H1024" s="9">
        <v>45425</v>
      </c>
      <c r="I1024">
        <v>15</v>
      </c>
      <c r="J1024" t="s">
        <v>32</v>
      </c>
      <c r="K1024">
        <v>9</v>
      </c>
      <c r="L1024">
        <v>4</v>
      </c>
      <c r="M1024" s="11">
        <v>26317.55</v>
      </c>
      <c r="N1024" s="12">
        <v>5081.1499999999996</v>
      </c>
      <c r="O1024" s="12">
        <v>6884.23</v>
      </c>
    </row>
    <row r="1025" spans="1:15">
      <c r="A1025" t="s">
        <v>1199</v>
      </c>
      <c r="B1025" t="s">
        <v>97</v>
      </c>
      <c r="C1025" s="9">
        <v>37987</v>
      </c>
      <c r="D1025">
        <v>22</v>
      </c>
      <c r="E1025" t="s">
        <v>17</v>
      </c>
      <c r="F1025" t="s">
        <v>29</v>
      </c>
      <c r="G1025" s="9">
        <v>45228</v>
      </c>
      <c r="H1025" s="9">
        <v>45052</v>
      </c>
      <c r="I1025">
        <v>4</v>
      </c>
      <c r="J1025" t="s">
        <v>32</v>
      </c>
      <c r="K1025">
        <v>0</v>
      </c>
      <c r="L1025">
        <v>1</v>
      </c>
      <c r="M1025" s="11">
        <v>29866.91</v>
      </c>
      <c r="N1025" s="12">
        <v>4168.26</v>
      </c>
      <c r="O1025" s="12">
        <v>1947.8</v>
      </c>
    </row>
    <row r="1026" spans="1:15">
      <c r="A1026" t="s">
        <v>1200</v>
      </c>
      <c r="B1026" t="s">
        <v>596</v>
      </c>
      <c r="C1026" s="9">
        <v>42735</v>
      </c>
      <c r="D1026">
        <v>9</v>
      </c>
      <c r="E1026" t="s">
        <v>17</v>
      </c>
      <c r="F1026" t="s">
        <v>74</v>
      </c>
      <c r="G1026" s="9">
        <v>45211</v>
      </c>
      <c r="H1026" s="9">
        <v>45131</v>
      </c>
      <c r="I1026">
        <v>10</v>
      </c>
      <c r="J1026" t="s">
        <v>32</v>
      </c>
      <c r="K1026">
        <v>5</v>
      </c>
      <c r="L1026">
        <v>9</v>
      </c>
      <c r="M1026" s="11">
        <v>8340.56</v>
      </c>
      <c r="N1026" s="12">
        <v>6467.56</v>
      </c>
      <c r="O1026" s="12">
        <v>15774.47</v>
      </c>
    </row>
    <row r="1027" spans="1:15">
      <c r="A1027" t="s">
        <v>1201</v>
      </c>
      <c r="B1027" t="s">
        <v>155</v>
      </c>
      <c r="C1027" s="9">
        <v>30317</v>
      </c>
      <c r="D1027">
        <v>43</v>
      </c>
      <c r="E1027" t="s">
        <v>21</v>
      </c>
      <c r="F1027" t="s">
        <v>29</v>
      </c>
      <c r="G1027" s="9">
        <v>45153</v>
      </c>
      <c r="H1027" s="9">
        <v>45695</v>
      </c>
      <c r="I1027">
        <v>16</v>
      </c>
      <c r="J1027" t="s">
        <v>35</v>
      </c>
      <c r="K1027">
        <v>6</v>
      </c>
      <c r="L1027">
        <v>2</v>
      </c>
      <c r="M1027" s="11">
        <v>29531.78</v>
      </c>
      <c r="N1027" s="12">
        <v>11213.64</v>
      </c>
      <c r="O1027" s="12">
        <v>841.24</v>
      </c>
    </row>
    <row r="1028" spans="1:15">
      <c r="A1028" t="s">
        <v>1202</v>
      </c>
      <c r="B1028" t="s">
        <v>73</v>
      </c>
      <c r="C1028" s="9">
        <v>45657</v>
      </c>
      <c r="D1028">
        <v>1</v>
      </c>
      <c r="E1028" t="s">
        <v>21</v>
      </c>
      <c r="F1028" t="s">
        <v>5184</v>
      </c>
      <c r="G1028" s="9">
        <v>45433</v>
      </c>
      <c r="H1028" s="9">
        <v>45570</v>
      </c>
      <c r="I1028">
        <v>2</v>
      </c>
      <c r="J1028" t="s">
        <v>32</v>
      </c>
      <c r="K1028">
        <v>12</v>
      </c>
      <c r="L1028">
        <v>5</v>
      </c>
      <c r="M1028" s="11">
        <v>9272.09</v>
      </c>
      <c r="N1028" s="12">
        <v>139.72999999999999</v>
      </c>
      <c r="O1028" s="12">
        <v>244.45</v>
      </c>
    </row>
    <row r="1029" spans="1:15">
      <c r="A1029" t="s">
        <v>1203</v>
      </c>
      <c r="B1029" t="s">
        <v>168</v>
      </c>
      <c r="C1029" s="9">
        <v>41639</v>
      </c>
      <c r="D1029">
        <v>12</v>
      </c>
      <c r="E1029" t="s">
        <v>21</v>
      </c>
      <c r="F1029" t="s">
        <v>25</v>
      </c>
      <c r="G1029" s="9">
        <v>45427</v>
      </c>
      <c r="H1029" s="9">
        <v>44948</v>
      </c>
      <c r="I1029">
        <v>23</v>
      </c>
      <c r="J1029" t="s">
        <v>35</v>
      </c>
      <c r="K1029">
        <v>0</v>
      </c>
      <c r="L1029">
        <v>5</v>
      </c>
      <c r="M1029" s="11">
        <v>142.44</v>
      </c>
      <c r="N1029" s="12">
        <v>14926.67</v>
      </c>
      <c r="O1029" s="12">
        <v>14623.22</v>
      </c>
    </row>
    <row r="1030" spans="1:15">
      <c r="A1030" t="s">
        <v>1204</v>
      </c>
      <c r="B1030" t="s">
        <v>166</v>
      </c>
      <c r="C1030" s="9">
        <v>31778</v>
      </c>
      <c r="D1030">
        <v>39</v>
      </c>
      <c r="E1030" t="s">
        <v>17</v>
      </c>
      <c r="F1030" t="s">
        <v>29</v>
      </c>
      <c r="G1030" s="9">
        <v>45138</v>
      </c>
      <c r="H1030" s="9">
        <v>45517</v>
      </c>
      <c r="I1030">
        <v>1</v>
      </c>
      <c r="J1030" t="s">
        <v>26</v>
      </c>
      <c r="K1030">
        <v>2</v>
      </c>
      <c r="L1030">
        <v>6</v>
      </c>
      <c r="M1030" s="11">
        <v>10700.03</v>
      </c>
      <c r="N1030" s="12">
        <v>13251.17</v>
      </c>
      <c r="O1030" s="12">
        <v>15595.05</v>
      </c>
    </row>
    <row r="1031" spans="1:15">
      <c r="A1031" t="s">
        <v>1205</v>
      </c>
      <c r="B1031" t="s">
        <v>57</v>
      </c>
      <c r="C1031" s="9">
        <v>45657</v>
      </c>
      <c r="D1031">
        <v>1</v>
      </c>
      <c r="E1031" t="s">
        <v>17</v>
      </c>
      <c r="F1031" t="s">
        <v>25</v>
      </c>
      <c r="G1031" s="9">
        <v>45282</v>
      </c>
      <c r="H1031" s="9">
        <v>45774</v>
      </c>
      <c r="I1031">
        <v>30</v>
      </c>
      <c r="J1031" t="s">
        <v>35</v>
      </c>
      <c r="K1031">
        <v>13</v>
      </c>
      <c r="L1031">
        <v>5</v>
      </c>
      <c r="M1031" s="11">
        <v>29924.21</v>
      </c>
      <c r="N1031" s="12">
        <v>357.23</v>
      </c>
      <c r="O1031" s="12">
        <v>9862.16</v>
      </c>
    </row>
    <row r="1032" spans="1:15">
      <c r="A1032" t="s">
        <v>1206</v>
      </c>
      <c r="B1032" t="s">
        <v>490</v>
      </c>
      <c r="C1032" s="9">
        <v>15707</v>
      </c>
      <c r="D1032">
        <v>83</v>
      </c>
      <c r="E1032" t="s">
        <v>17</v>
      </c>
      <c r="F1032" t="s">
        <v>18</v>
      </c>
      <c r="G1032" s="9">
        <v>45627</v>
      </c>
      <c r="H1032" s="9">
        <v>45490</v>
      </c>
      <c r="I1032">
        <v>34</v>
      </c>
      <c r="J1032" t="s">
        <v>35</v>
      </c>
      <c r="K1032">
        <v>10</v>
      </c>
      <c r="L1032">
        <v>8</v>
      </c>
      <c r="M1032" s="11">
        <v>18872.11</v>
      </c>
      <c r="N1032" s="12">
        <v>5731.5</v>
      </c>
      <c r="O1032" s="12">
        <v>6289.24</v>
      </c>
    </row>
    <row r="1033" spans="1:15">
      <c r="A1033" t="s">
        <v>1207</v>
      </c>
      <c r="B1033" t="s">
        <v>137</v>
      </c>
      <c r="C1033" s="9">
        <v>22646</v>
      </c>
      <c r="D1033">
        <v>64</v>
      </c>
      <c r="E1033" t="s">
        <v>17</v>
      </c>
      <c r="F1033" t="s">
        <v>25</v>
      </c>
      <c r="G1033" s="9">
        <v>45413</v>
      </c>
      <c r="H1033" s="9">
        <v>45289</v>
      </c>
      <c r="I1033">
        <v>22</v>
      </c>
      <c r="J1033" t="s">
        <v>26</v>
      </c>
      <c r="K1033">
        <v>9</v>
      </c>
      <c r="L1033">
        <v>4</v>
      </c>
      <c r="M1033" s="11">
        <v>20711.91</v>
      </c>
      <c r="N1033" s="12">
        <v>10317.51</v>
      </c>
      <c r="O1033" s="12">
        <v>4652.71</v>
      </c>
    </row>
    <row r="1034" spans="1:15">
      <c r="A1034" t="s">
        <v>1208</v>
      </c>
      <c r="B1034" t="s">
        <v>187</v>
      </c>
      <c r="C1034" s="9">
        <v>23377</v>
      </c>
      <c r="D1034">
        <v>62</v>
      </c>
      <c r="E1034" t="s">
        <v>17</v>
      </c>
      <c r="F1034" t="s">
        <v>74</v>
      </c>
      <c r="G1034" s="9">
        <v>45247</v>
      </c>
      <c r="H1034" s="9">
        <v>45288</v>
      </c>
      <c r="I1034">
        <v>22</v>
      </c>
      <c r="J1034" t="s">
        <v>32</v>
      </c>
      <c r="K1034">
        <v>9</v>
      </c>
      <c r="L1034">
        <v>4</v>
      </c>
      <c r="M1034" s="11">
        <v>6769.59</v>
      </c>
      <c r="N1034" s="12">
        <v>3621.09</v>
      </c>
      <c r="O1034" s="12">
        <v>2252.2600000000002</v>
      </c>
    </row>
    <row r="1035" spans="1:15">
      <c r="A1035" t="s">
        <v>1209</v>
      </c>
      <c r="B1035" t="s">
        <v>73</v>
      </c>
      <c r="C1035" s="9">
        <v>19724</v>
      </c>
      <c r="D1035">
        <v>72</v>
      </c>
      <c r="E1035" t="s">
        <v>21</v>
      </c>
      <c r="F1035" t="s">
        <v>22</v>
      </c>
      <c r="G1035" s="9">
        <v>45589</v>
      </c>
      <c r="H1035" s="9">
        <v>45705</v>
      </c>
      <c r="I1035">
        <v>36</v>
      </c>
      <c r="J1035" t="s">
        <v>32</v>
      </c>
      <c r="K1035">
        <v>1</v>
      </c>
      <c r="L1035">
        <v>7</v>
      </c>
      <c r="M1035" s="11">
        <v>3950.56</v>
      </c>
      <c r="N1035" s="12">
        <v>2142.58</v>
      </c>
      <c r="O1035" s="12">
        <v>9633.0300000000007</v>
      </c>
    </row>
    <row r="1036" spans="1:15">
      <c r="A1036" t="s">
        <v>1210</v>
      </c>
      <c r="B1036" t="s">
        <v>181</v>
      </c>
      <c r="C1036" s="9">
        <v>40178</v>
      </c>
      <c r="D1036">
        <v>16</v>
      </c>
      <c r="E1036" t="s">
        <v>17</v>
      </c>
      <c r="F1036" t="s">
        <v>22</v>
      </c>
      <c r="G1036" s="9">
        <v>45149</v>
      </c>
      <c r="H1036" s="9">
        <v>45043</v>
      </c>
      <c r="I1036">
        <v>27</v>
      </c>
      <c r="J1036" t="s">
        <v>32</v>
      </c>
      <c r="K1036">
        <v>14</v>
      </c>
      <c r="L1036">
        <v>7</v>
      </c>
      <c r="M1036" s="11">
        <v>26508.07</v>
      </c>
      <c r="N1036" s="12">
        <v>9439.7800000000007</v>
      </c>
      <c r="O1036" s="12">
        <v>9770.89</v>
      </c>
    </row>
    <row r="1037" spans="1:15">
      <c r="A1037" t="s">
        <v>1211</v>
      </c>
      <c r="B1037" t="s">
        <v>397</v>
      </c>
      <c r="C1037" s="9">
        <v>43100</v>
      </c>
      <c r="D1037">
        <v>8</v>
      </c>
      <c r="E1037" t="s">
        <v>21</v>
      </c>
      <c r="F1037" t="s">
        <v>74</v>
      </c>
      <c r="G1037" s="9">
        <v>45566</v>
      </c>
      <c r="H1037" s="9">
        <v>44982</v>
      </c>
      <c r="I1037">
        <v>38</v>
      </c>
      <c r="J1037" t="s">
        <v>32</v>
      </c>
      <c r="K1037">
        <v>2</v>
      </c>
      <c r="L1037">
        <v>0</v>
      </c>
      <c r="M1037" s="11">
        <v>12108.46</v>
      </c>
      <c r="N1037" s="12">
        <v>13552.88</v>
      </c>
      <c r="O1037" s="12">
        <v>9064.81</v>
      </c>
    </row>
    <row r="1038" spans="1:15">
      <c r="A1038" t="s">
        <v>1212</v>
      </c>
      <c r="B1038" t="s">
        <v>153</v>
      </c>
      <c r="C1038" s="9">
        <v>18994</v>
      </c>
      <c r="D1038">
        <v>74</v>
      </c>
      <c r="E1038" t="s">
        <v>21</v>
      </c>
      <c r="F1038" t="s">
        <v>74</v>
      </c>
      <c r="G1038" s="9">
        <v>45489</v>
      </c>
      <c r="H1038" s="9">
        <v>45219</v>
      </c>
      <c r="I1038">
        <v>1</v>
      </c>
      <c r="J1038" t="s">
        <v>26</v>
      </c>
      <c r="K1038">
        <v>3</v>
      </c>
      <c r="L1038">
        <v>2</v>
      </c>
      <c r="M1038" s="11">
        <v>0</v>
      </c>
      <c r="N1038" s="12">
        <v>14333.9</v>
      </c>
      <c r="O1038" s="12">
        <v>15543.08</v>
      </c>
    </row>
    <row r="1039" spans="1:15">
      <c r="A1039" t="s">
        <v>1213</v>
      </c>
      <c r="B1039" t="s">
        <v>61</v>
      </c>
      <c r="C1039" s="9">
        <f>DATE(2026-D999,1,1)</f>
        <v>27760</v>
      </c>
      <c r="D1039">
        <v>14</v>
      </c>
      <c r="E1039" t="s">
        <v>17</v>
      </c>
      <c r="F1039" t="s">
        <v>74</v>
      </c>
      <c r="G1039" s="9">
        <v>45117</v>
      </c>
      <c r="H1039" s="9">
        <v>44978</v>
      </c>
      <c r="I1039">
        <v>16</v>
      </c>
      <c r="J1039" t="s">
        <v>35</v>
      </c>
      <c r="K1039">
        <v>14</v>
      </c>
      <c r="L1039">
        <v>5</v>
      </c>
      <c r="M1039" s="11">
        <v>8474.5</v>
      </c>
      <c r="N1039" s="12">
        <v>153.94999999999999</v>
      </c>
      <c r="O1039" s="12">
        <v>1905.51</v>
      </c>
    </row>
    <row r="1040" spans="1:15">
      <c r="A1040" t="s">
        <v>1214</v>
      </c>
      <c r="B1040" t="s">
        <v>201</v>
      </c>
      <c r="C1040" s="9">
        <v>37622</v>
      </c>
      <c r="D1040">
        <v>23</v>
      </c>
      <c r="E1040" t="s">
        <v>21</v>
      </c>
      <c r="F1040" t="s">
        <v>49</v>
      </c>
      <c r="G1040" s="9">
        <v>45426</v>
      </c>
      <c r="H1040" s="9">
        <v>45769</v>
      </c>
      <c r="I1040">
        <v>24</v>
      </c>
      <c r="J1040" t="s">
        <v>26</v>
      </c>
      <c r="K1040">
        <v>4</v>
      </c>
      <c r="L1040">
        <v>5</v>
      </c>
      <c r="M1040" s="11">
        <v>5469.83</v>
      </c>
      <c r="N1040" s="12">
        <v>13116.86</v>
      </c>
      <c r="O1040" s="12">
        <v>13367.2</v>
      </c>
    </row>
    <row r="1041" spans="1:15">
      <c r="A1041" t="s">
        <v>1215</v>
      </c>
      <c r="B1041" t="s">
        <v>444</v>
      </c>
      <c r="C1041" s="9">
        <v>32508</v>
      </c>
      <c r="D1041">
        <v>37</v>
      </c>
      <c r="E1041" t="s">
        <v>17</v>
      </c>
      <c r="F1041" t="s">
        <v>5184</v>
      </c>
      <c r="G1041" s="9">
        <v>45421</v>
      </c>
      <c r="H1041" s="9">
        <v>45712</v>
      </c>
      <c r="I1041">
        <v>36</v>
      </c>
      <c r="J1041" t="s">
        <v>26</v>
      </c>
      <c r="K1041">
        <v>0</v>
      </c>
      <c r="L1041">
        <v>0</v>
      </c>
      <c r="M1041" s="11">
        <v>17915.05</v>
      </c>
      <c r="N1041" s="12">
        <v>8411.52</v>
      </c>
      <c r="O1041" s="12">
        <v>7971.5</v>
      </c>
    </row>
    <row r="1042" spans="1:15">
      <c r="A1042" t="s">
        <v>1216</v>
      </c>
      <c r="B1042" t="s">
        <v>80</v>
      </c>
      <c r="C1042" s="9">
        <v>33604</v>
      </c>
      <c r="D1042">
        <v>34</v>
      </c>
      <c r="E1042" t="s">
        <v>17</v>
      </c>
      <c r="F1042" t="s">
        <v>25</v>
      </c>
      <c r="G1042" s="9">
        <v>45163</v>
      </c>
      <c r="H1042" s="9">
        <v>45181</v>
      </c>
      <c r="I1042">
        <v>21</v>
      </c>
      <c r="J1042" t="s">
        <v>26</v>
      </c>
      <c r="K1042">
        <v>8</v>
      </c>
      <c r="L1042">
        <v>1</v>
      </c>
      <c r="M1042" s="11">
        <v>22561.759999999998</v>
      </c>
      <c r="N1042" s="12">
        <v>3565.56</v>
      </c>
      <c r="O1042" s="12">
        <v>4743.09</v>
      </c>
    </row>
    <row r="1043" spans="1:15">
      <c r="A1043" t="s">
        <v>1217</v>
      </c>
      <c r="B1043" t="s">
        <v>229</v>
      </c>
      <c r="C1043" s="9">
        <v>12054</v>
      </c>
      <c r="D1043">
        <v>93</v>
      </c>
      <c r="E1043" t="s">
        <v>21</v>
      </c>
      <c r="F1043" t="s">
        <v>74</v>
      </c>
      <c r="G1043" s="9">
        <v>44948</v>
      </c>
      <c r="H1043" s="9">
        <v>45419</v>
      </c>
      <c r="I1043">
        <v>34</v>
      </c>
      <c r="J1043" t="s">
        <v>26</v>
      </c>
      <c r="K1043">
        <v>4</v>
      </c>
      <c r="L1043">
        <v>9</v>
      </c>
      <c r="M1043" s="11">
        <v>14673.7</v>
      </c>
      <c r="N1043" s="12">
        <v>9254.16</v>
      </c>
      <c r="O1043" s="12">
        <v>13600.04</v>
      </c>
    </row>
    <row r="1044" spans="1:15">
      <c r="A1044" t="s">
        <v>1218</v>
      </c>
      <c r="B1044" t="s">
        <v>244</v>
      </c>
      <c r="C1044" s="9">
        <v>11689</v>
      </c>
      <c r="D1044">
        <v>94</v>
      </c>
      <c r="E1044" t="s">
        <v>21</v>
      </c>
      <c r="F1044" t="s">
        <v>22</v>
      </c>
      <c r="G1044" s="9">
        <v>45548</v>
      </c>
      <c r="H1044" s="9">
        <v>45500</v>
      </c>
      <c r="I1044">
        <v>22</v>
      </c>
      <c r="J1044" t="s">
        <v>26</v>
      </c>
      <c r="K1044">
        <v>7</v>
      </c>
      <c r="L1044">
        <v>6</v>
      </c>
      <c r="M1044" s="11">
        <v>0</v>
      </c>
      <c r="N1044" s="12">
        <v>14936.83</v>
      </c>
      <c r="O1044" s="12">
        <v>3873.33</v>
      </c>
    </row>
    <row r="1045" spans="1:15">
      <c r="A1045" t="s">
        <v>1219</v>
      </c>
      <c r="B1045" t="s">
        <v>487</v>
      </c>
      <c r="C1045" s="9">
        <v>28490</v>
      </c>
      <c r="D1045">
        <v>48</v>
      </c>
      <c r="E1045" t="s">
        <v>17</v>
      </c>
      <c r="F1045" t="s">
        <v>29</v>
      </c>
      <c r="G1045" s="9">
        <v>45253</v>
      </c>
      <c r="H1045" s="9">
        <v>45786</v>
      </c>
      <c r="I1045">
        <v>26</v>
      </c>
      <c r="J1045" t="s">
        <v>26</v>
      </c>
      <c r="K1045">
        <v>10</v>
      </c>
      <c r="L1045">
        <v>0</v>
      </c>
      <c r="M1045" s="11">
        <v>1267.92</v>
      </c>
      <c r="N1045" s="12">
        <v>4142.59</v>
      </c>
      <c r="O1045" s="12">
        <v>4541.43</v>
      </c>
    </row>
    <row r="1046" spans="1:15">
      <c r="A1046" t="s">
        <v>1220</v>
      </c>
      <c r="B1046" t="s">
        <v>332</v>
      </c>
      <c r="C1046" s="9">
        <v>21185</v>
      </c>
      <c r="D1046">
        <v>68</v>
      </c>
      <c r="E1046" t="s">
        <v>17</v>
      </c>
      <c r="F1046" t="s">
        <v>29</v>
      </c>
      <c r="G1046" s="9">
        <v>45471</v>
      </c>
      <c r="H1046" s="9">
        <v>45790</v>
      </c>
      <c r="I1046">
        <v>28</v>
      </c>
      <c r="J1046" t="s">
        <v>32</v>
      </c>
      <c r="K1046">
        <v>10</v>
      </c>
      <c r="L1046">
        <v>9</v>
      </c>
      <c r="M1046" s="11">
        <v>9062.7900000000009</v>
      </c>
      <c r="N1046" s="12">
        <v>4153.32</v>
      </c>
      <c r="O1046" s="12">
        <v>19970.77</v>
      </c>
    </row>
    <row r="1047" spans="1:15">
      <c r="A1047" t="s">
        <v>1221</v>
      </c>
      <c r="B1047" t="s">
        <v>189</v>
      </c>
      <c r="C1047" s="9">
        <v>23742</v>
      </c>
      <c r="D1047">
        <v>61</v>
      </c>
      <c r="E1047" t="s">
        <v>21</v>
      </c>
      <c r="F1047" t="s">
        <v>49</v>
      </c>
      <c r="G1047" s="9">
        <v>45053</v>
      </c>
      <c r="H1047" s="9">
        <v>45152</v>
      </c>
      <c r="I1047">
        <v>32</v>
      </c>
      <c r="J1047" t="s">
        <v>26</v>
      </c>
      <c r="K1047">
        <v>9</v>
      </c>
      <c r="L1047">
        <v>4</v>
      </c>
      <c r="M1047" s="11">
        <v>24081.88</v>
      </c>
      <c r="N1047" s="12">
        <v>10484.14</v>
      </c>
      <c r="O1047" s="12">
        <v>17762.240000000002</v>
      </c>
    </row>
    <row r="1048" spans="1:15">
      <c r="A1048" t="s">
        <v>1222</v>
      </c>
      <c r="B1048" t="s">
        <v>278</v>
      </c>
      <c r="C1048" s="9">
        <v>24473</v>
      </c>
      <c r="D1048">
        <v>59</v>
      </c>
      <c r="E1048" t="s">
        <v>21</v>
      </c>
      <c r="F1048" t="s">
        <v>25</v>
      </c>
      <c r="G1048" s="9">
        <v>45291</v>
      </c>
      <c r="H1048" s="9">
        <v>45396</v>
      </c>
      <c r="I1048">
        <v>25</v>
      </c>
      <c r="J1048" t="s">
        <v>26</v>
      </c>
      <c r="K1048">
        <v>6</v>
      </c>
      <c r="L1048">
        <v>0</v>
      </c>
      <c r="M1048" s="11">
        <v>12295.16</v>
      </c>
      <c r="N1048" s="12">
        <v>648.11</v>
      </c>
      <c r="O1048" s="12">
        <v>13912.5</v>
      </c>
    </row>
    <row r="1049" spans="1:15">
      <c r="A1049" t="s">
        <v>1223</v>
      </c>
      <c r="B1049" t="s">
        <v>51</v>
      </c>
      <c r="C1049" s="9">
        <v>28125</v>
      </c>
      <c r="D1049">
        <v>49</v>
      </c>
      <c r="E1049" t="s">
        <v>17</v>
      </c>
      <c r="F1049" t="s">
        <v>25</v>
      </c>
      <c r="G1049" s="9">
        <v>44970</v>
      </c>
      <c r="H1049" s="9">
        <v>45775</v>
      </c>
      <c r="I1049">
        <v>35</v>
      </c>
      <c r="J1049" t="s">
        <v>32</v>
      </c>
      <c r="K1049">
        <v>13</v>
      </c>
      <c r="L1049">
        <v>5</v>
      </c>
      <c r="M1049" s="11">
        <v>7193.66</v>
      </c>
      <c r="N1049" s="12">
        <v>12308.21</v>
      </c>
      <c r="O1049" s="12">
        <v>6246.83</v>
      </c>
    </row>
    <row r="1050" spans="1:15">
      <c r="A1050" t="s">
        <v>1224</v>
      </c>
      <c r="B1050" t="s">
        <v>91</v>
      </c>
      <c r="C1050" s="9">
        <v>17898</v>
      </c>
      <c r="D1050">
        <v>77</v>
      </c>
      <c r="E1050" t="s">
        <v>17</v>
      </c>
      <c r="F1050" t="s">
        <v>5184</v>
      </c>
      <c r="G1050" s="9">
        <v>45445</v>
      </c>
      <c r="H1050" s="9">
        <v>45030</v>
      </c>
      <c r="I1050">
        <v>1</v>
      </c>
      <c r="J1050" t="s">
        <v>26</v>
      </c>
      <c r="K1050">
        <v>13</v>
      </c>
      <c r="L1050">
        <v>6</v>
      </c>
      <c r="M1050" s="11">
        <v>132.11000000000001</v>
      </c>
      <c r="N1050" s="12">
        <v>9787.93</v>
      </c>
      <c r="O1050" s="12">
        <v>10688.04</v>
      </c>
    </row>
    <row r="1051" spans="1:15">
      <c r="A1051" t="s">
        <v>1225</v>
      </c>
      <c r="B1051" t="s">
        <v>108</v>
      </c>
      <c r="C1051" s="9">
        <v>18994</v>
      </c>
      <c r="D1051">
        <v>74</v>
      </c>
      <c r="E1051" t="s">
        <v>21</v>
      </c>
      <c r="F1051" t="s">
        <v>25</v>
      </c>
      <c r="G1051" s="9">
        <v>45054</v>
      </c>
      <c r="H1051" s="9">
        <v>44975</v>
      </c>
      <c r="I1051">
        <v>25</v>
      </c>
      <c r="J1051" t="s">
        <v>26</v>
      </c>
      <c r="K1051">
        <v>12</v>
      </c>
      <c r="L1051">
        <v>7</v>
      </c>
      <c r="M1051" s="11">
        <v>14629.89</v>
      </c>
      <c r="N1051" s="12">
        <v>12617.87</v>
      </c>
      <c r="O1051" s="12">
        <v>2444.98</v>
      </c>
    </row>
    <row r="1052" spans="1:15">
      <c r="A1052" t="s">
        <v>1226</v>
      </c>
      <c r="B1052" t="s">
        <v>379</v>
      </c>
      <c r="C1052" s="9">
        <v>43100</v>
      </c>
      <c r="D1052">
        <f ca="1">DATEDIF(C1003,TODAY(),"Y")</f>
        <v>69</v>
      </c>
      <c r="E1052" t="s">
        <v>21</v>
      </c>
      <c r="F1052" t="s">
        <v>22</v>
      </c>
      <c r="G1052" s="9">
        <v>45529</v>
      </c>
      <c r="H1052" s="9">
        <v>45664</v>
      </c>
      <c r="I1052">
        <v>28</v>
      </c>
      <c r="J1052" t="s">
        <v>32</v>
      </c>
      <c r="K1052">
        <v>1</v>
      </c>
      <c r="L1052">
        <v>2</v>
      </c>
      <c r="M1052" s="11">
        <v>20387.07</v>
      </c>
      <c r="N1052" s="12">
        <v>3461.1</v>
      </c>
      <c r="O1052" s="12">
        <v>6612.43</v>
      </c>
    </row>
    <row r="1053" spans="1:15">
      <c r="A1053" t="s">
        <v>1227</v>
      </c>
      <c r="B1053" t="s">
        <v>275</v>
      </c>
      <c r="C1053" s="9">
        <v>33969</v>
      </c>
      <c r="D1053">
        <v>33</v>
      </c>
      <c r="E1053" t="s">
        <v>17</v>
      </c>
      <c r="F1053" t="s">
        <v>22</v>
      </c>
      <c r="G1053" s="9">
        <v>45056</v>
      </c>
      <c r="H1053" s="9">
        <v>45269</v>
      </c>
      <c r="I1053">
        <v>20</v>
      </c>
      <c r="J1053" t="s">
        <v>32</v>
      </c>
      <c r="K1053">
        <v>7</v>
      </c>
      <c r="L1053">
        <v>2</v>
      </c>
      <c r="M1053" s="11">
        <v>5305.05</v>
      </c>
      <c r="N1053" s="12">
        <v>12707.85</v>
      </c>
      <c r="O1053" s="12">
        <v>1266.21</v>
      </c>
    </row>
    <row r="1054" spans="1:15">
      <c r="A1054" t="s">
        <v>1228</v>
      </c>
      <c r="B1054" t="s">
        <v>184</v>
      </c>
      <c r="C1054" s="9">
        <v>18629</v>
      </c>
      <c r="D1054">
        <v>75</v>
      </c>
      <c r="E1054" t="s">
        <v>17</v>
      </c>
      <c r="F1054" t="s">
        <v>5184</v>
      </c>
      <c r="G1054" s="9">
        <v>45455</v>
      </c>
      <c r="H1054" s="9">
        <v>45160</v>
      </c>
      <c r="I1054">
        <v>11</v>
      </c>
      <c r="J1054" t="s">
        <v>32</v>
      </c>
      <c r="K1054">
        <v>10</v>
      </c>
      <c r="L1054">
        <v>0</v>
      </c>
      <c r="M1054" s="11">
        <v>15884.26</v>
      </c>
      <c r="N1054" s="12">
        <v>6729.2</v>
      </c>
      <c r="O1054" s="12">
        <v>12167.4</v>
      </c>
    </row>
    <row r="1055" spans="1:15">
      <c r="A1055" t="s">
        <v>1229</v>
      </c>
      <c r="B1055" t="s">
        <v>286</v>
      </c>
      <c r="C1055" s="9">
        <v>33604</v>
      </c>
      <c r="D1055">
        <v>34</v>
      </c>
      <c r="E1055" t="s">
        <v>5185</v>
      </c>
      <c r="F1055" t="s">
        <v>49</v>
      </c>
      <c r="G1055" s="9">
        <v>45247</v>
      </c>
      <c r="H1055" s="9">
        <v>45509</v>
      </c>
      <c r="I1055">
        <v>25</v>
      </c>
      <c r="J1055" t="s">
        <v>35</v>
      </c>
      <c r="K1055">
        <v>9</v>
      </c>
      <c r="L1055">
        <v>2</v>
      </c>
      <c r="M1055" s="11">
        <v>12332.53</v>
      </c>
      <c r="N1055" s="12">
        <v>1990.83</v>
      </c>
      <c r="O1055" s="12">
        <v>17135.66</v>
      </c>
    </row>
    <row r="1056" spans="1:15">
      <c r="A1056" t="s">
        <v>1230</v>
      </c>
      <c r="B1056" t="s">
        <v>159</v>
      </c>
      <c r="C1056" s="9">
        <v>46022</v>
      </c>
      <c r="D1056">
        <v>0</v>
      </c>
      <c r="E1056" t="s">
        <v>17</v>
      </c>
      <c r="F1056" t="s">
        <v>25</v>
      </c>
      <c r="G1056" s="9">
        <v>45112</v>
      </c>
      <c r="H1056" s="9">
        <v>45486</v>
      </c>
      <c r="I1056">
        <v>11</v>
      </c>
      <c r="J1056" t="s">
        <v>26</v>
      </c>
      <c r="K1056">
        <v>8</v>
      </c>
      <c r="L1056">
        <v>4</v>
      </c>
      <c r="M1056" s="11">
        <v>20970.400000000001</v>
      </c>
      <c r="N1056" s="12">
        <v>13521.34</v>
      </c>
      <c r="O1056" s="12">
        <v>16171.98</v>
      </c>
    </row>
    <row r="1057" spans="1:15">
      <c r="A1057" t="s">
        <v>1231</v>
      </c>
      <c r="B1057" t="s">
        <v>133</v>
      </c>
      <c r="C1057" s="9">
        <v>31778</v>
      </c>
      <c r="D1057">
        <v>39</v>
      </c>
      <c r="E1057" t="s">
        <v>17</v>
      </c>
      <c r="F1057" t="s">
        <v>25</v>
      </c>
      <c r="G1057" s="9">
        <v>45548</v>
      </c>
      <c r="H1057" s="9">
        <v>45155</v>
      </c>
      <c r="I1057">
        <v>2</v>
      </c>
      <c r="J1057" t="s">
        <v>26</v>
      </c>
      <c r="K1057">
        <v>9</v>
      </c>
      <c r="L1057">
        <v>5</v>
      </c>
      <c r="M1057" s="11">
        <v>25748.45</v>
      </c>
      <c r="N1057" s="12">
        <v>10575.2</v>
      </c>
      <c r="O1057" s="12">
        <v>17107.23</v>
      </c>
    </row>
    <row r="1058" spans="1:15">
      <c r="A1058" t="s">
        <v>1232</v>
      </c>
      <c r="B1058" t="s">
        <v>71</v>
      </c>
      <c r="C1058" s="9">
        <v>23012</v>
      </c>
      <c r="D1058">
        <v>63</v>
      </c>
      <c r="E1058" t="s">
        <v>21</v>
      </c>
      <c r="F1058" t="s">
        <v>74</v>
      </c>
      <c r="G1058" s="9">
        <v>45274</v>
      </c>
      <c r="H1058" s="9">
        <v>45449</v>
      </c>
      <c r="I1058">
        <v>29</v>
      </c>
      <c r="J1058" t="s">
        <v>26</v>
      </c>
      <c r="K1058">
        <v>0</v>
      </c>
      <c r="L1058">
        <v>2</v>
      </c>
      <c r="M1058" s="11">
        <v>8864.99</v>
      </c>
      <c r="N1058" s="12">
        <v>2524.2800000000002</v>
      </c>
      <c r="O1058" s="12">
        <v>3409.45</v>
      </c>
    </row>
    <row r="1059" spans="1:15">
      <c r="A1059" t="s">
        <v>1233</v>
      </c>
      <c r="B1059" t="s">
        <v>446</v>
      </c>
      <c r="C1059" s="9">
        <v>38352</v>
      </c>
      <c r="D1059">
        <v>21</v>
      </c>
      <c r="E1059" t="s">
        <v>17</v>
      </c>
      <c r="F1059" t="s">
        <v>25</v>
      </c>
      <c r="G1059" s="9">
        <v>45407</v>
      </c>
      <c r="H1059" s="9">
        <v>45624</v>
      </c>
      <c r="I1059">
        <v>38</v>
      </c>
      <c r="J1059" t="s">
        <v>32</v>
      </c>
      <c r="K1059">
        <v>13</v>
      </c>
      <c r="L1059">
        <v>3</v>
      </c>
      <c r="M1059" s="11">
        <v>27095.52</v>
      </c>
      <c r="N1059" s="12">
        <v>3697.57</v>
      </c>
      <c r="O1059" s="12">
        <v>12966.7</v>
      </c>
    </row>
    <row r="1060" spans="1:15">
      <c r="A1060" t="s">
        <v>1234</v>
      </c>
      <c r="B1060" t="s">
        <v>211</v>
      </c>
      <c r="C1060" s="9">
        <v>24473</v>
      </c>
      <c r="D1060">
        <v>59</v>
      </c>
      <c r="E1060" t="s">
        <v>21</v>
      </c>
      <c r="F1060" t="s">
        <v>22</v>
      </c>
      <c r="G1060" s="9">
        <v>45601</v>
      </c>
      <c r="H1060" s="9">
        <v>45519</v>
      </c>
      <c r="I1060">
        <v>15</v>
      </c>
      <c r="J1060" t="s">
        <v>32</v>
      </c>
      <c r="K1060">
        <v>10</v>
      </c>
      <c r="L1060">
        <v>4</v>
      </c>
      <c r="M1060" s="11">
        <v>21062.03</v>
      </c>
      <c r="N1060" s="12">
        <v>4032.95</v>
      </c>
      <c r="O1060" s="12">
        <v>19130.509999999998</v>
      </c>
    </row>
    <row r="1061" spans="1:15">
      <c r="A1061" t="s">
        <v>1235</v>
      </c>
      <c r="B1061" t="s">
        <v>198</v>
      </c>
      <c r="C1061" s="9">
        <v>23012</v>
      </c>
      <c r="D1061">
        <v>63</v>
      </c>
      <c r="E1061" t="s">
        <v>17</v>
      </c>
      <c r="F1061" t="s">
        <v>74</v>
      </c>
      <c r="G1061" s="9">
        <v>45513</v>
      </c>
      <c r="H1061" s="9">
        <v>44940</v>
      </c>
      <c r="I1061">
        <v>2</v>
      </c>
      <c r="J1061" t="s">
        <v>26</v>
      </c>
      <c r="K1061">
        <v>14</v>
      </c>
      <c r="L1061">
        <v>4</v>
      </c>
      <c r="M1061" s="11">
        <v>633.57000000000005</v>
      </c>
      <c r="N1061" s="12">
        <v>14450.01</v>
      </c>
      <c r="O1061" s="12">
        <v>15643.35</v>
      </c>
    </row>
    <row r="1062" spans="1:15">
      <c r="A1062" t="s">
        <v>1236</v>
      </c>
      <c r="B1062" t="s">
        <v>261</v>
      </c>
      <c r="C1062" s="9">
        <v>12419</v>
      </c>
      <c r="D1062">
        <v>92</v>
      </c>
      <c r="E1062" t="s">
        <v>21</v>
      </c>
      <c r="F1062" t="s">
        <v>74</v>
      </c>
      <c r="G1062" s="9">
        <v>45637</v>
      </c>
      <c r="H1062" s="9">
        <v>45426</v>
      </c>
      <c r="I1062">
        <v>39</v>
      </c>
      <c r="J1062" t="s">
        <v>32</v>
      </c>
      <c r="K1062">
        <v>9</v>
      </c>
      <c r="L1062">
        <v>8</v>
      </c>
      <c r="M1062" s="11">
        <v>23632.91</v>
      </c>
      <c r="N1062" s="12">
        <v>13292.66</v>
      </c>
      <c r="O1062" s="12">
        <v>31.85</v>
      </c>
    </row>
    <row r="1063" spans="1:15">
      <c r="A1063" t="s">
        <v>1237</v>
      </c>
      <c r="B1063" t="s">
        <v>302</v>
      </c>
      <c r="C1063" s="9">
        <v>20090</v>
      </c>
      <c r="D1063">
        <v>71</v>
      </c>
      <c r="E1063" t="s">
        <v>21</v>
      </c>
      <c r="F1063" t="s">
        <v>25</v>
      </c>
      <c r="G1063" s="9">
        <v>45287</v>
      </c>
      <c r="H1063" s="9">
        <v>45372</v>
      </c>
      <c r="I1063">
        <v>12</v>
      </c>
      <c r="J1063" t="s">
        <v>32</v>
      </c>
      <c r="K1063">
        <v>1</v>
      </c>
      <c r="L1063">
        <v>7</v>
      </c>
      <c r="M1063" s="11">
        <v>14586.13</v>
      </c>
      <c r="N1063" s="12">
        <v>5195.18</v>
      </c>
      <c r="O1063" s="12">
        <v>17634.36</v>
      </c>
    </row>
    <row r="1064" spans="1:15">
      <c r="A1064" t="s">
        <v>1238</v>
      </c>
      <c r="B1064" t="s">
        <v>246</v>
      </c>
      <c r="C1064" s="9">
        <v>42370</v>
      </c>
      <c r="D1064">
        <v>10</v>
      </c>
      <c r="E1064" t="s">
        <v>17</v>
      </c>
      <c r="F1064" t="s">
        <v>29</v>
      </c>
      <c r="G1064" s="9">
        <v>45213</v>
      </c>
      <c r="H1064" s="9">
        <v>45753</v>
      </c>
      <c r="I1064">
        <v>39</v>
      </c>
      <c r="J1064" t="s">
        <v>32</v>
      </c>
      <c r="K1064">
        <v>4</v>
      </c>
      <c r="L1064">
        <v>0</v>
      </c>
      <c r="M1064" s="11">
        <v>28336.560000000001</v>
      </c>
      <c r="N1064" s="12">
        <v>6999.55</v>
      </c>
      <c r="O1064" s="12">
        <v>14086.17</v>
      </c>
    </row>
    <row r="1065" spans="1:15">
      <c r="A1065" t="s">
        <v>1239</v>
      </c>
      <c r="B1065" t="s">
        <v>103</v>
      </c>
      <c r="C1065" s="9">
        <v>41274</v>
      </c>
      <c r="D1065">
        <v>13</v>
      </c>
      <c r="E1065" t="s">
        <v>17</v>
      </c>
      <c r="F1065" t="s">
        <v>18</v>
      </c>
      <c r="G1065" s="9">
        <v>45108</v>
      </c>
      <c r="H1065" s="9">
        <v>45267</v>
      </c>
      <c r="I1065">
        <v>13</v>
      </c>
      <c r="J1065" t="s">
        <v>35</v>
      </c>
      <c r="K1065">
        <v>11</v>
      </c>
      <c r="L1065">
        <v>1</v>
      </c>
      <c r="M1065" s="11">
        <v>9370.76</v>
      </c>
      <c r="N1065" s="12">
        <v>4279.2</v>
      </c>
      <c r="O1065" s="12">
        <v>2353.4499999999998</v>
      </c>
    </row>
    <row r="1066" spans="1:15">
      <c r="A1066" t="s">
        <v>1240</v>
      </c>
      <c r="B1066" t="s">
        <v>427</v>
      </c>
      <c r="C1066" s="9">
        <v>24473</v>
      </c>
      <c r="D1066">
        <v>59</v>
      </c>
      <c r="E1066" t="s">
        <v>21</v>
      </c>
      <c r="F1066" t="s">
        <v>22</v>
      </c>
      <c r="G1066" s="9">
        <v>45377</v>
      </c>
      <c r="H1066" s="9">
        <v>45251</v>
      </c>
      <c r="I1066">
        <v>33</v>
      </c>
      <c r="J1066" t="s">
        <v>32</v>
      </c>
      <c r="K1066">
        <v>1</v>
      </c>
      <c r="L1066">
        <v>4</v>
      </c>
      <c r="M1066" s="11">
        <v>17532.02</v>
      </c>
      <c r="N1066" s="12">
        <v>11139.73</v>
      </c>
      <c r="O1066" s="12">
        <v>6207.83</v>
      </c>
    </row>
    <row r="1067" spans="1:15">
      <c r="A1067" t="s">
        <v>1241</v>
      </c>
      <c r="B1067" t="s">
        <v>192</v>
      </c>
      <c r="C1067" s="9">
        <v>35430</v>
      </c>
      <c r="D1067">
        <v>29</v>
      </c>
      <c r="E1067" t="s">
        <v>17</v>
      </c>
      <c r="F1067" t="s">
        <v>29</v>
      </c>
      <c r="G1067" s="9">
        <v>45023</v>
      </c>
      <c r="H1067" s="9">
        <v>45523</v>
      </c>
      <c r="I1067">
        <v>33</v>
      </c>
      <c r="J1067" t="s">
        <v>32</v>
      </c>
      <c r="K1067">
        <v>13</v>
      </c>
      <c r="L1067">
        <v>2</v>
      </c>
      <c r="M1067" s="11">
        <v>28662.46</v>
      </c>
      <c r="N1067" s="12">
        <v>2418.14</v>
      </c>
      <c r="O1067" s="12">
        <v>2262.0500000000002</v>
      </c>
    </row>
    <row r="1068" spans="1:15">
      <c r="A1068" t="s">
        <v>1242</v>
      </c>
      <c r="B1068" t="s">
        <v>332</v>
      </c>
      <c r="C1068" s="9">
        <v>33604</v>
      </c>
      <c r="D1068">
        <v>34</v>
      </c>
      <c r="E1068" t="s">
        <v>21</v>
      </c>
      <c r="F1068" t="s">
        <v>25</v>
      </c>
      <c r="G1068" s="9">
        <v>45489</v>
      </c>
      <c r="H1068" s="9">
        <v>45525</v>
      </c>
      <c r="I1068">
        <v>37</v>
      </c>
      <c r="J1068" t="s">
        <v>35</v>
      </c>
      <c r="K1068">
        <v>4</v>
      </c>
      <c r="L1068">
        <v>6</v>
      </c>
      <c r="M1068" s="11">
        <v>7770.37</v>
      </c>
      <c r="N1068" s="12">
        <v>5079.21</v>
      </c>
      <c r="O1068" s="12">
        <v>14569.19</v>
      </c>
    </row>
    <row r="1069" spans="1:15">
      <c r="A1069" t="s">
        <v>1243</v>
      </c>
      <c r="B1069" t="s">
        <v>379</v>
      </c>
      <c r="C1069" s="9">
        <v>15341</v>
      </c>
      <c r="D1069">
        <v>84</v>
      </c>
      <c r="E1069" t="s">
        <v>21</v>
      </c>
      <c r="F1069" t="s">
        <v>25</v>
      </c>
      <c r="G1069" s="9">
        <v>45240</v>
      </c>
      <c r="H1069" s="9">
        <v>45084</v>
      </c>
      <c r="I1069">
        <v>27</v>
      </c>
      <c r="J1069" t="s">
        <v>32</v>
      </c>
      <c r="K1069">
        <v>0</v>
      </c>
      <c r="L1069">
        <v>5</v>
      </c>
      <c r="M1069" s="11">
        <v>13894.58</v>
      </c>
      <c r="N1069" s="12">
        <v>9091.57</v>
      </c>
      <c r="O1069" s="12">
        <v>29.17</v>
      </c>
    </row>
    <row r="1070" spans="1:15">
      <c r="A1070" t="s">
        <v>1244</v>
      </c>
      <c r="B1070" t="s">
        <v>157</v>
      </c>
      <c r="C1070" s="9">
        <v>32873</v>
      </c>
      <c r="D1070">
        <v>36</v>
      </c>
      <c r="E1070" t="s">
        <v>17</v>
      </c>
      <c r="F1070" t="s">
        <v>29</v>
      </c>
      <c r="G1070" s="9">
        <v>45472</v>
      </c>
      <c r="H1070" s="9">
        <v>45583</v>
      </c>
      <c r="I1070">
        <v>35</v>
      </c>
      <c r="J1070" t="s">
        <v>32</v>
      </c>
      <c r="K1070">
        <v>10</v>
      </c>
      <c r="L1070">
        <v>1</v>
      </c>
      <c r="M1070" s="11">
        <v>22451.11</v>
      </c>
      <c r="N1070" s="12">
        <v>13160.17</v>
      </c>
      <c r="O1070" s="12">
        <v>9236.9</v>
      </c>
    </row>
    <row r="1071" spans="1:15">
      <c r="A1071" t="s">
        <v>1245</v>
      </c>
      <c r="B1071" t="s">
        <v>275</v>
      </c>
      <c r="C1071" s="9">
        <v>44561</v>
      </c>
      <c r="D1071">
        <v>4</v>
      </c>
      <c r="E1071" t="s">
        <v>21</v>
      </c>
      <c r="F1071" t="s">
        <v>25</v>
      </c>
      <c r="G1071" s="9">
        <v>44947</v>
      </c>
      <c r="H1071" s="9">
        <v>45502</v>
      </c>
      <c r="I1071">
        <v>20</v>
      </c>
      <c r="J1071" t="s">
        <v>32</v>
      </c>
      <c r="K1071">
        <v>9</v>
      </c>
      <c r="L1071">
        <v>7</v>
      </c>
      <c r="M1071" s="11">
        <v>20578.509999999998</v>
      </c>
      <c r="N1071" s="12">
        <v>9533.25</v>
      </c>
      <c r="O1071" s="12">
        <v>19996.16</v>
      </c>
    </row>
    <row r="1072" spans="1:15">
      <c r="A1072" t="s">
        <v>1246</v>
      </c>
      <c r="B1072" t="s">
        <v>446</v>
      </c>
      <c r="C1072" s="9">
        <v>16072</v>
      </c>
      <c r="D1072">
        <v>82</v>
      </c>
      <c r="E1072" t="s">
        <v>17</v>
      </c>
      <c r="F1072" t="s">
        <v>22</v>
      </c>
      <c r="G1072" s="9">
        <v>45622</v>
      </c>
      <c r="H1072" s="9">
        <v>45358</v>
      </c>
      <c r="I1072">
        <v>8</v>
      </c>
      <c r="J1072" t="s">
        <v>26</v>
      </c>
      <c r="K1072">
        <v>5</v>
      </c>
      <c r="L1072">
        <v>4</v>
      </c>
      <c r="M1072" s="11">
        <v>25080.45</v>
      </c>
      <c r="N1072" s="12">
        <v>14095.9</v>
      </c>
      <c r="O1072" s="12">
        <v>17007.72</v>
      </c>
    </row>
    <row r="1073" spans="1:15">
      <c r="A1073" t="s">
        <v>1247</v>
      </c>
      <c r="B1073" t="s">
        <v>46</v>
      </c>
      <c r="C1073" s="9">
        <v>17898</v>
      </c>
      <c r="D1073">
        <v>77</v>
      </c>
      <c r="E1073" t="s">
        <v>21</v>
      </c>
      <c r="F1073" t="s">
        <v>5184</v>
      </c>
      <c r="G1073" s="9">
        <v>45502</v>
      </c>
      <c r="H1073" s="9">
        <v>45482</v>
      </c>
      <c r="I1073">
        <v>22</v>
      </c>
      <c r="J1073" t="s">
        <v>32</v>
      </c>
      <c r="K1073">
        <v>5</v>
      </c>
      <c r="L1073">
        <v>5</v>
      </c>
      <c r="M1073" s="11">
        <v>15353.8</v>
      </c>
      <c r="N1073" s="12">
        <v>13962.14</v>
      </c>
      <c r="O1073" s="12">
        <v>11703.16</v>
      </c>
    </row>
    <row r="1074" spans="1:15">
      <c r="A1074" t="s">
        <v>1248</v>
      </c>
      <c r="B1074" t="s">
        <v>28</v>
      </c>
      <c r="C1074" s="9">
        <v>36891</v>
      </c>
      <c r="D1074">
        <v>25</v>
      </c>
      <c r="E1074" t="s">
        <v>17</v>
      </c>
      <c r="F1074" t="s">
        <v>74</v>
      </c>
      <c r="G1074" s="9">
        <v>45423</v>
      </c>
      <c r="H1074" s="9">
        <v>45334</v>
      </c>
      <c r="I1074">
        <v>1</v>
      </c>
      <c r="J1074" t="s">
        <v>32</v>
      </c>
      <c r="K1074">
        <v>10</v>
      </c>
      <c r="L1074">
        <v>7</v>
      </c>
      <c r="M1074" s="11">
        <v>9227.1</v>
      </c>
      <c r="N1074" s="12">
        <v>10774.49</v>
      </c>
      <c r="O1074" s="12">
        <v>13848.08</v>
      </c>
    </row>
    <row r="1075" spans="1:15">
      <c r="A1075" t="s">
        <v>1249</v>
      </c>
      <c r="B1075" t="s">
        <v>39</v>
      </c>
      <c r="C1075" s="9">
        <v>23742</v>
      </c>
      <c r="D1075">
        <v>61</v>
      </c>
      <c r="E1075" t="s">
        <v>17</v>
      </c>
      <c r="F1075" t="s">
        <v>49</v>
      </c>
      <c r="G1075" s="9">
        <v>45329</v>
      </c>
      <c r="H1075" s="9">
        <v>45085</v>
      </c>
      <c r="I1075">
        <v>32</v>
      </c>
      <c r="J1075" t="s">
        <v>26</v>
      </c>
      <c r="K1075">
        <v>2</v>
      </c>
      <c r="L1075">
        <v>5</v>
      </c>
      <c r="M1075" s="11">
        <v>15820.08</v>
      </c>
      <c r="N1075" s="12">
        <v>4180.53</v>
      </c>
      <c r="O1075" s="12">
        <v>12033.14</v>
      </c>
    </row>
    <row r="1076" spans="1:15">
      <c r="A1076" t="s">
        <v>1250</v>
      </c>
      <c r="B1076" t="s">
        <v>131</v>
      </c>
      <c r="C1076" s="9">
        <v>44927</v>
      </c>
      <c r="D1076">
        <v>3</v>
      </c>
      <c r="E1076" t="s">
        <v>21</v>
      </c>
      <c r="F1076" t="s">
        <v>25</v>
      </c>
      <c r="G1076" s="9">
        <v>45050</v>
      </c>
      <c r="H1076" s="9">
        <v>45112</v>
      </c>
      <c r="I1076">
        <v>21</v>
      </c>
      <c r="J1076" t="s">
        <v>32</v>
      </c>
      <c r="K1076">
        <v>0</v>
      </c>
      <c r="L1076">
        <v>9</v>
      </c>
      <c r="M1076" s="11">
        <v>10173.780000000001</v>
      </c>
      <c r="N1076" s="12">
        <v>10246.19</v>
      </c>
      <c r="O1076" s="12">
        <v>16198</v>
      </c>
    </row>
    <row r="1077" spans="1:15">
      <c r="A1077" t="s">
        <v>1251</v>
      </c>
      <c r="B1077" t="s">
        <v>379</v>
      </c>
      <c r="C1077" s="9">
        <v>13880</v>
      </c>
      <c r="D1077">
        <v>88</v>
      </c>
      <c r="E1077" t="s">
        <v>21</v>
      </c>
      <c r="F1077" t="s">
        <v>25</v>
      </c>
      <c r="G1077" s="9">
        <v>45539</v>
      </c>
      <c r="H1077" s="9">
        <v>45725</v>
      </c>
      <c r="I1077">
        <v>10</v>
      </c>
      <c r="J1077" t="s">
        <v>32</v>
      </c>
      <c r="K1077">
        <v>10</v>
      </c>
      <c r="L1077">
        <v>2</v>
      </c>
      <c r="M1077" s="11">
        <v>4881.13</v>
      </c>
      <c r="N1077" s="12">
        <v>2891.07</v>
      </c>
      <c r="O1077" s="12">
        <v>17708.29</v>
      </c>
    </row>
    <row r="1078" spans="1:15">
      <c r="A1078" t="s">
        <v>1252</v>
      </c>
      <c r="B1078" t="s">
        <v>490</v>
      </c>
      <c r="C1078" s="9">
        <v>31047</v>
      </c>
      <c r="D1078">
        <v>41</v>
      </c>
      <c r="E1078" t="s">
        <v>17</v>
      </c>
      <c r="F1078" t="s">
        <v>29</v>
      </c>
      <c r="G1078" s="9">
        <v>45045</v>
      </c>
      <c r="H1078" s="9">
        <v>45418</v>
      </c>
      <c r="I1078">
        <v>39</v>
      </c>
      <c r="J1078" t="s">
        <v>26</v>
      </c>
      <c r="K1078">
        <v>9</v>
      </c>
      <c r="L1078">
        <v>6</v>
      </c>
      <c r="M1078" s="11">
        <v>16426.580000000002</v>
      </c>
      <c r="N1078" s="12">
        <v>4998.07</v>
      </c>
      <c r="O1078" s="12">
        <v>15308.51</v>
      </c>
    </row>
    <row r="1079" spans="1:15">
      <c r="A1079" t="s">
        <v>1253</v>
      </c>
      <c r="B1079" t="s">
        <v>176</v>
      </c>
      <c r="C1079" s="9">
        <f>DATE(2026-D1039,1,1)</f>
        <v>40909</v>
      </c>
      <c r="D1079">
        <v>88</v>
      </c>
      <c r="E1079" t="s">
        <v>17</v>
      </c>
      <c r="F1079" t="s">
        <v>74</v>
      </c>
      <c r="G1079" s="9">
        <v>45516</v>
      </c>
      <c r="H1079" s="9">
        <v>45762</v>
      </c>
      <c r="I1079">
        <v>34</v>
      </c>
      <c r="J1079" t="s">
        <v>26</v>
      </c>
      <c r="K1079">
        <v>5</v>
      </c>
      <c r="L1079">
        <v>3</v>
      </c>
      <c r="M1079" s="11">
        <v>975.61</v>
      </c>
      <c r="N1079" s="12">
        <v>11368.49</v>
      </c>
      <c r="O1079" s="12">
        <v>3557.45</v>
      </c>
    </row>
    <row r="1080" spans="1:15">
      <c r="A1080" t="s">
        <v>1254</v>
      </c>
      <c r="B1080" t="s">
        <v>671</v>
      </c>
      <c r="C1080" s="9">
        <v>39813</v>
      </c>
      <c r="D1080">
        <v>17</v>
      </c>
      <c r="E1080" t="s">
        <v>21</v>
      </c>
      <c r="F1080" t="s">
        <v>29</v>
      </c>
      <c r="G1080" s="9">
        <v>45619</v>
      </c>
      <c r="H1080" s="9">
        <v>45463</v>
      </c>
      <c r="I1080">
        <v>27</v>
      </c>
      <c r="J1080" t="s">
        <v>32</v>
      </c>
      <c r="K1080">
        <v>1</v>
      </c>
      <c r="L1080">
        <v>5</v>
      </c>
      <c r="M1080" s="11">
        <v>615.54999999999995</v>
      </c>
      <c r="N1080" s="12">
        <v>12759.48</v>
      </c>
      <c r="O1080" s="12">
        <v>7387.68</v>
      </c>
    </row>
    <row r="1081" spans="1:15">
      <c r="A1081" t="s">
        <v>1255</v>
      </c>
      <c r="B1081" t="s">
        <v>84</v>
      </c>
      <c r="C1081" s="9">
        <v>31778</v>
      </c>
      <c r="D1081">
        <v>39</v>
      </c>
      <c r="E1081" t="s">
        <v>17</v>
      </c>
      <c r="F1081" t="s">
        <v>5184</v>
      </c>
      <c r="G1081" s="9">
        <v>45637</v>
      </c>
      <c r="H1081" s="9">
        <v>45284</v>
      </c>
      <c r="I1081">
        <v>8</v>
      </c>
      <c r="J1081" t="s">
        <v>32</v>
      </c>
      <c r="K1081">
        <v>10</v>
      </c>
      <c r="L1081">
        <v>5</v>
      </c>
      <c r="M1081" s="11">
        <v>1469.49</v>
      </c>
      <c r="N1081" s="12">
        <v>6251.53</v>
      </c>
      <c r="O1081" s="12">
        <v>15666.61</v>
      </c>
    </row>
    <row r="1082" spans="1:15">
      <c r="A1082" t="s">
        <v>1256</v>
      </c>
      <c r="B1082" t="s">
        <v>392</v>
      </c>
      <c r="C1082" s="9">
        <v>20090</v>
      </c>
      <c r="D1082">
        <v>71</v>
      </c>
      <c r="E1082" t="s">
        <v>21</v>
      </c>
      <c r="F1082" t="s">
        <v>22</v>
      </c>
      <c r="G1082" s="9">
        <v>45403</v>
      </c>
      <c r="H1082" s="9">
        <v>45644</v>
      </c>
      <c r="I1082">
        <v>20</v>
      </c>
      <c r="J1082" t="s">
        <v>32</v>
      </c>
      <c r="K1082">
        <v>9</v>
      </c>
      <c r="L1082">
        <v>4</v>
      </c>
      <c r="M1082" s="11">
        <v>20014.64</v>
      </c>
      <c r="N1082" s="12">
        <v>7851.55</v>
      </c>
      <c r="O1082" s="12">
        <v>16445.87</v>
      </c>
    </row>
    <row r="1083" spans="1:15">
      <c r="A1083" t="s">
        <v>1257</v>
      </c>
      <c r="B1083" t="s">
        <v>328</v>
      </c>
      <c r="C1083" s="9">
        <v>32143</v>
      </c>
      <c r="D1083">
        <v>38</v>
      </c>
      <c r="E1083" t="s">
        <v>21</v>
      </c>
      <c r="F1083" t="s">
        <v>29</v>
      </c>
      <c r="G1083" s="9">
        <v>45628</v>
      </c>
      <c r="H1083" s="9">
        <v>45289</v>
      </c>
      <c r="I1083">
        <v>25</v>
      </c>
      <c r="J1083" t="s">
        <v>32</v>
      </c>
      <c r="K1083">
        <v>9</v>
      </c>
      <c r="L1083">
        <v>0</v>
      </c>
      <c r="M1083" s="11">
        <v>11913.1</v>
      </c>
      <c r="N1083" s="12">
        <v>5791.99</v>
      </c>
      <c r="O1083" s="12">
        <v>12538.93</v>
      </c>
    </row>
    <row r="1084" spans="1:15">
      <c r="A1084" t="s">
        <v>1258</v>
      </c>
      <c r="B1084" t="s">
        <v>127</v>
      </c>
      <c r="C1084" s="9">
        <v>41274</v>
      </c>
      <c r="D1084">
        <v>13</v>
      </c>
      <c r="E1084" t="s">
        <v>17</v>
      </c>
      <c r="F1084" t="s">
        <v>25</v>
      </c>
      <c r="G1084" s="9">
        <v>45029</v>
      </c>
      <c r="H1084" s="9">
        <v>45151</v>
      </c>
      <c r="I1084">
        <v>26</v>
      </c>
      <c r="J1084" t="s">
        <v>35</v>
      </c>
      <c r="K1084">
        <v>0</v>
      </c>
      <c r="L1084">
        <v>7</v>
      </c>
      <c r="M1084" s="11">
        <v>14570.51</v>
      </c>
      <c r="N1084" s="12">
        <v>7189.5</v>
      </c>
      <c r="O1084" s="12">
        <v>14254.32</v>
      </c>
    </row>
    <row r="1085" spans="1:15">
      <c r="A1085" t="s">
        <v>1259</v>
      </c>
      <c r="B1085" t="s">
        <v>1148</v>
      </c>
      <c r="C1085" s="9">
        <v>34700</v>
      </c>
      <c r="D1085">
        <v>31</v>
      </c>
      <c r="E1085" t="s">
        <v>21</v>
      </c>
      <c r="F1085" t="s">
        <v>74</v>
      </c>
      <c r="G1085" s="9">
        <v>45259</v>
      </c>
      <c r="H1085" s="9">
        <v>45540</v>
      </c>
      <c r="I1085">
        <v>12</v>
      </c>
      <c r="J1085" t="s">
        <v>32</v>
      </c>
      <c r="K1085">
        <v>10</v>
      </c>
      <c r="L1085">
        <v>9</v>
      </c>
      <c r="M1085" s="11">
        <v>9973.67</v>
      </c>
      <c r="N1085" s="12">
        <v>7687.31</v>
      </c>
      <c r="O1085" s="12">
        <v>3407.42</v>
      </c>
    </row>
    <row r="1086" spans="1:15">
      <c r="A1086" t="s">
        <v>1260</v>
      </c>
      <c r="B1086" t="s">
        <v>244</v>
      </c>
      <c r="C1086" s="9">
        <v>27760</v>
      </c>
      <c r="D1086">
        <v>50</v>
      </c>
      <c r="E1086" t="s">
        <v>17</v>
      </c>
      <c r="F1086" t="s">
        <v>22</v>
      </c>
      <c r="G1086" s="9">
        <v>45385</v>
      </c>
      <c r="H1086" s="9">
        <v>45131</v>
      </c>
      <c r="I1086">
        <v>0</v>
      </c>
      <c r="J1086" t="s">
        <v>35</v>
      </c>
      <c r="K1086">
        <v>13</v>
      </c>
      <c r="L1086">
        <v>1</v>
      </c>
      <c r="M1086" s="11">
        <v>7235.9</v>
      </c>
      <c r="N1086" s="12">
        <v>10377.52</v>
      </c>
      <c r="O1086" s="12">
        <v>7390.58</v>
      </c>
    </row>
    <row r="1087" spans="1:15">
      <c r="A1087" t="s">
        <v>1261</v>
      </c>
      <c r="B1087" t="s">
        <v>147</v>
      </c>
      <c r="C1087" s="9">
        <v>32508</v>
      </c>
      <c r="D1087">
        <v>37</v>
      </c>
      <c r="E1087" t="s">
        <v>17</v>
      </c>
      <c r="F1087" t="s">
        <v>25</v>
      </c>
      <c r="G1087" s="9">
        <v>45056</v>
      </c>
      <c r="H1087" s="9">
        <v>44935</v>
      </c>
      <c r="I1087">
        <v>6</v>
      </c>
      <c r="J1087" t="s">
        <v>35</v>
      </c>
      <c r="K1087">
        <v>0</v>
      </c>
      <c r="L1087">
        <v>3</v>
      </c>
      <c r="M1087" s="11">
        <v>10428.31</v>
      </c>
      <c r="N1087" s="12">
        <v>11257.87</v>
      </c>
      <c r="O1087" s="12">
        <v>10646.19</v>
      </c>
    </row>
    <row r="1088" spans="1:15">
      <c r="A1088" t="s">
        <v>1262</v>
      </c>
      <c r="B1088" t="s">
        <v>387</v>
      </c>
      <c r="C1088" s="9">
        <v>37987</v>
      </c>
      <c r="D1088">
        <v>22</v>
      </c>
      <c r="E1088" t="s">
        <v>17</v>
      </c>
      <c r="F1088" t="s">
        <v>22</v>
      </c>
      <c r="G1088" s="9">
        <v>45060</v>
      </c>
      <c r="H1088" s="9">
        <v>45399</v>
      </c>
      <c r="I1088">
        <v>5</v>
      </c>
      <c r="J1088" t="s">
        <v>26</v>
      </c>
      <c r="K1088">
        <v>1</v>
      </c>
      <c r="L1088">
        <v>2</v>
      </c>
      <c r="M1088" s="11">
        <v>5398.03</v>
      </c>
      <c r="N1088" s="12">
        <v>14625.24</v>
      </c>
      <c r="O1088" s="12">
        <v>19672.54</v>
      </c>
    </row>
    <row r="1089" spans="1:15">
      <c r="A1089" t="s">
        <v>1263</v>
      </c>
      <c r="B1089" t="s">
        <v>615</v>
      </c>
      <c r="C1089" s="9">
        <v>23377</v>
      </c>
      <c r="D1089">
        <v>62</v>
      </c>
      <c r="E1089" t="s">
        <v>17</v>
      </c>
      <c r="F1089" t="s">
        <v>25</v>
      </c>
      <c r="G1089" s="9">
        <v>45083</v>
      </c>
      <c r="H1089" s="9">
        <v>45099</v>
      </c>
      <c r="I1089">
        <v>30</v>
      </c>
      <c r="J1089" t="s">
        <v>26</v>
      </c>
      <c r="K1089">
        <v>7</v>
      </c>
      <c r="L1089">
        <v>5</v>
      </c>
      <c r="M1089" s="11">
        <v>20202.12</v>
      </c>
      <c r="N1089" s="12">
        <v>6564.77</v>
      </c>
      <c r="O1089" s="12">
        <v>15964.23</v>
      </c>
    </row>
    <row r="1090" spans="1:15">
      <c r="A1090" t="s">
        <v>1264</v>
      </c>
      <c r="B1090" t="s">
        <v>65</v>
      </c>
      <c r="C1090" s="9">
        <v>40909</v>
      </c>
      <c r="D1090">
        <v>14</v>
      </c>
      <c r="E1090" t="s">
        <v>17</v>
      </c>
      <c r="F1090" t="s">
        <v>25</v>
      </c>
      <c r="G1090" s="9">
        <v>45351</v>
      </c>
      <c r="H1090" s="9">
        <v>45647</v>
      </c>
      <c r="I1090">
        <v>31</v>
      </c>
      <c r="J1090" t="s">
        <v>32</v>
      </c>
      <c r="K1090">
        <v>4</v>
      </c>
      <c r="L1090">
        <v>0</v>
      </c>
      <c r="M1090" s="11">
        <v>2602.9299999999998</v>
      </c>
      <c r="N1090" s="12">
        <v>1247.0999999999999</v>
      </c>
      <c r="O1090" s="12">
        <v>3771.66</v>
      </c>
    </row>
    <row r="1091" spans="1:15">
      <c r="A1091" t="s">
        <v>1265</v>
      </c>
      <c r="B1091" t="s">
        <v>427</v>
      </c>
      <c r="C1091" s="9">
        <v>37256</v>
      </c>
      <c r="D1091">
        <v>24</v>
      </c>
      <c r="E1091" t="s">
        <v>17</v>
      </c>
      <c r="F1091" t="s">
        <v>25</v>
      </c>
      <c r="G1091" s="9">
        <v>45361</v>
      </c>
      <c r="H1091" s="9">
        <v>45023</v>
      </c>
      <c r="I1091">
        <v>6</v>
      </c>
      <c r="J1091" t="s">
        <v>32</v>
      </c>
      <c r="K1091">
        <v>14</v>
      </c>
      <c r="L1091">
        <v>8</v>
      </c>
      <c r="M1091" s="11">
        <v>15265.47</v>
      </c>
      <c r="N1091" s="12">
        <v>10322.5</v>
      </c>
      <c r="O1091" s="12">
        <v>6983.37</v>
      </c>
    </row>
    <row r="1092" spans="1:15">
      <c r="A1092" t="s">
        <v>1266</v>
      </c>
      <c r="B1092" t="s">
        <v>479</v>
      </c>
      <c r="C1092" s="9">
        <v>40178</v>
      </c>
      <c r="D1092">
        <v>16</v>
      </c>
      <c r="E1092" t="s">
        <v>17</v>
      </c>
      <c r="F1092" t="s">
        <v>49</v>
      </c>
      <c r="G1092" s="9">
        <v>45315</v>
      </c>
      <c r="H1092" s="9">
        <v>45601</v>
      </c>
      <c r="I1092">
        <v>14</v>
      </c>
      <c r="J1092" t="s">
        <v>32</v>
      </c>
      <c r="K1092">
        <v>1</v>
      </c>
      <c r="L1092">
        <v>4</v>
      </c>
      <c r="M1092" s="11">
        <v>14043.22</v>
      </c>
      <c r="N1092" s="12">
        <v>7474.12</v>
      </c>
      <c r="O1092" s="12">
        <v>4259.66</v>
      </c>
    </row>
    <row r="1093" spans="1:15">
      <c r="A1093" t="s">
        <v>1267</v>
      </c>
      <c r="B1093" t="s">
        <v>246</v>
      </c>
      <c r="C1093" s="9">
        <v>22281</v>
      </c>
      <c r="D1093">
        <v>65</v>
      </c>
      <c r="E1093" t="s">
        <v>5185</v>
      </c>
      <c r="F1093" t="s">
        <v>18</v>
      </c>
      <c r="G1093" s="9">
        <v>45244</v>
      </c>
      <c r="H1093" s="9">
        <v>45730</v>
      </c>
      <c r="I1093">
        <v>38</v>
      </c>
      <c r="J1093" t="s">
        <v>35</v>
      </c>
      <c r="K1093">
        <v>10</v>
      </c>
      <c r="L1093">
        <v>4</v>
      </c>
      <c r="M1093" s="11">
        <v>8708.67</v>
      </c>
      <c r="N1093" s="12">
        <v>12615.33</v>
      </c>
      <c r="O1093" s="12">
        <v>2960.41</v>
      </c>
    </row>
    <row r="1094" spans="1:15">
      <c r="A1094" t="s">
        <v>1268</v>
      </c>
      <c r="B1094" t="s">
        <v>397</v>
      </c>
      <c r="C1094" s="9">
        <v>17898</v>
      </c>
      <c r="D1094">
        <v>77</v>
      </c>
      <c r="E1094" t="s">
        <v>17</v>
      </c>
      <c r="F1094" t="s">
        <v>74</v>
      </c>
      <c r="G1094" s="9">
        <v>45596</v>
      </c>
      <c r="H1094" s="9">
        <v>45535</v>
      </c>
      <c r="I1094">
        <v>2</v>
      </c>
      <c r="J1094" t="s">
        <v>35</v>
      </c>
      <c r="K1094">
        <v>4</v>
      </c>
      <c r="L1094">
        <v>3</v>
      </c>
      <c r="M1094" s="11">
        <v>0</v>
      </c>
      <c r="N1094" s="12">
        <v>2198.17</v>
      </c>
      <c r="O1094" s="12">
        <v>2311.6</v>
      </c>
    </row>
    <row r="1095" spans="1:15">
      <c r="A1095" t="s">
        <v>1269</v>
      </c>
      <c r="B1095" t="s">
        <v>157</v>
      </c>
      <c r="C1095" s="9">
        <v>27029</v>
      </c>
      <c r="D1095">
        <v>52</v>
      </c>
      <c r="E1095" t="s">
        <v>21</v>
      </c>
      <c r="F1095" t="s">
        <v>5184</v>
      </c>
      <c r="G1095" s="9">
        <v>45431</v>
      </c>
      <c r="H1095" s="9">
        <v>45233</v>
      </c>
      <c r="I1095">
        <v>37</v>
      </c>
      <c r="J1095" t="s">
        <v>32</v>
      </c>
      <c r="K1095">
        <v>5</v>
      </c>
      <c r="L1095">
        <v>3</v>
      </c>
      <c r="M1095" s="11">
        <v>20952.41</v>
      </c>
      <c r="N1095" s="12">
        <v>9673.7099999999991</v>
      </c>
      <c r="O1095" s="12">
        <v>19310.63</v>
      </c>
    </row>
    <row r="1096" spans="1:15">
      <c r="A1096" t="s">
        <v>1270</v>
      </c>
      <c r="B1096" t="s">
        <v>117</v>
      </c>
      <c r="C1096" s="9">
        <v>27760</v>
      </c>
      <c r="D1096">
        <v>50</v>
      </c>
      <c r="E1096" t="s">
        <v>17</v>
      </c>
      <c r="F1096" t="s">
        <v>49</v>
      </c>
      <c r="G1096" s="9">
        <v>45116</v>
      </c>
      <c r="H1096" s="9">
        <v>45584</v>
      </c>
      <c r="I1096">
        <v>2</v>
      </c>
      <c r="J1096" t="s">
        <v>26</v>
      </c>
      <c r="K1096">
        <v>1</v>
      </c>
      <c r="L1096">
        <v>0</v>
      </c>
      <c r="M1096" s="11">
        <v>16870.98</v>
      </c>
      <c r="N1096" s="12">
        <v>6888.88</v>
      </c>
      <c r="O1096" s="12">
        <v>18123.330000000002</v>
      </c>
    </row>
    <row r="1097" spans="1:15">
      <c r="A1097" t="s">
        <v>1271</v>
      </c>
      <c r="B1097" t="s">
        <v>356</v>
      </c>
      <c r="C1097" s="9">
        <v>32143</v>
      </c>
      <c r="D1097">
        <v>38</v>
      </c>
      <c r="E1097" t="s">
        <v>17</v>
      </c>
      <c r="F1097" t="s">
        <v>18</v>
      </c>
      <c r="G1097" s="9">
        <v>45538</v>
      </c>
      <c r="H1097" s="9">
        <v>45185</v>
      </c>
      <c r="I1097">
        <v>27</v>
      </c>
      <c r="J1097" t="s">
        <v>32</v>
      </c>
      <c r="K1097">
        <v>13</v>
      </c>
      <c r="L1097">
        <v>8</v>
      </c>
      <c r="M1097" s="11">
        <v>24189.03</v>
      </c>
      <c r="N1097" s="12">
        <v>6289.55</v>
      </c>
      <c r="O1097" s="12">
        <v>9613.2099999999991</v>
      </c>
    </row>
    <row r="1098" spans="1:15">
      <c r="A1098" t="s">
        <v>1272</v>
      </c>
      <c r="B1098" t="s">
        <v>546</v>
      </c>
      <c r="C1098" s="9">
        <v>27760</v>
      </c>
      <c r="D1098">
        <v>50</v>
      </c>
      <c r="E1098" t="s">
        <v>17</v>
      </c>
      <c r="F1098" t="s">
        <v>22</v>
      </c>
      <c r="G1098" s="9">
        <v>45337</v>
      </c>
      <c r="H1098" s="9">
        <v>45401</v>
      </c>
      <c r="I1098">
        <v>8</v>
      </c>
      <c r="J1098" t="s">
        <v>32</v>
      </c>
      <c r="K1098">
        <v>2</v>
      </c>
      <c r="L1098">
        <v>8</v>
      </c>
      <c r="M1098" s="11">
        <v>6683.47</v>
      </c>
      <c r="N1098" s="12">
        <v>8472.99</v>
      </c>
      <c r="O1098" s="12">
        <v>10925.75</v>
      </c>
    </row>
    <row r="1099" spans="1:15">
      <c r="A1099" t="s">
        <v>1273</v>
      </c>
      <c r="B1099" t="s">
        <v>387</v>
      </c>
      <c r="C1099" s="9">
        <v>20820</v>
      </c>
      <c r="D1099">
        <v>69</v>
      </c>
      <c r="E1099" t="s">
        <v>17</v>
      </c>
      <c r="F1099" t="s">
        <v>18</v>
      </c>
      <c r="G1099" s="9">
        <v>44978</v>
      </c>
      <c r="H1099" s="9">
        <v>45227</v>
      </c>
      <c r="I1099">
        <v>25</v>
      </c>
      <c r="J1099" t="s">
        <v>32</v>
      </c>
      <c r="K1099">
        <v>14</v>
      </c>
      <c r="L1099">
        <v>3</v>
      </c>
      <c r="M1099" s="11">
        <v>23642.71</v>
      </c>
      <c r="N1099" s="12">
        <v>10262.74</v>
      </c>
      <c r="O1099" s="12">
        <v>16756.32</v>
      </c>
    </row>
    <row r="1100" spans="1:15">
      <c r="A1100" t="s">
        <v>1274</v>
      </c>
      <c r="B1100" t="s">
        <v>671</v>
      </c>
      <c r="C1100" s="9">
        <v>44196</v>
      </c>
      <c r="D1100">
        <v>5</v>
      </c>
      <c r="E1100" t="s">
        <v>17</v>
      </c>
      <c r="F1100" t="s">
        <v>18</v>
      </c>
      <c r="G1100" s="9">
        <v>45487</v>
      </c>
      <c r="H1100" s="9">
        <v>45392</v>
      </c>
      <c r="I1100">
        <v>35</v>
      </c>
      <c r="J1100" t="s">
        <v>32</v>
      </c>
      <c r="K1100">
        <v>8</v>
      </c>
      <c r="L1100">
        <v>9</v>
      </c>
      <c r="M1100" s="11">
        <v>8404.34</v>
      </c>
      <c r="N1100" s="12">
        <v>12763.91</v>
      </c>
      <c r="O1100" s="12">
        <v>12941.65</v>
      </c>
    </row>
    <row r="1101" spans="1:15">
      <c r="A1101" t="s">
        <v>1275</v>
      </c>
      <c r="B1101" t="s">
        <v>157</v>
      </c>
      <c r="C1101" s="9">
        <v>21916</v>
      </c>
      <c r="D1101">
        <v>66</v>
      </c>
      <c r="E1101" t="s">
        <v>5185</v>
      </c>
      <c r="F1101" t="s">
        <v>49</v>
      </c>
      <c r="G1101" s="9">
        <v>45372</v>
      </c>
      <c r="H1101" s="9">
        <v>45541</v>
      </c>
      <c r="I1101">
        <v>14</v>
      </c>
      <c r="J1101" t="s">
        <v>26</v>
      </c>
      <c r="K1101">
        <v>1</v>
      </c>
      <c r="L1101">
        <v>9</v>
      </c>
      <c r="M1101" s="11">
        <v>2934.02</v>
      </c>
      <c r="N1101" s="12">
        <v>3526.67</v>
      </c>
      <c r="O1101" s="12">
        <v>14626.42</v>
      </c>
    </row>
    <row r="1102" spans="1:15">
      <c r="A1102" t="s">
        <v>1276</v>
      </c>
      <c r="B1102" t="s">
        <v>192</v>
      </c>
      <c r="C1102" s="9">
        <v>43831</v>
      </c>
      <c r="D1102">
        <v>6</v>
      </c>
      <c r="E1102" t="s">
        <v>21</v>
      </c>
      <c r="F1102" t="s">
        <v>74</v>
      </c>
      <c r="G1102" s="9">
        <v>45538</v>
      </c>
      <c r="H1102" s="9">
        <v>45616</v>
      </c>
      <c r="I1102">
        <v>20</v>
      </c>
      <c r="J1102" t="s">
        <v>32</v>
      </c>
      <c r="K1102">
        <v>4</v>
      </c>
      <c r="L1102">
        <v>3</v>
      </c>
      <c r="M1102" s="11">
        <v>3614.95</v>
      </c>
      <c r="N1102" s="12">
        <v>4396.42</v>
      </c>
      <c r="O1102" s="12">
        <v>15801.95</v>
      </c>
    </row>
    <row r="1103" spans="1:15">
      <c r="A1103" t="s">
        <v>1277</v>
      </c>
      <c r="B1103" t="s">
        <v>159</v>
      </c>
      <c r="C1103" s="9">
        <v>27760</v>
      </c>
      <c r="D1103">
        <v>50</v>
      </c>
      <c r="E1103" t="s">
        <v>17</v>
      </c>
      <c r="F1103" t="s">
        <v>29</v>
      </c>
      <c r="G1103" s="9">
        <v>45370</v>
      </c>
      <c r="H1103" s="9">
        <v>45825</v>
      </c>
      <c r="I1103">
        <v>15</v>
      </c>
      <c r="J1103" t="s">
        <v>32</v>
      </c>
      <c r="K1103">
        <v>13</v>
      </c>
      <c r="L1103">
        <v>6</v>
      </c>
      <c r="M1103" s="11">
        <v>6242.28</v>
      </c>
      <c r="N1103" s="12">
        <v>8228.7199999999993</v>
      </c>
      <c r="O1103" s="12">
        <v>9608.8799999999992</v>
      </c>
    </row>
    <row r="1104" spans="1:15">
      <c r="A1104" t="s">
        <v>1278</v>
      </c>
      <c r="B1104" t="s">
        <v>112</v>
      </c>
      <c r="C1104" s="9">
        <v>20090</v>
      </c>
      <c r="D1104">
        <f ca="1">DATEDIF(C1055,TODAY(),"Y")</f>
        <v>34</v>
      </c>
      <c r="E1104" t="s">
        <v>21</v>
      </c>
      <c r="F1104" t="s">
        <v>18</v>
      </c>
      <c r="G1104" s="9">
        <v>45308</v>
      </c>
      <c r="H1104" s="9">
        <v>45255</v>
      </c>
      <c r="I1104">
        <v>34</v>
      </c>
      <c r="J1104" t="s">
        <v>26</v>
      </c>
      <c r="K1104">
        <v>4</v>
      </c>
      <c r="L1104">
        <v>3</v>
      </c>
      <c r="M1104" s="11">
        <v>20314.080000000002</v>
      </c>
      <c r="N1104" s="12">
        <v>5198.3599999999997</v>
      </c>
      <c r="O1104" s="12">
        <v>19493.34</v>
      </c>
    </row>
    <row r="1105" spans="1:15">
      <c r="A1105" t="s">
        <v>1279</v>
      </c>
      <c r="B1105" t="s">
        <v>412</v>
      </c>
      <c r="C1105" s="9">
        <v>31047</v>
      </c>
      <c r="D1105">
        <v>41</v>
      </c>
      <c r="E1105" t="s">
        <v>17</v>
      </c>
      <c r="F1105" t="s">
        <v>29</v>
      </c>
      <c r="G1105" s="9">
        <v>45300</v>
      </c>
      <c r="H1105" s="9">
        <v>45037</v>
      </c>
      <c r="I1105">
        <v>24</v>
      </c>
      <c r="J1105" t="s">
        <v>32</v>
      </c>
      <c r="K1105">
        <v>7</v>
      </c>
      <c r="L1105">
        <v>0</v>
      </c>
      <c r="M1105" s="11">
        <v>6940.83</v>
      </c>
      <c r="N1105" s="12">
        <v>8525.17</v>
      </c>
      <c r="O1105" s="12">
        <v>12530.14</v>
      </c>
    </row>
    <row r="1106" spans="1:15">
      <c r="A1106" t="s">
        <v>1280</v>
      </c>
      <c r="B1106" t="s">
        <v>155</v>
      </c>
      <c r="C1106" s="9">
        <v>23012</v>
      </c>
      <c r="D1106">
        <v>63</v>
      </c>
      <c r="E1106" t="s">
        <v>17</v>
      </c>
      <c r="F1106" t="s">
        <v>29</v>
      </c>
      <c r="G1106" s="9">
        <v>45492</v>
      </c>
      <c r="H1106" s="9">
        <v>45637</v>
      </c>
      <c r="I1106">
        <v>22</v>
      </c>
      <c r="J1106" t="s">
        <v>32</v>
      </c>
      <c r="K1106">
        <v>0</v>
      </c>
      <c r="L1106">
        <v>8</v>
      </c>
      <c r="M1106" s="11">
        <v>17918.060000000001</v>
      </c>
      <c r="N1106" s="12">
        <v>3002.26</v>
      </c>
      <c r="O1106" s="12">
        <v>12633.05</v>
      </c>
    </row>
    <row r="1107" spans="1:15">
      <c r="A1107" t="s">
        <v>1281</v>
      </c>
      <c r="B1107" t="s">
        <v>356</v>
      </c>
      <c r="C1107" s="9">
        <v>40909</v>
      </c>
      <c r="D1107">
        <v>14</v>
      </c>
      <c r="E1107" t="s">
        <v>21</v>
      </c>
      <c r="F1107" t="s">
        <v>25</v>
      </c>
      <c r="G1107" s="9">
        <v>45301</v>
      </c>
      <c r="H1107" s="9">
        <v>45056</v>
      </c>
      <c r="I1107">
        <v>2</v>
      </c>
      <c r="J1107" t="s">
        <v>35</v>
      </c>
      <c r="K1107">
        <v>3</v>
      </c>
      <c r="L1107">
        <v>1</v>
      </c>
      <c r="M1107" s="11">
        <v>7323.94</v>
      </c>
      <c r="N1107" s="12">
        <v>4614.72</v>
      </c>
      <c r="O1107" s="12">
        <v>2735.01</v>
      </c>
    </row>
    <row r="1108" spans="1:15">
      <c r="A1108" t="s">
        <v>1282</v>
      </c>
      <c r="B1108" t="s">
        <v>44</v>
      </c>
      <c r="C1108" s="9">
        <v>35795</v>
      </c>
      <c r="D1108">
        <v>28</v>
      </c>
      <c r="E1108" t="s">
        <v>21</v>
      </c>
      <c r="F1108" t="s">
        <v>29</v>
      </c>
      <c r="G1108" s="9">
        <v>45315</v>
      </c>
      <c r="H1108" s="9">
        <v>45798</v>
      </c>
      <c r="I1108">
        <v>16</v>
      </c>
      <c r="J1108" t="s">
        <v>26</v>
      </c>
      <c r="K1108">
        <v>3</v>
      </c>
      <c r="L1108">
        <v>4</v>
      </c>
      <c r="M1108" s="11">
        <v>10639.32</v>
      </c>
      <c r="N1108" s="12">
        <v>4872.63</v>
      </c>
      <c r="O1108" s="12">
        <v>19753.52</v>
      </c>
    </row>
    <row r="1109" spans="1:15">
      <c r="A1109" t="s">
        <v>1283</v>
      </c>
      <c r="B1109" t="s">
        <v>157</v>
      </c>
      <c r="C1109" s="9">
        <v>34334</v>
      </c>
      <c r="D1109">
        <v>32</v>
      </c>
      <c r="E1109" t="s">
        <v>17</v>
      </c>
      <c r="F1109" t="s">
        <v>22</v>
      </c>
      <c r="G1109" s="9">
        <v>45575</v>
      </c>
      <c r="H1109" s="9">
        <v>45064</v>
      </c>
      <c r="I1109">
        <v>24</v>
      </c>
      <c r="J1109" t="s">
        <v>32</v>
      </c>
      <c r="K1109">
        <v>5</v>
      </c>
      <c r="L1109">
        <v>3</v>
      </c>
      <c r="M1109" s="11">
        <v>26636.5</v>
      </c>
      <c r="N1109" s="12">
        <v>14884.81</v>
      </c>
      <c r="O1109" s="12">
        <v>1322.59</v>
      </c>
    </row>
    <row r="1110" spans="1:15">
      <c r="A1110" t="s">
        <v>1284</v>
      </c>
      <c r="B1110" t="s">
        <v>524</v>
      </c>
      <c r="C1110" s="9">
        <v>12054</v>
      </c>
      <c r="D1110">
        <v>93</v>
      </c>
      <c r="E1110" t="s">
        <v>21</v>
      </c>
      <c r="F1110" t="s">
        <v>22</v>
      </c>
      <c r="G1110" s="9">
        <v>45600</v>
      </c>
      <c r="H1110" s="9">
        <v>45466</v>
      </c>
      <c r="I1110">
        <v>10</v>
      </c>
      <c r="J1110" t="s">
        <v>35</v>
      </c>
      <c r="K1110">
        <v>3</v>
      </c>
      <c r="L1110">
        <v>7</v>
      </c>
      <c r="M1110" s="11">
        <v>14761.04</v>
      </c>
      <c r="N1110" s="12">
        <v>12815.22</v>
      </c>
      <c r="O1110" s="12">
        <v>19711.29</v>
      </c>
    </row>
    <row r="1111" spans="1:15">
      <c r="A1111" t="s">
        <v>1285</v>
      </c>
      <c r="B1111" t="s">
        <v>204</v>
      </c>
      <c r="C1111" s="9">
        <v>36526</v>
      </c>
      <c r="D1111">
        <v>26</v>
      </c>
      <c r="E1111" t="s">
        <v>21</v>
      </c>
      <c r="F1111" t="s">
        <v>25</v>
      </c>
      <c r="G1111" s="9">
        <v>45405</v>
      </c>
      <c r="H1111" s="9">
        <v>45576</v>
      </c>
      <c r="I1111">
        <v>4</v>
      </c>
      <c r="J1111" t="s">
        <v>26</v>
      </c>
      <c r="K1111">
        <v>10</v>
      </c>
      <c r="L1111">
        <v>5</v>
      </c>
      <c r="M1111" s="11">
        <v>17807.68</v>
      </c>
      <c r="N1111" s="12">
        <v>12565.51</v>
      </c>
      <c r="O1111" s="12">
        <v>18202.37</v>
      </c>
    </row>
    <row r="1112" spans="1:15">
      <c r="A1112" t="s">
        <v>1286</v>
      </c>
      <c r="B1112" t="s">
        <v>252</v>
      </c>
      <c r="C1112" s="9">
        <v>33239</v>
      </c>
      <c r="D1112">
        <v>35</v>
      </c>
      <c r="E1112" t="s">
        <v>17</v>
      </c>
      <c r="F1112" t="s">
        <v>74</v>
      </c>
      <c r="G1112" s="9">
        <v>45330</v>
      </c>
      <c r="H1112" s="9">
        <v>45091</v>
      </c>
      <c r="I1112">
        <v>23</v>
      </c>
      <c r="J1112" t="s">
        <v>26</v>
      </c>
      <c r="K1112">
        <v>12</v>
      </c>
      <c r="L1112">
        <v>6</v>
      </c>
      <c r="M1112" s="11">
        <v>5272.94</v>
      </c>
      <c r="N1112" s="12">
        <v>7703.55</v>
      </c>
      <c r="O1112" s="12">
        <v>17114.05</v>
      </c>
    </row>
    <row r="1113" spans="1:15">
      <c r="A1113" t="s">
        <v>1287</v>
      </c>
      <c r="B1113" t="s">
        <v>16</v>
      </c>
      <c r="C1113" s="9">
        <v>35795</v>
      </c>
      <c r="D1113">
        <v>28</v>
      </c>
      <c r="E1113" t="s">
        <v>21</v>
      </c>
      <c r="F1113" t="s">
        <v>5184</v>
      </c>
      <c r="G1113" s="9">
        <v>45519</v>
      </c>
      <c r="H1113" s="9">
        <v>45276</v>
      </c>
      <c r="I1113">
        <v>11</v>
      </c>
      <c r="J1113" t="s">
        <v>32</v>
      </c>
      <c r="K1113">
        <v>8</v>
      </c>
      <c r="L1113">
        <v>1</v>
      </c>
      <c r="M1113" s="11">
        <v>3510.94</v>
      </c>
      <c r="N1113" s="12">
        <v>7002.72</v>
      </c>
      <c r="O1113" s="12">
        <v>13439.33</v>
      </c>
    </row>
    <row r="1114" spans="1:15">
      <c r="A1114" t="s">
        <v>1288</v>
      </c>
      <c r="B1114" t="s">
        <v>84</v>
      </c>
      <c r="C1114" s="9">
        <v>32508</v>
      </c>
      <c r="D1114">
        <v>37</v>
      </c>
      <c r="E1114" t="s">
        <v>17</v>
      </c>
      <c r="F1114" t="s">
        <v>74</v>
      </c>
      <c r="G1114" s="9">
        <v>45394</v>
      </c>
      <c r="H1114" s="9">
        <v>45390</v>
      </c>
      <c r="I1114">
        <v>24</v>
      </c>
      <c r="J1114" t="s">
        <v>35</v>
      </c>
      <c r="K1114">
        <v>2</v>
      </c>
      <c r="L1114">
        <v>3</v>
      </c>
      <c r="M1114" s="11">
        <v>12102</v>
      </c>
      <c r="N1114" s="12">
        <v>1051.8800000000001</v>
      </c>
      <c r="O1114" s="12">
        <v>12138.05</v>
      </c>
    </row>
    <row r="1115" spans="1:15">
      <c r="A1115" t="s">
        <v>1289</v>
      </c>
      <c r="B1115" t="s">
        <v>112</v>
      </c>
      <c r="C1115" s="9">
        <v>25568</v>
      </c>
      <c r="D1115">
        <v>56</v>
      </c>
      <c r="E1115" t="s">
        <v>17</v>
      </c>
      <c r="F1115" t="s">
        <v>22</v>
      </c>
      <c r="G1115" s="9">
        <v>45523</v>
      </c>
      <c r="H1115" s="9">
        <v>45795</v>
      </c>
      <c r="I1115">
        <v>5</v>
      </c>
      <c r="J1115" t="s">
        <v>35</v>
      </c>
      <c r="K1115">
        <v>10</v>
      </c>
      <c r="L1115">
        <v>3</v>
      </c>
      <c r="M1115" s="11">
        <v>25589.26</v>
      </c>
      <c r="N1115" s="12">
        <v>2959.9</v>
      </c>
      <c r="O1115" s="12">
        <v>19932.060000000001</v>
      </c>
    </row>
    <row r="1116" spans="1:15">
      <c r="A1116" t="s">
        <v>1290</v>
      </c>
      <c r="B1116" t="s">
        <v>654</v>
      </c>
      <c r="C1116" s="9">
        <v>36526</v>
      </c>
      <c r="D1116">
        <v>26</v>
      </c>
      <c r="E1116" t="s">
        <v>21</v>
      </c>
      <c r="F1116" t="s">
        <v>5184</v>
      </c>
      <c r="G1116" s="9">
        <v>45431</v>
      </c>
      <c r="H1116" s="9">
        <v>45570</v>
      </c>
      <c r="I1116">
        <v>28</v>
      </c>
      <c r="J1116" t="s">
        <v>35</v>
      </c>
      <c r="K1116">
        <v>13</v>
      </c>
      <c r="L1116">
        <v>1</v>
      </c>
      <c r="M1116" s="11">
        <v>6848.17</v>
      </c>
      <c r="N1116" s="12">
        <v>13430.2</v>
      </c>
      <c r="O1116" s="12">
        <v>19477.349999999999</v>
      </c>
    </row>
    <row r="1117" spans="1:15">
      <c r="A1117" t="s">
        <v>1291</v>
      </c>
      <c r="B1117" t="s">
        <v>71</v>
      </c>
      <c r="C1117" s="9">
        <v>26299</v>
      </c>
      <c r="D1117">
        <v>54</v>
      </c>
      <c r="E1117" t="s">
        <v>21</v>
      </c>
      <c r="F1117" t="s">
        <v>25</v>
      </c>
      <c r="G1117" s="9">
        <v>45009</v>
      </c>
      <c r="H1117" s="9">
        <v>45431</v>
      </c>
      <c r="I1117">
        <v>32</v>
      </c>
      <c r="J1117" t="s">
        <v>26</v>
      </c>
      <c r="K1117">
        <v>8</v>
      </c>
      <c r="L1117">
        <v>9</v>
      </c>
      <c r="M1117" s="11">
        <v>18461.62</v>
      </c>
      <c r="N1117" s="12">
        <v>7884.62</v>
      </c>
      <c r="O1117" s="12">
        <v>16217.84</v>
      </c>
    </row>
    <row r="1118" spans="1:15">
      <c r="A1118" t="s">
        <v>1292</v>
      </c>
      <c r="B1118" t="s">
        <v>46</v>
      </c>
      <c r="C1118" s="9">
        <v>34334</v>
      </c>
      <c r="D1118">
        <v>32</v>
      </c>
      <c r="E1118" t="s">
        <v>17</v>
      </c>
      <c r="F1118" t="s">
        <v>74</v>
      </c>
      <c r="G1118" s="9">
        <v>45245</v>
      </c>
      <c r="H1118" s="9">
        <v>45812</v>
      </c>
      <c r="I1118">
        <v>24</v>
      </c>
      <c r="J1118" t="s">
        <v>32</v>
      </c>
      <c r="K1118">
        <v>10</v>
      </c>
      <c r="L1118">
        <v>3</v>
      </c>
      <c r="M1118" s="11">
        <v>26098.93</v>
      </c>
      <c r="N1118" s="12">
        <v>14811.57</v>
      </c>
      <c r="O1118" s="12">
        <v>1645.92</v>
      </c>
    </row>
    <row r="1119" spans="1:15">
      <c r="A1119" t="s">
        <v>1293</v>
      </c>
      <c r="B1119" t="s">
        <v>170</v>
      </c>
      <c r="C1119" s="9">
        <v>21551</v>
      </c>
      <c r="D1119">
        <v>67</v>
      </c>
      <c r="E1119" t="s">
        <v>17</v>
      </c>
      <c r="F1119" t="s">
        <v>5184</v>
      </c>
      <c r="G1119" s="9">
        <v>44993</v>
      </c>
      <c r="H1119" s="9">
        <v>45078</v>
      </c>
      <c r="I1119">
        <v>1</v>
      </c>
      <c r="J1119" t="s">
        <v>26</v>
      </c>
      <c r="K1119">
        <v>13</v>
      </c>
      <c r="L1119">
        <v>8</v>
      </c>
      <c r="M1119" s="11">
        <v>27999.52</v>
      </c>
      <c r="N1119" s="12">
        <v>8876.82</v>
      </c>
      <c r="O1119" s="12">
        <v>7380.55</v>
      </c>
    </row>
    <row r="1120" spans="1:15">
      <c r="A1120" t="s">
        <v>1294</v>
      </c>
      <c r="B1120" t="s">
        <v>48</v>
      </c>
      <c r="C1120" s="9">
        <v>14976</v>
      </c>
      <c r="D1120">
        <v>85</v>
      </c>
      <c r="E1120" t="s">
        <v>17</v>
      </c>
      <c r="F1120" t="s">
        <v>5184</v>
      </c>
      <c r="G1120" s="9">
        <v>45340</v>
      </c>
      <c r="H1120" s="9">
        <v>45817</v>
      </c>
      <c r="I1120">
        <v>39</v>
      </c>
      <c r="J1120" t="s">
        <v>32</v>
      </c>
      <c r="K1120">
        <v>12</v>
      </c>
      <c r="L1120">
        <v>7</v>
      </c>
      <c r="M1120" s="11">
        <v>29810.6</v>
      </c>
      <c r="N1120" s="12">
        <v>5662.31</v>
      </c>
      <c r="O1120" s="12">
        <v>17305.150000000001</v>
      </c>
    </row>
    <row r="1121" spans="1:15">
      <c r="A1121" t="s">
        <v>1295</v>
      </c>
      <c r="B1121" t="s">
        <v>242</v>
      </c>
      <c r="C1121" s="9">
        <v>22281</v>
      </c>
      <c r="D1121">
        <v>65</v>
      </c>
      <c r="E1121" t="s">
        <v>17</v>
      </c>
      <c r="F1121" t="s">
        <v>18</v>
      </c>
      <c r="G1121" s="9">
        <v>45379</v>
      </c>
      <c r="H1121" s="9">
        <v>45173</v>
      </c>
      <c r="I1121">
        <v>1</v>
      </c>
      <c r="J1121" t="s">
        <v>32</v>
      </c>
      <c r="K1121">
        <v>0</v>
      </c>
      <c r="L1121">
        <v>0</v>
      </c>
      <c r="M1121" s="11">
        <v>22770.19</v>
      </c>
      <c r="N1121" s="12">
        <v>4111.6499999999996</v>
      </c>
      <c r="O1121" s="12">
        <v>14020.66</v>
      </c>
    </row>
    <row r="1122" spans="1:15">
      <c r="A1122" t="s">
        <v>1296</v>
      </c>
      <c r="B1122" t="s">
        <v>289</v>
      </c>
      <c r="C1122" s="9">
        <v>42735</v>
      </c>
      <c r="D1122">
        <v>9</v>
      </c>
      <c r="E1122" t="s">
        <v>17</v>
      </c>
      <c r="F1122" t="s">
        <v>74</v>
      </c>
      <c r="G1122" s="9">
        <v>45124</v>
      </c>
      <c r="H1122" s="9">
        <v>45037</v>
      </c>
      <c r="I1122">
        <v>15</v>
      </c>
      <c r="J1122" t="s">
        <v>32</v>
      </c>
      <c r="K1122">
        <v>6</v>
      </c>
      <c r="L1122">
        <v>7</v>
      </c>
      <c r="M1122" s="11">
        <v>1787.81</v>
      </c>
      <c r="N1122" s="12">
        <v>13775.39</v>
      </c>
      <c r="O1122" s="12">
        <v>2352.2800000000002</v>
      </c>
    </row>
    <row r="1123" spans="1:15">
      <c r="A1123" t="s">
        <v>1297</v>
      </c>
      <c r="B1123" t="s">
        <v>115</v>
      </c>
      <c r="C1123" s="9">
        <v>44561</v>
      </c>
      <c r="D1123">
        <v>4</v>
      </c>
      <c r="E1123" t="s">
        <v>21</v>
      </c>
      <c r="F1123" t="s">
        <v>25</v>
      </c>
      <c r="G1123" s="9">
        <v>45185</v>
      </c>
      <c r="H1123" s="9">
        <v>45512</v>
      </c>
      <c r="I1123">
        <v>20</v>
      </c>
      <c r="J1123" t="s">
        <v>32</v>
      </c>
      <c r="K1123">
        <v>3</v>
      </c>
      <c r="L1123">
        <v>8</v>
      </c>
      <c r="M1123" s="11">
        <v>26079.59</v>
      </c>
      <c r="N1123" s="12">
        <v>5560.98</v>
      </c>
      <c r="O1123" s="12">
        <v>6899.8</v>
      </c>
    </row>
    <row r="1124" spans="1:15">
      <c r="A1124" t="s">
        <v>1298</v>
      </c>
      <c r="B1124" t="s">
        <v>189</v>
      </c>
      <c r="C1124" s="9">
        <v>19359</v>
      </c>
      <c r="D1124">
        <v>73</v>
      </c>
      <c r="E1124" t="s">
        <v>21</v>
      </c>
      <c r="F1124" t="s">
        <v>5184</v>
      </c>
      <c r="G1124" s="9">
        <v>45615</v>
      </c>
      <c r="H1124" s="9">
        <v>45725</v>
      </c>
      <c r="I1124">
        <v>29</v>
      </c>
      <c r="J1124" t="s">
        <v>26</v>
      </c>
      <c r="K1124">
        <v>11</v>
      </c>
      <c r="L1124">
        <v>7</v>
      </c>
      <c r="M1124" s="11">
        <v>26511.919999999998</v>
      </c>
      <c r="N1124" s="12">
        <v>2192.12</v>
      </c>
      <c r="O1124" s="12">
        <v>290.45</v>
      </c>
    </row>
    <row r="1125" spans="1:15">
      <c r="A1125" t="s">
        <v>1299</v>
      </c>
      <c r="B1125" t="s">
        <v>350</v>
      </c>
      <c r="C1125" s="9">
        <v>32508</v>
      </c>
      <c r="D1125">
        <v>37</v>
      </c>
      <c r="E1125" t="s">
        <v>21</v>
      </c>
      <c r="F1125" t="s">
        <v>22</v>
      </c>
      <c r="G1125" s="9">
        <v>45224</v>
      </c>
      <c r="H1125" s="9">
        <v>45202</v>
      </c>
      <c r="I1125">
        <v>9</v>
      </c>
      <c r="J1125" t="s">
        <v>35</v>
      </c>
      <c r="K1125">
        <v>2</v>
      </c>
      <c r="L1125">
        <v>9</v>
      </c>
      <c r="M1125" s="11">
        <v>16497.13</v>
      </c>
      <c r="N1125" s="12">
        <v>4173.88</v>
      </c>
      <c r="O1125" s="12">
        <v>17845.349999999999</v>
      </c>
    </row>
    <row r="1126" spans="1:15">
      <c r="A1126" t="s">
        <v>1300</v>
      </c>
      <c r="B1126" t="s">
        <v>242</v>
      </c>
      <c r="C1126" s="9">
        <v>41639</v>
      </c>
      <c r="D1126">
        <v>12</v>
      </c>
      <c r="E1126" t="s">
        <v>21</v>
      </c>
      <c r="F1126" t="s">
        <v>18</v>
      </c>
      <c r="G1126" s="9">
        <v>45206</v>
      </c>
      <c r="H1126" s="9">
        <v>45797</v>
      </c>
      <c r="I1126">
        <v>17</v>
      </c>
      <c r="J1126" t="s">
        <v>32</v>
      </c>
      <c r="K1126">
        <v>7</v>
      </c>
      <c r="L1126">
        <v>0</v>
      </c>
      <c r="M1126" s="11">
        <v>1556.67</v>
      </c>
      <c r="N1126" s="12">
        <v>9684.35</v>
      </c>
      <c r="O1126" s="12">
        <v>14914.81</v>
      </c>
    </row>
    <row r="1127" spans="1:15">
      <c r="A1127" t="s">
        <v>1301</v>
      </c>
      <c r="B1127" t="s">
        <v>1148</v>
      </c>
      <c r="C1127" s="9">
        <v>35065</v>
      </c>
      <c r="D1127">
        <v>30</v>
      </c>
      <c r="E1127" t="s">
        <v>17</v>
      </c>
      <c r="F1127" t="s">
        <v>29</v>
      </c>
      <c r="G1127" s="9">
        <v>45226</v>
      </c>
      <c r="H1127" s="9">
        <v>44994</v>
      </c>
      <c r="I1127">
        <v>9</v>
      </c>
      <c r="J1127" t="s">
        <v>32</v>
      </c>
      <c r="K1127">
        <v>0</v>
      </c>
      <c r="L1127">
        <v>7</v>
      </c>
      <c r="M1127" s="11">
        <v>14038.29</v>
      </c>
      <c r="N1127" s="12">
        <v>1995.16</v>
      </c>
      <c r="O1127" s="12">
        <v>8660.7999999999993</v>
      </c>
    </row>
    <row r="1128" spans="1:15">
      <c r="A1128" t="s">
        <v>1302</v>
      </c>
      <c r="B1128" t="s">
        <v>273</v>
      </c>
      <c r="C1128" s="9">
        <v>29221</v>
      </c>
      <c r="D1128">
        <f ca="1">DATEDIF(C1079,TODAY(),"Y")</f>
        <v>14</v>
      </c>
      <c r="E1128" t="s">
        <v>17</v>
      </c>
      <c r="F1128" t="s">
        <v>29</v>
      </c>
      <c r="G1128" s="9">
        <v>45055</v>
      </c>
      <c r="H1128" s="9">
        <v>44977</v>
      </c>
      <c r="I1128">
        <v>5</v>
      </c>
      <c r="J1128" t="s">
        <v>26</v>
      </c>
      <c r="K1128">
        <v>1</v>
      </c>
      <c r="L1128">
        <v>4</v>
      </c>
      <c r="M1128" s="11">
        <v>5926.35</v>
      </c>
      <c r="N1128" s="12">
        <v>1373.5</v>
      </c>
      <c r="O1128" s="12">
        <v>15183.8</v>
      </c>
    </row>
    <row r="1129" spans="1:15">
      <c r="A1129" t="s">
        <v>1303</v>
      </c>
      <c r="B1129" t="s">
        <v>24</v>
      </c>
      <c r="C1129" s="9">
        <v>14246</v>
      </c>
      <c r="D1129">
        <v>87</v>
      </c>
      <c r="E1129" t="s">
        <v>21</v>
      </c>
      <c r="F1129" t="s">
        <v>29</v>
      </c>
      <c r="G1129" s="9">
        <v>45424</v>
      </c>
      <c r="H1129" s="9">
        <v>45743</v>
      </c>
      <c r="I1129">
        <v>19</v>
      </c>
      <c r="J1129" t="s">
        <v>35</v>
      </c>
      <c r="K1129">
        <v>13</v>
      </c>
      <c r="L1129">
        <v>8</v>
      </c>
      <c r="M1129" s="11">
        <v>12984.27</v>
      </c>
      <c r="N1129" s="12">
        <v>6864.4</v>
      </c>
      <c r="O1129" s="12">
        <v>18661.79</v>
      </c>
    </row>
    <row r="1130" spans="1:15">
      <c r="A1130" t="s">
        <v>1304</v>
      </c>
      <c r="B1130" t="s">
        <v>1148</v>
      </c>
      <c r="C1130" s="9">
        <v>27395</v>
      </c>
      <c r="D1130">
        <v>51</v>
      </c>
      <c r="E1130" t="s">
        <v>17</v>
      </c>
      <c r="F1130" t="s">
        <v>22</v>
      </c>
      <c r="G1130" s="9">
        <v>45364</v>
      </c>
      <c r="H1130" s="9">
        <v>45442</v>
      </c>
      <c r="I1130">
        <v>24</v>
      </c>
      <c r="J1130" t="s">
        <v>32</v>
      </c>
      <c r="K1130">
        <v>6</v>
      </c>
      <c r="L1130">
        <v>8</v>
      </c>
      <c r="M1130" s="11">
        <v>21585.86</v>
      </c>
      <c r="N1130" s="12">
        <v>1254.78</v>
      </c>
      <c r="O1130" s="12">
        <v>5525.82</v>
      </c>
    </row>
    <row r="1131" spans="1:15">
      <c r="A1131" t="s">
        <v>1305</v>
      </c>
      <c r="B1131" t="s">
        <v>100</v>
      </c>
      <c r="C1131" s="9">
        <v>25934</v>
      </c>
      <c r="D1131">
        <v>55</v>
      </c>
      <c r="E1131" t="s">
        <v>21</v>
      </c>
      <c r="F1131" t="s">
        <v>5184</v>
      </c>
      <c r="G1131" s="9">
        <v>45618</v>
      </c>
      <c r="H1131" s="9">
        <v>45153</v>
      </c>
      <c r="I1131">
        <v>38</v>
      </c>
      <c r="J1131" t="s">
        <v>32</v>
      </c>
      <c r="K1131">
        <v>9</v>
      </c>
      <c r="L1131">
        <v>5</v>
      </c>
      <c r="M1131" s="11">
        <v>19860.29</v>
      </c>
      <c r="N1131" s="12">
        <v>5894.07</v>
      </c>
      <c r="O1131" s="12">
        <v>5644.92</v>
      </c>
    </row>
    <row r="1132" spans="1:15">
      <c r="A1132" t="s">
        <v>1306</v>
      </c>
      <c r="B1132" t="s">
        <v>172</v>
      </c>
      <c r="C1132" s="9">
        <v>40909</v>
      </c>
      <c r="D1132">
        <v>14</v>
      </c>
      <c r="E1132" t="s">
        <v>21</v>
      </c>
      <c r="F1132" t="s">
        <v>25</v>
      </c>
      <c r="G1132" s="9">
        <v>45218</v>
      </c>
      <c r="H1132" s="9">
        <v>45505</v>
      </c>
      <c r="I1132">
        <v>38</v>
      </c>
      <c r="J1132" t="s">
        <v>32</v>
      </c>
      <c r="K1132">
        <v>2</v>
      </c>
      <c r="L1132">
        <v>2</v>
      </c>
      <c r="M1132" s="11">
        <v>0</v>
      </c>
      <c r="N1132" s="12">
        <v>4840.88</v>
      </c>
      <c r="O1132" s="12">
        <v>9601.2900000000009</v>
      </c>
    </row>
    <row r="1133" spans="1:15">
      <c r="A1133" t="s">
        <v>1307</v>
      </c>
      <c r="B1133" t="s">
        <v>502</v>
      </c>
      <c r="C1133" s="9">
        <v>35795</v>
      </c>
      <c r="D1133">
        <v>28</v>
      </c>
      <c r="E1133" t="s">
        <v>17</v>
      </c>
      <c r="F1133" t="s">
        <v>29</v>
      </c>
      <c r="G1133" s="9">
        <v>45133</v>
      </c>
      <c r="H1133" s="9">
        <v>45433</v>
      </c>
      <c r="I1133">
        <v>14</v>
      </c>
      <c r="J1133" t="s">
        <v>32</v>
      </c>
      <c r="K1133">
        <v>7</v>
      </c>
      <c r="L1133">
        <v>6</v>
      </c>
      <c r="M1133" s="11">
        <v>14033.94</v>
      </c>
      <c r="N1133" s="12">
        <v>5872.16</v>
      </c>
      <c r="O1133" s="12">
        <v>14108.68</v>
      </c>
    </row>
    <row r="1134" spans="1:15">
      <c r="A1134" t="s">
        <v>1308</v>
      </c>
      <c r="B1134" t="s">
        <v>184</v>
      </c>
      <c r="C1134" s="9">
        <v>43466</v>
      </c>
      <c r="D1134">
        <v>7</v>
      </c>
      <c r="E1134" t="s">
        <v>21</v>
      </c>
      <c r="F1134" t="s">
        <v>74</v>
      </c>
      <c r="G1134" s="9">
        <v>45220</v>
      </c>
      <c r="H1134" s="9">
        <v>45082</v>
      </c>
      <c r="I1134">
        <v>29</v>
      </c>
      <c r="J1134" t="s">
        <v>35</v>
      </c>
      <c r="K1134">
        <v>8</v>
      </c>
      <c r="L1134">
        <v>2</v>
      </c>
      <c r="M1134" s="11">
        <v>15079.16</v>
      </c>
      <c r="N1134" s="12">
        <v>7316.82</v>
      </c>
      <c r="O1134" s="12">
        <v>19860.05</v>
      </c>
    </row>
    <row r="1135" spans="1:15">
      <c r="A1135" t="s">
        <v>1309</v>
      </c>
      <c r="B1135" t="s">
        <v>143</v>
      </c>
      <c r="C1135" s="9">
        <v>44561</v>
      </c>
      <c r="D1135">
        <v>4</v>
      </c>
      <c r="E1135" t="s">
        <v>21</v>
      </c>
      <c r="F1135" t="s">
        <v>29</v>
      </c>
      <c r="G1135" s="9">
        <v>45613</v>
      </c>
      <c r="H1135" s="9">
        <v>45801</v>
      </c>
      <c r="I1135">
        <v>30</v>
      </c>
      <c r="J1135" t="s">
        <v>32</v>
      </c>
      <c r="K1135">
        <v>11</v>
      </c>
      <c r="L1135">
        <v>6</v>
      </c>
      <c r="M1135" s="11">
        <v>28038.52</v>
      </c>
      <c r="N1135" s="12">
        <v>2779.93</v>
      </c>
      <c r="O1135" s="12">
        <v>3174.92</v>
      </c>
    </row>
    <row r="1136" spans="1:15">
      <c r="A1136" t="s">
        <v>1310</v>
      </c>
      <c r="B1136" t="s">
        <v>479</v>
      </c>
      <c r="C1136" s="9">
        <v>35795</v>
      </c>
      <c r="D1136">
        <v>28</v>
      </c>
      <c r="E1136" t="s">
        <v>21</v>
      </c>
      <c r="F1136" t="s">
        <v>5184</v>
      </c>
      <c r="G1136" s="9">
        <v>44955</v>
      </c>
      <c r="H1136" s="9">
        <v>45407</v>
      </c>
      <c r="I1136">
        <v>28</v>
      </c>
      <c r="J1136" t="s">
        <v>35</v>
      </c>
      <c r="K1136">
        <v>10</v>
      </c>
      <c r="L1136">
        <v>7</v>
      </c>
      <c r="M1136" s="11">
        <v>18751.099999999999</v>
      </c>
      <c r="N1136" s="12">
        <v>6636.37</v>
      </c>
      <c r="O1136" s="12">
        <v>6776.92</v>
      </c>
    </row>
    <row r="1137" spans="1:15">
      <c r="A1137" t="s">
        <v>1311</v>
      </c>
      <c r="B1137" t="s">
        <v>348</v>
      </c>
      <c r="C1137" s="9">
        <v>29221</v>
      </c>
      <c r="D1137">
        <v>46</v>
      </c>
      <c r="E1137" t="s">
        <v>21</v>
      </c>
      <c r="F1137" t="s">
        <v>49</v>
      </c>
      <c r="G1137" s="9">
        <v>45105</v>
      </c>
      <c r="H1137" s="9">
        <v>45038</v>
      </c>
      <c r="I1137">
        <v>3</v>
      </c>
      <c r="J1137" t="s">
        <v>32</v>
      </c>
      <c r="K1137">
        <v>8</v>
      </c>
      <c r="L1137">
        <v>4</v>
      </c>
      <c r="M1137" s="11">
        <v>22299.99</v>
      </c>
      <c r="N1137" s="12">
        <v>5422.79</v>
      </c>
      <c r="O1137" s="12">
        <v>7205.14</v>
      </c>
    </row>
    <row r="1138" spans="1:15">
      <c r="A1138" t="s">
        <v>1312</v>
      </c>
      <c r="B1138" t="s">
        <v>546</v>
      </c>
      <c r="C1138" s="9">
        <v>21551</v>
      </c>
      <c r="D1138">
        <v>67</v>
      </c>
      <c r="E1138" t="s">
        <v>17</v>
      </c>
      <c r="F1138" t="s">
        <v>22</v>
      </c>
      <c r="G1138" s="9">
        <v>44967</v>
      </c>
      <c r="H1138" s="9">
        <v>45410</v>
      </c>
      <c r="I1138">
        <v>36</v>
      </c>
      <c r="J1138" t="s">
        <v>32</v>
      </c>
      <c r="K1138">
        <v>8</v>
      </c>
      <c r="L1138">
        <v>4</v>
      </c>
      <c r="M1138" s="11">
        <v>19767.78</v>
      </c>
      <c r="N1138" s="12">
        <v>11932.1</v>
      </c>
      <c r="O1138" s="12">
        <v>14489.06</v>
      </c>
    </row>
    <row r="1139" spans="1:15">
      <c r="A1139" t="s">
        <v>1313</v>
      </c>
      <c r="B1139" t="s">
        <v>207</v>
      </c>
      <c r="C1139" s="9">
        <v>18629</v>
      </c>
      <c r="D1139">
        <v>75</v>
      </c>
      <c r="E1139" t="s">
        <v>17</v>
      </c>
      <c r="F1139" t="s">
        <v>49</v>
      </c>
      <c r="G1139" s="9">
        <v>45396</v>
      </c>
      <c r="H1139" s="9">
        <v>45735</v>
      </c>
      <c r="I1139">
        <v>6</v>
      </c>
      <c r="J1139" t="s">
        <v>35</v>
      </c>
      <c r="K1139">
        <v>8</v>
      </c>
      <c r="L1139">
        <v>3</v>
      </c>
      <c r="M1139" s="11">
        <v>19034.810000000001</v>
      </c>
      <c r="N1139" s="12">
        <v>10420.34</v>
      </c>
      <c r="O1139" s="12">
        <v>17720.62</v>
      </c>
    </row>
    <row r="1140" spans="1:15">
      <c r="A1140" t="s">
        <v>1314</v>
      </c>
      <c r="B1140" t="s">
        <v>48</v>
      </c>
      <c r="C1140" s="9">
        <v>29951</v>
      </c>
      <c r="D1140">
        <v>44</v>
      </c>
      <c r="E1140" t="s">
        <v>21</v>
      </c>
      <c r="F1140" t="s">
        <v>29</v>
      </c>
      <c r="G1140" s="9">
        <v>45118</v>
      </c>
      <c r="H1140" s="9">
        <v>45820</v>
      </c>
      <c r="I1140">
        <v>39</v>
      </c>
      <c r="J1140" t="s">
        <v>35</v>
      </c>
      <c r="K1140">
        <v>7</v>
      </c>
      <c r="L1140">
        <v>2</v>
      </c>
      <c r="M1140" s="11">
        <v>27363.040000000001</v>
      </c>
      <c r="N1140" s="12">
        <v>13088.13</v>
      </c>
      <c r="O1140" s="12">
        <v>3594.28</v>
      </c>
    </row>
    <row r="1141" spans="1:15">
      <c r="A1141" t="s">
        <v>1315</v>
      </c>
      <c r="B1141" t="s">
        <v>181</v>
      </c>
      <c r="C1141" s="9">
        <v>45657</v>
      </c>
      <c r="D1141">
        <v>1</v>
      </c>
      <c r="E1141" t="s">
        <v>21</v>
      </c>
      <c r="F1141" t="s">
        <v>5184</v>
      </c>
      <c r="G1141" s="9">
        <v>45270</v>
      </c>
      <c r="H1141" s="9">
        <v>45695</v>
      </c>
      <c r="I1141">
        <v>29</v>
      </c>
      <c r="J1141" t="s">
        <v>32</v>
      </c>
      <c r="K1141">
        <v>8</v>
      </c>
      <c r="L1141">
        <v>7</v>
      </c>
      <c r="M1141" s="11">
        <v>10372.82</v>
      </c>
      <c r="N1141" s="12">
        <v>10035.15</v>
      </c>
      <c r="O1141" s="12">
        <v>14244.37</v>
      </c>
    </row>
    <row r="1142" spans="1:15">
      <c r="A1142" t="s">
        <v>1316</v>
      </c>
      <c r="B1142" t="s">
        <v>336</v>
      </c>
      <c r="C1142" s="9">
        <v>36526</v>
      </c>
      <c r="D1142">
        <f ca="1">DATEDIF(C1093,TODAY(),"Y")</f>
        <v>65</v>
      </c>
      <c r="E1142" t="s">
        <v>17</v>
      </c>
      <c r="F1142" t="s">
        <v>29</v>
      </c>
      <c r="G1142" s="9">
        <v>45552</v>
      </c>
      <c r="H1142" s="9">
        <v>45201</v>
      </c>
      <c r="I1142">
        <v>33</v>
      </c>
      <c r="J1142" t="s">
        <v>26</v>
      </c>
      <c r="K1142">
        <v>7</v>
      </c>
      <c r="L1142">
        <v>5</v>
      </c>
      <c r="M1142" s="11">
        <v>12544.56</v>
      </c>
      <c r="N1142" s="12">
        <v>1816.27</v>
      </c>
      <c r="O1142" s="12">
        <v>18183.400000000001</v>
      </c>
    </row>
    <row r="1143" spans="1:15">
      <c r="A1143" t="s">
        <v>1317</v>
      </c>
      <c r="B1143" t="s">
        <v>397</v>
      </c>
      <c r="C1143" s="9">
        <v>11689</v>
      </c>
      <c r="D1143">
        <v>94</v>
      </c>
      <c r="E1143" t="s">
        <v>17</v>
      </c>
      <c r="F1143" t="s">
        <v>49</v>
      </c>
      <c r="G1143" s="9">
        <v>45204</v>
      </c>
      <c r="H1143" s="9">
        <v>45082</v>
      </c>
      <c r="I1143">
        <v>13</v>
      </c>
      <c r="J1143" t="s">
        <v>32</v>
      </c>
      <c r="K1143">
        <v>1</v>
      </c>
      <c r="L1143">
        <v>5</v>
      </c>
      <c r="M1143" s="11">
        <v>11082.39</v>
      </c>
      <c r="N1143" s="12">
        <v>7606.16</v>
      </c>
      <c r="O1143" s="12">
        <v>2338.04</v>
      </c>
    </row>
    <row r="1144" spans="1:15">
      <c r="A1144" t="s">
        <v>1318</v>
      </c>
      <c r="B1144" t="s">
        <v>309</v>
      </c>
      <c r="C1144" s="9">
        <v>33239</v>
      </c>
      <c r="D1144">
        <v>35</v>
      </c>
      <c r="E1144" t="s">
        <v>21</v>
      </c>
      <c r="F1144" t="s">
        <v>5184</v>
      </c>
      <c r="G1144" s="9">
        <v>45281</v>
      </c>
      <c r="H1144" s="9">
        <v>45578</v>
      </c>
      <c r="I1144">
        <v>9</v>
      </c>
      <c r="J1144" t="s">
        <v>32</v>
      </c>
      <c r="K1144">
        <v>4</v>
      </c>
      <c r="L1144">
        <v>1</v>
      </c>
      <c r="M1144" s="11">
        <v>22838.51</v>
      </c>
      <c r="N1144" s="12">
        <v>11137.04</v>
      </c>
      <c r="O1144" s="12">
        <v>12664.71</v>
      </c>
    </row>
    <row r="1145" spans="1:15">
      <c r="A1145" t="s">
        <v>1319</v>
      </c>
      <c r="B1145" t="s">
        <v>97</v>
      </c>
      <c r="C1145" s="9">
        <v>33239</v>
      </c>
      <c r="D1145">
        <v>35</v>
      </c>
      <c r="E1145" t="s">
        <v>21</v>
      </c>
      <c r="F1145" t="s">
        <v>22</v>
      </c>
      <c r="G1145" s="9">
        <v>45455</v>
      </c>
      <c r="H1145" s="9">
        <v>45094</v>
      </c>
      <c r="I1145">
        <v>38</v>
      </c>
      <c r="J1145" t="s">
        <v>26</v>
      </c>
      <c r="K1145">
        <v>14</v>
      </c>
      <c r="L1145">
        <v>3</v>
      </c>
      <c r="M1145" s="11">
        <v>25986.799999999999</v>
      </c>
      <c r="N1145" s="12">
        <v>12625.18</v>
      </c>
      <c r="O1145" s="12">
        <v>3967.92</v>
      </c>
    </row>
    <row r="1146" spans="1:15">
      <c r="A1146" t="s">
        <v>1320</v>
      </c>
      <c r="B1146" t="s">
        <v>578</v>
      </c>
      <c r="C1146" s="9">
        <v>36891</v>
      </c>
      <c r="D1146">
        <v>25</v>
      </c>
      <c r="E1146" t="s">
        <v>17</v>
      </c>
      <c r="F1146" t="s">
        <v>22</v>
      </c>
      <c r="G1146" s="9">
        <v>45012</v>
      </c>
      <c r="H1146" s="9">
        <v>44946</v>
      </c>
      <c r="I1146">
        <v>0</v>
      </c>
      <c r="J1146" t="s">
        <v>26</v>
      </c>
      <c r="K1146">
        <v>8</v>
      </c>
      <c r="L1146">
        <v>4</v>
      </c>
      <c r="M1146" s="11">
        <v>10403.82</v>
      </c>
      <c r="N1146" s="12">
        <v>2719.14</v>
      </c>
      <c r="O1146" s="12">
        <v>8766.93</v>
      </c>
    </row>
    <row r="1147" spans="1:15">
      <c r="A1147" t="s">
        <v>1321</v>
      </c>
      <c r="B1147" t="s">
        <v>348</v>
      </c>
      <c r="C1147" s="9">
        <f>DATE(2026-D1107,1,1)</f>
        <v>40909</v>
      </c>
      <c r="D1147">
        <v>42</v>
      </c>
      <c r="E1147" t="s">
        <v>17</v>
      </c>
      <c r="F1147" t="s">
        <v>29</v>
      </c>
      <c r="G1147" s="9">
        <v>45243</v>
      </c>
      <c r="H1147" s="9">
        <v>45272</v>
      </c>
      <c r="I1147">
        <v>24</v>
      </c>
      <c r="J1147" t="s">
        <v>26</v>
      </c>
      <c r="K1147">
        <v>12</v>
      </c>
      <c r="L1147">
        <v>9</v>
      </c>
      <c r="M1147" s="11">
        <v>3841.59</v>
      </c>
      <c r="N1147" s="12">
        <v>3352.54</v>
      </c>
      <c r="O1147" s="12">
        <v>2448.86</v>
      </c>
    </row>
    <row r="1148" spans="1:15">
      <c r="A1148" t="s">
        <v>1322</v>
      </c>
      <c r="B1148" t="s">
        <v>539</v>
      </c>
      <c r="C1148" s="9">
        <v>36526</v>
      </c>
      <c r="D1148">
        <v>26</v>
      </c>
      <c r="E1148" t="s">
        <v>21</v>
      </c>
      <c r="F1148" t="s">
        <v>22</v>
      </c>
      <c r="G1148" s="9">
        <v>45619</v>
      </c>
      <c r="H1148" s="9">
        <v>45662</v>
      </c>
      <c r="I1148">
        <v>24</v>
      </c>
      <c r="J1148" t="s">
        <v>32</v>
      </c>
      <c r="K1148">
        <v>11</v>
      </c>
      <c r="L1148">
        <v>4</v>
      </c>
      <c r="M1148" s="11">
        <v>14570.25</v>
      </c>
      <c r="N1148" s="12">
        <v>12933.61</v>
      </c>
      <c r="O1148" s="12">
        <v>13640.75</v>
      </c>
    </row>
    <row r="1149" spans="1:15">
      <c r="A1149" t="s">
        <v>1323</v>
      </c>
      <c r="B1149" t="s">
        <v>379</v>
      </c>
      <c r="C1149" s="9">
        <v>21185</v>
      </c>
      <c r="D1149">
        <v>68</v>
      </c>
      <c r="E1149" t="s">
        <v>17</v>
      </c>
      <c r="F1149" t="s">
        <v>18</v>
      </c>
      <c r="G1149" s="9">
        <v>45263</v>
      </c>
      <c r="H1149" s="9">
        <v>45496</v>
      </c>
      <c r="I1149">
        <v>6</v>
      </c>
      <c r="J1149" t="s">
        <v>32</v>
      </c>
      <c r="K1149">
        <v>4</v>
      </c>
      <c r="L1149">
        <v>2</v>
      </c>
      <c r="M1149" s="11">
        <v>29522.02</v>
      </c>
      <c r="N1149" s="12">
        <v>7281.06</v>
      </c>
      <c r="O1149" s="12">
        <v>7967.65</v>
      </c>
    </row>
    <row r="1150" spans="1:15">
      <c r="A1150" t="s">
        <v>1324</v>
      </c>
      <c r="B1150" t="s">
        <v>112</v>
      </c>
      <c r="C1150" s="9">
        <v>39083</v>
      </c>
      <c r="D1150">
        <v>19</v>
      </c>
      <c r="E1150" t="s">
        <v>21</v>
      </c>
      <c r="F1150" t="s">
        <v>5184</v>
      </c>
      <c r="G1150" s="9">
        <v>45071</v>
      </c>
      <c r="H1150" s="9">
        <v>45825</v>
      </c>
      <c r="I1150">
        <v>14</v>
      </c>
      <c r="J1150" t="s">
        <v>32</v>
      </c>
      <c r="K1150">
        <v>14</v>
      </c>
      <c r="L1150">
        <v>9</v>
      </c>
      <c r="M1150" s="11">
        <v>5712.29</v>
      </c>
      <c r="N1150" s="12">
        <v>6786.35</v>
      </c>
      <c r="O1150" s="12">
        <v>11301.78</v>
      </c>
    </row>
    <row r="1151" spans="1:15">
      <c r="A1151" t="s">
        <v>1325</v>
      </c>
      <c r="B1151" t="s">
        <v>133</v>
      </c>
      <c r="C1151" s="9">
        <v>42370</v>
      </c>
      <c r="D1151">
        <v>10</v>
      </c>
      <c r="E1151" t="s">
        <v>17</v>
      </c>
      <c r="F1151" t="s">
        <v>5184</v>
      </c>
      <c r="G1151" s="9">
        <v>45241</v>
      </c>
      <c r="H1151" s="9">
        <v>45221</v>
      </c>
      <c r="I1151">
        <v>2</v>
      </c>
      <c r="J1151" t="s">
        <v>35</v>
      </c>
      <c r="K1151">
        <v>12</v>
      </c>
      <c r="L1151">
        <v>4</v>
      </c>
      <c r="M1151" s="11">
        <v>13286.03</v>
      </c>
      <c r="N1151" s="12">
        <v>7411.73</v>
      </c>
      <c r="O1151" s="12">
        <v>10423.200000000001</v>
      </c>
    </row>
    <row r="1152" spans="1:15">
      <c r="A1152" t="s">
        <v>1326</v>
      </c>
      <c r="B1152" t="s">
        <v>198</v>
      </c>
      <c r="C1152" s="9">
        <v>19359</v>
      </c>
      <c r="D1152">
        <f ca="1">DATEDIF(C1103,TODAY(),"Y")</f>
        <v>50</v>
      </c>
      <c r="E1152" t="s">
        <v>17</v>
      </c>
      <c r="F1152" t="s">
        <v>22</v>
      </c>
      <c r="G1152" s="9">
        <v>45151</v>
      </c>
      <c r="H1152" s="9">
        <v>45572</v>
      </c>
      <c r="I1152">
        <v>23</v>
      </c>
      <c r="J1152" t="s">
        <v>32</v>
      </c>
      <c r="K1152">
        <v>6</v>
      </c>
      <c r="L1152">
        <v>4</v>
      </c>
      <c r="M1152" s="11">
        <v>7777.3</v>
      </c>
      <c r="N1152" s="12">
        <v>2599.9899999999998</v>
      </c>
      <c r="O1152" s="12">
        <v>13849.09</v>
      </c>
    </row>
    <row r="1153" spans="1:15">
      <c r="A1153" t="s">
        <v>1327</v>
      </c>
      <c r="B1153" t="s">
        <v>198</v>
      </c>
      <c r="C1153" s="9">
        <v>32508</v>
      </c>
      <c r="D1153">
        <v>37</v>
      </c>
      <c r="E1153" t="s">
        <v>17</v>
      </c>
      <c r="F1153" t="s">
        <v>5184</v>
      </c>
      <c r="G1153" s="9">
        <v>45349</v>
      </c>
      <c r="H1153" s="9">
        <v>45389</v>
      </c>
      <c r="I1153">
        <v>18</v>
      </c>
      <c r="J1153" t="s">
        <v>32</v>
      </c>
      <c r="K1153">
        <v>5</v>
      </c>
      <c r="L1153">
        <v>1</v>
      </c>
      <c r="M1153" s="11">
        <v>27641.71</v>
      </c>
      <c r="N1153" s="12">
        <v>9414.5499999999993</v>
      </c>
      <c r="O1153" s="12">
        <v>17901.12</v>
      </c>
    </row>
    <row r="1154" spans="1:15">
      <c r="A1154" t="s">
        <v>1328</v>
      </c>
      <c r="B1154" t="s">
        <v>341</v>
      </c>
      <c r="C1154" s="9">
        <v>44196</v>
      </c>
      <c r="D1154">
        <v>5</v>
      </c>
      <c r="E1154" t="s">
        <v>21</v>
      </c>
      <c r="F1154" t="s">
        <v>49</v>
      </c>
      <c r="G1154" s="9">
        <v>44980</v>
      </c>
      <c r="H1154" s="9">
        <v>45265</v>
      </c>
      <c r="I1154">
        <v>2</v>
      </c>
      <c r="J1154" t="s">
        <v>26</v>
      </c>
      <c r="K1154">
        <v>5</v>
      </c>
      <c r="L1154">
        <v>4</v>
      </c>
      <c r="M1154" s="11">
        <v>16302.98</v>
      </c>
      <c r="N1154" s="12">
        <v>12119.61</v>
      </c>
      <c r="O1154" s="12">
        <v>5522.96</v>
      </c>
    </row>
    <row r="1155" spans="1:15">
      <c r="A1155" t="s">
        <v>1329</v>
      </c>
      <c r="B1155" t="s">
        <v>302</v>
      </c>
      <c r="C1155" s="9">
        <v>20090</v>
      </c>
      <c r="D1155">
        <v>71</v>
      </c>
      <c r="E1155" t="s">
        <v>21</v>
      </c>
      <c r="F1155" t="s">
        <v>25</v>
      </c>
      <c r="G1155" s="9">
        <v>44994</v>
      </c>
      <c r="H1155" s="9">
        <v>45731</v>
      </c>
      <c r="I1155">
        <v>2</v>
      </c>
      <c r="J1155" t="s">
        <v>26</v>
      </c>
      <c r="K1155">
        <v>13</v>
      </c>
      <c r="L1155">
        <v>2</v>
      </c>
      <c r="M1155" s="11">
        <v>17151.71</v>
      </c>
      <c r="N1155" s="12">
        <v>12555.92</v>
      </c>
      <c r="O1155" s="12">
        <v>11862.85</v>
      </c>
    </row>
    <row r="1156" spans="1:15">
      <c r="A1156" t="s">
        <v>1330</v>
      </c>
      <c r="B1156" t="s">
        <v>244</v>
      </c>
      <c r="C1156" s="9">
        <v>37987</v>
      </c>
      <c r="D1156">
        <v>22</v>
      </c>
      <c r="E1156" t="s">
        <v>21</v>
      </c>
      <c r="F1156" t="s">
        <v>49</v>
      </c>
      <c r="G1156" s="9">
        <v>45545</v>
      </c>
      <c r="H1156" s="9">
        <v>45379</v>
      </c>
      <c r="I1156">
        <v>32</v>
      </c>
      <c r="J1156" t="s">
        <v>32</v>
      </c>
      <c r="K1156">
        <v>0</v>
      </c>
      <c r="L1156">
        <v>2</v>
      </c>
      <c r="M1156" s="11">
        <v>248.03</v>
      </c>
      <c r="N1156" s="12">
        <v>455.68</v>
      </c>
      <c r="O1156" s="12">
        <v>11432.7</v>
      </c>
    </row>
    <row r="1157" spans="1:15">
      <c r="A1157" t="s">
        <v>1331</v>
      </c>
      <c r="B1157" t="s">
        <v>155</v>
      </c>
      <c r="C1157" s="9">
        <v>29221</v>
      </c>
      <c r="D1157">
        <v>46</v>
      </c>
      <c r="E1157" t="s">
        <v>17</v>
      </c>
      <c r="F1157" t="s">
        <v>74</v>
      </c>
      <c r="G1157" s="9">
        <v>45260</v>
      </c>
      <c r="H1157" s="9">
        <v>45271</v>
      </c>
      <c r="I1157">
        <v>6</v>
      </c>
      <c r="J1157" t="s">
        <v>32</v>
      </c>
      <c r="K1157">
        <v>11</v>
      </c>
      <c r="L1157">
        <v>4</v>
      </c>
      <c r="M1157" s="11">
        <v>19409.78</v>
      </c>
      <c r="N1157" s="12">
        <v>10727.84</v>
      </c>
      <c r="O1157" s="12">
        <v>6234.42</v>
      </c>
    </row>
    <row r="1158" spans="1:15">
      <c r="A1158" t="s">
        <v>1332</v>
      </c>
      <c r="B1158" t="s">
        <v>174</v>
      </c>
      <c r="C1158" s="9">
        <v>13515</v>
      </c>
      <c r="D1158">
        <v>89</v>
      </c>
      <c r="E1158" t="s">
        <v>21</v>
      </c>
      <c r="F1158" t="s">
        <v>18</v>
      </c>
      <c r="G1158" s="9">
        <v>45003</v>
      </c>
      <c r="H1158" s="9">
        <v>45644</v>
      </c>
      <c r="I1158">
        <v>20</v>
      </c>
      <c r="J1158" t="s">
        <v>32</v>
      </c>
      <c r="K1158">
        <v>10</v>
      </c>
      <c r="L1158">
        <v>8</v>
      </c>
      <c r="M1158" s="11">
        <v>8843.75</v>
      </c>
      <c r="N1158" s="12">
        <v>1368.37</v>
      </c>
      <c r="O1158" s="12">
        <v>9941.68</v>
      </c>
    </row>
    <row r="1159" spans="1:15">
      <c r="A1159" t="s">
        <v>1333</v>
      </c>
      <c r="B1159" t="s">
        <v>446</v>
      </c>
      <c r="C1159" s="9">
        <v>29586</v>
      </c>
      <c r="D1159">
        <v>45</v>
      </c>
      <c r="E1159" t="s">
        <v>21</v>
      </c>
      <c r="F1159" t="s">
        <v>25</v>
      </c>
      <c r="G1159" s="9">
        <v>45465</v>
      </c>
      <c r="H1159" s="9">
        <v>45558</v>
      </c>
      <c r="I1159">
        <v>35</v>
      </c>
      <c r="J1159" t="s">
        <v>35</v>
      </c>
      <c r="K1159">
        <v>9</v>
      </c>
      <c r="L1159">
        <v>1</v>
      </c>
      <c r="M1159" s="11">
        <v>15159.2</v>
      </c>
      <c r="N1159" s="12">
        <v>14503.04</v>
      </c>
      <c r="O1159" s="12">
        <v>713.11</v>
      </c>
    </row>
    <row r="1160" spans="1:15">
      <c r="A1160" t="s">
        <v>1334</v>
      </c>
      <c r="B1160" t="s">
        <v>135</v>
      </c>
      <c r="C1160" s="9">
        <v>42005</v>
      </c>
      <c r="D1160">
        <v>11</v>
      </c>
      <c r="E1160" t="s">
        <v>21</v>
      </c>
      <c r="F1160" t="s">
        <v>29</v>
      </c>
      <c r="G1160" s="9">
        <v>45081</v>
      </c>
      <c r="H1160" s="9">
        <v>45692</v>
      </c>
      <c r="I1160">
        <v>38</v>
      </c>
      <c r="J1160" t="s">
        <v>32</v>
      </c>
      <c r="K1160">
        <v>2</v>
      </c>
      <c r="L1160">
        <v>8</v>
      </c>
      <c r="M1160" s="11">
        <v>15697.56</v>
      </c>
      <c r="N1160" s="12">
        <v>7233.61</v>
      </c>
      <c r="O1160" s="12">
        <v>8481.35</v>
      </c>
    </row>
    <row r="1161" spans="1:15">
      <c r="A1161" t="s">
        <v>1335</v>
      </c>
      <c r="B1161" t="s">
        <v>53</v>
      </c>
      <c r="C1161" s="9">
        <v>13515</v>
      </c>
      <c r="D1161">
        <v>89</v>
      </c>
      <c r="E1161" t="s">
        <v>17</v>
      </c>
      <c r="F1161" t="s">
        <v>5184</v>
      </c>
      <c r="G1161" s="9">
        <v>44998</v>
      </c>
      <c r="H1161" s="9">
        <v>45012</v>
      </c>
      <c r="I1161">
        <v>1</v>
      </c>
      <c r="J1161" t="s">
        <v>32</v>
      </c>
      <c r="K1161">
        <v>1</v>
      </c>
      <c r="L1161">
        <v>2</v>
      </c>
      <c r="M1161" s="11">
        <v>17562.849999999999</v>
      </c>
      <c r="N1161" s="12">
        <v>11631.23</v>
      </c>
      <c r="O1161" s="12">
        <v>5337.59</v>
      </c>
    </row>
    <row r="1162" spans="1:15">
      <c r="A1162" t="s">
        <v>1336</v>
      </c>
      <c r="B1162" t="s">
        <v>348</v>
      </c>
      <c r="C1162" s="9">
        <v>41639</v>
      </c>
      <c r="D1162">
        <v>12</v>
      </c>
      <c r="E1162" t="s">
        <v>21</v>
      </c>
      <c r="F1162" t="s">
        <v>74</v>
      </c>
      <c r="G1162" s="9">
        <v>45427</v>
      </c>
      <c r="H1162" s="9">
        <v>45624</v>
      </c>
      <c r="I1162">
        <v>16</v>
      </c>
      <c r="J1162" t="s">
        <v>32</v>
      </c>
      <c r="K1162">
        <v>14</v>
      </c>
      <c r="L1162">
        <v>6</v>
      </c>
      <c r="M1162" s="11">
        <v>24617.95</v>
      </c>
      <c r="N1162" s="12">
        <v>9327.8700000000008</v>
      </c>
      <c r="O1162" s="12">
        <v>17265.91</v>
      </c>
    </row>
    <row r="1163" spans="1:15">
      <c r="A1163" t="s">
        <v>1337</v>
      </c>
      <c r="B1163" t="s">
        <v>479</v>
      </c>
      <c r="C1163" s="9">
        <v>23742</v>
      </c>
      <c r="D1163">
        <v>61</v>
      </c>
      <c r="E1163" t="s">
        <v>21</v>
      </c>
      <c r="F1163" t="s">
        <v>74</v>
      </c>
      <c r="G1163" s="9">
        <v>45373</v>
      </c>
      <c r="H1163" s="9">
        <v>45664</v>
      </c>
      <c r="I1163">
        <v>34</v>
      </c>
      <c r="J1163" t="s">
        <v>32</v>
      </c>
      <c r="K1163">
        <v>10</v>
      </c>
      <c r="L1163">
        <v>0</v>
      </c>
      <c r="M1163" s="11">
        <v>8617.51</v>
      </c>
      <c r="N1163" s="12">
        <v>14279.05</v>
      </c>
      <c r="O1163" s="12">
        <v>7091.61</v>
      </c>
    </row>
    <row r="1164" spans="1:15">
      <c r="A1164" t="s">
        <v>1338</v>
      </c>
      <c r="B1164" t="s">
        <v>131</v>
      </c>
      <c r="C1164" s="9">
        <v>16437</v>
      </c>
      <c r="D1164">
        <v>81</v>
      </c>
      <c r="E1164" t="s">
        <v>21</v>
      </c>
      <c r="F1164" t="s">
        <v>18</v>
      </c>
      <c r="G1164" s="9">
        <v>45618</v>
      </c>
      <c r="H1164" s="9">
        <v>45587</v>
      </c>
      <c r="I1164">
        <v>2</v>
      </c>
      <c r="J1164" t="s">
        <v>35</v>
      </c>
      <c r="K1164">
        <v>9</v>
      </c>
      <c r="L1164">
        <v>0</v>
      </c>
      <c r="M1164" s="11">
        <v>7312.92</v>
      </c>
      <c r="N1164" s="12">
        <v>14604.87</v>
      </c>
      <c r="O1164" s="12">
        <v>3763.42</v>
      </c>
    </row>
    <row r="1165" spans="1:15">
      <c r="A1165" t="s">
        <v>1339</v>
      </c>
      <c r="B1165" t="s">
        <v>163</v>
      </c>
      <c r="C1165" s="9">
        <v>13880</v>
      </c>
      <c r="D1165">
        <f ca="1">DATEDIF(C1116,TODAY(),"Y")</f>
        <v>26</v>
      </c>
      <c r="E1165" t="s">
        <v>17</v>
      </c>
      <c r="F1165" t="s">
        <v>25</v>
      </c>
      <c r="G1165" s="9">
        <v>45485</v>
      </c>
      <c r="H1165" s="9">
        <v>45316</v>
      </c>
      <c r="I1165">
        <v>25</v>
      </c>
      <c r="J1165" t="s">
        <v>35</v>
      </c>
      <c r="K1165">
        <v>14</v>
      </c>
      <c r="L1165">
        <v>7</v>
      </c>
      <c r="M1165" s="11">
        <v>23772.17</v>
      </c>
      <c r="N1165" s="12">
        <v>4183.2</v>
      </c>
      <c r="O1165" s="12">
        <v>10546.39</v>
      </c>
    </row>
    <row r="1166" spans="1:15">
      <c r="A1166" t="s">
        <v>1340</v>
      </c>
      <c r="B1166" t="s">
        <v>328</v>
      </c>
      <c r="C1166" s="9">
        <v>24473</v>
      </c>
      <c r="D1166">
        <v>59</v>
      </c>
      <c r="E1166" t="s">
        <v>17</v>
      </c>
      <c r="F1166" t="s">
        <v>74</v>
      </c>
      <c r="G1166" s="9">
        <v>45285</v>
      </c>
      <c r="H1166" s="9">
        <v>45719</v>
      </c>
      <c r="I1166">
        <v>39</v>
      </c>
      <c r="J1166" t="s">
        <v>32</v>
      </c>
      <c r="K1166">
        <v>9</v>
      </c>
      <c r="L1166">
        <v>8</v>
      </c>
      <c r="M1166" s="11">
        <v>21420.92</v>
      </c>
      <c r="N1166" s="12">
        <v>7243.04</v>
      </c>
      <c r="O1166" s="12">
        <v>16200.39</v>
      </c>
    </row>
    <row r="1167" spans="1:15">
      <c r="A1167" t="s">
        <v>1341</v>
      </c>
      <c r="B1167" t="s">
        <v>139</v>
      </c>
      <c r="C1167" s="9">
        <v>30682</v>
      </c>
      <c r="D1167">
        <f ca="1">DATEDIF(C1118,TODAY(),"Y")</f>
        <v>32</v>
      </c>
      <c r="E1167" t="s">
        <v>17</v>
      </c>
      <c r="F1167" t="s">
        <v>25</v>
      </c>
      <c r="G1167" s="9">
        <v>45203</v>
      </c>
      <c r="H1167" s="9">
        <v>45154</v>
      </c>
      <c r="I1167">
        <v>20</v>
      </c>
      <c r="J1167" t="s">
        <v>35</v>
      </c>
      <c r="K1167">
        <v>11</v>
      </c>
      <c r="L1167">
        <v>2</v>
      </c>
      <c r="M1167" s="11">
        <v>6381.26</v>
      </c>
      <c r="N1167" s="12">
        <v>7563.61</v>
      </c>
      <c r="O1167" s="12">
        <v>7016.32</v>
      </c>
    </row>
    <row r="1168" spans="1:15">
      <c r="A1168" t="s">
        <v>1342</v>
      </c>
      <c r="B1168" t="s">
        <v>82</v>
      </c>
      <c r="C1168" s="9">
        <v>18629</v>
      </c>
      <c r="D1168">
        <v>75</v>
      </c>
      <c r="E1168" t="s">
        <v>17</v>
      </c>
      <c r="F1168" t="s">
        <v>25</v>
      </c>
      <c r="G1168" s="9">
        <v>45239</v>
      </c>
      <c r="H1168" s="9">
        <v>45213</v>
      </c>
      <c r="I1168">
        <v>35</v>
      </c>
      <c r="J1168" t="s">
        <v>32</v>
      </c>
      <c r="K1168">
        <v>5</v>
      </c>
      <c r="L1168">
        <v>5</v>
      </c>
      <c r="M1168" s="11">
        <v>474.49</v>
      </c>
      <c r="N1168" s="12">
        <v>2665.47</v>
      </c>
      <c r="O1168" s="12">
        <v>16921.29</v>
      </c>
    </row>
    <row r="1169" spans="1:15">
      <c r="A1169" t="s">
        <v>1343</v>
      </c>
      <c r="B1169" t="s">
        <v>444</v>
      </c>
      <c r="C1169" s="9">
        <v>21551</v>
      </c>
      <c r="D1169">
        <v>67</v>
      </c>
      <c r="E1169" t="s">
        <v>17</v>
      </c>
      <c r="F1169" t="s">
        <v>22</v>
      </c>
      <c r="G1169" s="9">
        <v>45031</v>
      </c>
      <c r="H1169" s="9">
        <v>45211</v>
      </c>
      <c r="I1169">
        <v>20</v>
      </c>
      <c r="J1169" t="s">
        <v>32</v>
      </c>
      <c r="K1169">
        <v>2</v>
      </c>
      <c r="L1169">
        <v>2</v>
      </c>
      <c r="M1169" s="11">
        <v>19811.060000000001</v>
      </c>
      <c r="N1169" s="12">
        <v>13559.07</v>
      </c>
      <c r="O1169" s="12">
        <v>6455.2</v>
      </c>
    </row>
    <row r="1170" spans="1:15">
      <c r="A1170" t="s">
        <v>1344</v>
      </c>
      <c r="B1170" t="s">
        <v>671</v>
      </c>
      <c r="C1170" s="9">
        <f>DATE(2026-D1130,1,1)</f>
        <v>27395</v>
      </c>
      <c r="D1170">
        <v>4</v>
      </c>
      <c r="E1170" t="s">
        <v>21</v>
      </c>
      <c r="F1170" t="s">
        <v>74</v>
      </c>
      <c r="G1170" s="9">
        <v>45021</v>
      </c>
      <c r="H1170" s="9">
        <v>45620</v>
      </c>
      <c r="I1170">
        <v>15</v>
      </c>
      <c r="J1170" t="s">
        <v>32</v>
      </c>
      <c r="K1170">
        <v>7</v>
      </c>
      <c r="L1170">
        <v>5</v>
      </c>
      <c r="M1170" s="11">
        <v>4293.93</v>
      </c>
      <c r="N1170" s="12">
        <v>5244.1</v>
      </c>
      <c r="O1170" s="12">
        <v>14685.52</v>
      </c>
    </row>
    <row r="1171" spans="1:15">
      <c r="A1171" t="s">
        <v>1345</v>
      </c>
      <c r="B1171" t="s">
        <v>112</v>
      </c>
      <c r="C1171" s="9">
        <v>32873</v>
      </c>
      <c r="D1171">
        <v>36</v>
      </c>
      <c r="E1171" t="s">
        <v>17</v>
      </c>
      <c r="F1171" t="s">
        <v>25</v>
      </c>
      <c r="G1171" s="9">
        <v>45145</v>
      </c>
      <c r="H1171" s="9">
        <v>45036</v>
      </c>
      <c r="I1171">
        <v>26</v>
      </c>
      <c r="J1171" t="s">
        <v>32</v>
      </c>
      <c r="K1171">
        <v>4</v>
      </c>
      <c r="L1171">
        <v>6</v>
      </c>
      <c r="M1171" s="11">
        <v>28688.39</v>
      </c>
      <c r="N1171" s="12">
        <v>1311.85</v>
      </c>
      <c r="O1171" s="12">
        <v>2216.5500000000002</v>
      </c>
    </row>
    <row r="1172" spans="1:15">
      <c r="A1172" t="s">
        <v>1346</v>
      </c>
      <c r="B1172" t="s">
        <v>350</v>
      </c>
      <c r="C1172" s="9">
        <v>20090</v>
      </c>
      <c r="D1172">
        <v>71</v>
      </c>
      <c r="E1172" t="s">
        <v>21</v>
      </c>
      <c r="F1172" t="s">
        <v>18</v>
      </c>
      <c r="G1172" s="9">
        <v>45608</v>
      </c>
      <c r="H1172" s="9">
        <v>45062</v>
      </c>
      <c r="I1172">
        <v>25</v>
      </c>
      <c r="J1172" t="s">
        <v>32</v>
      </c>
      <c r="K1172">
        <v>4</v>
      </c>
      <c r="L1172">
        <v>4</v>
      </c>
      <c r="M1172" s="11">
        <v>17934.419999999998</v>
      </c>
      <c r="N1172" s="12">
        <v>2317.9899999999998</v>
      </c>
      <c r="O1172" s="12">
        <v>1150.23</v>
      </c>
    </row>
    <row r="1173" spans="1:15">
      <c r="A1173" t="s">
        <v>1347</v>
      </c>
      <c r="B1173" t="s">
        <v>422</v>
      </c>
      <c r="C1173" s="9">
        <v>12785</v>
      </c>
      <c r="D1173">
        <v>91</v>
      </c>
      <c r="E1173" t="s">
        <v>21</v>
      </c>
      <c r="F1173" t="s">
        <v>74</v>
      </c>
      <c r="G1173" s="9">
        <v>45054</v>
      </c>
      <c r="H1173" s="9">
        <v>45218</v>
      </c>
      <c r="I1173">
        <v>6</v>
      </c>
      <c r="J1173" t="s">
        <v>32</v>
      </c>
      <c r="K1173">
        <v>7</v>
      </c>
      <c r="L1173">
        <v>2</v>
      </c>
      <c r="M1173" s="11">
        <v>25414.38</v>
      </c>
      <c r="N1173" s="12">
        <v>7699.56</v>
      </c>
      <c r="O1173" s="12">
        <v>14725.28</v>
      </c>
    </row>
    <row r="1174" spans="1:15">
      <c r="A1174" t="s">
        <v>1348</v>
      </c>
      <c r="B1174" t="s">
        <v>174</v>
      </c>
      <c r="C1174" s="9">
        <v>35065</v>
      </c>
      <c r="D1174">
        <v>30</v>
      </c>
      <c r="E1174" t="s">
        <v>17</v>
      </c>
      <c r="F1174" t="s">
        <v>18</v>
      </c>
      <c r="G1174" s="9">
        <v>45126</v>
      </c>
      <c r="H1174" s="9">
        <v>45814</v>
      </c>
      <c r="I1174">
        <v>36</v>
      </c>
      <c r="J1174" t="s">
        <v>32</v>
      </c>
      <c r="K1174">
        <v>11</v>
      </c>
      <c r="L1174">
        <v>7</v>
      </c>
      <c r="M1174" s="11">
        <v>24071.46</v>
      </c>
      <c r="N1174" s="12">
        <v>13225.28</v>
      </c>
      <c r="O1174" s="12">
        <v>7304.8</v>
      </c>
    </row>
    <row r="1175" spans="1:15">
      <c r="A1175" t="s">
        <v>1349</v>
      </c>
      <c r="B1175" t="s">
        <v>89</v>
      </c>
      <c r="C1175" s="9">
        <v>43100</v>
      </c>
      <c r="D1175">
        <v>8</v>
      </c>
      <c r="E1175" t="s">
        <v>21</v>
      </c>
      <c r="F1175" t="s">
        <v>18</v>
      </c>
      <c r="G1175" s="9">
        <v>45258</v>
      </c>
      <c r="H1175" s="9">
        <v>45729</v>
      </c>
      <c r="I1175">
        <v>7</v>
      </c>
      <c r="J1175" t="s">
        <v>32</v>
      </c>
      <c r="K1175">
        <v>6</v>
      </c>
      <c r="L1175">
        <v>4</v>
      </c>
      <c r="M1175" s="11">
        <v>16512.830000000002</v>
      </c>
      <c r="N1175" s="12">
        <v>9423.2800000000007</v>
      </c>
      <c r="O1175" s="12">
        <v>7799.21</v>
      </c>
    </row>
    <row r="1176" spans="1:15">
      <c r="A1176" t="s">
        <v>1350</v>
      </c>
      <c r="B1176" t="s">
        <v>95</v>
      </c>
      <c r="C1176" s="9">
        <v>27760</v>
      </c>
      <c r="D1176">
        <v>50</v>
      </c>
      <c r="E1176" t="s">
        <v>21</v>
      </c>
      <c r="F1176" t="s">
        <v>25</v>
      </c>
      <c r="G1176" s="9">
        <v>45473</v>
      </c>
      <c r="H1176" s="9">
        <v>45542</v>
      </c>
      <c r="I1176">
        <v>1</v>
      </c>
      <c r="J1176" t="s">
        <v>35</v>
      </c>
      <c r="K1176">
        <v>4</v>
      </c>
      <c r="L1176">
        <v>0</v>
      </c>
      <c r="M1176" s="11">
        <v>12869.7</v>
      </c>
      <c r="N1176" s="12">
        <v>3222.47</v>
      </c>
      <c r="O1176" s="12">
        <v>11440.47</v>
      </c>
    </row>
    <row r="1177" spans="1:15">
      <c r="A1177" t="s">
        <v>1351</v>
      </c>
      <c r="B1177" t="s">
        <v>348</v>
      </c>
      <c r="C1177" s="9">
        <v>35795</v>
      </c>
      <c r="D1177">
        <v>28</v>
      </c>
      <c r="E1177" t="s">
        <v>21</v>
      </c>
      <c r="F1177" t="s">
        <v>25</v>
      </c>
      <c r="G1177" s="9">
        <v>45582</v>
      </c>
      <c r="H1177" s="9">
        <v>45640</v>
      </c>
      <c r="I1177">
        <v>10</v>
      </c>
      <c r="J1177" t="s">
        <v>32</v>
      </c>
      <c r="K1177">
        <v>11</v>
      </c>
      <c r="L1177">
        <v>8</v>
      </c>
      <c r="M1177" s="11">
        <v>14652.35</v>
      </c>
      <c r="N1177" s="12">
        <v>4452.04</v>
      </c>
      <c r="O1177" s="12">
        <v>19736.09</v>
      </c>
    </row>
    <row r="1178" spans="1:15">
      <c r="A1178" t="s">
        <v>1352</v>
      </c>
      <c r="B1178" t="s">
        <v>63</v>
      </c>
      <c r="C1178" s="9">
        <v>17898</v>
      </c>
      <c r="D1178">
        <v>77</v>
      </c>
      <c r="E1178" t="s">
        <v>17</v>
      </c>
      <c r="F1178" t="s">
        <v>22</v>
      </c>
      <c r="G1178" s="9">
        <v>45218</v>
      </c>
      <c r="H1178" s="9">
        <v>45435</v>
      </c>
      <c r="I1178">
        <v>35</v>
      </c>
      <c r="J1178" t="s">
        <v>32</v>
      </c>
      <c r="K1178">
        <v>4</v>
      </c>
      <c r="L1178">
        <v>2</v>
      </c>
      <c r="M1178" s="11">
        <v>23991.16</v>
      </c>
      <c r="N1178" s="12">
        <v>14640.38</v>
      </c>
      <c r="O1178" s="12">
        <v>3347.35</v>
      </c>
    </row>
    <row r="1179" spans="1:15">
      <c r="A1179" t="s">
        <v>1353</v>
      </c>
      <c r="B1179" t="s">
        <v>198</v>
      </c>
      <c r="C1179" s="9">
        <v>31778</v>
      </c>
      <c r="D1179">
        <v>39</v>
      </c>
      <c r="E1179" t="s">
        <v>21</v>
      </c>
      <c r="F1179" t="s">
        <v>5184</v>
      </c>
      <c r="G1179" s="9">
        <v>44992</v>
      </c>
      <c r="H1179" s="9">
        <v>45556</v>
      </c>
      <c r="I1179">
        <v>24</v>
      </c>
      <c r="J1179" t="s">
        <v>35</v>
      </c>
      <c r="K1179">
        <v>4</v>
      </c>
      <c r="L1179">
        <v>1</v>
      </c>
      <c r="M1179" s="11">
        <v>19033.75</v>
      </c>
      <c r="N1179" s="12">
        <v>792.73</v>
      </c>
      <c r="O1179" s="12">
        <v>5927.07</v>
      </c>
    </row>
    <row r="1180" spans="1:15">
      <c r="A1180" t="s">
        <v>1354</v>
      </c>
      <c r="B1180" t="s">
        <v>170</v>
      </c>
      <c r="C1180" s="9">
        <v>31412</v>
      </c>
      <c r="D1180">
        <f ca="1">DATEDIF(C1131,TODAY(),"Y")</f>
        <v>55</v>
      </c>
      <c r="E1180" t="s">
        <v>17</v>
      </c>
      <c r="F1180" t="s">
        <v>22</v>
      </c>
      <c r="G1180" s="9">
        <v>45494</v>
      </c>
      <c r="H1180" s="9">
        <v>45771</v>
      </c>
      <c r="I1180">
        <v>38</v>
      </c>
      <c r="J1180" t="s">
        <v>32</v>
      </c>
      <c r="K1180">
        <v>2</v>
      </c>
      <c r="L1180">
        <v>2</v>
      </c>
      <c r="M1180" s="11">
        <v>5774.37</v>
      </c>
      <c r="N1180" s="12">
        <v>14915.07</v>
      </c>
      <c r="O1180" s="12">
        <v>12938.94</v>
      </c>
    </row>
    <row r="1181" spans="1:15">
      <c r="A1181" t="s">
        <v>1355</v>
      </c>
      <c r="B1181" t="s">
        <v>44</v>
      </c>
      <c r="C1181" s="9">
        <v>14976</v>
      </c>
      <c r="D1181">
        <v>85</v>
      </c>
      <c r="E1181" t="s">
        <v>17</v>
      </c>
      <c r="F1181" t="s">
        <v>74</v>
      </c>
      <c r="G1181" s="9">
        <v>45583</v>
      </c>
      <c r="H1181" s="9">
        <v>45749</v>
      </c>
      <c r="I1181">
        <v>17</v>
      </c>
      <c r="J1181" t="s">
        <v>26</v>
      </c>
      <c r="K1181">
        <v>3</v>
      </c>
      <c r="L1181">
        <v>6</v>
      </c>
      <c r="M1181" s="11">
        <v>18085.330000000002</v>
      </c>
      <c r="N1181" s="12">
        <v>13587.87</v>
      </c>
      <c r="O1181" s="12">
        <v>13989.36</v>
      </c>
    </row>
    <row r="1182" spans="1:15">
      <c r="A1182" t="s">
        <v>1356</v>
      </c>
      <c r="B1182" t="s">
        <v>63</v>
      </c>
      <c r="C1182" s="9">
        <v>42370</v>
      </c>
      <c r="D1182">
        <v>10</v>
      </c>
      <c r="E1182" t="s">
        <v>17</v>
      </c>
      <c r="F1182" t="s">
        <v>22</v>
      </c>
      <c r="G1182" s="9">
        <v>45330</v>
      </c>
      <c r="H1182" s="9">
        <v>44956</v>
      </c>
      <c r="I1182">
        <v>37</v>
      </c>
      <c r="J1182" t="s">
        <v>26</v>
      </c>
      <c r="K1182">
        <v>1</v>
      </c>
      <c r="L1182">
        <v>9</v>
      </c>
      <c r="M1182" s="11">
        <v>11842.33</v>
      </c>
      <c r="N1182" s="12">
        <v>10177.25</v>
      </c>
      <c r="O1182" s="12">
        <v>14093.52</v>
      </c>
    </row>
    <row r="1183" spans="1:15">
      <c r="A1183" t="s">
        <v>1357</v>
      </c>
      <c r="B1183" t="s">
        <v>664</v>
      </c>
      <c r="C1183" s="9">
        <v>37987</v>
      </c>
      <c r="D1183">
        <v>22</v>
      </c>
      <c r="E1183" t="s">
        <v>21</v>
      </c>
      <c r="F1183" t="s">
        <v>29</v>
      </c>
      <c r="G1183" s="9">
        <v>45651</v>
      </c>
      <c r="H1183" s="9">
        <v>45321</v>
      </c>
      <c r="I1183">
        <v>7</v>
      </c>
      <c r="J1183" t="s">
        <v>32</v>
      </c>
      <c r="K1183">
        <v>7</v>
      </c>
      <c r="L1183">
        <v>7</v>
      </c>
      <c r="M1183" s="11">
        <v>1369.57</v>
      </c>
      <c r="N1183" s="12">
        <v>14148.04</v>
      </c>
      <c r="O1183" s="12">
        <v>11867.65</v>
      </c>
    </row>
    <row r="1184" spans="1:15">
      <c r="A1184" t="s">
        <v>1358</v>
      </c>
      <c r="B1184" t="s">
        <v>249</v>
      </c>
      <c r="C1184" s="9">
        <v>46022</v>
      </c>
      <c r="D1184">
        <f ca="1">DATEDIF(C1135,TODAY(),"Y")</f>
        <v>4</v>
      </c>
      <c r="E1184" t="s">
        <v>17</v>
      </c>
      <c r="F1184" t="s">
        <v>74</v>
      </c>
      <c r="G1184" s="9">
        <v>45532</v>
      </c>
      <c r="H1184" s="9">
        <v>44954</v>
      </c>
      <c r="I1184">
        <v>13</v>
      </c>
      <c r="J1184" t="s">
        <v>35</v>
      </c>
      <c r="K1184">
        <v>12</v>
      </c>
      <c r="L1184">
        <v>1</v>
      </c>
      <c r="M1184" s="11">
        <v>11128.71</v>
      </c>
      <c r="N1184" s="12">
        <v>2287.02</v>
      </c>
      <c r="O1184" s="12">
        <v>11724.51</v>
      </c>
    </row>
    <row r="1185" spans="1:15">
      <c r="A1185" t="s">
        <v>1359</v>
      </c>
      <c r="B1185" t="s">
        <v>97</v>
      </c>
      <c r="C1185" s="9">
        <v>29586</v>
      </c>
      <c r="D1185">
        <v>45</v>
      </c>
      <c r="E1185" t="s">
        <v>21</v>
      </c>
      <c r="F1185" t="s">
        <v>18</v>
      </c>
      <c r="G1185" s="9">
        <v>45544</v>
      </c>
      <c r="H1185" s="9">
        <v>45394</v>
      </c>
      <c r="I1185">
        <v>12</v>
      </c>
      <c r="J1185" t="s">
        <v>32</v>
      </c>
      <c r="K1185">
        <v>13</v>
      </c>
      <c r="L1185">
        <v>6</v>
      </c>
      <c r="M1185" s="11">
        <v>6441.85</v>
      </c>
      <c r="N1185" s="12">
        <v>14138.84</v>
      </c>
      <c r="O1185" s="12">
        <v>2876.95</v>
      </c>
    </row>
    <row r="1186" spans="1:15">
      <c r="A1186" t="s">
        <v>1360</v>
      </c>
      <c r="B1186" t="s">
        <v>176</v>
      </c>
      <c r="C1186" s="9">
        <v>38717</v>
      </c>
      <c r="D1186">
        <v>20</v>
      </c>
      <c r="E1186" t="s">
        <v>21</v>
      </c>
      <c r="F1186" t="s">
        <v>22</v>
      </c>
      <c r="G1186" s="9">
        <v>45522</v>
      </c>
      <c r="H1186" s="9">
        <v>44940</v>
      </c>
      <c r="I1186">
        <v>10</v>
      </c>
      <c r="J1186" t="s">
        <v>35</v>
      </c>
      <c r="K1186">
        <v>9</v>
      </c>
      <c r="L1186">
        <v>4</v>
      </c>
      <c r="M1186" s="11">
        <v>25076.83</v>
      </c>
      <c r="N1186" s="12">
        <v>3188.63</v>
      </c>
      <c r="O1186" s="12">
        <v>16675.97</v>
      </c>
    </row>
    <row r="1187" spans="1:15">
      <c r="A1187" t="s">
        <v>1361</v>
      </c>
      <c r="B1187" t="s">
        <v>681</v>
      </c>
      <c r="C1187" s="9">
        <v>13515</v>
      </c>
      <c r="D1187">
        <v>89</v>
      </c>
      <c r="E1187" t="s">
        <v>21</v>
      </c>
      <c r="F1187" t="s">
        <v>22</v>
      </c>
      <c r="G1187" s="9">
        <v>45574</v>
      </c>
      <c r="H1187" s="9">
        <v>45481</v>
      </c>
      <c r="I1187">
        <v>35</v>
      </c>
      <c r="J1187" t="s">
        <v>32</v>
      </c>
      <c r="K1187">
        <v>0</v>
      </c>
      <c r="L1187">
        <v>8</v>
      </c>
      <c r="M1187" s="11">
        <v>2702.48</v>
      </c>
      <c r="N1187" s="12">
        <v>8193.19</v>
      </c>
      <c r="O1187" s="12">
        <v>78.81</v>
      </c>
    </row>
    <row r="1188" spans="1:15">
      <c r="A1188" t="s">
        <v>1362</v>
      </c>
      <c r="B1188" t="s">
        <v>174</v>
      </c>
      <c r="C1188" s="9">
        <v>33239</v>
      </c>
      <c r="D1188">
        <v>35</v>
      </c>
      <c r="E1188" t="s">
        <v>17</v>
      </c>
      <c r="F1188" t="s">
        <v>5184</v>
      </c>
      <c r="G1188" s="9">
        <v>45072</v>
      </c>
      <c r="H1188" s="9">
        <v>45372</v>
      </c>
      <c r="I1188">
        <v>17</v>
      </c>
      <c r="J1188" t="s">
        <v>32</v>
      </c>
      <c r="K1188">
        <v>9</v>
      </c>
      <c r="L1188">
        <v>6</v>
      </c>
      <c r="M1188" s="11">
        <v>10499.02</v>
      </c>
      <c r="N1188" s="12">
        <v>7331.43</v>
      </c>
      <c r="O1188" s="12">
        <v>8293.2999999999993</v>
      </c>
    </row>
    <row r="1189" spans="1:15">
      <c r="A1189" t="s">
        <v>1363</v>
      </c>
      <c r="B1189" t="s">
        <v>774</v>
      </c>
      <c r="C1189" s="9">
        <v>26664</v>
      </c>
      <c r="D1189">
        <v>53</v>
      </c>
      <c r="E1189" t="s">
        <v>21</v>
      </c>
      <c r="F1189" t="s">
        <v>22</v>
      </c>
      <c r="G1189" s="9">
        <v>45456</v>
      </c>
      <c r="H1189" s="9">
        <v>45151</v>
      </c>
      <c r="I1189">
        <v>21</v>
      </c>
      <c r="J1189" t="s">
        <v>32</v>
      </c>
      <c r="K1189">
        <v>5</v>
      </c>
      <c r="L1189">
        <v>0</v>
      </c>
      <c r="M1189" s="11">
        <v>20712.509999999998</v>
      </c>
      <c r="N1189" s="12">
        <v>7686.87</v>
      </c>
      <c r="O1189" s="12">
        <v>4229.7299999999996</v>
      </c>
    </row>
    <row r="1190" spans="1:15">
      <c r="A1190" t="s">
        <v>1364</v>
      </c>
      <c r="B1190" t="s">
        <v>100</v>
      </c>
      <c r="C1190" s="9">
        <v>14611</v>
      </c>
      <c r="D1190">
        <v>86</v>
      </c>
      <c r="E1190" t="s">
        <v>21</v>
      </c>
      <c r="F1190" t="s">
        <v>25</v>
      </c>
      <c r="G1190" s="9">
        <v>45328</v>
      </c>
      <c r="H1190" s="9">
        <v>45390</v>
      </c>
      <c r="I1190">
        <v>38</v>
      </c>
      <c r="J1190" t="s">
        <v>26</v>
      </c>
      <c r="K1190">
        <v>1</v>
      </c>
      <c r="L1190">
        <v>0</v>
      </c>
      <c r="M1190" s="11">
        <v>26870.45</v>
      </c>
      <c r="N1190" s="12">
        <v>4010.7</v>
      </c>
      <c r="O1190" s="12">
        <v>1997.23</v>
      </c>
    </row>
    <row r="1191" spans="1:15">
      <c r="A1191" t="s">
        <v>1365</v>
      </c>
      <c r="B1191" t="s">
        <v>207</v>
      </c>
      <c r="C1191" s="9">
        <v>25568</v>
      </c>
      <c r="D1191">
        <v>56</v>
      </c>
      <c r="E1191" t="s">
        <v>21</v>
      </c>
      <c r="F1191" t="s">
        <v>18</v>
      </c>
      <c r="G1191" s="9">
        <v>45051</v>
      </c>
      <c r="H1191" s="9">
        <v>44948</v>
      </c>
      <c r="I1191">
        <v>4</v>
      </c>
      <c r="J1191" t="s">
        <v>35</v>
      </c>
      <c r="K1191">
        <v>8</v>
      </c>
      <c r="L1191">
        <v>5</v>
      </c>
      <c r="M1191" s="11">
        <v>9727.16</v>
      </c>
      <c r="N1191" s="12">
        <v>11709.58</v>
      </c>
      <c r="O1191" s="12">
        <v>6321.77</v>
      </c>
    </row>
    <row r="1192" spans="1:15">
      <c r="A1192" t="s">
        <v>1366</v>
      </c>
      <c r="B1192" t="s">
        <v>201</v>
      </c>
      <c r="C1192" s="9">
        <v>46022</v>
      </c>
      <c r="D1192">
        <v>0</v>
      </c>
      <c r="E1192" t="s">
        <v>21</v>
      </c>
      <c r="F1192" t="s">
        <v>22</v>
      </c>
      <c r="G1192" s="9">
        <v>45440</v>
      </c>
      <c r="H1192" s="9">
        <v>45314</v>
      </c>
      <c r="I1192">
        <v>20</v>
      </c>
      <c r="J1192" t="s">
        <v>32</v>
      </c>
      <c r="K1192">
        <v>10</v>
      </c>
      <c r="L1192">
        <v>8</v>
      </c>
      <c r="M1192" s="11">
        <v>17996.38</v>
      </c>
      <c r="N1192" s="12">
        <v>11138.75</v>
      </c>
      <c r="O1192" s="12">
        <v>13109.46</v>
      </c>
    </row>
    <row r="1193" spans="1:15">
      <c r="A1193" t="s">
        <v>1367</v>
      </c>
      <c r="B1193" t="s">
        <v>209</v>
      </c>
      <c r="C1193" s="9">
        <v>23377</v>
      </c>
      <c r="D1193">
        <v>62</v>
      </c>
      <c r="E1193" t="s">
        <v>17</v>
      </c>
      <c r="F1193" t="s">
        <v>49</v>
      </c>
      <c r="G1193" s="9">
        <v>45258</v>
      </c>
      <c r="H1193" s="9">
        <v>45575</v>
      </c>
      <c r="I1193">
        <v>21</v>
      </c>
      <c r="J1193" t="s">
        <v>35</v>
      </c>
      <c r="K1193">
        <v>5</v>
      </c>
      <c r="L1193">
        <v>0</v>
      </c>
      <c r="M1193" s="11">
        <v>10896.31</v>
      </c>
      <c r="N1193" s="12">
        <v>14309.48</v>
      </c>
      <c r="O1193" s="12">
        <v>9891.3700000000008</v>
      </c>
    </row>
    <row r="1194" spans="1:15">
      <c r="A1194" t="s">
        <v>1368</v>
      </c>
      <c r="B1194" t="s">
        <v>546</v>
      </c>
      <c r="C1194" s="9">
        <v>26664</v>
      </c>
      <c r="D1194">
        <v>53</v>
      </c>
      <c r="E1194" t="s">
        <v>17</v>
      </c>
      <c r="F1194" t="s">
        <v>49</v>
      </c>
      <c r="G1194" s="9">
        <v>45406</v>
      </c>
      <c r="H1194" s="9">
        <v>45253</v>
      </c>
      <c r="I1194">
        <v>26</v>
      </c>
      <c r="J1194" t="s">
        <v>32</v>
      </c>
      <c r="K1194">
        <v>0</v>
      </c>
      <c r="L1194">
        <v>2</v>
      </c>
      <c r="M1194" s="11">
        <v>5687.87</v>
      </c>
      <c r="N1194" s="12">
        <v>7604.87</v>
      </c>
      <c r="O1194" s="12">
        <v>17457.87</v>
      </c>
    </row>
    <row r="1195" spans="1:15">
      <c r="A1195" t="s">
        <v>1369</v>
      </c>
      <c r="B1195" t="s">
        <v>119</v>
      </c>
      <c r="C1195" s="9">
        <v>26299</v>
      </c>
      <c r="D1195">
        <v>54</v>
      </c>
      <c r="E1195" t="s">
        <v>17</v>
      </c>
      <c r="F1195" t="s">
        <v>18</v>
      </c>
      <c r="G1195" s="9">
        <v>45638</v>
      </c>
      <c r="H1195" s="9">
        <v>45660</v>
      </c>
      <c r="I1195">
        <v>2</v>
      </c>
      <c r="J1195" t="s">
        <v>32</v>
      </c>
      <c r="K1195">
        <v>3</v>
      </c>
      <c r="L1195">
        <v>4</v>
      </c>
      <c r="M1195" s="11">
        <v>9434.39</v>
      </c>
      <c r="N1195" s="12">
        <v>8221.3799999999992</v>
      </c>
      <c r="O1195" s="12">
        <v>11953.68</v>
      </c>
    </row>
    <row r="1196" spans="1:15">
      <c r="A1196" t="s">
        <v>1370</v>
      </c>
      <c r="B1196" t="s">
        <v>600</v>
      </c>
      <c r="C1196" s="9">
        <v>31778</v>
      </c>
      <c r="D1196">
        <v>39</v>
      </c>
      <c r="E1196" t="s">
        <v>21</v>
      </c>
      <c r="F1196" t="s">
        <v>22</v>
      </c>
      <c r="G1196" s="9">
        <v>45576</v>
      </c>
      <c r="H1196" s="9">
        <v>45394</v>
      </c>
      <c r="I1196">
        <v>32</v>
      </c>
      <c r="J1196" t="s">
        <v>32</v>
      </c>
      <c r="K1196">
        <v>1</v>
      </c>
      <c r="L1196">
        <v>3</v>
      </c>
      <c r="M1196" s="11">
        <v>18895.02</v>
      </c>
      <c r="N1196" s="12">
        <v>13550.59</v>
      </c>
      <c r="O1196" s="12">
        <v>4987.99</v>
      </c>
    </row>
    <row r="1197" spans="1:15">
      <c r="A1197" t="s">
        <v>1371</v>
      </c>
      <c r="B1197" t="s">
        <v>166</v>
      </c>
      <c r="C1197" s="9">
        <v>40909</v>
      </c>
      <c r="D1197">
        <v>14</v>
      </c>
      <c r="E1197" t="s">
        <v>21</v>
      </c>
      <c r="F1197" t="s">
        <v>5184</v>
      </c>
      <c r="G1197" s="9">
        <v>45641</v>
      </c>
      <c r="H1197" s="9">
        <v>45584</v>
      </c>
      <c r="I1197">
        <v>2</v>
      </c>
      <c r="J1197" t="s">
        <v>26</v>
      </c>
      <c r="K1197">
        <v>3</v>
      </c>
      <c r="L1197">
        <v>0</v>
      </c>
      <c r="M1197" s="11">
        <v>21348.35</v>
      </c>
      <c r="N1197" s="12">
        <v>13791.59</v>
      </c>
      <c r="O1197" s="12">
        <v>10255.94</v>
      </c>
    </row>
    <row r="1198" spans="1:15">
      <c r="A1198" t="s">
        <v>1372</v>
      </c>
      <c r="B1198" t="s">
        <v>338</v>
      </c>
      <c r="C1198" s="9">
        <v>38717</v>
      </c>
      <c r="D1198">
        <v>20</v>
      </c>
      <c r="E1198" t="s">
        <v>5185</v>
      </c>
      <c r="F1198" t="s">
        <v>29</v>
      </c>
      <c r="G1198" s="9">
        <v>45324</v>
      </c>
      <c r="H1198" s="9">
        <v>45449</v>
      </c>
      <c r="I1198">
        <v>33</v>
      </c>
      <c r="J1198" t="s">
        <v>32</v>
      </c>
      <c r="K1198">
        <v>9</v>
      </c>
      <c r="L1198">
        <v>9</v>
      </c>
      <c r="M1198" s="11">
        <v>0</v>
      </c>
      <c r="N1198" s="12">
        <v>9743.0499999999993</v>
      </c>
      <c r="O1198" s="12">
        <v>4470.45</v>
      </c>
    </row>
    <row r="1199" spans="1:15">
      <c r="A1199" t="s">
        <v>1373</v>
      </c>
      <c r="B1199" t="s">
        <v>155</v>
      </c>
      <c r="C1199" s="9">
        <v>29221</v>
      </c>
      <c r="D1199">
        <v>46</v>
      </c>
      <c r="E1199" t="s">
        <v>21</v>
      </c>
      <c r="F1199" t="s">
        <v>5184</v>
      </c>
      <c r="G1199" s="9">
        <v>44956</v>
      </c>
      <c r="H1199" s="9">
        <v>45152</v>
      </c>
      <c r="I1199">
        <v>15</v>
      </c>
      <c r="J1199" t="s">
        <v>26</v>
      </c>
      <c r="K1199">
        <v>2</v>
      </c>
      <c r="L1199">
        <v>3</v>
      </c>
      <c r="M1199" s="11">
        <v>4152.2299999999996</v>
      </c>
      <c r="N1199" s="12">
        <v>12305.93</v>
      </c>
      <c r="O1199" s="12">
        <v>3491</v>
      </c>
    </row>
    <row r="1200" spans="1:15">
      <c r="A1200" t="s">
        <v>1374</v>
      </c>
      <c r="B1200" t="s">
        <v>397</v>
      </c>
      <c r="C1200" s="9">
        <v>19724</v>
      </c>
      <c r="D1200">
        <v>72</v>
      </c>
      <c r="E1200" t="s">
        <v>17</v>
      </c>
      <c r="F1200" t="s">
        <v>29</v>
      </c>
      <c r="G1200" s="9">
        <v>44982</v>
      </c>
      <c r="H1200" s="9">
        <v>45580</v>
      </c>
      <c r="I1200">
        <v>3</v>
      </c>
      <c r="J1200" t="s">
        <v>26</v>
      </c>
      <c r="K1200">
        <v>1</v>
      </c>
      <c r="L1200">
        <v>3</v>
      </c>
      <c r="M1200" s="11">
        <v>3756.5</v>
      </c>
      <c r="N1200" s="12">
        <v>7577.1</v>
      </c>
      <c r="O1200" s="12">
        <v>19095.91</v>
      </c>
    </row>
    <row r="1201" spans="1:15">
      <c r="A1201" t="s">
        <v>1375</v>
      </c>
      <c r="B1201" t="s">
        <v>151</v>
      </c>
      <c r="C1201" s="9">
        <f t="shared" ref="C1201:C1202" si="4">DATE(2026-D1161,1,1)</f>
        <v>13516</v>
      </c>
      <c r="D1201">
        <v>52</v>
      </c>
      <c r="E1201" t="s">
        <v>21</v>
      </c>
      <c r="F1201" t="s">
        <v>74</v>
      </c>
      <c r="G1201" s="9">
        <v>45557</v>
      </c>
      <c r="H1201" s="9">
        <v>45402</v>
      </c>
      <c r="I1201">
        <v>20</v>
      </c>
      <c r="J1201" t="s">
        <v>32</v>
      </c>
      <c r="K1201">
        <v>10</v>
      </c>
      <c r="L1201">
        <v>9</v>
      </c>
      <c r="M1201" s="11">
        <v>24284.73</v>
      </c>
      <c r="N1201" s="12">
        <v>5822.93</v>
      </c>
      <c r="O1201" s="12">
        <v>9307.4599999999991</v>
      </c>
    </row>
    <row r="1202" spans="1:15">
      <c r="A1202" t="s">
        <v>1376</v>
      </c>
      <c r="B1202" t="s">
        <v>71</v>
      </c>
      <c r="C1202" s="9">
        <f t="shared" si="4"/>
        <v>41640</v>
      </c>
      <c r="D1202">
        <v>8</v>
      </c>
      <c r="E1202" t="s">
        <v>17</v>
      </c>
      <c r="F1202" t="s">
        <v>74</v>
      </c>
      <c r="G1202" s="9">
        <v>45058</v>
      </c>
      <c r="H1202" s="9">
        <v>45545</v>
      </c>
      <c r="I1202">
        <v>7</v>
      </c>
      <c r="J1202" t="s">
        <v>32</v>
      </c>
      <c r="K1202">
        <v>12</v>
      </c>
      <c r="L1202">
        <v>3</v>
      </c>
      <c r="M1202" s="11">
        <v>19424.84</v>
      </c>
      <c r="N1202" s="12">
        <v>12961.02</v>
      </c>
      <c r="O1202" s="12">
        <v>12989.28</v>
      </c>
    </row>
    <row r="1203" spans="1:15">
      <c r="A1203" t="s">
        <v>1377</v>
      </c>
      <c r="B1203" t="s">
        <v>71</v>
      </c>
      <c r="C1203" s="9">
        <v>19359</v>
      </c>
      <c r="D1203">
        <v>73</v>
      </c>
      <c r="E1203" t="s">
        <v>21</v>
      </c>
      <c r="F1203" t="s">
        <v>5184</v>
      </c>
      <c r="G1203" s="9">
        <v>45157</v>
      </c>
      <c r="H1203" s="9">
        <v>45707</v>
      </c>
      <c r="I1203">
        <v>4</v>
      </c>
      <c r="J1203" t="s">
        <v>32</v>
      </c>
      <c r="K1203">
        <v>1</v>
      </c>
      <c r="L1203">
        <v>2</v>
      </c>
      <c r="M1203" s="11">
        <v>21704.94</v>
      </c>
      <c r="N1203" s="12">
        <v>11659.08</v>
      </c>
      <c r="O1203" s="12">
        <v>17455.990000000002</v>
      </c>
    </row>
    <row r="1204" spans="1:15">
      <c r="A1204" t="s">
        <v>1378</v>
      </c>
      <c r="B1204" t="s">
        <v>103</v>
      </c>
      <c r="C1204" s="9">
        <v>27395</v>
      </c>
      <c r="D1204">
        <v>51</v>
      </c>
      <c r="E1204" t="s">
        <v>21</v>
      </c>
      <c r="F1204" t="s">
        <v>22</v>
      </c>
      <c r="G1204" s="9">
        <v>45321</v>
      </c>
      <c r="H1204" s="9">
        <v>45633</v>
      </c>
      <c r="I1204">
        <v>5</v>
      </c>
      <c r="J1204" t="s">
        <v>26</v>
      </c>
      <c r="K1204">
        <v>5</v>
      </c>
      <c r="L1204">
        <v>6</v>
      </c>
      <c r="M1204" s="11">
        <v>14391.75</v>
      </c>
      <c r="N1204" s="12">
        <v>3636.17</v>
      </c>
      <c r="O1204" s="12">
        <v>6375.77</v>
      </c>
    </row>
    <row r="1205" spans="1:15">
      <c r="A1205" t="s">
        <v>1379</v>
      </c>
      <c r="B1205" t="s">
        <v>774</v>
      </c>
      <c r="C1205" s="9">
        <v>25568</v>
      </c>
      <c r="D1205">
        <v>56</v>
      </c>
      <c r="E1205" t="s">
        <v>17</v>
      </c>
      <c r="F1205" t="s">
        <v>5184</v>
      </c>
      <c r="G1205" s="9">
        <v>45078</v>
      </c>
      <c r="H1205" s="9">
        <v>45385</v>
      </c>
      <c r="I1205">
        <v>10</v>
      </c>
      <c r="J1205" t="s">
        <v>32</v>
      </c>
      <c r="K1205">
        <v>11</v>
      </c>
      <c r="L1205">
        <v>0</v>
      </c>
      <c r="M1205" s="11">
        <v>13448.25</v>
      </c>
      <c r="N1205" s="12">
        <v>714.68</v>
      </c>
      <c r="O1205" s="12">
        <v>15759.41</v>
      </c>
    </row>
    <row r="1206" spans="1:15">
      <c r="A1206" t="s">
        <v>1380</v>
      </c>
      <c r="B1206" t="s">
        <v>24</v>
      </c>
      <c r="C1206" s="9">
        <v>36891</v>
      </c>
      <c r="D1206">
        <v>25</v>
      </c>
      <c r="E1206" t="s">
        <v>17</v>
      </c>
      <c r="F1206" t="s">
        <v>74</v>
      </c>
      <c r="G1206" s="9">
        <v>45428</v>
      </c>
      <c r="H1206" s="9">
        <v>45567</v>
      </c>
      <c r="I1206">
        <v>27</v>
      </c>
      <c r="J1206" t="s">
        <v>35</v>
      </c>
      <c r="K1206">
        <v>1</v>
      </c>
      <c r="L1206">
        <v>1</v>
      </c>
      <c r="M1206" s="11">
        <v>5940.08</v>
      </c>
      <c r="N1206" s="12">
        <v>8484</v>
      </c>
      <c r="O1206" s="12">
        <v>15755.42</v>
      </c>
    </row>
    <row r="1207" spans="1:15">
      <c r="A1207" t="s">
        <v>1381</v>
      </c>
      <c r="B1207" t="s">
        <v>103</v>
      </c>
      <c r="C1207" s="9">
        <v>31412</v>
      </c>
      <c r="D1207">
        <v>40</v>
      </c>
      <c r="E1207" t="s">
        <v>21</v>
      </c>
      <c r="F1207" t="s">
        <v>25</v>
      </c>
      <c r="G1207" s="9">
        <v>45432</v>
      </c>
      <c r="H1207" s="9">
        <v>45140</v>
      </c>
      <c r="I1207">
        <v>15</v>
      </c>
      <c r="J1207" t="s">
        <v>35</v>
      </c>
      <c r="K1207">
        <v>8</v>
      </c>
      <c r="L1207">
        <v>0</v>
      </c>
      <c r="M1207" s="11">
        <v>4634.3599999999997</v>
      </c>
      <c r="N1207" s="12">
        <v>12624.25</v>
      </c>
      <c r="O1207" s="12">
        <v>16462.64</v>
      </c>
    </row>
    <row r="1208" spans="1:15">
      <c r="A1208" t="s">
        <v>1382</v>
      </c>
      <c r="B1208" t="s">
        <v>215</v>
      </c>
      <c r="C1208" s="9">
        <v>33604</v>
      </c>
      <c r="D1208">
        <v>34</v>
      </c>
      <c r="E1208" t="s">
        <v>17</v>
      </c>
      <c r="F1208" t="s">
        <v>29</v>
      </c>
      <c r="G1208" s="9">
        <v>45312</v>
      </c>
      <c r="H1208" s="9">
        <v>45590</v>
      </c>
      <c r="I1208">
        <v>11</v>
      </c>
      <c r="J1208" t="s">
        <v>26</v>
      </c>
      <c r="K1208">
        <v>14</v>
      </c>
      <c r="L1208">
        <v>3</v>
      </c>
      <c r="M1208" s="11">
        <v>4194.3599999999997</v>
      </c>
      <c r="N1208" s="12">
        <v>3708.02</v>
      </c>
      <c r="O1208" s="12">
        <v>3708.24</v>
      </c>
    </row>
    <row r="1209" spans="1:15">
      <c r="A1209" t="s">
        <v>1383</v>
      </c>
      <c r="B1209" t="s">
        <v>422</v>
      </c>
      <c r="C1209" s="9">
        <v>23377</v>
      </c>
      <c r="D1209">
        <v>62</v>
      </c>
      <c r="E1209" t="s">
        <v>17</v>
      </c>
      <c r="F1209" t="s">
        <v>18</v>
      </c>
      <c r="G1209" s="9">
        <v>45459</v>
      </c>
      <c r="H1209" s="9">
        <v>45408</v>
      </c>
      <c r="I1209">
        <v>8</v>
      </c>
      <c r="J1209" t="s">
        <v>26</v>
      </c>
      <c r="K1209">
        <v>14</v>
      </c>
      <c r="L1209">
        <v>4</v>
      </c>
      <c r="M1209" s="11">
        <v>29749.55</v>
      </c>
      <c r="N1209" s="12">
        <v>11510.93</v>
      </c>
      <c r="O1209" s="12">
        <v>19253.09</v>
      </c>
    </row>
    <row r="1210" spans="1:15">
      <c r="A1210" t="s">
        <v>1384</v>
      </c>
      <c r="B1210" t="s">
        <v>286</v>
      </c>
      <c r="C1210" s="9">
        <v>37256</v>
      </c>
      <c r="D1210">
        <v>24</v>
      </c>
      <c r="E1210" t="s">
        <v>21</v>
      </c>
      <c r="F1210" t="s">
        <v>5184</v>
      </c>
      <c r="G1210" s="9">
        <v>45374</v>
      </c>
      <c r="H1210" s="9">
        <v>45823</v>
      </c>
      <c r="I1210">
        <v>39</v>
      </c>
      <c r="J1210" t="s">
        <v>32</v>
      </c>
      <c r="K1210">
        <v>10</v>
      </c>
      <c r="L1210">
        <v>9</v>
      </c>
      <c r="M1210" s="11">
        <v>24537.200000000001</v>
      </c>
      <c r="N1210" s="12">
        <v>6210.11</v>
      </c>
      <c r="O1210" s="12">
        <v>5423.1</v>
      </c>
    </row>
    <row r="1211" spans="1:15">
      <c r="A1211" t="s">
        <v>1385</v>
      </c>
      <c r="B1211" t="s">
        <v>112</v>
      </c>
      <c r="C1211" s="9">
        <f>DATE(2026-D1171,1,1)</f>
        <v>32874</v>
      </c>
      <c r="D1211">
        <v>89</v>
      </c>
      <c r="E1211" t="s">
        <v>21</v>
      </c>
      <c r="F1211" t="s">
        <v>22</v>
      </c>
      <c r="G1211" s="9">
        <v>45506</v>
      </c>
      <c r="H1211" s="9">
        <v>45107</v>
      </c>
      <c r="I1211">
        <v>35</v>
      </c>
      <c r="J1211" t="s">
        <v>32</v>
      </c>
      <c r="K1211">
        <v>7</v>
      </c>
      <c r="L1211">
        <v>4</v>
      </c>
      <c r="M1211" s="11">
        <v>18596.95</v>
      </c>
      <c r="N1211" s="12">
        <v>5035.63</v>
      </c>
      <c r="O1211" s="12">
        <v>15513.98</v>
      </c>
    </row>
    <row r="1212" spans="1:15">
      <c r="A1212" t="s">
        <v>1386</v>
      </c>
      <c r="B1212" t="s">
        <v>367</v>
      </c>
      <c r="C1212" s="9">
        <v>18994</v>
      </c>
      <c r="D1212">
        <v>74</v>
      </c>
      <c r="E1212" t="s">
        <v>21</v>
      </c>
      <c r="F1212" t="s">
        <v>22</v>
      </c>
      <c r="G1212" s="9">
        <v>45052</v>
      </c>
      <c r="H1212" s="9">
        <v>45756</v>
      </c>
      <c r="I1212">
        <v>10</v>
      </c>
      <c r="J1212" t="s">
        <v>26</v>
      </c>
      <c r="K1212">
        <v>7</v>
      </c>
      <c r="L1212">
        <v>1</v>
      </c>
      <c r="M1212" s="11">
        <v>6039.32</v>
      </c>
      <c r="N1212" s="12">
        <v>2592.2399999999998</v>
      </c>
      <c r="O1212" s="12">
        <v>3162.35</v>
      </c>
    </row>
    <row r="1213" spans="1:15">
      <c r="A1213" t="s">
        <v>1387</v>
      </c>
      <c r="B1213" t="s">
        <v>215</v>
      </c>
      <c r="C1213" s="9">
        <v>32508</v>
      </c>
      <c r="D1213">
        <v>37</v>
      </c>
      <c r="E1213" t="s">
        <v>21</v>
      </c>
      <c r="F1213" t="s">
        <v>49</v>
      </c>
      <c r="G1213" s="9">
        <v>45481</v>
      </c>
      <c r="H1213" s="9">
        <v>45465</v>
      </c>
      <c r="I1213">
        <v>39</v>
      </c>
      <c r="J1213" t="s">
        <v>26</v>
      </c>
      <c r="K1213">
        <v>12</v>
      </c>
      <c r="L1213">
        <v>2</v>
      </c>
      <c r="M1213" s="11">
        <v>9798.59</v>
      </c>
      <c r="N1213" s="12">
        <v>14014.4</v>
      </c>
      <c r="O1213" s="12">
        <v>18476.96</v>
      </c>
    </row>
    <row r="1214" spans="1:15">
      <c r="A1214" t="s">
        <v>1388</v>
      </c>
      <c r="B1214" t="s">
        <v>166</v>
      </c>
      <c r="C1214" s="9">
        <v>45657</v>
      </c>
      <c r="D1214">
        <v>1</v>
      </c>
      <c r="E1214" t="s">
        <v>17</v>
      </c>
      <c r="F1214" t="s">
        <v>29</v>
      </c>
      <c r="G1214" s="9">
        <v>45620</v>
      </c>
      <c r="H1214" s="9">
        <v>45454</v>
      </c>
      <c r="I1214">
        <v>30</v>
      </c>
      <c r="J1214" t="s">
        <v>35</v>
      </c>
      <c r="K1214">
        <v>10</v>
      </c>
      <c r="L1214">
        <v>3</v>
      </c>
      <c r="M1214" s="11">
        <v>10198.959999999999</v>
      </c>
      <c r="N1214" s="12">
        <v>3385.47</v>
      </c>
      <c r="O1214" s="12">
        <v>8499.69</v>
      </c>
    </row>
    <row r="1215" spans="1:15">
      <c r="A1215" t="s">
        <v>1389</v>
      </c>
      <c r="B1215" t="s">
        <v>211</v>
      </c>
      <c r="C1215" s="9">
        <v>43831</v>
      </c>
      <c r="D1215">
        <v>6</v>
      </c>
      <c r="E1215" t="s">
        <v>21</v>
      </c>
      <c r="F1215" t="s">
        <v>29</v>
      </c>
      <c r="G1215" s="9">
        <v>45415</v>
      </c>
      <c r="H1215" s="9">
        <v>44949</v>
      </c>
      <c r="I1215">
        <v>10</v>
      </c>
      <c r="J1215" t="s">
        <v>32</v>
      </c>
      <c r="K1215">
        <v>8</v>
      </c>
      <c r="L1215">
        <v>9</v>
      </c>
      <c r="M1215" s="11">
        <v>14069.04</v>
      </c>
      <c r="N1215" s="12">
        <v>4187.83</v>
      </c>
      <c r="O1215" s="12">
        <v>13339.93</v>
      </c>
    </row>
    <row r="1216" spans="1:15">
      <c r="A1216" t="s">
        <v>1390</v>
      </c>
      <c r="B1216" t="s">
        <v>341</v>
      </c>
      <c r="C1216" s="9">
        <v>16437</v>
      </c>
      <c r="D1216">
        <v>81</v>
      </c>
      <c r="E1216" t="s">
        <v>21</v>
      </c>
      <c r="F1216" t="s">
        <v>29</v>
      </c>
      <c r="G1216" s="9">
        <v>45538</v>
      </c>
      <c r="H1216" s="9">
        <v>45272</v>
      </c>
      <c r="I1216">
        <v>22</v>
      </c>
      <c r="J1216" t="s">
        <v>35</v>
      </c>
      <c r="K1216">
        <v>9</v>
      </c>
      <c r="L1216">
        <v>5</v>
      </c>
      <c r="M1216" s="11">
        <v>12370.9</v>
      </c>
      <c r="N1216" s="12">
        <v>4972.32</v>
      </c>
      <c r="O1216" s="12">
        <v>16988.86</v>
      </c>
    </row>
    <row r="1217" spans="1:15">
      <c r="A1217" t="s">
        <v>1391</v>
      </c>
      <c r="B1217" t="s">
        <v>176</v>
      </c>
      <c r="C1217" s="9">
        <v>13150</v>
      </c>
      <c r="D1217">
        <v>90</v>
      </c>
      <c r="E1217" t="s">
        <v>21</v>
      </c>
      <c r="F1217" t="s">
        <v>5184</v>
      </c>
      <c r="G1217" s="9">
        <v>45372</v>
      </c>
      <c r="H1217" s="9">
        <v>45504</v>
      </c>
      <c r="I1217">
        <v>21</v>
      </c>
      <c r="J1217" t="s">
        <v>35</v>
      </c>
      <c r="K1217">
        <v>7</v>
      </c>
      <c r="L1217">
        <v>5</v>
      </c>
      <c r="M1217" s="11">
        <v>27991.67</v>
      </c>
      <c r="N1217" s="12">
        <v>4269.93</v>
      </c>
      <c r="O1217" s="12">
        <v>5575.97</v>
      </c>
    </row>
    <row r="1218" spans="1:15">
      <c r="A1218" t="s">
        <v>1392</v>
      </c>
      <c r="B1218" t="s">
        <v>615</v>
      </c>
      <c r="C1218" s="9">
        <v>33969</v>
      </c>
      <c r="D1218">
        <v>33</v>
      </c>
      <c r="E1218" t="s">
        <v>17</v>
      </c>
      <c r="F1218" t="s">
        <v>74</v>
      </c>
      <c r="G1218" s="9">
        <v>45396</v>
      </c>
      <c r="H1218" s="9">
        <v>45690</v>
      </c>
      <c r="I1218">
        <v>26</v>
      </c>
      <c r="J1218" t="s">
        <v>32</v>
      </c>
      <c r="K1218">
        <v>14</v>
      </c>
      <c r="L1218">
        <v>1</v>
      </c>
      <c r="M1218" s="11">
        <v>21484.69</v>
      </c>
      <c r="N1218" s="12">
        <v>2443.58</v>
      </c>
      <c r="O1218" s="12">
        <v>7718.82</v>
      </c>
    </row>
    <row r="1219" spans="1:15">
      <c r="A1219" t="s">
        <v>1393</v>
      </c>
      <c r="B1219" t="s">
        <v>139</v>
      </c>
      <c r="C1219" s="9">
        <v>13150</v>
      </c>
      <c r="D1219">
        <v>90</v>
      </c>
      <c r="E1219" t="s">
        <v>21</v>
      </c>
      <c r="F1219" t="s">
        <v>25</v>
      </c>
      <c r="G1219" s="9">
        <v>45275</v>
      </c>
      <c r="H1219" s="9">
        <v>44948</v>
      </c>
      <c r="I1219">
        <v>33</v>
      </c>
      <c r="J1219" t="s">
        <v>26</v>
      </c>
      <c r="K1219">
        <v>1</v>
      </c>
      <c r="L1219">
        <v>1</v>
      </c>
      <c r="M1219" s="11">
        <v>1982.86</v>
      </c>
      <c r="N1219" s="12">
        <v>5316.75</v>
      </c>
      <c r="O1219" s="12">
        <v>6199.12</v>
      </c>
    </row>
    <row r="1220" spans="1:15">
      <c r="A1220" t="s">
        <v>1394</v>
      </c>
      <c r="B1220" t="s">
        <v>194</v>
      </c>
      <c r="C1220" s="9">
        <v>40178</v>
      </c>
      <c r="D1220">
        <v>16</v>
      </c>
      <c r="E1220" t="s">
        <v>21</v>
      </c>
      <c r="F1220" t="s">
        <v>5184</v>
      </c>
      <c r="G1220" s="9">
        <v>45434</v>
      </c>
      <c r="H1220" s="9">
        <v>45672</v>
      </c>
      <c r="I1220">
        <v>3</v>
      </c>
      <c r="J1220" t="s">
        <v>26</v>
      </c>
      <c r="K1220">
        <v>10</v>
      </c>
      <c r="L1220">
        <v>8</v>
      </c>
      <c r="M1220" s="11">
        <v>10478.68</v>
      </c>
      <c r="N1220" s="12">
        <v>7076.59</v>
      </c>
      <c r="O1220" s="12">
        <v>5585.7</v>
      </c>
    </row>
    <row r="1221" spans="1:15">
      <c r="A1221" t="s">
        <v>1395</v>
      </c>
      <c r="B1221" t="s">
        <v>44</v>
      </c>
      <c r="C1221" s="9">
        <v>30682</v>
      </c>
      <c r="D1221">
        <v>42</v>
      </c>
      <c r="E1221" t="s">
        <v>21</v>
      </c>
      <c r="F1221" t="s">
        <v>18</v>
      </c>
      <c r="G1221" s="9">
        <v>45383</v>
      </c>
      <c r="H1221" s="9">
        <v>45335</v>
      </c>
      <c r="I1221">
        <v>15</v>
      </c>
      <c r="J1221" t="s">
        <v>35</v>
      </c>
      <c r="K1221">
        <v>2</v>
      </c>
      <c r="L1221">
        <v>1</v>
      </c>
      <c r="M1221" s="11">
        <v>3555.36</v>
      </c>
      <c r="N1221" s="12">
        <v>8276.59</v>
      </c>
      <c r="O1221" s="12">
        <v>10157.06</v>
      </c>
    </row>
    <row r="1222" spans="1:15">
      <c r="A1222" t="s">
        <v>1396</v>
      </c>
      <c r="B1222" t="s">
        <v>444</v>
      </c>
      <c r="C1222" s="9">
        <v>24838</v>
      </c>
      <c r="D1222">
        <v>58</v>
      </c>
      <c r="E1222" t="s">
        <v>17</v>
      </c>
      <c r="F1222" t="s">
        <v>74</v>
      </c>
      <c r="G1222" s="9">
        <v>45311</v>
      </c>
      <c r="H1222" s="9">
        <v>45414</v>
      </c>
      <c r="I1222">
        <v>25</v>
      </c>
      <c r="J1222" t="s">
        <v>35</v>
      </c>
      <c r="K1222">
        <v>1</v>
      </c>
      <c r="L1222">
        <v>1</v>
      </c>
      <c r="M1222" s="11">
        <v>8020.31</v>
      </c>
      <c r="N1222" s="12">
        <v>2347.4899999999998</v>
      </c>
      <c r="O1222" s="12">
        <v>10889.57</v>
      </c>
    </row>
    <row r="1223" spans="1:15">
      <c r="A1223" t="s">
        <v>1397</v>
      </c>
      <c r="B1223" t="s">
        <v>172</v>
      </c>
      <c r="C1223" s="9">
        <v>27760</v>
      </c>
      <c r="D1223">
        <v>50</v>
      </c>
      <c r="E1223" t="s">
        <v>21</v>
      </c>
      <c r="F1223" t="s">
        <v>5184</v>
      </c>
      <c r="G1223" s="9">
        <v>45638</v>
      </c>
      <c r="H1223" s="9">
        <v>45455</v>
      </c>
      <c r="I1223">
        <v>2</v>
      </c>
      <c r="J1223" t="s">
        <v>32</v>
      </c>
      <c r="K1223">
        <v>1</v>
      </c>
      <c r="L1223">
        <v>2</v>
      </c>
      <c r="M1223" s="11">
        <v>28746.240000000002</v>
      </c>
      <c r="N1223" s="12">
        <v>11691.21</v>
      </c>
      <c r="O1223" s="12">
        <v>1444.14</v>
      </c>
    </row>
    <row r="1224" spans="1:15">
      <c r="A1224" t="s">
        <v>1398</v>
      </c>
      <c r="B1224" t="s">
        <v>514</v>
      </c>
      <c r="C1224" s="9">
        <v>26664</v>
      </c>
      <c r="D1224">
        <v>53</v>
      </c>
      <c r="E1224" t="s">
        <v>17</v>
      </c>
      <c r="F1224" t="s">
        <v>25</v>
      </c>
      <c r="G1224" s="9">
        <v>45374</v>
      </c>
      <c r="H1224" s="9">
        <v>45343</v>
      </c>
      <c r="I1224">
        <v>15</v>
      </c>
      <c r="J1224" t="s">
        <v>32</v>
      </c>
      <c r="K1224">
        <v>12</v>
      </c>
      <c r="L1224">
        <v>8</v>
      </c>
      <c r="M1224" s="11">
        <v>21010.54</v>
      </c>
      <c r="N1224" s="12">
        <v>4672.9399999999996</v>
      </c>
      <c r="O1224" s="12">
        <v>13433.19</v>
      </c>
    </row>
    <row r="1225" spans="1:15">
      <c r="A1225" t="s">
        <v>1399</v>
      </c>
      <c r="B1225" t="s">
        <v>201</v>
      </c>
      <c r="C1225" s="9">
        <v>37622</v>
      </c>
      <c r="D1225">
        <v>23</v>
      </c>
      <c r="E1225" t="s">
        <v>21</v>
      </c>
      <c r="F1225" t="s">
        <v>29</v>
      </c>
      <c r="G1225" s="9">
        <v>45554</v>
      </c>
      <c r="H1225" s="9">
        <v>45199</v>
      </c>
      <c r="I1225">
        <v>34</v>
      </c>
      <c r="J1225" t="s">
        <v>32</v>
      </c>
      <c r="K1225">
        <v>7</v>
      </c>
      <c r="L1225">
        <v>5</v>
      </c>
      <c r="M1225" s="11">
        <v>260.51</v>
      </c>
      <c r="N1225" s="12">
        <v>13769.23</v>
      </c>
      <c r="O1225" s="12">
        <v>8342.0300000000007</v>
      </c>
    </row>
    <row r="1226" spans="1:15">
      <c r="A1226" t="s">
        <v>1400</v>
      </c>
      <c r="B1226" t="s">
        <v>147</v>
      </c>
      <c r="C1226" s="9">
        <v>37256</v>
      </c>
      <c r="D1226">
        <v>24</v>
      </c>
      <c r="E1226" t="s">
        <v>21</v>
      </c>
      <c r="F1226" t="s">
        <v>25</v>
      </c>
      <c r="G1226" s="9">
        <v>45041</v>
      </c>
      <c r="H1226" s="9">
        <v>45132</v>
      </c>
      <c r="I1226">
        <v>4</v>
      </c>
      <c r="J1226" t="s">
        <v>26</v>
      </c>
      <c r="K1226">
        <v>3</v>
      </c>
      <c r="L1226">
        <v>5</v>
      </c>
      <c r="M1226" s="11">
        <v>9530.27</v>
      </c>
      <c r="N1226" s="12">
        <v>4943.29</v>
      </c>
      <c r="O1226" s="12">
        <v>17779.54</v>
      </c>
    </row>
    <row r="1227" spans="1:15">
      <c r="A1227" t="s">
        <v>1401</v>
      </c>
      <c r="B1227" t="s">
        <v>261</v>
      </c>
      <c r="C1227" s="9">
        <v>20455</v>
      </c>
      <c r="D1227">
        <v>70</v>
      </c>
      <c r="E1227" t="s">
        <v>17</v>
      </c>
      <c r="F1227" t="s">
        <v>74</v>
      </c>
      <c r="G1227" s="9">
        <v>45378</v>
      </c>
      <c r="H1227" s="9">
        <v>45225</v>
      </c>
      <c r="I1227">
        <v>6</v>
      </c>
      <c r="J1227" t="s">
        <v>32</v>
      </c>
      <c r="K1227">
        <v>1</v>
      </c>
      <c r="L1227">
        <v>9</v>
      </c>
      <c r="M1227" s="11">
        <v>12880.4</v>
      </c>
      <c r="N1227" s="12">
        <v>12943.18</v>
      </c>
      <c r="O1227" s="12">
        <v>17699</v>
      </c>
    </row>
    <row r="1228" spans="1:15">
      <c r="A1228" t="s">
        <v>1402</v>
      </c>
      <c r="B1228" t="s">
        <v>143</v>
      </c>
      <c r="C1228" s="9">
        <v>27395</v>
      </c>
      <c r="D1228">
        <f ca="1">DATEDIF(C1179,TODAY(),"Y")</f>
        <v>39</v>
      </c>
      <c r="E1228" t="s">
        <v>21</v>
      </c>
      <c r="F1228" t="s">
        <v>5184</v>
      </c>
      <c r="G1228" s="9">
        <v>45580</v>
      </c>
      <c r="H1228" s="9">
        <v>45599</v>
      </c>
      <c r="I1228">
        <v>32</v>
      </c>
      <c r="J1228" t="s">
        <v>26</v>
      </c>
      <c r="K1228">
        <v>9</v>
      </c>
      <c r="L1228">
        <v>4</v>
      </c>
      <c r="M1228" s="11">
        <v>17876.29</v>
      </c>
      <c r="N1228" s="12">
        <v>5287.99</v>
      </c>
      <c r="O1228" s="12">
        <v>14373.86</v>
      </c>
    </row>
    <row r="1229" spans="1:15">
      <c r="A1229" t="s">
        <v>1403</v>
      </c>
      <c r="B1229" t="s">
        <v>24</v>
      </c>
      <c r="C1229" s="9">
        <v>20820</v>
      </c>
      <c r="D1229">
        <v>69</v>
      </c>
      <c r="E1229" t="s">
        <v>17</v>
      </c>
      <c r="F1229" t="s">
        <v>29</v>
      </c>
      <c r="G1229" s="9">
        <v>45045</v>
      </c>
      <c r="H1229" s="9">
        <v>45480</v>
      </c>
      <c r="I1229">
        <v>9</v>
      </c>
      <c r="J1229" t="s">
        <v>26</v>
      </c>
      <c r="K1229">
        <v>1</v>
      </c>
      <c r="L1229">
        <v>6</v>
      </c>
      <c r="M1229" s="11">
        <v>14741.67</v>
      </c>
      <c r="N1229" s="12">
        <v>7587.49</v>
      </c>
      <c r="O1229" s="12">
        <v>17061.04</v>
      </c>
    </row>
    <row r="1230" spans="1:15">
      <c r="A1230" t="s">
        <v>1404</v>
      </c>
      <c r="B1230" t="s">
        <v>46</v>
      </c>
      <c r="C1230" s="9">
        <v>14246</v>
      </c>
      <c r="D1230">
        <v>87</v>
      </c>
      <c r="E1230" t="s">
        <v>17</v>
      </c>
      <c r="F1230" t="s">
        <v>5184</v>
      </c>
      <c r="G1230" s="9">
        <v>45019</v>
      </c>
      <c r="H1230" s="9">
        <v>45035</v>
      </c>
      <c r="I1230">
        <v>37</v>
      </c>
      <c r="J1230" t="s">
        <v>26</v>
      </c>
      <c r="K1230">
        <v>5</v>
      </c>
      <c r="L1230">
        <v>3</v>
      </c>
      <c r="M1230" s="11">
        <v>1628.07</v>
      </c>
      <c r="N1230" s="12">
        <v>5585.32</v>
      </c>
      <c r="O1230" s="12">
        <v>18442.53</v>
      </c>
    </row>
    <row r="1231" spans="1:15">
      <c r="A1231" t="s">
        <v>1405</v>
      </c>
      <c r="B1231" t="s">
        <v>145</v>
      </c>
      <c r="C1231" s="9">
        <v>34334</v>
      </c>
      <c r="D1231">
        <v>32</v>
      </c>
      <c r="E1231" t="s">
        <v>17</v>
      </c>
      <c r="F1231" t="s">
        <v>74</v>
      </c>
      <c r="G1231" s="9">
        <v>45447</v>
      </c>
      <c r="H1231" s="9">
        <v>45564</v>
      </c>
      <c r="I1231">
        <v>36</v>
      </c>
      <c r="J1231" t="s">
        <v>32</v>
      </c>
      <c r="K1231">
        <v>12</v>
      </c>
      <c r="L1231">
        <v>9</v>
      </c>
      <c r="M1231" s="11">
        <v>15224.2</v>
      </c>
      <c r="N1231" s="12">
        <v>5806.43</v>
      </c>
      <c r="O1231" s="12">
        <v>11504.31</v>
      </c>
    </row>
    <row r="1232" spans="1:15">
      <c r="A1232" t="s">
        <v>1406</v>
      </c>
      <c r="B1232" t="s">
        <v>372</v>
      </c>
      <c r="C1232" s="9">
        <v>28490</v>
      </c>
      <c r="D1232">
        <v>48</v>
      </c>
      <c r="E1232" t="s">
        <v>17</v>
      </c>
      <c r="F1232" t="s">
        <v>18</v>
      </c>
      <c r="G1232" s="9">
        <v>45511</v>
      </c>
      <c r="H1232" s="9">
        <v>45079</v>
      </c>
      <c r="I1232">
        <v>21</v>
      </c>
      <c r="J1232" t="s">
        <v>35</v>
      </c>
      <c r="K1232">
        <v>0</v>
      </c>
      <c r="L1232">
        <v>9</v>
      </c>
      <c r="M1232" s="11">
        <v>3472.91</v>
      </c>
      <c r="N1232" s="12">
        <v>9278.73</v>
      </c>
      <c r="O1232" s="12">
        <v>19435.32</v>
      </c>
    </row>
    <row r="1233" spans="1:15">
      <c r="A1233" t="s">
        <v>1407</v>
      </c>
      <c r="B1233" t="s">
        <v>80</v>
      </c>
      <c r="C1233" s="9">
        <v>35795</v>
      </c>
      <c r="D1233">
        <v>28</v>
      </c>
      <c r="E1233" t="s">
        <v>21</v>
      </c>
      <c r="F1233" t="s">
        <v>29</v>
      </c>
      <c r="G1233" s="9">
        <v>45464</v>
      </c>
      <c r="H1233" s="9">
        <v>44940</v>
      </c>
      <c r="I1233">
        <v>6</v>
      </c>
      <c r="J1233" t="s">
        <v>32</v>
      </c>
      <c r="K1233">
        <v>2</v>
      </c>
      <c r="L1233">
        <v>2</v>
      </c>
      <c r="M1233" s="11">
        <v>15335.59</v>
      </c>
      <c r="N1233" s="12">
        <v>10393.93</v>
      </c>
      <c r="O1233" s="12">
        <v>19103.52</v>
      </c>
    </row>
    <row r="1234" spans="1:15">
      <c r="A1234" t="s">
        <v>1408</v>
      </c>
      <c r="B1234" t="s">
        <v>157</v>
      </c>
      <c r="C1234" s="9">
        <v>23377</v>
      </c>
      <c r="D1234">
        <v>62</v>
      </c>
      <c r="E1234" t="s">
        <v>21</v>
      </c>
      <c r="F1234" t="s">
        <v>25</v>
      </c>
      <c r="G1234" s="9">
        <v>45359</v>
      </c>
      <c r="H1234" s="9">
        <v>45642</v>
      </c>
      <c r="I1234">
        <v>9</v>
      </c>
      <c r="J1234" t="s">
        <v>32</v>
      </c>
      <c r="K1234">
        <v>0</v>
      </c>
      <c r="L1234">
        <v>6</v>
      </c>
      <c r="M1234" s="11">
        <v>7005.09</v>
      </c>
      <c r="N1234" s="12">
        <v>13057.1</v>
      </c>
      <c r="O1234" s="12">
        <v>2108.64</v>
      </c>
    </row>
    <row r="1235" spans="1:15">
      <c r="A1235" t="s">
        <v>1409</v>
      </c>
      <c r="B1235" t="s">
        <v>78</v>
      </c>
      <c r="C1235" s="9">
        <v>38352</v>
      </c>
      <c r="D1235">
        <v>21</v>
      </c>
      <c r="E1235" t="s">
        <v>17</v>
      </c>
      <c r="F1235" t="s">
        <v>74</v>
      </c>
      <c r="G1235" s="9">
        <v>45071</v>
      </c>
      <c r="H1235" s="9">
        <v>45006</v>
      </c>
      <c r="I1235">
        <v>33</v>
      </c>
      <c r="J1235" t="s">
        <v>32</v>
      </c>
      <c r="K1235">
        <v>7</v>
      </c>
      <c r="L1235">
        <v>9</v>
      </c>
      <c r="M1235" s="11">
        <v>3897.87</v>
      </c>
      <c r="N1235" s="12">
        <v>8535.7900000000009</v>
      </c>
      <c r="O1235" s="12">
        <v>10407.379999999999</v>
      </c>
    </row>
    <row r="1236" spans="1:15">
      <c r="A1236" t="s">
        <v>1410</v>
      </c>
      <c r="B1236" t="s">
        <v>619</v>
      </c>
      <c r="C1236" s="9">
        <v>36891</v>
      </c>
      <c r="D1236">
        <v>25</v>
      </c>
      <c r="E1236" t="s">
        <v>17</v>
      </c>
      <c r="F1236" t="s">
        <v>49</v>
      </c>
      <c r="G1236" s="9">
        <v>44994</v>
      </c>
      <c r="H1236" s="9">
        <v>45481</v>
      </c>
      <c r="I1236">
        <v>34</v>
      </c>
      <c r="J1236" t="s">
        <v>32</v>
      </c>
      <c r="K1236">
        <v>10</v>
      </c>
      <c r="L1236">
        <v>0</v>
      </c>
      <c r="M1236" s="11">
        <v>0</v>
      </c>
      <c r="N1236" s="12">
        <v>3252.66</v>
      </c>
      <c r="O1236" s="12">
        <v>2200.8000000000002</v>
      </c>
    </row>
    <row r="1237" spans="1:15">
      <c r="A1237" t="s">
        <v>1411</v>
      </c>
      <c r="B1237" t="s">
        <v>127</v>
      </c>
      <c r="C1237" s="9">
        <v>36161</v>
      </c>
      <c r="D1237">
        <v>27</v>
      </c>
      <c r="E1237" t="s">
        <v>17</v>
      </c>
      <c r="F1237" t="s">
        <v>25</v>
      </c>
      <c r="G1237" s="9">
        <v>45626</v>
      </c>
      <c r="H1237" s="9">
        <v>45096</v>
      </c>
      <c r="I1237">
        <v>6</v>
      </c>
      <c r="J1237" t="s">
        <v>32</v>
      </c>
      <c r="K1237">
        <v>7</v>
      </c>
      <c r="L1237">
        <v>5</v>
      </c>
      <c r="M1237" s="11">
        <v>2538.4699999999998</v>
      </c>
      <c r="N1237" s="12">
        <v>14843.7</v>
      </c>
      <c r="O1237" s="12">
        <v>13651.08</v>
      </c>
    </row>
    <row r="1238" spans="1:15">
      <c r="A1238" t="s">
        <v>1412</v>
      </c>
      <c r="B1238" t="s">
        <v>181</v>
      </c>
      <c r="C1238" s="9">
        <v>15341</v>
      </c>
      <c r="D1238">
        <v>84</v>
      </c>
      <c r="E1238" t="s">
        <v>21</v>
      </c>
      <c r="F1238" t="s">
        <v>25</v>
      </c>
      <c r="G1238" s="9">
        <v>45057</v>
      </c>
      <c r="H1238" s="9">
        <v>45176</v>
      </c>
      <c r="I1238">
        <v>36</v>
      </c>
      <c r="J1238" t="s">
        <v>32</v>
      </c>
      <c r="K1238">
        <v>10</v>
      </c>
      <c r="L1238">
        <v>1</v>
      </c>
      <c r="M1238" s="11">
        <v>8161.5</v>
      </c>
      <c r="N1238" s="12">
        <v>10256.6</v>
      </c>
      <c r="O1238" s="12">
        <v>15282.04</v>
      </c>
    </row>
    <row r="1239" spans="1:15">
      <c r="A1239" t="s">
        <v>1413</v>
      </c>
      <c r="B1239" t="s">
        <v>550</v>
      </c>
      <c r="C1239" s="9">
        <v>28490</v>
      </c>
      <c r="D1239">
        <v>48</v>
      </c>
      <c r="E1239" t="s">
        <v>21</v>
      </c>
      <c r="F1239" t="s">
        <v>29</v>
      </c>
      <c r="G1239" s="9">
        <v>45207</v>
      </c>
      <c r="H1239" s="9">
        <v>45048</v>
      </c>
      <c r="I1239">
        <v>19</v>
      </c>
      <c r="J1239" t="s">
        <v>35</v>
      </c>
      <c r="K1239">
        <v>12</v>
      </c>
      <c r="L1239">
        <v>1</v>
      </c>
      <c r="M1239" s="11">
        <v>25941.45</v>
      </c>
      <c r="N1239" s="12">
        <v>5621.28</v>
      </c>
      <c r="O1239" s="12">
        <v>17682.03</v>
      </c>
    </row>
    <row r="1240" spans="1:15">
      <c r="A1240" t="s">
        <v>1414</v>
      </c>
      <c r="B1240" t="s">
        <v>24</v>
      </c>
      <c r="C1240" s="9">
        <v>20455</v>
      </c>
      <c r="D1240">
        <v>70</v>
      </c>
      <c r="E1240" t="s">
        <v>17</v>
      </c>
      <c r="F1240" t="s">
        <v>5184</v>
      </c>
      <c r="G1240" s="9">
        <v>45578</v>
      </c>
      <c r="H1240" s="9">
        <v>45314</v>
      </c>
      <c r="I1240">
        <v>14</v>
      </c>
      <c r="J1240" t="s">
        <v>32</v>
      </c>
      <c r="K1240">
        <v>13</v>
      </c>
      <c r="L1240">
        <v>7</v>
      </c>
      <c r="M1240" s="11">
        <v>8868.7099999999991</v>
      </c>
      <c r="N1240" s="12">
        <v>14523.07</v>
      </c>
      <c r="O1240" s="12">
        <v>12965.19</v>
      </c>
    </row>
    <row r="1241" spans="1:15">
      <c r="A1241" t="s">
        <v>1415</v>
      </c>
      <c r="B1241" t="s">
        <v>261</v>
      </c>
      <c r="C1241" s="9">
        <v>16802</v>
      </c>
      <c r="D1241">
        <v>80</v>
      </c>
      <c r="E1241" t="s">
        <v>21</v>
      </c>
      <c r="F1241" t="s">
        <v>22</v>
      </c>
      <c r="G1241" s="9">
        <v>45492</v>
      </c>
      <c r="H1241" s="9">
        <v>45366</v>
      </c>
      <c r="I1241">
        <v>30</v>
      </c>
      <c r="J1241" t="s">
        <v>32</v>
      </c>
      <c r="K1241">
        <v>11</v>
      </c>
      <c r="L1241">
        <v>2</v>
      </c>
      <c r="M1241" s="11">
        <v>13841.77</v>
      </c>
      <c r="N1241" s="12">
        <v>14377.1</v>
      </c>
      <c r="O1241" s="12">
        <v>9025.25</v>
      </c>
    </row>
    <row r="1242" spans="1:15">
      <c r="A1242" t="s">
        <v>1416</v>
      </c>
      <c r="B1242" t="s">
        <v>664</v>
      </c>
      <c r="C1242" s="9">
        <v>15707</v>
      </c>
      <c r="D1242">
        <v>83</v>
      </c>
      <c r="E1242" t="s">
        <v>21</v>
      </c>
      <c r="F1242" t="s">
        <v>25</v>
      </c>
      <c r="G1242" s="9">
        <v>45439</v>
      </c>
      <c r="H1242" s="9">
        <v>45199</v>
      </c>
      <c r="I1242">
        <v>21</v>
      </c>
      <c r="J1242" t="s">
        <v>32</v>
      </c>
      <c r="K1242">
        <v>14</v>
      </c>
      <c r="L1242">
        <v>8</v>
      </c>
      <c r="M1242" s="11">
        <v>15354.15</v>
      </c>
      <c r="N1242" s="12">
        <v>1193.0899999999999</v>
      </c>
      <c r="O1242" s="12">
        <v>3034.33</v>
      </c>
    </row>
    <row r="1243" spans="1:15">
      <c r="A1243" t="s">
        <v>1417</v>
      </c>
      <c r="B1243" t="s">
        <v>20</v>
      </c>
      <c r="C1243" s="9">
        <v>28490</v>
      </c>
      <c r="D1243">
        <v>48</v>
      </c>
      <c r="E1243" t="s">
        <v>21</v>
      </c>
      <c r="F1243" t="s">
        <v>74</v>
      </c>
      <c r="G1243" s="9">
        <v>45566</v>
      </c>
      <c r="H1243" s="9">
        <v>45227</v>
      </c>
      <c r="I1243">
        <v>12</v>
      </c>
      <c r="J1243" t="s">
        <v>35</v>
      </c>
      <c r="K1243">
        <v>13</v>
      </c>
      <c r="L1243">
        <v>3</v>
      </c>
      <c r="M1243" s="11">
        <v>4937.87</v>
      </c>
      <c r="N1243" s="12">
        <v>297.38</v>
      </c>
      <c r="O1243" s="12">
        <v>2414.59</v>
      </c>
    </row>
    <row r="1244" spans="1:15">
      <c r="A1244" t="s">
        <v>1418</v>
      </c>
      <c r="B1244" t="s">
        <v>89</v>
      </c>
      <c r="C1244" s="9">
        <v>39083</v>
      </c>
      <c r="D1244">
        <v>19</v>
      </c>
      <c r="E1244" t="s">
        <v>17</v>
      </c>
      <c r="F1244" t="s">
        <v>49</v>
      </c>
      <c r="G1244" s="9">
        <v>44927</v>
      </c>
      <c r="H1244" s="9">
        <v>45648</v>
      </c>
      <c r="I1244">
        <v>26</v>
      </c>
      <c r="J1244" t="s">
        <v>32</v>
      </c>
      <c r="K1244">
        <v>11</v>
      </c>
      <c r="L1244">
        <v>5</v>
      </c>
      <c r="M1244" s="11">
        <v>0</v>
      </c>
      <c r="N1244" s="12">
        <v>666.85</v>
      </c>
      <c r="O1244" s="12">
        <v>9661.91</v>
      </c>
    </row>
    <row r="1245" spans="1:15">
      <c r="A1245" t="s">
        <v>1419</v>
      </c>
      <c r="B1245" t="s">
        <v>139</v>
      </c>
      <c r="C1245" s="9">
        <v>14976</v>
      </c>
      <c r="D1245">
        <v>85</v>
      </c>
      <c r="E1245" t="s">
        <v>21</v>
      </c>
      <c r="F1245" t="s">
        <v>18</v>
      </c>
      <c r="G1245" s="9">
        <v>45611</v>
      </c>
      <c r="H1245" s="9">
        <v>45400</v>
      </c>
      <c r="I1245">
        <v>29</v>
      </c>
      <c r="J1245" t="s">
        <v>32</v>
      </c>
      <c r="K1245">
        <v>11</v>
      </c>
      <c r="L1245">
        <v>0</v>
      </c>
      <c r="M1245" s="11">
        <v>25515.919999999998</v>
      </c>
      <c r="N1245" s="12">
        <v>10279.719999999999</v>
      </c>
      <c r="O1245" s="12">
        <v>16634.21</v>
      </c>
    </row>
    <row r="1246" spans="1:15">
      <c r="A1246" t="s">
        <v>1420</v>
      </c>
      <c r="B1246" t="s">
        <v>539</v>
      </c>
      <c r="C1246" s="9">
        <v>12785</v>
      </c>
      <c r="D1246">
        <v>91</v>
      </c>
      <c r="E1246" t="s">
        <v>17</v>
      </c>
      <c r="F1246" t="s">
        <v>49</v>
      </c>
      <c r="G1246" s="9">
        <v>45358</v>
      </c>
      <c r="H1246" s="9">
        <v>45085</v>
      </c>
      <c r="I1246">
        <v>30</v>
      </c>
      <c r="J1246" t="s">
        <v>32</v>
      </c>
      <c r="K1246">
        <v>5</v>
      </c>
      <c r="L1246">
        <v>9</v>
      </c>
      <c r="M1246" s="11">
        <v>1956.08</v>
      </c>
      <c r="N1246" s="12">
        <v>10663.19</v>
      </c>
      <c r="O1246" s="12">
        <v>14989.45</v>
      </c>
    </row>
    <row r="1247" spans="1:15">
      <c r="A1247" t="s">
        <v>1421</v>
      </c>
      <c r="B1247" t="s">
        <v>39</v>
      </c>
      <c r="C1247" s="9">
        <v>23377</v>
      </c>
      <c r="D1247">
        <v>62</v>
      </c>
      <c r="E1247" t="s">
        <v>21</v>
      </c>
      <c r="F1247" t="s">
        <v>74</v>
      </c>
      <c r="G1247" s="9">
        <v>45317</v>
      </c>
      <c r="H1247" s="9">
        <v>45560</v>
      </c>
      <c r="I1247">
        <v>26</v>
      </c>
      <c r="J1247" t="s">
        <v>35</v>
      </c>
      <c r="K1247">
        <v>12</v>
      </c>
      <c r="L1247">
        <v>9</v>
      </c>
      <c r="M1247" s="11">
        <v>27646</v>
      </c>
      <c r="N1247" s="12">
        <v>10860.42</v>
      </c>
      <c r="O1247" s="12">
        <v>17604.12</v>
      </c>
    </row>
    <row r="1248" spans="1:15">
      <c r="A1248" t="s">
        <v>1422</v>
      </c>
      <c r="B1248" t="s">
        <v>108</v>
      </c>
      <c r="C1248" s="9">
        <v>24107</v>
      </c>
      <c r="D1248">
        <v>60</v>
      </c>
      <c r="E1248" t="s">
        <v>17</v>
      </c>
      <c r="F1248" t="s">
        <v>29</v>
      </c>
      <c r="G1248" s="9">
        <v>45192</v>
      </c>
      <c r="H1248" s="9">
        <v>45154</v>
      </c>
      <c r="I1248">
        <v>12</v>
      </c>
      <c r="J1248" t="s">
        <v>35</v>
      </c>
      <c r="K1248">
        <v>5</v>
      </c>
      <c r="L1248">
        <v>2</v>
      </c>
      <c r="M1248" s="11">
        <v>26068.959999999999</v>
      </c>
      <c r="N1248" s="12">
        <v>9453.59</v>
      </c>
      <c r="O1248" s="12">
        <v>16200.9</v>
      </c>
    </row>
    <row r="1249" spans="1:15">
      <c r="A1249" t="s">
        <v>1423</v>
      </c>
      <c r="B1249" t="s">
        <v>332</v>
      </c>
      <c r="C1249" s="9">
        <v>28490</v>
      </c>
      <c r="D1249">
        <v>48</v>
      </c>
      <c r="E1249" t="s">
        <v>17</v>
      </c>
      <c r="F1249" t="s">
        <v>74</v>
      </c>
      <c r="G1249" s="9">
        <v>45325</v>
      </c>
      <c r="H1249" s="9">
        <v>45348</v>
      </c>
      <c r="I1249">
        <v>24</v>
      </c>
      <c r="J1249" t="s">
        <v>35</v>
      </c>
      <c r="K1249">
        <v>0</v>
      </c>
      <c r="L1249">
        <v>3</v>
      </c>
      <c r="M1249" s="11">
        <v>25602.799999999999</v>
      </c>
      <c r="N1249" s="12">
        <v>4282.37</v>
      </c>
      <c r="O1249" s="12">
        <v>4029.88</v>
      </c>
    </row>
    <row r="1250" spans="1:15">
      <c r="A1250" t="s">
        <v>1424</v>
      </c>
      <c r="B1250" t="s">
        <v>168</v>
      </c>
      <c r="C1250" s="9">
        <v>20455</v>
      </c>
      <c r="D1250">
        <v>70</v>
      </c>
      <c r="E1250" t="s">
        <v>21</v>
      </c>
      <c r="F1250" t="s">
        <v>22</v>
      </c>
      <c r="G1250" s="9">
        <v>45182</v>
      </c>
      <c r="H1250" s="9">
        <v>44951</v>
      </c>
      <c r="I1250">
        <v>31</v>
      </c>
      <c r="J1250" t="s">
        <v>35</v>
      </c>
      <c r="K1250">
        <v>10</v>
      </c>
      <c r="L1250">
        <v>4</v>
      </c>
      <c r="M1250" s="11">
        <v>5555.55</v>
      </c>
      <c r="N1250" s="12">
        <v>2506.9299999999998</v>
      </c>
      <c r="O1250" s="12">
        <v>3926.52</v>
      </c>
    </row>
    <row r="1251" spans="1:15">
      <c r="A1251" t="s">
        <v>1425</v>
      </c>
      <c r="B1251" t="s">
        <v>176</v>
      </c>
      <c r="C1251" s="9">
        <v>46022</v>
      </c>
      <c r="D1251">
        <v>0</v>
      </c>
      <c r="E1251" t="s">
        <v>17</v>
      </c>
      <c r="F1251" t="s">
        <v>22</v>
      </c>
      <c r="G1251" s="9">
        <v>45321</v>
      </c>
      <c r="H1251" s="9">
        <v>45669</v>
      </c>
      <c r="I1251">
        <v>1</v>
      </c>
      <c r="J1251" t="s">
        <v>26</v>
      </c>
      <c r="K1251">
        <v>8</v>
      </c>
      <c r="L1251">
        <v>0</v>
      </c>
      <c r="M1251" s="11">
        <v>14271.56</v>
      </c>
      <c r="N1251" s="12">
        <v>13917.87</v>
      </c>
      <c r="O1251" s="12">
        <v>9106.07</v>
      </c>
    </row>
    <row r="1252" spans="1:15">
      <c r="A1252" t="s">
        <v>1426</v>
      </c>
      <c r="B1252" t="s">
        <v>356</v>
      </c>
      <c r="C1252" s="9">
        <v>41639</v>
      </c>
      <c r="D1252">
        <v>12</v>
      </c>
      <c r="E1252" t="s">
        <v>21</v>
      </c>
      <c r="F1252" t="s">
        <v>22</v>
      </c>
      <c r="G1252" s="9">
        <v>45100</v>
      </c>
      <c r="H1252" s="9">
        <v>45465</v>
      </c>
      <c r="I1252">
        <v>15</v>
      </c>
      <c r="J1252" t="s">
        <v>35</v>
      </c>
      <c r="K1252">
        <v>14</v>
      </c>
      <c r="L1252">
        <v>3</v>
      </c>
      <c r="M1252" s="11">
        <v>18292.740000000002</v>
      </c>
      <c r="N1252" s="12">
        <v>13697.1</v>
      </c>
      <c r="O1252" s="12">
        <v>3742.23</v>
      </c>
    </row>
    <row r="1253" spans="1:15">
      <c r="A1253" t="s">
        <v>1427</v>
      </c>
      <c r="B1253" t="s">
        <v>131</v>
      </c>
      <c r="C1253" s="9">
        <v>12054</v>
      </c>
      <c r="D1253">
        <v>93</v>
      </c>
      <c r="E1253" t="s">
        <v>21</v>
      </c>
      <c r="F1253" t="s">
        <v>25</v>
      </c>
      <c r="G1253" s="9">
        <v>44971</v>
      </c>
      <c r="H1253" s="9">
        <v>45497</v>
      </c>
      <c r="I1253">
        <v>18</v>
      </c>
      <c r="J1253" t="s">
        <v>32</v>
      </c>
      <c r="K1253">
        <v>10</v>
      </c>
      <c r="L1253">
        <v>4</v>
      </c>
      <c r="M1253" s="11">
        <v>2548.4699999999998</v>
      </c>
      <c r="N1253" s="12">
        <v>3637.29</v>
      </c>
      <c r="O1253" s="12">
        <v>3668.23</v>
      </c>
    </row>
    <row r="1254" spans="1:15">
      <c r="A1254" t="s">
        <v>1428</v>
      </c>
      <c r="B1254" t="s">
        <v>59</v>
      </c>
      <c r="C1254" s="9">
        <v>14611</v>
      </c>
      <c r="D1254">
        <v>86</v>
      </c>
      <c r="E1254" t="s">
        <v>17</v>
      </c>
      <c r="F1254" t="s">
        <v>29</v>
      </c>
      <c r="G1254" s="9">
        <v>45067</v>
      </c>
      <c r="H1254" s="9">
        <v>45704</v>
      </c>
      <c r="I1254">
        <v>5</v>
      </c>
      <c r="J1254" t="s">
        <v>32</v>
      </c>
      <c r="K1254">
        <v>14</v>
      </c>
      <c r="L1254">
        <v>3</v>
      </c>
      <c r="M1254" s="11">
        <v>16483.79</v>
      </c>
      <c r="N1254" s="12">
        <v>2519.06</v>
      </c>
      <c r="O1254" s="12">
        <v>5282.36</v>
      </c>
    </row>
    <row r="1255" spans="1:15">
      <c r="A1255" t="s">
        <v>1429</v>
      </c>
      <c r="B1255" t="s">
        <v>286</v>
      </c>
      <c r="C1255" s="9">
        <v>27760</v>
      </c>
      <c r="D1255">
        <v>50</v>
      </c>
      <c r="E1255" t="s">
        <v>21</v>
      </c>
      <c r="F1255" t="s">
        <v>5184</v>
      </c>
      <c r="G1255" s="9">
        <v>45465</v>
      </c>
      <c r="H1255" s="9">
        <v>45565</v>
      </c>
      <c r="I1255">
        <v>3</v>
      </c>
      <c r="J1255" t="s">
        <v>32</v>
      </c>
      <c r="K1255">
        <v>6</v>
      </c>
      <c r="L1255">
        <v>9</v>
      </c>
      <c r="M1255" s="11">
        <v>25121.32</v>
      </c>
      <c r="N1255" s="12">
        <v>5630.11</v>
      </c>
      <c r="O1255" s="12">
        <v>353.6</v>
      </c>
    </row>
    <row r="1256" spans="1:15">
      <c r="A1256" t="s">
        <v>1430</v>
      </c>
      <c r="B1256" t="s">
        <v>63</v>
      </c>
      <c r="C1256" s="9">
        <v>25934</v>
      </c>
      <c r="D1256">
        <v>55</v>
      </c>
      <c r="E1256" t="s">
        <v>21</v>
      </c>
      <c r="F1256" t="s">
        <v>22</v>
      </c>
      <c r="G1256" s="9">
        <v>45647</v>
      </c>
      <c r="H1256" s="9">
        <v>45714</v>
      </c>
      <c r="I1256">
        <v>17</v>
      </c>
      <c r="J1256" t="s">
        <v>32</v>
      </c>
      <c r="K1256">
        <v>1</v>
      </c>
      <c r="L1256">
        <v>9</v>
      </c>
      <c r="M1256" s="11">
        <v>28064.9</v>
      </c>
      <c r="N1256" s="12">
        <v>726.1</v>
      </c>
      <c r="O1256" s="12">
        <v>11383.99</v>
      </c>
    </row>
    <row r="1257" spans="1:15">
      <c r="A1257" t="s">
        <v>1431</v>
      </c>
      <c r="B1257" t="s">
        <v>244</v>
      </c>
      <c r="C1257" s="9">
        <v>16072</v>
      </c>
      <c r="D1257">
        <v>82</v>
      </c>
      <c r="E1257" t="s">
        <v>21</v>
      </c>
      <c r="F1257" t="s">
        <v>5184</v>
      </c>
      <c r="G1257" s="9">
        <v>44976</v>
      </c>
      <c r="H1257" s="9">
        <v>45467</v>
      </c>
      <c r="I1257">
        <v>1</v>
      </c>
      <c r="J1257" t="s">
        <v>26</v>
      </c>
      <c r="K1257">
        <v>6</v>
      </c>
      <c r="L1257">
        <v>6</v>
      </c>
      <c r="M1257" s="11">
        <v>7989.02</v>
      </c>
      <c r="N1257" s="12">
        <v>2432.09</v>
      </c>
      <c r="O1257" s="12">
        <v>7871.8</v>
      </c>
    </row>
    <row r="1258" spans="1:15">
      <c r="A1258" t="s">
        <v>1432</v>
      </c>
      <c r="B1258" t="s">
        <v>490</v>
      </c>
      <c r="C1258" s="9">
        <v>23742</v>
      </c>
      <c r="D1258">
        <v>61</v>
      </c>
      <c r="E1258" t="s">
        <v>21</v>
      </c>
      <c r="F1258" t="s">
        <v>18</v>
      </c>
      <c r="G1258" s="9">
        <v>44987</v>
      </c>
      <c r="H1258" s="9">
        <v>45740</v>
      </c>
      <c r="I1258">
        <v>19</v>
      </c>
      <c r="J1258" t="s">
        <v>26</v>
      </c>
      <c r="K1258">
        <v>3</v>
      </c>
      <c r="L1258">
        <v>7</v>
      </c>
      <c r="M1258" s="11">
        <v>8306.5499999999993</v>
      </c>
      <c r="N1258" s="12">
        <v>5704.48</v>
      </c>
      <c r="O1258" s="12">
        <v>4671.66</v>
      </c>
    </row>
    <row r="1259" spans="1:15">
      <c r="A1259" t="s">
        <v>1433</v>
      </c>
      <c r="B1259" t="s">
        <v>379</v>
      </c>
      <c r="C1259" s="9">
        <v>34700</v>
      </c>
      <c r="D1259">
        <v>31</v>
      </c>
      <c r="E1259" t="s">
        <v>17</v>
      </c>
      <c r="F1259" t="s">
        <v>18</v>
      </c>
      <c r="G1259" s="9">
        <v>45169</v>
      </c>
      <c r="H1259" s="9">
        <v>45055</v>
      </c>
      <c r="I1259">
        <v>18</v>
      </c>
      <c r="J1259" t="s">
        <v>26</v>
      </c>
      <c r="K1259">
        <v>11</v>
      </c>
      <c r="L1259">
        <v>7</v>
      </c>
      <c r="M1259" s="11">
        <v>7757.28</v>
      </c>
      <c r="N1259" s="12">
        <v>3581.16</v>
      </c>
      <c r="O1259" s="12">
        <v>2597.9</v>
      </c>
    </row>
    <row r="1260" spans="1:15">
      <c r="A1260" t="s">
        <v>1434</v>
      </c>
      <c r="B1260" t="s">
        <v>78</v>
      </c>
      <c r="C1260" s="9">
        <v>35430</v>
      </c>
      <c r="D1260">
        <v>29</v>
      </c>
      <c r="E1260" t="s">
        <v>21</v>
      </c>
      <c r="F1260" t="s">
        <v>5184</v>
      </c>
      <c r="G1260" s="9">
        <v>45195</v>
      </c>
      <c r="H1260" s="9">
        <v>45021</v>
      </c>
      <c r="I1260">
        <v>3</v>
      </c>
      <c r="J1260" t="s">
        <v>32</v>
      </c>
      <c r="K1260">
        <v>2</v>
      </c>
      <c r="L1260">
        <v>2</v>
      </c>
      <c r="M1260" s="11">
        <v>4180.2299999999996</v>
      </c>
      <c r="N1260" s="12">
        <v>11052.3</v>
      </c>
      <c r="O1260" s="12">
        <v>9062.59</v>
      </c>
    </row>
    <row r="1261" spans="1:15">
      <c r="A1261" t="s">
        <v>1435</v>
      </c>
      <c r="B1261" t="s">
        <v>412</v>
      </c>
      <c r="C1261" s="9">
        <v>35795</v>
      </c>
      <c r="D1261">
        <v>28</v>
      </c>
      <c r="E1261" t="s">
        <v>17</v>
      </c>
      <c r="F1261" t="s">
        <v>74</v>
      </c>
      <c r="G1261" s="9">
        <v>45066</v>
      </c>
      <c r="H1261" s="9">
        <v>45630</v>
      </c>
      <c r="I1261">
        <v>29</v>
      </c>
      <c r="J1261" t="s">
        <v>32</v>
      </c>
      <c r="K1261">
        <v>8</v>
      </c>
      <c r="L1261">
        <v>4</v>
      </c>
      <c r="M1261" s="11">
        <v>12636.77</v>
      </c>
      <c r="N1261" s="12">
        <v>13574.39</v>
      </c>
      <c r="O1261" s="12">
        <v>11999.36</v>
      </c>
    </row>
    <row r="1262" spans="1:15">
      <c r="A1262" t="s">
        <v>1436</v>
      </c>
      <c r="B1262" t="s">
        <v>48</v>
      </c>
      <c r="C1262" s="9">
        <v>28490</v>
      </c>
      <c r="D1262">
        <v>48</v>
      </c>
      <c r="E1262" t="s">
        <v>17</v>
      </c>
      <c r="F1262" t="s">
        <v>22</v>
      </c>
      <c r="G1262" s="9">
        <v>45083</v>
      </c>
      <c r="H1262" s="9">
        <v>45348</v>
      </c>
      <c r="I1262">
        <v>3</v>
      </c>
      <c r="J1262" t="s">
        <v>32</v>
      </c>
      <c r="K1262">
        <v>0</v>
      </c>
      <c r="L1262">
        <v>9</v>
      </c>
      <c r="M1262" s="11">
        <v>23426.3</v>
      </c>
      <c r="N1262" s="12">
        <v>13637.1</v>
      </c>
      <c r="O1262" s="12">
        <v>19462.87</v>
      </c>
    </row>
    <row r="1263" spans="1:15">
      <c r="A1263" t="s">
        <v>1437</v>
      </c>
      <c r="B1263" t="s">
        <v>367</v>
      </c>
      <c r="C1263" s="9">
        <v>29951</v>
      </c>
      <c r="D1263">
        <v>44</v>
      </c>
      <c r="E1263" t="s">
        <v>21</v>
      </c>
      <c r="F1263" t="s">
        <v>25</v>
      </c>
      <c r="G1263" s="9">
        <v>45523</v>
      </c>
      <c r="H1263" s="9">
        <v>45199</v>
      </c>
      <c r="I1263">
        <v>10</v>
      </c>
      <c r="J1263" t="s">
        <v>32</v>
      </c>
      <c r="K1263">
        <v>1</v>
      </c>
      <c r="L1263">
        <v>7</v>
      </c>
      <c r="M1263" s="11">
        <v>21218.7</v>
      </c>
      <c r="N1263" s="12">
        <v>9064.17</v>
      </c>
      <c r="O1263" s="12">
        <v>5001.8599999999997</v>
      </c>
    </row>
    <row r="1264" spans="1:15">
      <c r="A1264" t="s">
        <v>1438</v>
      </c>
      <c r="B1264" t="s">
        <v>39</v>
      </c>
      <c r="C1264" s="9">
        <v>12419</v>
      </c>
      <c r="D1264">
        <v>92</v>
      </c>
      <c r="E1264" t="s">
        <v>21</v>
      </c>
      <c r="F1264" t="s">
        <v>18</v>
      </c>
      <c r="G1264" s="9">
        <v>45522</v>
      </c>
      <c r="H1264" s="9">
        <v>45411</v>
      </c>
      <c r="I1264">
        <v>2</v>
      </c>
      <c r="J1264" t="s">
        <v>35</v>
      </c>
      <c r="K1264">
        <v>11</v>
      </c>
      <c r="L1264">
        <v>6</v>
      </c>
      <c r="M1264" s="11">
        <v>26959.74</v>
      </c>
      <c r="N1264" s="12">
        <v>10552.35</v>
      </c>
      <c r="O1264" s="12">
        <v>429.33</v>
      </c>
    </row>
    <row r="1265" spans="1:15">
      <c r="A1265" t="s">
        <v>1439</v>
      </c>
      <c r="B1265" t="s">
        <v>246</v>
      </c>
      <c r="C1265" s="9">
        <v>35430</v>
      </c>
      <c r="D1265">
        <v>29</v>
      </c>
      <c r="E1265" t="s">
        <v>17</v>
      </c>
      <c r="F1265" t="s">
        <v>49</v>
      </c>
      <c r="G1265" s="9">
        <v>45202</v>
      </c>
      <c r="H1265" s="9">
        <v>44932</v>
      </c>
      <c r="I1265">
        <v>19</v>
      </c>
      <c r="J1265" t="s">
        <v>35</v>
      </c>
      <c r="K1265">
        <v>11</v>
      </c>
      <c r="L1265">
        <v>8</v>
      </c>
      <c r="M1265" s="11">
        <v>10350.120000000001</v>
      </c>
      <c r="N1265" s="12">
        <v>7410.47</v>
      </c>
      <c r="O1265" s="12">
        <v>14693.9</v>
      </c>
    </row>
    <row r="1266" spans="1:15">
      <c r="A1266" t="s">
        <v>1440</v>
      </c>
      <c r="B1266" t="s">
        <v>57</v>
      </c>
      <c r="C1266" s="9">
        <v>40544</v>
      </c>
      <c r="D1266">
        <v>15</v>
      </c>
      <c r="E1266" t="s">
        <v>21</v>
      </c>
      <c r="F1266" t="s">
        <v>29</v>
      </c>
      <c r="G1266" s="9">
        <v>44957</v>
      </c>
      <c r="H1266" s="9">
        <v>45084</v>
      </c>
      <c r="I1266">
        <v>21</v>
      </c>
      <c r="J1266" t="s">
        <v>32</v>
      </c>
      <c r="K1266">
        <v>8</v>
      </c>
      <c r="L1266">
        <v>9</v>
      </c>
      <c r="M1266" s="11">
        <v>16952.689999999999</v>
      </c>
      <c r="N1266" s="12">
        <v>2200.3200000000002</v>
      </c>
      <c r="O1266" s="12">
        <v>4626.91</v>
      </c>
    </row>
    <row r="1267" spans="1:15">
      <c r="A1267" t="s">
        <v>1441</v>
      </c>
      <c r="B1267" t="s">
        <v>95</v>
      </c>
      <c r="C1267" s="9">
        <v>31778</v>
      </c>
      <c r="D1267">
        <v>39</v>
      </c>
      <c r="E1267" t="s">
        <v>21</v>
      </c>
      <c r="F1267" t="s">
        <v>49</v>
      </c>
      <c r="G1267" s="9">
        <v>44934</v>
      </c>
      <c r="H1267" s="9">
        <v>44979</v>
      </c>
      <c r="I1267">
        <v>38</v>
      </c>
      <c r="J1267" t="s">
        <v>35</v>
      </c>
      <c r="K1267">
        <v>11</v>
      </c>
      <c r="L1267">
        <v>6</v>
      </c>
      <c r="M1267" s="11">
        <v>22879.33</v>
      </c>
      <c r="N1267" s="12">
        <v>9525.5400000000009</v>
      </c>
      <c r="O1267" s="12">
        <v>9633.7000000000007</v>
      </c>
    </row>
    <row r="1268" spans="1:15">
      <c r="A1268" t="s">
        <v>1442</v>
      </c>
      <c r="B1268" t="s">
        <v>284</v>
      </c>
      <c r="C1268" s="9">
        <v>39448</v>
      </c>
      <c r="D1268">
        <v>18</v>
      </c>
      <c r="E1268" t="s">
        <v>21</v>
      </c>
      <c r="F1268" t="s">
        <v>5184</v>
      </c>
      <c r="G1268" s="9">
        <v>45641</v>
      </c>
      <c r="H1268" s="9">
        <v>45170</v>
      </c>
      <c r="I1268">
        <v>27</v>
      </c>
      <c r="J1268" t="s">
        <v>35</v>
      </c>
      <c r="K1268">
        <v>0</v>
      </c>
      <c r="L1268">
        <v>1</v>
      </c>
      <c r="M1268" s="11">
        <v>26894.29</v>
      </c>
      <c r="N1268" s="12">
        <v>5249.31</v>
      </c>
      <c r="O1268" s="12">
        <v>16145.33</v>
      </c>
    </row>
    <row r="1269" spans="1:15">
      <c r="A1269" t="s">
        <v>1443</v>
      </c>
      <c r="B1269" t="s">
        <v>261</v>
      </c>
      <c r="C1269" s="9">
        <v>39813</v>
      </c>
      <c r="D1269">
        <v>17</v>
      </c>
      <c r="E1269" t="s">
        <v>17</v>
      </c>
      <c r="F1269" t="s">
        <v>18</v>
      </c>
      <c r="G1269" s="9">
        <v>44959</v>
      </c>
      <c r="H1269" s="9">
        <v>45590</v>
      </c>
      <c r="I1269">
        <v>19</v>
      </c>
      <c r="J1269" t="s">
        <v>32</v>
      </c>
      <c r="K1269">
        <v>9</v>
      </c>
      <c r="L1269">
        <v>3</v>
      </c>
      <c r="M1269" s="11">
        <v>26088.51</v>
      </c>
      <c r="N1269" s="12">
        <v>86.9</v>
      </c>
      <c r="O1269" s="12">
        <v>643.23</v>
      </c>
    </row>
    <row r="1270" spans="1:15">
      <c r="A1270" t="s">
        <v>1444</v>
      </c>
      <c r="B1270" t="s">
        <v>596</v>
      </c>
      <c r="C1270" s="9">
        <v>46022</v>
      </c>
      <c r="D1270">
        <f ca="1">DATEDIF(C1221,TODAY(),"Y")</f>
        <v>42</v>
      </c>
      <c r="E1270" t="s">
        <v>17</v>
      </c>
      <c r="F1270" t="s">
        <v>18</v>
      </c>
      <c r="G1270" s="9">
        <v>45581</v>
      </c>
      <c r="H1270" s="9">
        <v>45701</v>
      </c>
      <c r="I1270">
        <v>9</v>
      </c>
      <c r="J1270" t="s">
        <v>32</v>
      </c>
      <c r="K1270">
        <v>10</v>
      </c>
      <c r="L1270">
        <v>7</v>
      </c>
      <c r="M1270" s="11">
        <v>13698.29</v>
      </c>
      <c r="N1270" s="12">
        <v>8624.31</v>
      </c>
      <c r="O1270" s="12">
        <v>2744.54</v>
      </c>
    </row>
    <row r="1271" spans="1:15">
      <c r="A1271" t="s">
        <v>1445</v>
      </c>
      <c r="B1271" t="s">
        <v>469</v>
      </c>
      <c r="C1271" s="9">
        <v>17898</v>
      </c>
      <c r="D1271">
        <v>77</v>
      </c>
      <c r="E1271" t="s">
        <v>21</v>
      </c>
      <c r="F1271" t="s">
        <v>74</v>
      </c>
      <c r="G1271" s="9">
        <v>45378</v>
      </c>
      <c r="H1271" s="9">
        <v>45347</v>
      </c>
      <c r="I1271">
        <v>23</v>
      </c>
      <c r="J1271" t="s">
        <v>26</v>
      </c>
      <c r="K1271">
        <v>14</v>
      </c>
      <c r="L1271">
        <v>8</v>
      </c>
      <c r="M1271" s="11">
        <v>27159.16</v>
      </c>
      <c r="N1271" s="12">
        <v>2975.53</v>
      </c>
      <c r="O1271" s="12">
        <v>1873.34</v>
      </c>
    </row>
    <row r="1272" spans="1:15">
      <c r="A1272" t="s">
        <v>1446</v>
      </c>
      <c r="B1272" t="s">
        <v>261</v>
      </c>
      <c r="C1272" s="9">
        <v>29221</v>
      </c>
      <c r="D1272">
        <v>46</v>
      </c>
      <c r="E1272" t="s">
        <v>21</v>
      </c>
      <c r="F1272" t="s">
        <v>74</v>
      </c>
      <c r="G1272" s="9">
        <v>45375</v>
      </c>
      <c r="H1272" s="9">
        <v>45744</v>
      </c>
      <c r="I1272">
        <v>1</v>
      </c>
      <c r="J1272" t="s">
        <v>32</v>
      </c>
      <c r="K1272">
        <v>2</v>
      </c>
      <c r="L1272">
        <v>6</v>
      </c>
      <c r="M1272" s="11">
        <v>13043.7</v>
      </c>
      <c r="N1272" s="12">
        <v>13297.58</v>
      </c>
      <c r="O1272" s="12">
        <v>4597.8999999999996</v>
      </c>
    </row>
    <row r="1273" spans="1:15">
      <c r="A1273" t="s">
        <v>1447</v>
      </c>
      <c r="B1273" t="s">
        <v>578</v>
      </c>
      <c r="C1273" s="9">
        <v>22281</v>
      </c>
      <c r="D1273">
        <v>65</v>
      </c>
      <c r="E1273" t="s">
        <v>17</v>
      </c>
      <c r="F1273" t="s">
        <v>22</v>
      </c>
      <c r="G1273" s="9">
        <v>44963</v>
      </c>
      <c r="H1273" s="9">
        <v>45352</v>
      </c>
      <c r="I1273">
        <v>16</v>
      </c>
      <c r="J1273" t="s">
        <v>32</v>
      </c>
      <c r="K1273">
        <v>1</v>
      </c>
      <c r="L1273">
        <v>4</v>
      </c>
      <c r="M1273" s="11">
        <v>27036.38</v>
      </c>
      <c r="N1273" s="12">
        <v>14009.17</v>
      </c>
      <c r="O1273" s="12">
        <v>3377.94</v>
      </c>
    </row>
    <row r="1274" spans="1:15">
      <c r="A1274" t="s">
        <v>1448</v>
      </c>
      <c r="B1274" t="s">
        <v>246</v>
      </c>
      <c r="C1274" s="9">
        <v>12785</v>
      </c>
      <c r="D1274">
        <v>91</v>
      </c>
      <c r="E1274" t="s">
        <v>17</v>
      </c>
      <c r="F1274" t="s">
        <v>5184</v>
      </c>
      <c r="G1274" s="9">
        <v>45585</v>
      </c>
      <c r="H1274" s="9">
        <v>45007</v>
      </c>
      <c r="I1274">
        <v>13</v>
      </c>
      <c r="J1274" t="s">
        <v>32</v>
      </c>
      <c r="K1274">
        <v>3</v>
      </c>
      <c r="L1274">
        <v>0</v>
      </c>
      <c r="M1274" s="11">
        <v>23197.61</v>
      </c>
      <c r="N1274" s="12">
        <v>2432.6</v>
      </c>
      <c r="O1274" s="12">
        <v>6263.7</v>
      </c>
    </row>
    <row r="1275" spans="1:15">
      <c r="A1275" t="s">
        <v>1449</v>
      </c>
      <c r="B1275" t="s">
        <v>264</v>
      </c>
      <c r="C1275" s="9">
        <v>12054</v>
      </c>
      <c r="D1275">
        <v>93</v>
      </c>
      <c r="E1275" t="s">
        <v>17</v>
      </c>
      <c r="F1275" t="s">
        <v>29</v>
      </c>
      <c r="G1275" s="9">
        <v>44960</v>
      </c>
      <c r="H1275" s="9">
        <v>45622</v>
      </c>
      <c r="I1275">
        <v>9</v>
      </c>
      <c r="J1275" t="s">
        <v>32</v>
      </c>
      <c r="K1275">
        <v>5</v>
      </c>
      <c r="L1275">
        <v>8</v>
      </c>
      <c r="M1275" s="11">
        <v>6260.26</v>
      </c>
      <c r="N1275" s="12">
        <v>441.19</v>
      </c>
      <c r="O1275" s="12">
        <v>14900.72</v>
      </c>
    </row>
    <row r="1276" spans="1:15">
      <c r="A1276" t="s">
        <v>1450</v>
      </c>
      <c r="B1276" t="s">
        <v>168</v>
      </c>
      <c r="C1276" s="9">
        <v>32508</v>
      </c>
      <c r="D1276">
        <v>37</v>
      </c>
      <c r="E1276" t="s">
        <v>17</v>
      </c>
      <c r="F1276" t="s">
        <v>22</v>
      </c>
      <c r="G1276" s="9">
        <v>45381</v>
      </c>
      <c r="H1276" s="9">
        <v>45281</v>
      </c>
      <c r="I1276">
        <v>30</v>
      </c>
      <c r="J1276" t="s">
        <v>35</v>
      </c>
      <c r="K1276">
        <v>7</v>
      </c>
      <c r="L1276">
        <v>5</v>
      </c>
      <c r="M1276" s="11">
        <v>27854.86</v>
      </c>
      <c r="N1276" s="12">
        <v>60.67</v>
      </c>
      <c r="O1276" s="12">
        <v>751.11</v>
      </c>
    </row>
    <row r="1277" spans="1:15">
      <c r="A1277" t="s">
        <v>1451</v>
      </c>
      <c r="B1277" t="s">
        <v>332</v>
      </c>
      <c r="C1277" s="9">
        <v>27760</v>
      </c>
      <c r="D1277">
        <v>50</v>
      </c>
      <c r="E1277" t="s">
        <v>21</v>
      </c>
      <c r="F1277" t="s">
        <v>74</v>
      </c>
      <c r="G1277" s="9">
        <v>45370</v>
      </c>
      <c r="H1277" s="9">
        <v>45546</v>
      </c>
      <c r="I1277">
        <v>18</v>
      </c>
      <c r="J1277" t="s">
        <v>35</v>
      </c>
      <c r="K1277">
        <v>3</v>
      </c>
      <c r="L1277">
        <v>1</v>
      </c>
      <c r="M1277" s="11">
        <v>6895.17</v>
      </c>
      <c r="N1277" s="12">
        <v>13695.65</v>
      </c>
      <c r="O1277" s="12">
        <v>1382.65</v>
      </c>
    </row>
    <row r="1278" spans="1:15">
      <c r="A1278" t="s">
        <v>1452</v>
      </c>
      <c r="B1278" t="s">
        <v>328</v>
      </c>
      <c r="C1278" s="9">
        <v>23377</v>
      </c>
      <c r="D1278">
        <v>62</v>
      </c>
      <c r="E1278" t="s">
        <v>17</v>
      </c>
      <c r="F1278" t="s">
        <v>25</v>
      </c>
      <c r="G1278" s="9">
        <v>45163</v>
      </c>
      <c r="H1278" s="9">
        <v>45593</v>
      </c>
      <c r="I1278">
        <v>33</v>
      </c>
      <c r="J1278" t="s">
        <v>32</v>
      </c>
      <c r="K1278">
        <v>6</v>
      </c>
      <c r="L1278">
        <v>9</v>
      </c>
      <c r="M1278" s="11">
        <v>27206.81</v>
      </c>
      <c r="N1278" s="12">
        <v>2280.2800000000002</v>
      </c>
      <c r="O1278" s="12">
        <v>11242.91</v>
      </c>
    </row>
    <row r="1279" spans="1:15">
      <c r="A1279" t="s">
        <v>1453</v>
      </c>
      <c r="B1279" t="s">
        <v>57</v>
      </c>
      <c r="C1279" s="9">
        <v>44927</v>
      </c>
      <c r="D1279">
        <v>3</v>
      </c>
      <c r="E1279" t="s">
        <v>21</v>
      </c>
      <c r="F1279" t="s">
        <v>29</v>
      </c>
      <c r="G1279" s="9">
        <v>45138</v>
      </c>
      <c r="H1279" s="9">
        <v>45220</v>
      </c>
      <c r="I1279">
        <v>6</v>
      </c>
      <c r="J1279" t="s">
        <v>32</v>
      </c>
      <c r="K1279">
        <v>0</v>
      </c>
      <c r="L1279">
        <v>9</v>
      </c>
      <c r="M1279" s="11">
        <v>18260.830000000002</v>
      </c>
      <c r="N1279" s="12">
        <v>6529.99</v>
      </c>
      <c r="O1279" s="12">
        <v>10357.219999999999</v>
      </c>
    </row>
    <row r="1280" spans="1:15">
      <c r="A1280" t="s">
        <v>1454</v>
      </c>
      <c r="B1280" t="s">
        <v>1148</v>
      </c>
      <c r="C1280" s="9">
        <v>46022</v>
      </c>
      <c r="D1280">
        <v>0</v>
      </c>
      <c r="E1280" t="s">
        <v>21</v>
      </c>
      <c r="F1280" t="s">
        <v>25</v>
      </c>
      <c r="G1280" s="9">
        <v>45066</v>
      </c>
      <c r="H1280" s="9">
        <v>45644</v>
      </c>
      <c r="I1280">
        <v>36</v>
      </c>
      <c r="J1280" t="s">
        <v>26</v>
      </c>
      <c r="K1280">
        <v>4</v>
      </c>
      <c r="L1280">
        <v>1</v>
      </c>
      <c r="M1280" s="11">
        <v>19854.97</v>
      </c>
      <c r="N1280" s="12">
        <v>857.42</v>
      </c>
      <c r="O1280" s="12">
        <v>9428.91</v>
      </c>
    </row>
    <row r="1281" spans="1:15">
      <c r="A1281" t="s">
        <v>1455</v>
      </c>
      <c r="B1281" t="s">
        <v>80</v>
      </c>
      <c r="C1281" s="9">
        <v>43466</v>
      </c>
      <c r="D1281">
        <v>7</v>
      </c>
      <c r="E1281" t="s">
        <v>17</v>
      </c>
      <c r="F1281" t="s">
        <v>22</v>
      </c>
      <c r="G1281" s="9">
        <v>45628</v>
      </c>
      <c r="H1281" s="9">
        <v>45043</v>
      </c>
      <c r="I1281">
        <v>39</v>
      </c>
      <c r="J1281" t="s">
        <v>32</v>
      </c>
      <c r="K1281">
        <v>6</v>
      </c>
      <c r="L1281">
        <v>9</v>
      </c>
      <c r="M1281" s="11">
        <v>2834.67</v>
      </c>
      <c r="N1281" s="12">
        <v>5600.19</v>
      </c>
      <c r="O1281" s="12">
        <v>10269.77</v>
      </c>
    </row>
    <row r="1282" spans="1:15">
      <c r="A1282" t="s">
        <v>1456</v>
      </c>
      <c r="B1282" t="s">
        <v>1148</v>
      </c>
      <c r="C1282" s="9">
        <v>35795</v>
      </c>
      <c r="D1282">
        <v>28</v>
      </c>
      <c r="E1282" t="s">
        <v>21</v>
      </c>
      <c r="F1282" t="s">
        <v>74</v>
      </c>
      <c r="G1282" s="9">
        <v>45534</v>
      </c>
      <c r="H1282" s="9">
        <v>45456</v>
      </c>
      <c r="I1282">
        <v>5</v>
      </c>
      <c r="J1282" t="s">
        <v>26</v>
      </c>
      <c r="K1282">
        <v>7</v>
      </c>
      <c r="L1282">
        <v>0</v>
      </c>
      <c r="M1282" s="11">
        <v>1505.1</v>
      </c>
      <c r="N1282" s="12">
        <v>11781.37</v>
      </c>
      <c r="O1282" s="12">
        <v>14814.98</v>
      </c>
    </row>
    <row r="1283" spans="1:15">
      <c r="A1283" t="s">
        <v>1457</v>
      </c>
      <c r="B1283" t="s">
        <v>93</v>
      </c>
      <c r="C1283" s="9">
        <v>26299</v>
      </c>
      <c r="D1283">
        <v>54</v>
      </c>
      <c r="E1283" t="s">
        <v>5185</v>
      </c>
      <c r="F1283" t="s">
        <v>29</v>
      </c>
      <c r="G1283" s="9">
        <v>45632</v>
      </c>
      <c r="H1283" s="9">
        <v>45407</v>
      </c>
      <c r="I1283">
        <v>17</v>
      </c>
      <c r="J1283" t="s">
        <v>26</v>
      </c>
      <c r="K1283">
        <v>9</v>
      </c>
      <c r="L1283">
        <v>3</v>
      </c>
      <c r="M1283" s="11">
        <v>29034.400000000001</v>
      </c>
      <c r="N1283" s="12">
        <v>6100.03</v>
      </c>
      <c r="O1283" s="12">
        <v>11479.89</v>
      </c>
    </row>
    <row r="1284" spans="1:15">
      <c r="A1284" t="s">
        <v>1458</v>
      </c>
      <c r="B1284" t="s">
        <v>379</v>
      </c>
      <c r="C1284" s="9">
        <v>45292</v>
      </c>
      <c r="D1284">
        <v>2</v>
      </c>
      <c r="E1284" t="s">
        <v>21</v>
      </c>
      <c r="F1284" t="s">
        <v>22</v>
      </c>
      <c r="G1284" s="9">
        <v>45287</v>
      </c>
      <c r="H1284" s="9">
        <v>45215</v>
      </c>
      <c r="I1284">
        <v>7</v>
      </c>
      <c r="J1284" t="s">
        <v>32</v>
      </c>
      <c r="K1284">
        <v>2</v>
      </c>
      <c r="L1284">
        <v>9</v>
      </c>
      <c r="M1284" s="11">
        <v>9776.2999999999993</v>
      </c>
      <c r="N1284" s="12">
        <v>11633.7</v>
      </c>
      <c r="O1284" s="12">
        <v>9085.16</v>
      </c>
    </row>
    <row r="1285" spans="1:15">
      <c r="A1285" t="s">
        <v>1459</v>
      </c>
      <c r="B1285" t="s">
        <v>286</v>
      </c>
      <c r="C1285" s="9">
        <f>DATE(2026-D1245,1,1)</f>
        <v>14977</v>
      </c>
      <c r="D1285">
        <v>31</v>
      </c>
      <c r="E1285" t="s">
        <v>17</v>
      </c>
      <c r="F1285" t="s">
        <v>18</v>
      </c>
      <c r="G1285" s="9">
        <v>45230</v>
      </c>
      <c r="H1285" s="9">
        <v>45595</v>
      </c>
      <c r="I1285">
        <v>29</v>
      </c>
      <c r="J1285" t="s">
        <v>32</v>
      </c>
      <c r="K1285">
        <v>2</v>
      </c>
      <c r="L1285">
        <v>1</v>
      </c>
      <c r="M1285" s="11">
        <v>25253.32</v>
      </c>
      <c r="N1285" s="12">
        <v>10332.59</v>
      </c>
      <c r="O1285" s="12">
        <v>1543.19</v>
      </c>
    </row>
    <row r="1286" spans="1:15">
      <c r="A1286" t="s">
        <v>1460</v>
      </c>
      <c r="B1286" t="s">
        <v>550</v>
      </c>
      <c r="C1286" s="9">
        <v>42735</v>
      </c>
      <c r="D1286">
        <v>9</v>
      </c>
      <c r="E1286" t="s">
        <v>17</v>
      </c>
      <c r="F1286" t="s">
        <v>22</v>
      </c>
      <c r="G1286" s="9">
        <v>45222</v>
      </c>
      <c r="H1286" s="9">
        <v>45404</v>
      </c>
      <c r="I1286">
        <v>25</v>
      </c>
      <c r="J1286" t="s">
        <v>32</v>
      </c>
      <c r="K1286">
        <v>5</v>
      </c>
      <c r="L1286">
        <v>9</v>
      </c>
      <c r="M1286" s="11">
        <v>20986.5</v>
      </c>
      <c r="N1286" s="12">
        <v>7759.62</v>
      </c>
      <c r="O1286" s="12">
        <v>19492.900000000001</v>
      </c>
    </row>
    <row r="1287" spans="1:15">
      <c r="A1287" t="s">
        <v>1461</v>
      </c>
      <c r="B1287" t="s">
        <v>289</v>
      </c>
      <c r="C1287" s="9">
        <v>19359</v>
      </c>
      <c r="D1287">
        <v>73</v>
      </c>
      <c r="E1287" t="s">
        <v>21</v>
      </c>
      <c r="F1287" t="s">
        <v>5184</v>
      </c>
      <c r="G1287" s="9">
        <v>45078</v>
      </c>
      <c r="H1287" s="9">
        <v>44952</v>
      </c>
      <c r="I1287">
        <v>7</v>
      </c>
      <c r="J1287" t="s">
        <v>26</v>
      </c>
      <c r="K1287">
        <v>11</v>
      </c>
      <c r="L1287">
        <v>8</v>
      </c>
      <c r="M1287" s="11">
        <v>17926.22</v>
      </c>
      <c r="N1287" s="12">
        <v>11065.65</v>
      </c>
      <c r="O1287" s="12">
        <v>4710.6099999999997</v>
      </c>
    </row>
    <row r="1288" spans="1:15">
      <c r="A1288" t="s">
        <v>1462</v>
      </c>
      <c r="B1288" t="s">
        <v>671</v>
      </c>
      <c r="C1288" s="9">
        <v>16072</v>
      </c>
      <c r="D1288">
        <v>82</v>
      </c>
      <c r="E1288" t="s">
        <v>17</v>
      </c>
      <c r="F1288" t="s">
        <v>49</v>
      </c>
      <c r="G1288" s="9">
        <v>45149</v>
      </c>
      <c r="H1288" s="9">
        <v>45358</v>
      </c>
      <c r="I1288">
        <v>5</v>
      </c>
      <c r="J1288" t="s">
        <v>35</v>
      </c>
      <c r="K1288">
        <v>2</v>
      </c>
      <c r="L1288">
        <v>1</v>
      </c>
      <c r="M1288" s="11">
        <v>20398.900000000001</v>
      </c>
      <c r="N1288" s="12">
        <v>13186.71</v>
      </c>
      <c r="O1288" s="12">
        <v>17370.07</v>
      </c>
    </row>
    <row r="1289" spans="1:15">
      <c r="A1289" t="s">
        <v>1463</v>
      </c>
      <c r="B1289" t="s">
        <v>28</v>
      </c>
      <c r="C1289" s="9">
        <v>33969</v>
      </c>
      <c r="D1289">
        <v>33</v>
      </c>
      <c r="E1289" t="s">
        <v>21</v>
      </c>
      <c r="F1289" t="s">
        <v>18</v>
      </c>
      <c r="G1289" s="9">
        <v>45122</v>
      </c>
      <c r="H1289" s="9">
        <v>45205</v>
      </c>
      <c r="I1289">
        <v>30</v>
      </c>
      <c r="J1289" t="s">
        <v>26</v>
      </c>
      <c r="K1289">
        <v>14</v>
      </c>
      <c r="L1289">
        <v>8</v>
      </c>
      <c r="M1289" s="11">
        <v>2226.31</v>
      </c>
      <c r="N1289" s="12">
        <v>11895.17</v>
      </c>
      <c r="O1289" s="12">
        <v>7517.45</v>
      </c>
    </row>
    <row r="1290" spans="1:15">
      <c r="A1290" t="s">
        <v>1464</v>
      </c>
      <c r="B1290" t="s">
        <v>95</v>
      </c>
      <c r="C1290" s="9">
        <v>14611</v>
      </c>
      <c r="D1290">
        <v>86</v>
      </c>
      <c r="E1290" t="s">
        <v>17</v>
      </c>
      <c r="F1290" t="s">
        <v>25</v>
      </c>
      <c r="G1290" s="9">
        <v>45526</v>
      </c>
      <c r="H1290" s="9">
        <v>45244</v>
      </c>
      <c r="I1290">
        <v>10</v>
      </c>
      <c r="J1290" t="s">
        <v>26</v>
      </c>
      <c r="K1290">
        <v>3</v>
      </c>
      <c r="L1290">
        <v>0</v>
      </c>
      <c r="M1290" s="11">
        <v>12078.06</v>
      </c>
      <c r="N1290" s="12">
        <v>10375.950000000001</v>
      </c>
      <c r="O1290" s="12">
        <v>13647.12</v>
      </c>
    </row>
    <row r="1291" spans="1:15">
      <c r="A1291" t="s">
        <v>1465</v>
      </c>
      <c r="B1291" t="s">
        <v>578</v>
      </c>
      <c r="C1291" s="9">
        <v>26299</v>
      </c>
      <c r="D1291">
        <v>54</v>
      </c>
      <c r="E1291" t="s">
        <v>21</v>
      </c>
      <c r="F1291" t="s">
        <v>18</v>
      </c>
      <c r="G1291" s="9">
        <v>45225</v>
      </c>
      <c r="H1291" s="9">
        <v>45565</v>
      </c>
      <c r="I1291">
        <v>32</v>
      </c>
      <c r="J1291" t="s">
        <v>26</v>
      </c>
      <c r="K1291">
        <v>13</v>
      </c>
      <c r="L1291">
        <v>6</v>
      </c>
      <c r="M1291" s="11">
        <v>18015.830000000002</v>
      </c>
      <c r="N1291" s="12">
        <v>10527.33</v>
      </c>
      <c r="O1291" s="12">
        <v>9028.01</v>
      </c>
    </row>
    <row r="1292" spans="1:15">
      <c r="A1292" t="s">
        <v>1466</v>
      </c>
      <c r="B1292" t="s">
        <v>28</v>
      </c>
      <c r="C1292" s="9">
        <v>12785</v>
      </c>
      <c r="D1292">
        <v>91</v>
      </c>
      <c r="E1292" t="s">
        <v>17</v>
      </c>
      <c r="F1292" t="s">
        <v>22</v>
      </c>
      <c r="G1292" s="9">
        <v>45455</v>
      </c>
      <c r="H1292" s="9">
        <v>45739</v>
      </c>
      <c r="I1292">
        <v>26</v>
      </c>
      <c r="J1292" t="s">
        <v>32</v>
      </c>
      <c r="K1292">
        <v>13</v>
      </c>
      <c r="L1292">
        <v>5</v>
      </c>
      <c r="M1292" s="11">
        <v>25960.67</v>
      </c>
      <c r="N1292" s="12">
        <v>2416.48</v>
      </c>
      <c r="O1292" s="12">
        <v>7018.67</v>
      </c>
    </row>
    <row r="1293" spans="1:15">
      <c r="A1293" t="s">
        <v>1467</v>
      </c>
      <c r="B1293" t="s">
        <v>232</v>
      </c>
      <c r="C1293" s="9">
        <v>34700</v>
      </c>
      <c r="D1293">
        <v>31</v>
      </c>
      <c r="E1293" t="s">
        <v>21</v>
      </c>
      <c r="F1293" t="s">
        <v>18</v>
      </c>
      <c r="G1293" s="9">
        <v>45414</v>
      </c>
      <c r="H1293" s="9">
        <v>45285</v>
      </c>
      <c r="I1293">
        <v>2</v>
      </c>
      <c r="J1293" t="s">
        <v>35</v>
      </c>
      <c r="K1293">
        <v>0</v>
      </c>
      <c r="L1293">
        <v>5</v>
      </c>
      <c r="M1293" s="11">
        <v>21297.96</v>
      </c>
      <c r="N1293" s="12">
        <v>14260.08</v>
      </c>
      <c r="O1293" s="12">
        <v>12247.53</v>
      </c>
    </row>
    <row r="1294" spans="1:15">
      <c r="A1294" t="s">
        <v>1468</v>
      </c>
      <c r="B1294" t="s">
        <v>350</v>
      </c>
      <c r="C1294" s="9">
        <v>28125</v>
      </c>
      <c r="D1294">
        <v>49</v>
      </c>
      <c r="E1294" t="s">
        <v>21</v>
      </c>
      <c r="F1294" t="s">
        <v>49</v>
      </c>
      <c r="G1294" s="9">
        <v>45137</v>
      </c>
      <c r="H1294" s="9">
        <v>45203</v>
      </c>
      <c r="I1294">
        <v>0</v>
      </c>
      <c r="J1294" t="s">
        <v>26</v>
      </c>
      <c r="K1294">
        <v>0</v>
      </c>
      <c r="L1294">
        <v>1</v>
      </c>
      <c r="M1294" s="11">
        <v>7210.62</v>
      </c>
      <c r="N1294" s="12">
        <v>3084.96</v>
      </c>
      <c r="O1294" s="12">
        <v>10675.74</v>
      </c>
    </row>
    <row r="1295" spans="1:15">
      <c r="A1295" t="s">
        <v>1469</v>
      </c>
      <c r="B1295" t="s">
        <v>300</v>
      </c>
      <c r="C1295" s="9">
        <v>43831</v>
      </c>
      <c r="D1295">
        <v>6</v>
      </c>
      <c r="E1295" t="s">
        <v>21</v>
      </c>
      <c r="F1295" t="s">
        <v>5184</v>
      </c>
      <c r="G1295" s="9">
        <v>45158</v>
      </c>
      <c r="H1295" s="9">
        <v>45804</v>
      </c>
      <c r="I1295">
        <v>34</v>
      </c>
      <c r="J1295" t="s">
        <v>26</v>
      </c>
      <c r="K1295">
        <v>9</v>
      </c>
      <c r="L1295">
        <v>0</v>
      </c>
      <c r="M1295" s="11">
        <v>29540.25</v>
      </c>
      <c r="N1295" s="12">
        <v>5234.28</v>
      </c>
      <c r="O1295" s="12">
        <v>4571.8900000000003</v>
      </c>
    </row>
    <row r="1296" spans="1:15">
      <c r="A1296" t="s">
        <v>1470</v>
      </c>
      <c r="B1296" t="s">
        <v>539</v>
      </c>
      <c r="C1296" s="9">
        <v>12419</v>
      </c>
      <c r="D1296">
        <v>92</v>
      </c>
      <c r="E1296" t="s">
        <v>21</v>
      </c>
      <c r="F1296" t="s">
        <v>22</v>
      </c>
      <c r="G1296" s="9">
        <v>45621</v>
      </c>
      <c r="H1296" s="9">
        <v>45617</v>
      </c>
      <c r="I1296">
        <v>38</v>
      </c>
      <c r="J1296" t="s">
        <v>32</v>
      </c>
      <c r="K1296">
        <v>12</v>
      </c>
      <c r="L1296">
        <v>9</v>
      </c>
      <c r="M1296" s="11">
        <v>19112.62</v>
      </c>
      <c r="N1296" s="12">
        <v>7769.8</v>
      </c>
      <c r="O1296" s="12">
        <v>6658.46</v>
      </c>
    </row>
    <row r="1297" spans="1:15">
      <c r="A1297" t="s">
        <v>1471</v>
      </c>
      <c r="B1297" t="s">
        <v>201</v>
      </c>
      <c r="C1297" s="9">
        <v>43466</v>
      </c>
      <c r="D1297">
        <v>7</v>
      </c>
      <c r="E1297" t="s">
        <v>17</v>
      </c>
      <c r="F1297" t="s">
        <v>49</v>
      </c>
      <c r="G1297" s="9">
        <v>45600</v>
      </c>
      <c r="H1297" s="9">
        <v>45271</v>
      </c>
      <c r="I1297">
        <v>3</v>
      </c>
      <c r="J1297" t="s">
        <v>26</v>
      </c>
      <c r="K1297">
        <v>8</v>
      </c>
      <c r="L1297">
        <v>7</v>
      </c>
      <c r="M1297" s="11">
        <v>14790.16</v>
      </c>
      <c r="N1297" s="12">
        <v>1892.71</v>
      </c>
      <c r="O1297" s="12">
        <v>590.97</v>
      </c>
    </row>
    <row r="1298" spans="1:15">
      <c r="A1298" t="s">
        <v>1472</v>
      </c>
      <c r="B1298" t="s">
        <v>671</v>
      </c>
      <c r="C1298" s="9">
        <v>22646</v>
      </c>
      <c r="D1298">
        <v>64</v>
      </c>
      <c r="E1298" t="s">
        <v>17</v>
      </c>
      <c r="F1298" t="s">
        <v>18</v>
      </c>
      <c r="G1298" s="9">
        <v>45293</v>
      </c>
      <c r="H1298" s="9">
        <v>45358</v>
      </c>
      <c r="I1298">
        <v>39</v>
      </c>
      <c r="J1298" t="s">
        <v>35</v>
      </c>
      <c r="K1298">
        <v>3</v>
      </c>
      <c r="L1298">
        <v>7</v>
      </c>
      <c r="M1298" s="11">
        <v>23332.05</v>
      </c>
      <c r="N1298" s="12">
        <v>8903.64</v>
      </c>
      <c r="O1298" s="12">
        <v>3791.03</v>
      </c>
    </row>
    <row r="1299" spans="1:15">
      <c r="A1299" t="s">
        <v>1473</v>
      </c>
      <c r="B1299" t="s">
        <v>166</v>
      </c>
      <c r="C1299" s="9">
        <f>DATE(2026-D1259,1,1)</f>
        <v>34700</v>
      </c>
      <c r="D1299">
        <v>56</v>
      </c>
      <c r="E1299" t="s">
        <v>17</v>
      </c>
      <c r="F1299" t="s">
        <v>49</v>
      </c>
      <c r="G1299" s="9">
        <v>45407</v>
      </c>
      <c r="H1299" s="9">
        <v>45486</v>
      </c>
      <c r="I1299">
        <v>13</v>
      </c>
      <c r="J1299" t="s">
        <v>26</v>
      </c>
      <c r="K1299">
        <v>10</v>
      </c>
      <c r="L1299">
        <v>1</v>
      </c>
      <c r="M1299" s="11">
        <v>17882.36</v>
      </c>
      <c r="N1299" s="12">
        <v>2740.18</v>
      </c>
      <c r="O1299" s="12">
        <v>6650.24</v>
      </c>
    </row>
    <row r="1300" spans="1:15">
      <c r="A1300" t="s">
        <v>1474</v>
      </c>
      <c r="B1300" t="s">
        <v>137</v>
      </c>
      <c r="C1300" s="9">
        <v>21916</v>
      </c>
      <c r="D1300">
        <v>66</v>
      </c>
      <c r="E1300" t="s">
        <v>21</v>
      </c>
      <c r="F1300" t="s">
        <v>18</v>
      </c>
      <c r="G1300" s="9">
        <v>45508</v>
      </c>
      <c r="H1300" s="9">
        <v>45639</v>
      </c>
      <c r="I1300">
        <v>32</v>
      </c>
      <c r="J1300" t="s">
        <v>35</v>
      </c>
      <c r="K1300">
        <v>8</v>
      </c>
      <c r="L1300">
        <v>3</v>
      </c>
      <c r="M1300" s="11">
        <v>21154.65</v>
      </c>
      <c r="N1300" s="12">
        <v>13850.52</v>
      </c>
      <c r="O1300" s="12">
        <v>19439.64</v>
      </c>
    </row>
    <row r="1301" spans="1:15">
      <c r="A1301" t="s">
        <v>1475</v>
      </c>
      <c r="B1301" t="s">
        <v>539</v>
      </c>
      <c r="C1301" s="9">
        <v>14246</v>
      </c>
      <c r="D1301">
        <v>87</v>
      </c>
      <c r="E1301" t="s">
        <v>17</v>
      </c>
      <c r="F1301" t="s">
        <v>29</v>
      </c>
      <c r="G1301" s="9">
        <v>45498</v>
      </c>
      <c r="H1301" s="9">
        <v>45490</v>
      </c>
      <c r="I1301">
        <v>15</v>
      </c>
      <c r="J1301" t="s">
        <v>35</v>
      </c>
      <c r="K1301">
        <v>8</v>
      </c>
      <c r="L1301">
        <v>3</v>
      </c>
      <c r="M1301" s="11">
        <v>0</v>
      </c>
      <c r="N1301" s="12">
        <v>13330.14</v>
      </c>
      <c r="O1301" s="12">
        <v>10494.49</v>
      </c>
    </row>
    <row r="1302" spans="1:15">
      <c r="A1302" t="s">
        <v>1476</v>
      </c>
      <c r="B1302" t="s">
        <v>189</v>
      </c>
      <c r="C1302" s="9">
        <v>14611</v>
      </c>
      <c r="D1302">
        <v>86</v>
      </c>
      <c r="E1302" t="s">
        <v>21</v>
      </c>
      <c r="F1302" t="s">
        <v>18</v>
      </c>
      <c r="G1302" s="9">
        <v>45105</v>
      </c>
      <c r="H1302" s="9">
        <v>45366</v>
      </c>
      <c r="I1302">
        <v>8</v>
      </c>
      <c r="J1302" t="s">
        <v>32</v>
      </c>
      <c r="K1302">
        <v>11</v>
      </c>
      <c r="L1302">
        <v>1</v>
      </c>
      <c r="M1302" s="11">
        <v>4954.5600000000004</v>
      </c>
      <c r="N1302" s="12">
        <v>8166.38</v>
      </c>
      <c r="O1302" s="12">
        <v>13986</v>
      </c>
    </row>
    <row r="1303" spans="1:15">
      <c r="A1303" t="s">
        <v>1477</v>
      </c>
      <c r="B1303" t="s">
        <v>264</v>
      </c>
      <c r="C1303" s="9">
        <v>24838</v>
      </c>
      <c r="D1303">
        <v>58</v>
      </c>
      <c r="E1303" t="s">
        <v>17</v>
      </c>
      <c r="F1303" t="s">
        <v>74</v>
      </c>
      <c r="G1303" s="9">
        <v>45410</v>
      </c>
      <c r="H1303" s="9">
        <v>45389</v>
      </c>
      <c r="I1303">
        <v>20</v>
      </c>
      <c r="J1303" t="s">
        <v>32</v>
      </c>
      <c r="K1303">
        <v>13</v>
      </c>
      <c r="L1303">
        <v>8</v>
      </c>
      <c r="M1303" s="11">
        <v>0</v>
      </c>
      <c r="N1303" s="12">
        <v>6742.14</v>
      </c>
      <c r="O1303" s="12">
        <v>13439.37</v>
      </c>
    </row>
    <row r="1304" spans="1:15">
      <c r="A1304" t="s">
        <v>1478</v>
      </c>
      <c r="B1304" t="s">
        <v>226</v>
      </c>
      <c r="C1304" s="9">
        <v>20090</v>
      </c>
      <c r="D1304">
        <v>71</v>
      </c>
      <c r="E1304" t="s">
        <v>5185</v>
      </c>
      <c r="F1304" t="s">
        <v>49</v>
      </c>
      <c r="G1304" s="9">
        <v>45515</v>
      </c>
      <c r="H1304" s="9">
        <v>45734</v>
      </c>
      <c r="I1304">
        <v>8</v>
      </c>
      <c r="J1304" t="s">
        <v>32</v>
      </c>
      <c r="K1304">
        <v>0</v>
      </c>
      <c r="L1304">
        <v>3</v>
      </c>
      <c r="M1304" s="11">
        <v>8134.59</v>
      </c>
      <c r="N1304" s="12">
        <v>1539.03</v>
      </c>
      <c r="O1304" s="12">
        <v>19615.849999999999</v>
      </c>
    </row>
    <row r="1305" spans="1:15">
      <c r="A1305" t="s">
        <v>1479</v>
      </c>
      <c r="B1305" t="s">
        <v>153</v>
      </c>
      <c r="C1305" s="9">
        <v>26664</v>
      </c>
      <c r="D1305">
        <v>53</v>
      </c>
      <c r="E1305" t="s">
        <v>21</v>
      </c>
      <c r="F1305" t="s">
        <v>5184</v>
      </c>
      <c r="G1305" s="9">
        <v>45421</v>
      </c>
      <c r="H1305" s="9">
        <v>45197</v>
      </c>
      <c r="I1305">
        <v>26</v>
      </c>
      <c r="J1305" t="s">
        <v>32</v>
      </c>
      <c r="K1305">
        <v>10</v>
      </c>
      <c r="L1305">
        <v>3</v>
      </c>
      <c r="M1305" s="11">
        <v>16893.8</v>
      </c>
      <c r="N1305" s="12">
        <v>12349.5</v>
      </c>
      <c r="O1305" s="12">
        <v>11068.87</v>
      </c>
    </row>
    <row r="1306" spans="1:15">
      <c r="A1306" t="s">
        <v>1480</v>
      </c>
      <c r="B1306" t="s">
        <v>619</v>
      </c>
      <c r="C1306" s="9">
        <v>21916</v>
      </c>
      <c r="D1306">
        <v>66</v>
      </c>
      <c r="E1306" t="s">
        <v>21</v>
      </c>
      <c r="F1306" t="s">
        <v>49</v>
      </c>
      <c r="G1306" s="9">
        <v>45473</v>
      </c>
      <c r="H1306" s="9">
        <v>45636</v>
      </c>
      <c r="I1306">
        <v>39</v>
      </c>
      <c r="J1306" t="s">
        <v>32</v>
      </c>
      <c r="K1306">
        <v>4</v>
      </c>
      <c r="L1306">
        <v>3</v>
      </c>
      <c r="M1306" s="11">
        <v>3327.86</v>
      </c>
      <c r="N1306" s="12">
        <v>5690.55</v>
      </c>
      <c r="O1306" s="12">
        <v>11668.44</v>
      </c>
    </row>
    <row r="1307" spans="1:15">
      <c r="A1307" t="s">
        <v>1481</v>
      </c>
      <c r="B1307" t="s">
        <v>619</v>
      </c>
      <c r="C1307" s="9">
        <v>27760</v>
      </c>
      <c r="D1307">
        <v>50</v>
      </c>
      <c r="E1307" t="s">
        <v>21</v>
      </c>
      <c r="F1307" t="s">
        <v>25</v>
      </c>
      <c r="G1307" s="9">
        <v>44942</v>
      </c>
      <c r="H1307" s="9">
        <v>45358</v>
      </c>
      <c r="I1307">
        <v>24</v>
      </c>
      <c r="J1307" t="s">
        <v>32</v>
      </c>
      <c r="K1307">
        <v>10</v>
      </c>
      <c r="L1307">
        <v>4</v>
      </c>
      <c r="M1307" s="11">
        <v>6574.96</v>
      </c>
      <c r="N1307" s="12">
        <v>3694.86</v>
      </c>
      <c r="O1307" s="12">
        <v>5931.41</v>
      </c>
    </row>
    <row r="1308" spans="1:15">
      <c r="A1308" t="s">
        <v>1482</v>
      </c>
      <c r="B1308" t="s">
        <v>163</v>
      </c>
      <c r="C1308" s="9">
        <v>12785</v>
      </c>
      <c r="D1308">
        <v>91</v>
      </c>
      <c r="E1308" t="s">
        <v>17</v>
      </c>
      <c r="F1308" t="s">
        <v>5184</v>
      </c>
      <c r="G1308" s="9">
        <v>45392</v>
      </c>
      <c r="H1308" s="9">
        <v>44948</v>
      </c>
      <c r="I1308">
        <v>6</v>
      </c>
      <c r="J1308" t="s">
        <v>35</v>
      </c>
      <c r="K1308">
        <v>13</v>
      </c>
      <c r="L1308">
        <v>9</v>
      </c>
      <c r="M1308" s="11">
        <v>24166.04</v>
      </c>
      <c r="N1308" s="12">
        <v>14929.47</v>
      </c>
      <c r="O1308" s="12">
        <v>12484.97</v>
      </c>
    </row>
    <row r="1309" spans="1:15">
      <c r="A1309" t="s">
        <v>1483</v>
      </c>
      <c r="B1309" t="s">
        <v>596</v>
      </c>
      <c r="C1309" s="9">
        <v>43466</v>
      </c>
      <c r="D1309">
        <v>7</v>
      </c>
      <c r="E1309" t="s">
        <v>17</v>
      </c>
      <c r="F1309" t="s">
        <v>5184</v>
      </c>
      <c r="G1309" s="9">
        <v>45328</v>
      </c>
      <c r="H1309" s="9">
        <v>45070</v>
      </c>
      <c r="I1309">
        <v>32</v>
      </c>
      <c r="J1309" t="s">
        <v>32</v>
      </c>
      <c r="K1309">
        <v>4</v>
      </c>
      <c r="L1309">
        <v>7</v>
      </c>
      <c r="M1309" s="11">
        <v>11860.75</v>
      </c>
      <c r="N1309" s="12">
        <v>10024.459999999999</v>
      </c>
      <c r="O1309" s="12">
        <v>15130.26</v>
      </c>
    </row>
    <row r="1310" spans="1:15">
      <c r="A1310" t="s">
        <v>1484</v>
      </c>
      <c r="B1310" t="s">
        <v>157</v>
      </c>
      <c r="C1310" s="9">
        <v>33969</v>
      </c>
      <c r="D1310">
        <v>33</v>
      </c>
      <c r="E1310" t="s">
        <v>17</v>
      </c>
      <c r="F1310" t="s">
        <v>25</v>
      </c>
      <c r="G1310" s="9">
        <v>45220</v>
      </c>
      <c r="H1310" s="9">
        <v>45687</v>
      </c>
      <c r="I1310">
        <v>6</v>
      </c>
      <c r="J1310" t="s">
        <v>32</v>
      </c>
      <c r="K1310">
        <v>10</v>
      </c>
      <c r="L1310">
        <v>3</v>
      </c>
      <c r="M1310" s="11">
        <v>20050.439999999999</v>
      </c>
      <c r="N1310" s="12">
        <v>1107.94</v>
      </c>
      <c r="O1310" s="12">
        <v>1975.39</v>
      </c>
    </row>
    <row r="1311" spans="1:15">
      <c r="A1311" t="s">
        <v>1485</v>
      </c>
      <c r="B1311" t="s">
        <v>95</v>
      </c>
      <c r="C1311" s="9">
        <v>33604</v>
      </c>
      <c r="D1311">
        <v>34</v>
      </c>
      <c r="E1311" t="s">
        <v>21</v>
      </c>
      <c r="F1311" t="s">
        <v>74</v>
      </c>
      <c r="G1311" s="9">
        <v>45097</v>
      </c>
      <c r="H1311" s="9">
        <v>45795</v>
      </c>
      <c r="I1311">
        <v>15</v>
      </c>
      <c r="J1311" t="s">
        <v>32</v>
      </c>
      <c r="K1311">
        <v>6</v>
      </c>
      <c r="L1311">
        <v>2</v>
      </c>
      <c r="M1311" s="11">
        <v>14684.38</v>
      </c>
      <c r="N1311" s="12">
        <v>12019.44</v>
      </c>
      <c r="O1311" s="12">
        <v>9550.51</v>
      </c>
    </row>
    <row r="1312" spans="1:15">
      <c r="A1312" t="s">
        <v>1486</v>
      </c>
      <c r="B1312" t="s">
        <v>336</v>
      </c>
      <c r="C1312" s="9">
        <v>14246</v>
      </c>
      <c r="D1312">
        <v>87</v>
      </c>
      <c r="E1312" t="s">
        <v>17</v>
      </c>
      <c r="F1312" t="s">
        <v>49</v>
      </c>
      <c r="G1312" s="9">
        <v>44958</v>
      </c>
      <c r="H1312" s="9">
        <v>45280</v>
      </c>
      <c r="I1312">
        <v>18</v>
      </c>
      <c r="J1312" t="s">
        <v>32</v>
      </c>
      <c r="K1312">
        <v>14</v>
      </c>
      <c r="L1312">
        <v>0</v>
      </c>
      <c r="M1312" s="11">
        <v>9891.27</v>
      </c>
      <c r="N1312" s="12">
        <v>11256.03</v>
      </c>
      <c r="O1312" s="12">
        <v>8380.19</v>
      </c>
    </row>
    <row r="1313" spans="1:15">
      <c r="A1313" t="s">
        <v>1487</v>
      </c>
      <c r="B1313" t="s">
        <v>119</v>
      </c>
      <c r="C1313" s="9">
        <v>17898</v>
      </c>
      <c r="D1313">
        <v>77</v>
      </c>
      <c r="E1313" t="s">
        <v>17</v>
      </c>
      <c r="F1313" t="s">
        <v>5184</v>
      </c>
      <c r="G1313" s="9">
        <v>45189</v>
      </c>
      <c r="H1313" s="9">
        <v>45392</v>
      </c>
      <c r="I1313">
        <v>33</v>
      </c>
      <c r="J1313" t="s">
        <v>35</v>
      </c>
      <c r="K1313">
        <v>13</v>
      </c>
      <c r="L1313">
        <v>1</v>
      </c>
      <c r="M1313" s="11">
        <v>14602.85</v>
      </c>
      <c r="N1313" s="12">
        <v>6018</v>
      </c>
      <c r="O1313" s="12">
        <v>2183.0500000000002</v>
      </c>
    </row>
    <row r="1314" spans="1:15">
      <c r="A1314" t="s">
        <v>1488</v>
      </c>
      <c r="B1314" t="s">
        <v>105</v>
      </c>
      <c r="C1314" s="9">
        <v>34700</v>
      </c>
      <c r="D1314">
        <v>31</v>
      </c>
      <c r="E1314" t="s">
        <v>21</v>
      </c>
      <c r="F1314" t="s">
        <v>49</v>
      </c>
      <c r="G1314" s="9">
        <v>45141</v>
      </c>
      <c r="H1314" s="9">
        <v>45395</v>
      </c>
      <c r="I1314">
        <v>2</v>
      </c>
      <c r="J1314" t="s">
        <v>26</v>
      </c>
      <c r="K1314">
        <v>10</v>
      </c>
      <c r="L1314">
        <v>3</v>
      </c>
      <c r="M1314" s="11">
        <v>24317.85</v>
      </c>
      <c r="N1314" s="12">
        <v>1855.34</v>
      </c>
      <c r="O1314" s="12">
        <v>6759.88</v>
      </c>
    </row>
    <row r="1315" spans="1:15">
      <c r="A1315" t="s">
        <v>1489</v>
      </c>
      <c r="B1315" t="s">
        <v>244</v>
      </c>
      <c r="C1315" s="9">
        <v>29586</v>
      </c>
      <c r="D1315">
        <v>45</v>
      </c>
      <c r="E1315" t="s">
        <v>17</v>
      </c>
      <c r="F1315" t="s">
        <v>5184</v>
      </c>
      <c r="G1315" s="9">
        <v>45484</v>
      </c>
      <c r="H1315" s="9">
        <v>45440</v>
      </c>
      <c r="I1315">
        <v>24</v>
      </c>
      <c r="J1315" t="s">
        <v>32</v>
      </c>
      <c r="K1315">
        <v>1</v>
      </c>
      <c r="L1315">
        <v>8</v>
      </c>
      <c r="M1315" s="11">
        <v>8088.82</v>
      </c>
      <c r="N1315" s="12">
        <v>7461.67</v>
      </c>
      <c r="O1315" s="12">
        <v>10657.09</v>
      </c>
    </row>
    <row r="1316" spans="1:15">
      <c r="A1316" t="s">
        <v>1490</v>
      </c>
      <c r="B1316" t="s">
        <v>163</v>
      </c>
      <c r="C1316" s="9">
        <v>40544</v>
      </c>
      <c r="D1316">
        <v>15</v>
      </c>
      <c r="E1316" t="s">
        <v>21</v>
      </c>
      <c r="F1316" t="s">
        <v>25</v>
      </c>
      <c r="G1316" s="9">
        <v>45115</v>
      </c>
      <c r="H1316" s="9">
        <v>45391</v>
      </c>
      <c r="I1316">
        <v>37</v>
      </c>
      <c r="J1316" t="s">
        <v>32</v>
      </c>
      <c r="K1316">
        <v>5</v>
      </c>
      <c r="L1316">
        <v>0</v>
      </c>
      <c r="M1316" s="11">
        <v>12354.03</v>
      </c>
      <c r="N1316" s="12">
        <v>11449.78</v>
      </c>
      <c r="O1316" s="12">
        <v>12962.37</v>
      </c>
    </row>
    <row r="1317" spans="1:15">
      <c r="A1317" t="s">
        <v>1491</v>
      </c>
      <c r="B1317" t="s">
        <v>194</v>
      </c>
      <c r="C1317" s="9">
        <v>21551</v>
      </c>
      <c r="D1317">
        <v>67</v>
      </c>
      <c r="E1317" t="s">
        <v>21</v>
      </c>
      <c r="F1317" t="s">
        <v>25</v>
      </c>
      <c r="G1317" s="9">
        <v>45509</v>
      </c>
      <c r="H1317" s="9">
        <v>45804</v>
      </c>
      <c r="I1317">
        <v>35</v>
      </c>
      <c r="J1317" t="s">
        <v>32</v>
      </c>
      <c r="K1317">
        <v>10</v>
      </c>
      <c r="L1317">
        <v>5</v>
      </c>
      <c r="M1317" s="11">
        <v>5678.79</v>
      </c>
      <c r="N1317" s="12">
        <v>1140.22</v>
      </c>
      <c r="O1317" s="12">
        <v>5706.78</v>
      </c>
    </row>
    <row r="1318" spans="1:15">
      <c r="A1318" t="s">
        <v>1492</v>
      </c>
      <c r="B1318" t="s">
        <v>284</v>
      </c>
      <c r="C1318" s="9">
        <v>32873</v>
      </c>
      <c r="D1318">
        <v>36</v>
      </c>
      <c r="E1318" t="s">
        <v>17</v>
      </c>
      <c r="F1318" t="s">
        <v>18</v>
      </c>
      <c r="G1318" s="9">
        <v>45526</v>
      </c>
      <c r="H1318" s="9">
        <v>45777</v>
      </c>
      <c r="I1318">
        <v>26</v>
      </c>
      <c r="J1318" t="s">
        <v>32</v>
      </c>
      <c r="K1318">
        <v>13</v>
      </c>
      <c r="L1318">
        <v>5</v>
      </c>
      <c r="M1318" s="11">
        <v>10211.26</v>
      </c>
      <c r="N1318" s="12">
        <v>2451.62</v>
      </c>
      <c r="O1318" s="12">
        <v>9473.6200000000008</v>
      </c>
    </row>
    <row r="1319" spans="1:15">
      <c r="A1319" t="s">
        <v>1493</v>
      </c>
      <c r="B1319" t="s">
        <v>105</v>
      </c>
      <c r="C1319" s="9">
        <v>26664</v>
      </c>
      <c r="D1319">
        <v>53</v>
      </c>
      <c r="E1319" t="s">
        <v>21</v>
      </c>
      <c r="F1319" t="s">
        <v>22</v>
      </c>
      <c r="G1319" s="9">
        <v>45187</v>
      </c>
      <c r="H1319" s="9">
        <v>45321</v>
      </c>
      <c r="I1319">
        <v>37</v>
      </c>
      <c r="J1319" t="s">
        <v>32</v>
      </c>
      <c r="K1319">
        <v>5</v>
      </c>
      <c r="L1319">
        <v>9</v>
      </c>
      <c r="M1319" s="11">
        <v>26495.85</v>
      </c>
      <c r="N1319" s="12">
        <v>9283.89</v>
      </c>
      <c r="O1319" s="12">
        <v>14655</v>
      </c>
    </row>
    <row r="1320" spans="1:15">
      <c r="A1320" t="s">
        <v>1494</v>
      </c>
      <c r="B1320" t="s">
        <v>336</v>
      </c>
      <c r="C1320" s="9">
        <v>15341</v>
      </c>
      <c r="D1320">
        <v>84</v>
      </c>
      <c r="E1320" t="s">
        <v>17</v>
      </c>
      <c r="F1320" t="s">
        <v>49</v>
      </c>
      <c r="G1320" s="9">
        <v>45108</v>
      </c>
      <c r="H1320" s="9">
        <v>45713</v>
      </c>
      <c r="I1320">
        <v>16</v>
      </c>
      <c r="J1320" t="s">
        <v>32</v>
      </c>
      <c r="K1320">
        <v>7</v>
      </c>
      <c r="L1320">
        <v>2</v>
      </c>
      <c r="M1320" s="11">
        <v>23464.54</v>
      </c>
      <c r="N1320" s="12">
        <v>8393.17</v>
      </c>
      <c r="O1320" s="12">
        <v>8387.18</v>
      </c>
    </row>
    <row r="1321" spans="1:15">
      <c r="A1321" t="s">
        <v>1495</v>
      </c>
      <c r="B1321" t="s">
        <v>596</v>
      </c>
      <c r="C1321" s="9">
        <v>41274</v>
      </c>
      <c r="D1321">
        <v>13</v>
      </c>
      <c r="E1321" t="s">
        <v>17</v>
      </c>
      <c r="F1321" t="s">
        <v>49</v>
      </c>
      <c r="G1321" s="9">
        <v>45431</v>
      </c>
      <c r="H1321" s="9">
        <v>45680</v>
      </c>
      <c r="I1321">
        <v>21</v>
      </c>
      <c r="J1321" t="s">
        <v>35</v>
      </c>
      <c r="K1321">
        <v>2</v>
      </c>
      <c r="L1321">
        <v>9</v>
      </c>
      <c r="M1321" s="11">
        <v>10895.27</v>
      </c>
      <c r="N1321" s="12">
        <v>13576.32</v>
      </c>
      <c r="O1321" s="12">
        <v>18809.54</v>
      </c>
    </row>
    <row r="1322" spans="1:15">
      <c r="A1322" t="s">
        <v>1496</v>
      </c>
      <c r="B1322" t="s">
        <v>343</v>
      </c>
      <c r="C1322" s="9">
        <v>11689</v>
      </c>
      <c r="D1322">
        <v>94</v>
      </c>
      <c r="E1322" t="s">
        <v>21</v>
      </c>
      <c r="F1322" t="s">
        <v>5184</v>
      </c>
      <c r="G1322" s="9">
        <v>45268</v>
      </c>
      <c r="H1322" s="9">
        <v>44985</v>
      </c>
      <c r="I1322">
        <v>2</v>
      </c>
      <c r="J1322" t="s">
        <v>26</v>
      </c>
      <c r="K1322">
        <v>13</v>
      </c>
      <c r="L1322">
        <v>8</v>
      </c>
      <c r="M1322" s="11">
        <v>3538.03</v>
      </c>
      <c r="N1322" s="12">
        <v>12221.88</v>
      </c>
      <c r="O1322" s="12">
        <v>517.19000000000005</v>
      </c>
    </row>
    <row r="1323" spans="1:15">
      <c r="A1323" t="s">
        <v>1497</v>
      </c>
      <c r="B1323" t="s">
        <v>1148</v>
      </c>
      <c r="C1323" s="9">
        <v>26299</v>
      </c>
      <c r="D1323">
        <v>54</v>
      </c>
      <c r="E1323" t="s">
        <v>17</v>
      </c>
      <c r="F1323" t="s">
        <v>18</v>
      </c>
      <c r="G1323" s="9">
        <v>44948</v>
      </c>
      <c r="H1323" s="9">
        <v>45053</v>
      </c>
      <c r="I1323">
        <v>33</v>
      </c>
      <c r="J1323" t="s">
        <v>32</v>
      </c>
      <c r="K1323">
        <v>5</v>
      </c>
      <c r="L1323">
        <v>9</v>
      </c>
      <c r="M1323" s="11">
        <v>12309.09</v>
      </c>
      <c r="N1323" s="12">
        <v>13782.45</v>
      </c>
      <c r="O1323" s="12">
        <v>5130.57</v>
      </c>
    </row>
    <row r="1324" spans="1:15">
      <c r="A1324" t="s">
        <v>1498</v>
      </c>
      <c r="B1324" t="s">
        <v>84</v>
      </c>
      <c r="C1324" s="9">
        <v>28856</v>
      </c>
      <c r="D1324">
        <f ca="1">DATEDIF(C1275,TODAY(),"Y")</f>
        <v>93</v>
      </c>
      <c r="E1324" t="s">
        <v>17</v>
      </c>
      <c r="F1324" t="s">
        <v>49</v>
      </c>
      <c r="G1324" s="9">
        <v>45000</v>
      </c>
      <c r="H1324" s="9">
        <v>45768</v>
      </c>
      <c r="I1324">
        <v>20</v>
      </c>
      <c r="J1324" t="s">
        <v>26</v>
      </c>
      <c r="K1324">
        <v>10</v>
      </c>
      <c r="L1324">
        <v>2</v>
      </c>
      <c r="M1324" s="11">
        <v>23037.53</v>
      </c>
      <c r="N1324" s="12">
        <v>6989.38</v>
      </c>
      <c r="O1324" s="12">
        <v>2581.16</v>
      </c>
    </row>
    <row r="1325" spans="1:15">
      <c r="A1325" t="s">
        <v>1499</v>
      </c>
      <c r="B1325" t="s">
        <v>51</v>
      </c>
      <c r="C1325" s="9">
        <v>16437</v>
      </c>
      <c r="D1325">
        <v>81</v>
      </c>
      <c r="E1325" t="s">
        <v>21</v>
      </c>
      <c r="F1325" t="s">
        <v>5184</v>
      </c>
      <c r="G1325" s="9">
        <v>45528</v>
      </c>
      <c r="H1325" s="9">
        <v>45805</v>
      </c>
      <c r="I1325">
        <v>10</v>
      </c>
      <c r="J1325" t="s">
        <v>32</v>
      </c>
      <c r="K1325">
        <v>11</v>
      </c>
      <c r="L1325">
        <v>0</v>
      </c>
      <c r="M1325" s="11">
        <v>835.93</v>
      </c>
      <c r="N1325" s="12">
        <v>11817.01</v>
      </c>
      <c r="O1325" s="12">
        <v>10779.94</v>
      </c>
    </row>
    <row r="1326" spans="1:15">
      <c r="A1326" t="s">
        <v>1500</v>
      </c>
      <c r="B1326" t="s">
        <v>341</v>
      </c>
      <c r="C1326" s="9">
        <v>43831</v>
      </c>
      <c r="D1326">
        <v>6</v>
      </c>
      <c r="E1326" t="s">
        <v>21</v>
      </c>
      <c r="F1326" t="s">
        <v>74</v>
      </c>
      <c r="G1326" s="9">
        <v>45092</v>
      </c>
      <c r="H1326" s="9">
        <v>45388</v>
      </c>
      <c r="I1326">
        <v>27</v>
      </c>
      <c r="J1326" t="s">
        <v>32</v>
      </c>
      <c r="K1326">
        <v>4</v>
      </c>
      <c r="L1326">
        <v>1</v>
      </c>
      <c r="M1326" s="11">
        <v>22232.89</v>
      </c>
      <c r="N1326" s="12">
        <v>730.75</v>
      </c>
      <c r="O1326" s="12">
        <v>3465.21</v>
      </c>
    </row>
    <row r="1327" spans="1:15">
      <c r="A1327" t="s">
        <v>1501</v>
      </c>
      <c r="B1327" t="s">
        <v>524</v>
      </c>
      <c r="C1327" s="9">
        <v>19359</v>
      </c>
      <c r="D1327">
        <v>73</v>
      </c>
      <c r="E1327" t="s">
        <v>21</v>
      </c>
      <c r="F1327" t="s">
        <v>25</v>
      </c>
      <c r="G1327" s="9">
        <v>45160</v>
      </c>
      <c r="H1327" s="9">
        <v>44979</v>
      </c>
      <c r="I1327">
        <v>34</v>
      </c>
      <c r="J1327" t="s">
        <v>26</v>
      </c>
      <c r="K1327">
        <v>2</v>
      </c>
      <c r="L1327">
        <v>3</v>
      </c>
      <c r="M1327" s="11">
        <v>0</v>
      </c>
      <c r="N1327" s="12">
        <v>4417.38</v>
      </c>
      <c r="O1327" s="12">
        <v>14810.99</v>
      </c>
    </row>
    <row r="1328" spans="1:15">
      <c r="A1328" t="s">
        <v>1502</v>
      </c>
      <c r="B1328" t="s">
        <v>446</v>
      </c>
      <c r="C1328" s="9">
        <f>DATE(2026-D1288,1,1)</f>
        <v>16072</v>
      </c>
      <c r="D1328">
        <v>6</v>
      </c>
      <c r="E1328" t="s">
        <v>21</v>
      </c>
      <c r="F1328" t="s">
        <v>25</v>
      </c>
      <c r="G1328" s="9">
        <v>45301</v>
      </c>
      <c r="H1328" s="9">
        <v>45662</v>
      </c>
      <c r="I1328">
        <v>8</v>
      </c>
      <c r="J1328" t="s">
        <v>32</v>
      </c>
      <c r="K1328">
        <v>8</v>
      </c>
      <c r="L1328">
        <v>3</v>
      </c>
      <c r="M1328" s="11">
        <v>1471.79</v>
      </c>
      <c r="N1328" s="12">
        <v>9664.09</v>
      </c>
      <c r="O1328" s="12">
        <v>18358.84</v>
      </c>
    </row>
    <row r="1329" spans="1:15">
      <c r="A1329" t="s">
        <v>1503</v>
      </c>
      <c r="B1329" t="s">
        <v>392</v>
      </c>
      <c r="C1329" s="9">
        <v>34334</v>
      </c>
      <c r="D1329">
        <v>32</v>
      </c>
      <c r="E1329" t="s">
        <v>21</v>
      </c>
      <c r="F1329" t="s">
        <v>22</v>
      </c>
      <c r="G1329" s="9">
        <v>45359</v>
      </c>
      <c r="H1329" s="9">
        <v>45741</v>
      </c>
      <c r="I1329">
        <v>4</v>
      </c>
      <c r="J1329" t="s">
        <v>32</v>
      </c>
      <c r="K1329">
        <v>10</v>
      </c>
      <c r="L1329">
        <v>1</v>
      </c>
      <c r="M1329" s="11">
        <v>18887.03</v>
      </c>
      <c r="N1329" s="12">
        <v>11455.26</v>
      </c>
      <c r="O1329" s="12">
        <v>4064.71</v>
      </c>
    </row>
    <row r="1330" spans="1:15">
      <c r="A1330" t="s">
        <v>1504</v>
      </c>
      <c r="B1330" t="s">
        <v>596</v>
      </c>
      <c r="C1330" s="9">
        <v>37987</v>
      </c>
      <c r="D1330">
        <v>22</v>
      </c>
      <c r="E1330" t="s">
        <v>21</v>
      </c>
      <c r="F1330" t="s">
        <v>25</v>
      </c>
      <c r="G1330" s="9">
        <v>45567</v>
      </c>
      <c r="H1330" s="9">
        <v>45802</v>
      </c>
      <c r="I1330">
        <v>32</v>
      </c>
      <c r="J1330" t="s">
        <v>32</v>
      </c>
      <c r="K1330">
        <v>6</v>
      </c>
      <c r="L1330">
        <v>9</v>
      </c>
      <c r="M1330" s="11">
        <v>8609</v>
      </c>
      <c r="N1330" s="12">
        <v>8557.39</v>
      </c>
      <c r="O1330" s="12">
        <v>18125.939999999999</v>
      </c>
    </row>
    <row r="1331" spans="1:15">
      <c r="A1331" t="s">
        <v>1505</v>
      </c>
      <c r="B1331" t="s">
        <v>336</v>
      </c>
      <c r="C1331" s="9">
        <v>15341</v>
      </c>
      <c r="D1331">
        <v>84</v>
      </c>
      <c r="E1331" t="s">
        <v>21</v>
      </c>
      <c r="F1331" t="s">
        <v>29</v>
      </c>
      <c r="G1331" s="9">
        <v>45260</v>
      </c>
      <c r="H1331" s="9">
        <v>45196</v>
      </c>
      <c r="I1331">
        <v>8</v>
      </c>
      <c r="J1331" t="s">
        <v>32</v>
      </c>
      <c r="K1331">
        <v>1</v>
      </c>
      <c r="L1331">
        <v>5</v>
      </c>
      <c r="M1331" s="11">
        <v>4907.2</v>
      </c>
      <c r="N1331" s="12">
        <v>7211.04</v>
      </c>
      <c r="O1331" s="12">
        <v>12598.28</v>
      </c>
    </row>
    <row r="1332" spans="1:15">
      <c r="A1332" t="s">
        <v>1506</v>
      </c>
      <c r="B1332" t="s">
        <v>103</v>
      </c>
      <c r="C1332" s="9">
        <v>39448</v>
      </c>
      <c r="D1332">
        <v>18</v>
      </c>
      <c r="E1332" t="s">
        <v>17</v>
      </c>
      <c r="F1332" t="s">
        <v>74</v>
      </c>
      <c r="G1332" s="9">
        <v>45533</v>
      </c>
      <c r="H1332" s="9">
        <v>45023</v>
      </c>
      <c r="I1332">
        <v>37</v>
      </c>
      <c r="J1332" t="s">
        <v>26</v>
      </c>
      <c r="K1332">
        <v>6</v>
      </c>
      <c r="L1332">
        <v>5</v>
      </c>
      <c r="M1332" s="11">
        <v>11238.9</v>
      </c>
      <c r="N1332" s="12">
        <v>3498.99</v>
      </c>
      <c r="O1332" s="12">
        <v>3843.03</v>
      </c>
    </row>
    <row r="1333" spans="1:15">
      <c r="A1333" t="s">
        <v>1507</v>
      </c>
      <c r="B1333" t="s">
        <v>275</v>
      </c>
      <c r="C1333" s="9">
        <v>39448</v>
      </c>
      <c r="D1333">
        <v>18</v>
      </c>
      <c r="E1333" t="s">
        <v>21</v>
      </c>
      <c r="F1333" t="s">
        <v>74</v>
      </c>
      <c r="G1333" s="9">
        <v>45466</v>
      </c>
      <c r="H1333" s="9">
        <v>45200</v>
      </c>
      <c r="I1333">
        <v>18</v>
      </c>
      <c r="J1333" t="s">
        <v>26</v>
      </c>
      <c r="K1333">
        <v>11</v>
      </c>
      <c r="L1333">
        <v>2</v>
      </c>
      <c r="M1333" s="11">
        <v>5764.33</v>
      </c>
      <c r="N1333" s="12">
        <v>2612.8000000000002</v>
      </c>
      <c r="O1333" s="12">
        <v>14704.56</v>
      </c>
    </row>
    <row r="1334" spans="1:15">
      <c r="A1334" t="s">
        <v>1508</v>
      </c>
      <c r="B1334" t="s">
        <v>117</v>
      </c>
      <c r="C1334" s="9">
        <v>33239</v>
      </c>
      <c r="D1334">
        <v>35</v>
      </c>
      <c r="E1334" t="s">
        <v>17</v>
      </c>
      <c r="F1334" t="s">
        <v>18</v>
      </c>
      <c r="G1334" s="9">
        <v>44961</v>
      </c>
      <c r="H1334" s="9">
        <v>45250</v>
      </c>
      <c r="I1334">
        <v>0</v>
      </c>
      <c r="J1334" t="s">
        <v>32</v>
      </c>
      <c r="K1334">
        <v>3</v>
      </c>
      <c r="L1334">
        <v>0</v>
      </c>
      <c r="M1334" s="11">
        <v>0</v>
      </c>
      <c r="N1334" s="12">
        <v>13132.24</v>
      </c>
      <c r="O1334" s="12">
        <v>1726.56</v>
      </c>
    </row>
    <row r="1335" spans="1:15">
      <c r="A1335" t="s">
        <v>1509</v>
      </c>
      <c r="B1335" t="s">
        <v>51</v>
      </c>
      <c r="C1335" s="9">
        <v>35795</v>
      </c>
      <c r="D1335">
        <v>28</v>
      </c>
      <c r="E1335" t="s">
        <v>17</v>
      </c>
      <c r="F1335" t="s">
        <v>29</v>
      </c>
      <c r="G1335" s="9">
        <v>45370</v>
      </c>
      <c r="H1335" s="9">
        <v>45500</v>
      </c>
      <c r="I1335">
        <v>27</v>
      </c>
      <c r="J1335" t="s">
        <v>35</v>
      </c>
      <c r="K1335">
        <v>2</v>
      </c>
      <c r="L1335">
        <v>9</v>
      </c>
      <c r="M1335" s="11">
        <v>22131.02</v>
      </c>
      <c r="N1335" s="12">
        <v>2133.1799999999998</v>
      </c>
      <c r="O1335" s="12">
        <v>13812.18</v>
      </c>
    </row>
    <row r="1336" spans="1:15">
      <c r="A1336" t="s">
        <v>1510</v>
      </c>
      <c r="B1336" t="s">
        <v>61</v>
      </c>
      <c r="C1336" s="9">
        <v>24473</v>
      </c>
      <c r="D1336">
        <v>59</v>
      </c>
      <c r="E1336" t="s">
        <v>17</v>
      </c>
      <c r="F1336" t="s">
        <v>49</v>
      </c>
      <c r="G1336" s="9">
        <v>45157</v>
      </c>
      <c r="H1336" s="9">
        <v>45760</v>
      </c>
      <c r="I1336">
        <v>21</v>
      </c>
      <c r="J1336" t="s">
        <v>32</v>
      </c>
      <c r="K1336">
        <v>1</v>
      </c>
      <c r="L1336">
        <v>8</v>
      </c>
      <c r="M1336" s="11">
        <v>29412.959999999999</v>
      </c>
      <c r="N1336" s="12">
        <v>6529.31</v>
      </c>
      <c r="O1336" s="12">
        <v>17211.349999999999</v>
      </c>
    </row>
    <row r="1337" spans="1:15">
      <c r="A1337" t="s">
        <v>1511</v>
      </c>
      <c r="B1337" t="s">
        <v>289</v>
      </c>
      <c r="C1337" s="9">
        <v>16437</v>
      </c>
      <c r="D1337">
        <v>81</v>
      </c>
      <c r="E1337" t="s">
        <v>21</v>
      </c>
      <c r="F1337" t="s">
        <v>22</v>
      </c>
      <c r="G1337" s="9">
        <v>45244</v>
      </c>
      <c r="H1337" s="9">
        <v>45620</v>
      </c>
      <c r="I1337">
        <v>35</v>
      </c>
      <c r="J1337" t="s">
        <v>26</v>
      </c>
      <c r="K1337">
        <v>13</v>
      </c>
      <c r="L1337">
        <v>3</v>
      </c>
      <c r="M1337" s="11">
        <v>15789.28</v>
      </c>
      <c r="N1337" s="12">
        <v>13327.22</v>
      </c>
      <c r="O1337" s="12">
        <v>19002.560000000001</v>
      </c>
    </row>
    <row r="1338" spans="1:15">
      <c r="A1338" t="s">
        <v>1512</v>
      </c>
      <c r="B1338" t="s">
        <v>97</v>
      </c>
      <c r="C1338" s="9">
        <v>45657</v>
      </c>
      <c r="D1338">
        <v>1</v>
      </c>
      <c r="E1338" t="s">
        <v>17</v>
      </c>
      <c r="F1338" t="s">
        <v>74</v>
      </c>
      <c r="G1338" s="9">
        <v>45269</v>
      </c>
      <c r="H1338" s="9">
        <v>45060</v>
      </c>
      <c r="I1338">
        <v>0</v>
      </c>
      <c r="J1338" t="s">
        <v>35</v>
      </c>
      <c r="K1338">
        <v>12</v>
      </c>
      <c r="L1338">
        <v>8</v>
      </c>
      <c r="M1338" s="11">
        <v>2220.7800000000002</v>
      </c>
      <c r="N1338" s="12">
        <v>2215.6799999999998</v>
      </c>
      <c r="O1338" s="12">
        <v>996.08</v>
      </c>
    </row>
    <row r="1339" spans="1:15">
      <c r="A1339" t="s">
        <v>1513</v>
      </c>
      <c r="B1339" t="s">
        <v>63</v>
      </c>
      <c r="C1339" s="9">
        <v>46022</v>
      </c>
      <c r="D1339">
        <v>0</v>
      </c>
      <c r="E1339" t="s">
        <v>17</v>
      </c>
      <c r="F1339" t="s">
        <v>29</v>
      </c>
      <c r="G1339" s="9">
        <v>45356</v>
      </c>
      <c r="H1339" s="9">
        <v>45016</v>
      </c>
      <c r="I1339">
        <v>34</v>
      </c>
      <c r="J1339" t="s">
        <v>32</v>
      </c>
      <c r="K1339">
        <v>10</v>
      </c>
      <c r="L1339">
        <v>4</v>
      </c>
      <c r="M1339" s="11">
        <v>10716.94</v>
      </c>
      <c r="N1339" s="12">
        <v>1913.19</v>
      </c>
      <c r="O1339" s="12">
        <v>1144.9100000000001</v>
      </c>
    </row>
    <row r="1340" spans="1:15">
      <c r="A1340" t="s">
        <v>1514</v>
      </c>
      <c r="B1340" t="s">
        <v>159</v>
      </c>
      <c r="C1340" s="9">
        <v>29221</v>
      </c>
      <c r="D1340">
        <v>46</v>
      </c>
      <c r="E1340" t="s">
        <v>17</v>
      </c>
      <c r="F1340" t="s">
        <v>29</v>
      </c>
      <c r="G1340" s="9">
        <v>45563</v>
      </c>
      <c r="H1340" s="9">
        <v>45612</v>
      </c>
      <c r="I1340">
        <v>30</v>
      </c>
      <c r="J1340" t="s">
        <v>26</v>
      </c>
      <c r="K1340">
        <v>8</v>
      </c>
      <c r="L1340">
        <v>6</v>
      </c>
      <c r="M1340" s="11">
        <v>25078.43</v>
      </c>
      <c r="N1340" s="12">
        <v>10387.64</v>
      </c>
      <c r="O1340" s="12">
        <v>18601.14</v>
      </c>
    </row>
    <row r="1341" spans="1:15">
      <c r="A1341" t="s">
        <v>1515</v>
      </c>
      <c r="B1341" t="s">
        <v>326</v>
      </c>
      <c r="C1341" s="9">
        <v>21185</v>
      </c>
      <c r="D1341">
        <v>68</v>
      </c>
      <c r="E1341" t="s">
        <v>21</v>
      </c>
      <c r="F1341" t="s">
        <v>5184</v>
      </c>
      <c r="G1341" s="9">
        <v>45392</v>
      </c>
      <c r="H1341" s="9">
        <v>45751</v>
      </c>
      <c r="I1341">
        <v>19</v>
      </c>
      <c r="J1341" t="s">
        <v>26</v>
      </c>
      <c r="K1341">
        <v>5</v>
      </c>
      <c r="L1341">
        <v>2</v>
      </c>
      <c r="M1341" s="11">
        <v>11604.33</v>
      </c>
      <c r="N1341" s="12">
        <v>4973.63</v>
      </c>
      <c r="O1341" s="12">
        <v>15770.81</v>
      </c>
    </row>
    <row r="1342" spans="1:15">
      <c r="A1342" t="s">
        <v>1516</v>
      </c>
      <c r="B1342" t="s">
        <v>123</v>
      </c>
      <c r="C1342" s="9">
        <v>39083</v>
      </c>
      <c r="D1342">
        <v>19</v>
      </c>
      <c r="E1342" t="s">
        <v>21</v>
      </c>
      <c r="F1342" t="s">
        <v>74</v>
      </c>
      <c r="G1342" s="9">
        <v>45005</v>
      </c>
      <c r="H1342" s="9">
        <v>44932</v>
      </c>
      <c r="I1342">
        <v>28</v>
      </c>
      <c r="J1342" t="s">
        <v>32</v>
      </c>
      <c r="K1342">
        <v>11</v>
      </c>
      <c r="L1342">
        <v>2</v>
      </c>
      <c r="M1342" s="11">
        <v>13398.09</v>
      </c>
      <c r="N1342" s="12">
        <v>6535.59</v>
      </c>
      <c r="O1342" s="12">
        <v>15462.77</v>
      </c>
    </row>
    <row r="1343" spans="1:15">
      <c r="A1343" t="s">
        <v>1517</v>
      </c>
      <c r="B1343" t="s">
        <v>151</v>
      </c>
      <c r="C1343" s="9">
        <v>42370</v>
      </c>
      <c r="D1343">
        <v>10</v>
      </c>
      <c r="E1343" t="s">
        <v>17</v>
      </c>
      <c r="F1343" t="s">
        <v>5184</v>
      </c>
      <c r="G1343" s="9">
        <v>45499</v>
      </c>
      <c r="H1343" s="9">
        <v>45284</v>
      </c>
      <c r="I1343">
        <v>9</v>
      </c>
      <c r="J1343" t="s">
        <v>35</v>
      </c>
      <c r="K1343">
        <v>5</v>
      </c>
      <c r="L1343">
        <v>7</v>
      </c>
      <c r="M1343" s="11">
        <v>12065.11</v>
      </c>
      <c r="N1343" s="12">
        <v>9383.9</v>
      </c>
      <c r="O1343" s="12">
        <v>14826.7</v>
      </c>
    </row>
    <row r="1344" spans="1:15">
      <c r="A1344" t="s">
        <v>1518</v>
      </c>
      <c r="B1344" t="s">
        <v>78</v>
      </c>
      <c r="C1344" s="9">
        <v>45657</v>
      </c>
      <c r="D1344">
        <v>1</v>
      </c>
      <c r="E1344" t="s">
        <v>21</v>
      </c>
      <c r="F1344" t="s">
        <v>18</v>
      </c>
      <c r="G1344" s="9">
        <v>45375</v>
      </c>
      <c r="H1344" s="9">
        <v>45270</v>
      </c>
      <c r="I1344">
        <v>11</v>
      </c>
      <c r="J1344" t="s">
        <v>32</v>
      </c>
      <c r="K1344">
        <v>11</v>
      </c>
      <c r="L1344">
        <v>0</v>
      </c>
      <c r="M1344" s="11">
        <v>6679.05</v>
      </c>
      <c r="N1344" s="12">
        <v>5684.64</v>
      </c>
      <c r="O1344" s="12">
        <v>14318.33</v>
      </c>
    </row>
    <row r="1345" spans="1:15">
      <c r="A1345" t="s">
        <v>1519</v>
      </c>
      <c r="B1345" t="s">
        <v>41</v>
      </c>
      <c r="C1345" s="9">
        <v>21916</v>
      </c>
      <c r="D1345">
        <v>66</v>
      </c>
      <c r="E1345" t="s">
        <v>21</v>
      </c>
      <c r="F1345" t="s">
        <v>29</v>
      </c>
      <c r="G1345" s="9">
        <v>45655</v>
      </c>
      <c r="H1345" s="9">
        <v>45131</v>
      </c>
      <c r="I1345">
        <v>9</v>
      </c>
      <c r="J1345" t="s">
        <v>32</v>
      </c>
      <c r="K1345">
        <v>4</v>
      </c>
      <c r="L1345">
        <v>7</v>
      </c>
      <c r="M1345" s="11">
        <v>0</v>
      </c>
      <c r="N1345" s="12">
        <v>11997.62</v>
      </c>
      <c r="O1345" s="12">
        <v>12225.78</v>
      </c>
    </row>
    <row r="1346" spans="1:15">
      <c r="A1346" t="s">
        <v>1520</v>
      </c>
      <c r="B1346" t="s">
        <v>55</v>
      </c>
      <c r="C1346" s="9">
        <v>14611</v>
      </c>
      <c r="D1346">
        <v>86</v>
      </c>
      <c r="E1346" t="s">
        <v>21</v>
      </c>
      <c r="F1346" t="s">
        <v>25</v>
      </c>
      <c r="G1346" s="9">
        <v>45208</v>
      </c>
      <c r="H1346" s="9">
        <v>45601</v>
      </c>
      <c r="I1346">
        <v>24</v>
      </c>
      <c r="J1346" t="s">
        <v>26</v>
      </c>
      <c r="K1346">
        <v>1</v>
      </c>
      <c r="L1346">
        <v>7</v>
      </c>
      <c r="M1346" s="11">
        <v>5007.09</v>
      </c>
      <c r="N1346" s="12">
        <v>14534.77</v>
      </c>
      <c r="O1346" s="12">
        <v>16236.07</v>
      </c>
    </row>
    <row r="1347" spans="1:15">
      <c r="A1347" t="s">
        <v>1521</v>
      </c>
      <c r="B1347" t="s">
        <v>328</v>
      </c>
      <c r="C1347" s="9">
        <v>42005</v>
      </c>
      <c r="D1347">
        <v>11</v>
      </c>
      <c r="E1347" t="s">
        <v>17</v>
      </c>
      <c r="F1347" t="s">
        <v>29</v>
      </c>
      <c r="G1347" s="9">
        <v>45601</v>
      </c>
      <c r="H1347" s="9">
        <v>45500</v>
      </c>
      <c r="I1347">
        <v>10</v>
      </c>
      <c r="J1347" t="s">
        <v>35</v>
      </c>
      <c r="K1347">
        <v>7</v>
      </c>
      <c r="L1347">
        <v>2</v>
      </c>
      <c r="M1347" s="11">
        <v>10600.26</v>
      </c>
      <c r="N1347" s="12">
        <v>13995.91</v>
      </c>
      <c r="O1347" s="12">
        <v>586.87</v>
      </c>
    </row>
    <row r="1348" spans="1:15">
      <c r="A1348" t="s">
        <v>1522</v>
      </c>
      <c r="B1348" t="s">
        <v>578</v>
      </c>
      <c r="C1348" s="9">
        <v>39083</v>
      </c>
      <c r="D1348">
        <v>19</v>
      </c>
      <c r="E1348" t="s">
        <v>5185</v>
      </c>
      <c r="F1348" t="s">
        <v>49</v>
      </c>
      <c r="G1348" s="9">
        <v>44983</v>
      </c>
      <c r="H1348" s="9">
        <v>45398</v>
      </c>
      <c r="I1348">
        <v>21</v>
      </c>
      <c r="J1348" t="s">
        <v>32</v>
      </c>
      <c r="K1348">
        <v>12</v>
      </c>
      <c r="L1348">
        <v>0</v>
      </c>
      <c r="M1348" s="11">
        <v>6985.85</v>
      </c>
      <c r="N1348" s="12">
        <v>8181.78</v>
      </c>
      <c r="O1348" s="12">
        <v>14780.07</v>
      </c>
    </row>
    <row r="1349" spans="1:15">
      <c r="A1349" t="s">
        <v>1523</v>
      </c>
      <c r="B1349" t="s">
        <v>615</v>
      </c>
      <c r="C1349" s="9">
        <v>44561</v>
      </c>
      <c r="D1349">
        <v>4</v>
      </c>
      <c r="E1349" t="s">
        <v>21</v>
      </c>
      <c r="F1349" t="s">
        <v>74</v>
      </c>
      <c r="G1349" s="9">
        <v>45117</v>
      </c>
      <c r="H1349" s="9">
        <v>45391</v>
      </c>
      <c r="I1349">
        <v>35</v>
      </c>
      <c r="J1349" t="s">
        <v>35</v>
      </c>
      <c r="K1349">
        <v>9</v>
      </c>
      <c r="L1349">
        <v>8</v>
      </c>
      <c r="M1349" s="11">
        <v>16968.419999999998</v>
      </c>
      <c r="N1349" s="12">
        <v>5322.25</v>
      </c>
      <c r="O1349" s="12">
        <v>11616.64</v>
      </c>
    </row>
    <row r="1350" spans="1:15">
      <c r="A1350" t="s">
        <v>1524</v>
      </c>
      <c r="B1350" t="s">
        <v>151</v>
      </c>
      <c r="C1350" s="9">
        <v>32873</v>
      </c>
      <c r="D1350">
        <v>36</v>
      </c>
      <c r="E1350" t="s">
        <v>17</v>
      </c>
      <c r="F1350" t="s">
        <v>49</v>
      </c>
      <c r="G1350" s="9">
        <v>45570</v>
      </c>
      <c r="H1350" s="9">
        <v>45424</v>
      </c>
      <c r="I1350">
        <v>6</v>
      </c>
      <c r="J1350" t="s">
        <v>32</v>
      </c>
      <c r="K1350">
        <v>14</v>
      </c>
      <c r="L1350">
        <v>3</v>
      </c>
      <c r="M1350" s="11">
        <v>18224.12</v>
      </c>
      <c r="N1350" s="12">
        <v>6505.98</v>
      </c>
      <c r="O1350" s="12">
        <v>18139.93</v>
      </c>
    </row>
    <row r="1351" spans="1:15">
      <c r="A1351" t="s">
        <v>1525</v>
      </c>
      <c r="B1351" t="s">
        <v>159</v>
      </c>
      <c r="C1351" s="9">
        <v>32508</v>
      </c>
      <c r="D1351">
        <v>37</v>
      </c>
      <c r="E1351" t="s">
        <v>17</v>
      </c>
      <c r="F1351" t="s">
        <v>18</v>
      </c>
      <c r="G1351" s="9">
        <v>45389</v>
      </c>
      <c r="H1351" s="9">
        <v>45629</v>
      </c>
      <c r="I1351">
        <v>5</v>
      </c>
      <c r="J1351" t="s">
        <v>26</v>
      </c>
      <c r="K1351">
        <v>13</v>
      </c>
      <c r="L1351">
        <v>6</v>
      </c>
      <c r="M1351" s="11">
        <v>16887.02</v>
      </c>
      <c r="N1351" s="12">
        <v>4952.3500000000004</v>
      </c>
      <c r="O1351" s="12">
        <v>18721.11</v>
      </c>
    </row>
    <row r="1352" spans="1:15">
      <c r="A1352" t="s">
        <v>1526</v>
      </c>
      <c r="B1352" t="s">
        <v>100</v>
      </c>
      <c r="C1352" s="9">
        <v>12054</v>
      </c>
      <c r="D1352">
        <v>93</v>
      </c>
      <c r="E1352" t="s">
        <v>17</v>
      </c>
      <c r="F1352" t="s">
        <v>22</v>
      </c>
      <c r="G1352" s="9">
        <v>44968</v>
      </c>
      <c r="H1352" s="9">
        <v>45764</v>
      </c>
      <c r="I1352">
        <v>34</v>
      </c>
      <c r="J1352" t="s">
        <v>35</v>
      </c>
      <c r="K1352">
        <v>0</v>
      </c>
      <c r="L1352">
        <v>8</v>
      </c>
      <c r="M1352" s="11">
        <v>2090.0300000000002</v>
      </c>
      <c r="N1352" s="12">
        <v>6625.86</v>
      </c>
      <c r="O1352" s="12">
        <v>4750.74</v>
      </c>
    </row>
    <row r="1353" spans="1:15">
      <c r="A1353" t="s">
        <v>1527</v>
      </c>
      <c r="B1353" t="s">
        <v>189</v>
      </c>
      <c r="C1353" s="9">
        <v>43100</v>
      </c>
      <c r="D1353">
        <v>8</v>
      </c>
      <c r="E1353" t="s">
        <v>17</v>
      </c>
      <c r="F1353" t="s">
        <v>25</v>
      </c>
      <c r="G1353" s="9">
        <v>45412</v>
      </c>
      <c r="H1353" s="9">
        <v>44990</v>
      </c>
      <c r="I1353">
        <v>12</v>
      </c>
      <c r="J1353" t="s">
        <v>32</v>
      </c>
      <c r="K1353">
        <v>1</v>
      </c>
      <c r="L1353">
        <v>2</v>
      </c>
      <c r="M1353" s="11">
        <v>19839.240000000002</v>
      </c>
      <c r="N1353" s="12">
        <v>194.59</v>
      </c>
      <c r="O1353" s="12">
        <v>15768.15</v>
      </c>
    </row>
    <row r="1354" spans="1:15">
      <c r="A1354" t="s">
        <v>1528</v>
      </c>
      <c r="B1354" t="s">
        <v>372</v>
      </c>
      <c r="C1354" s="9">
        <v>27029</v>
      </c>
      <c r="D1354">
        <v>52</v>
      </c>
      <c r="E1354" t="s">
        <v>17</v>
      </c>
      <c r="F1354" t="s">
        <v>74</v>
      </c>
      <c r="G1354" s="9">
        <v>45099</v>
      </c>
      <c r="H1354" s="9">
        <v>45483</v>
      </c>
      <c r="I1354">
        <v>4</v>
      </c>
      <c r="J1354" t="s">
        <v>32</v>
      </c>
      <c r="K1354">
        <v>12</v>
      </c>
      <c r="L1354">
        <v>4</v>
      </c>
      <c r="M1354" s="11">
        <v>11229.67</v>
      </c>
      <c r="N1354" s="12">
        <v>828.22</v>
      </c>
      <c r="O1354" s="12">
        <v>19135.669999999998</v>
      </c>
    </row>
    <row r="1355" spans="1:15">
      <c r="A1355" t="s">
        <v>1529</v>
      </c>
      <c r="B1355" t="s">
        <v>97</v>
      </c>
      <c r="C1355" s="9">
        <v>30317</v>
      </c>
      <c r="D1355">
        <v>43</v>
      </c>
      <c r="E1355" t="s">
        <v>17</v>
      </c>
      <c r="F1355" t="s">
        <v>29</v>
      </c>
      <c r="G1355" s="9">
        <v>45605</v>
      </c>
      <c r="H1355" s="9">
        <v>45166</v>
      </c>
      <c r="I1355">
        <v>21</v>
      </c>
      <c r="J1355" t="s">
        <v>26</v>
      </c>
      <c r="K1355">
        <v>1</v>
      </c>
      <c r="L1355">
        <v>9</v>
      </c>
      <c r="M1355" s="11">
        <v>26283.84</v>
      </c>
      <c r="N1355" s="12">
        <v>11570.06</v>
      </c>
      <c r="O1355" s="12">
        <v>5259.66</v>
      </c>
    </row>
    <row r="1356" spans="1:15">
      <c r="A1356" t="s">
        <v>1530</v>
      </c>
      <c r="B1356" t="s">
        <v>37</v>
      </c>
      <c r="C1356" s="9">
        <f>DATE(2026-D1316,1,1)</f>
        <v>40544</v>
      </c>
      <c r="D1356">
        <v>85</v>
      </c>
      <c r="E1356" t="s">
        <v>21</v>
      </c>
      <c r="F1356" t="s">
        <v>25</v>
      </c>
      <c r="G1356" s="9">
        <v>45176</v>
      </c>
      <c r="H1356" s="9">
        <v>45467</v>
      </c>
      <c r="I1356">
        <v>13</v>
      </c>
      <c r="J1356" t="s">
        <v>32</v>
      </c>
      <c r="K1356">
        <v>5</v>
      </c>
      <c r="L1356">
        <v>2</v>
      </c>
      <c r="M1356" s="11">
        <v>15531.24</v>
      </c>
      <c r="N1356" s="12">
        <v>5022.2</v>
      </c>
      <c r="O1356" s="12">
        <v>17006.8</v>
      </c>
    </row>
    <row r="1357" spans="1:15">
      <c r="A1357" t="s">
        <v>1531</v>
      </c>
      <c r="B1357" t="s">
        <v>105</v>
      </c>
      <c r="C1357" s="9">
        <v>37622</v>
      </c>
      <c r="D1357">
        <v>23</v>
      </c>
      <c r="E1357" t="s">
        <v>17</v>
      </c>
      <c r="F1357" t="s">
        <v>29</v>
      </c>
      <c r="G1357" s="9">
        <v>45436</v>
      </c>
      <c r="H1357" s="9">
        <v>45125</v>
      </c>
      <c r="I1357">
        <v>21</v>
      </c>
      <c r="J1357" t="s">
        <v>26</v>
      </c>
      <c r="K1357">
        <v>0</v>
      </c>
      <c r="L1357">
        <v>4</v>
      </c>
      <c r="M1357" s="11">
        <v>2077.6999999999998</v>
      </c>
      <c r="N1357" s="12">
        <v>11916.09</v>
      </c>
      <c r="O1357" s="12">
        <v>11689.25</v>
      </c>
    </row>
    <row r="1358" spans="1:15">
      <c r="A1358" t="s">
        <v>1532</v>
      </c>
      <c r="B1358" t="s">
        <v>619</v>
      </c>
      <c r="C1358" s="9">
        <v>16802</v>
      </c>
      <c r="D1358">
        <v>80</v>
      </c>
      <c r="E1358" t="s">
        <v>21</v>
      </c>
      <c r="F1358" t="s">
        <v>18</v>
      </c>
      <c r="G1358" s="9">
        <v>45428</v>
      </c>
      <c r="H1358" s="9">
        <v>45708</v>
      </c>
      <c r="I1358">
        <v>4</v>
      </c>
      <c r="J1358" t="s">
        <v>26</v>
      </c>
      <c r="K1358">
        <v>8</v>
      </c>
      <c r="L1358">
        <v>1</v>
      </c>
      <c r="M1358" s="11">
        <v>218.85</v>
      </c>
      <c r="N1358" s="12">
        <v>7199.16</v>
      </c>
      <c r="O1358" s="12">
        <v>7839.4</v>
      </c>
    </row>
    <row r="1359" spans="1:15">
      <c r="A1359" t="s">
        <v>1533</v>
      </c>
      <c r="B1359" t="s">
        <v>278</v>
      </c>
      <c r="C1359" s="9">
        <v>19359</v>
      </c>
      <c r="D1359">
        <v>73</v>
      </c>
      <c r="E1359" t="s">
        <v>21</v>
      </c>
      <c r="F1359" t="s">
        <v>22</v>
      </c>
      <c r="G1359" s="9">
        <v>45119</v>
      </c>
      <c r="H1359" s="9">
        <v>45610</v>
      </c>
      <c r="I1359">
        <v>25</v>
      </c>
      <c r="J1359" t="s">
        <v>35</v>
      </c>
      <c r="K1359">
        <v>6</v>
      </c>
      <c r="L1359">
        <v>3</v>
      </c>
      <c r="M1359" s="11">
        <v>20926.62</v>
      </c>
      <c r="N1359" s="12">
        <v>12088.76</v>
      </c>
      <c r="O1359" s="12">
        <v>16454.55</v>
      </c>
    </row>
    <row r="1360" spans="1:15">
      <c r="A1360" t="s">
        <v>1534</v>
      </c>
      <c r="B1360" t="s">
        <v>131</v>
      </c>
      <c r="C1360" s="9">
        <v>35430</v>
      </c>
      <c r="D1360">
        <v>29</v>
      </c>
      <c r="E1360" t="s">
        <v>17</v>
      </c>
      <c r="F1360" t="s">
        <v>74</v>
      </c>
      <c r="G1360" s="9">
        <v>45091</v>
      </c>
      <c r="H1360" s="9">
        <v>44957</v>
      </c>
      <c r="I1360">
        <v>1</v>
      </c>
      <c r="J1360" t="s">
        <v>35</v>
      </c>
      <c r="K1360">
        <v>7</v>
      </c>
      <c r="L1360">
        <v>1</v>
      </c>
      <c r="M1360" s="11">
        <v>11715.58</v>
      </c>
      <c r="N1360" s="12">
        <v>9953.77</v>
      </c>
      <c r="O1360" s="12">
        <v>17393.009999999998</v>
      </c>
    </row>
    <row r="1361" spans="1:15">
      <c r="A1361" t="s">
        <v>1535</v>
      </c>
      <c r="B1361" t="s">
        <v>145</v>
      </c>
      <c r="C1361" s="9">
        <v>24838</v>
      </c>
      <c r="D1361">
        <f ca="1">DATEDIF(C1312,TODAY(),"Y")</f>
        <v>87</v>
      </c>
      <c r="E1361" t="s">
        <v>17</v>
      </c>
      <c r="F1361" t="s">
        <v>18</v>
      </c>
      <c r="G1361" s="9">
        <v>45016</v>
      </c>
      <c r="H1361" s="9">
        <v>45593</v>
      </c>
      <c r="I1361">
        <v>31</v>
      </c>
      <c r="J1361" t="s">
        <v>32</v>
      </c>
      <c r="K1361">
        <v>14</v>
      </c>
      <c r="L1361">
        <v>2</v>
      </c>
      <c r="M1361" s="11">
        <v>8283.8700000000008</v>
      </c>
      <c r="N1361" s="12">
        <v>3015.02</v>
      </c>
      <c r="O1361" s="12">
        <v>5581.2</v>
      </c>
    </row>
    <row r="1362" spans="1:15">
      <c r="A1362" t="s">
        <v>1536</v>
      </c>
      <c r="B1362" t="s">
        <v>20</v>
      </c>
      <c r="C1362" s="9">
        <v>14611</v>
      </c>
      <c r="D1362">
        <v>86</v>
      </c>
      <c r="E1362" t="s">
        <v>17</v>
      </c>
      <c r="F1362" t="s">
        <v>18</v>
      </c>
      <c r="G1362" s="9">
        <v>45617</v>
      </c>
      <c r="H1362" s="9">
        <v>45136</v>
      </c>
      <c r="I1362">
        <v>35</v>
      </c>
      <c r="J1362" t="s">
        <v>32</v>
      </c>
      <c r="K1362">
        <v>10</v>
      </c>
      <c r="L1362">
        <v>4</v>
      </c>
      <c r="M1362" s="11">
        <v>13138.96</v>
      </c>
      <c r="N1362" s="12">
        <v>6715.84</v>
      </c>
      <c r="O1362" s="12">
        <v>15868.71</v>
      </c>
    </row>
    <row r="1363" spans="1:15">
      <c r="A1363" t="s">
        <v>1537</v>
      </c>
      <c r="B1363" t="s">
        <v>246</v>
      </c>
      <c r="C1363" s="9">
        <v>16802</v>
      </c>
      <c r="D1363">
        <v>80</v>
      </c>
      <c r="E1363" t="s">
        <v>21</v>
      </c>
      <c r="F1363" t="s">
        <v>22</v>
      </c>
      <c r="G1363" s="9">
        <v>44984</v>
      </c>
      <c r="H1363" s="9">
        <v>44990</v>
      </c>
      <c r="I1363">
        <v>0</v>
      </c>
      <c r="J1363" t="s">
        <v>35</v>
      </c>
      <c r="K1363">
        <v>9</v>
      </c>
      <c r="L1363">
        <v>8</v>
      </c>
      <c r="M1363" s="11">
        <v>1707.98</v>
      </c>
      <c r="N1363" s="12">
        <v>10564.99</v>
      </c>
      <c r="O1363" s="12">
        <v>898.2</v>
      </c>
    </row>
    <row r="1364" spans="1:15">
      <c r="A1364" t="s">
        <v>1538</v>
      </c>
      <c r="B1364" t="s">
        <v>108</v>
      </c>
      <c r="C1364" s="9">
        <v>16802</v>
      </c>
      <c r="D1364">
        <v>80</v>
      </c>
      <c r="E1364" t="s">
        <v>21</v>
      </c>
      <c r="F1364" t="s">
        <v>18</v>
      </c>
      <c r="G1364" s="9">
        <v>45189</v>
      </c>
      <c r="H1364" s="9">
        <v>45768</v>
      </c>
      <c r="I1364">
        <v>2</v>
      </c>
      <c r="J1364" t="s">
        <v>32</v>
      </c>
      <c r="K1364">
        <v>12</v>
      </c>
      <c r="L1364">
        <v>2</v>
      </c>
      <c r="M1364" s="11">
        <v>11455.52</v>
      </c>
      <c r="N1364" s="12">
        <v>4959.26</v>
      </c>
      <c r="O1364" s="12">
        <v>8295.02</v>
      </c>
    </row>
    <row r="1365" spans="1:15">
      <c r="A1365" t="s">
        <v>1539</v>
      </c>
      <c r="B1365" t="s">
        <v>184</v>
      </c>
      <c r="C1365" s="9">
        <v>41274</v>
      </c>
      <c r="D1365">
        <v>13</v>
      </c>
      <c r="E1365" t="s">
        <v>17</v>
      </c>
      <c r="F1365" t="s">
        <v>18</v>
      </c>
      <c r="G1365" s="9">
        <v>45574</v>
      </c>
      <c r="H1365" s="9">
        <v>44984</v>
      </c>
      <c r="I1365">
        <v>28</v>
      </c>
      <c r="J1365" t="s">
        <v>26</v>
      </c>
      <c r="K1365">
        <v>0</v>
      </c>
      <c r="L1365">
        <v>9</v>
      </c>
      <c r="M1365" s="11">
        <v>9098.34</v>
      </c>
      <c r="N1365" s="12">
        <v>2899.53</v>
      </c>
      <c r="O1365" s="12">
        <v>1302.68</v>
      </c>
    </row>
    <row r="1366" spans="1:15">
      <c r="A1366" t="s">
        <v>1540</v>
      </c>
      <c r="B1366" t="s">
        <v>91</v>
      </c>
      <c r="C1366" s="9">
        <v>43100</v>
      </c>
      <c r="D1366">
        <v>8</v>
      </c>
      <c r="E1366" t="s">
        <v>21</v>
      </c>
      <c r="F1366" t="s">
        <v>29</v>
      </c>
      <c r="G1366" s="9">
        <v>45169</v>
      </c>
      <c r="H1366" s="9">
        <v>45759</v>
      </c>
      <c r="I1366">
        <v>20</v>
      </c>
      <c r="J1366" t="s">
        <v>32</v>
      </c>
      <c r="K1366">
        <v>4</v>
      </c>
      <c r="L1366">
        <v>5</v>
      </c>
      <c r="M1366" s="11">
        <v>23905.77</v>
      </c>
      <c r="N1366" s="12">
        <v>8097.91</v>
      </c>
      <c r="O1366" s="12">
        <v>5806.1</v>
      </c>
    </row>
    <row r="1367" spans="1:15">
      <c r="A1367" t="s">
        <v>1541</v>
      </c>
      <c r="B1367" t="s">
        <v>336</v>
      </c>
      <c r="C1367" s="9">
        <v>31778</v>
      </c>
      <c r="D1367">
        <v>39</v>
      </c>
      <c r="E1367" t="s">
        <v>17</v>
      </c>
      <c r="F1367" t="s">
        <v>5184</v>
      </c>
      <c r="G1367" s="9">
        <v>45589</v>
      </c>
      <c r="H1367" s="9">
        <v>45647</v>
      </c>
      <c r="I1367">
        <v>17</v>
      </c>
      <c r="J1367" t="s">
        <v>26</v>
      </c>
      <c r="K1367">
        <v>9</v>
      </c>
      <c r="L1367">
        <v>3</v>
      </c>
      <c r="M1367" s="11">
        <v>4833.05</v>
      </c>
      <c r="N1367" s="12">
        <v>4104.72</v>
      </c>
      <c r="O1367" s="12">
        <v>19002.34</v>
      </c>
    </row>
    <row r="1368" spans="1:15">
      <c r="A1368" t="s">
        <v>1542</v>
      </c>
      <c r="B1368" t="s">
        <v>254</v>
      </c>
      <c r="C1368" s="9">
        <v>22281</v>
      </c>
      <c r="D1368">
        <v>65</v>
      </c>
      <c r="E1368" t="s">
        <v>21</v>
      </c>
      <c r="F1368" t="s">
        <v>49</v>
      </c>
      <c r="G1368" s="9">
        <v>45145</v>
      </c>
      <c r="H1368" s="9">
        <v>45360</v>
      </c>
      <c r="I1368">
        <v>13</v>
      </c>
      <c r="J1368" t="s">
        <v>32</v>
      </c>
      <c r="K1368">
        <v>13</v>
      </c>
      <c r="L1368">
        <v>3</v>
      </c>
      <c r="M1368" s="11">
        <v>22567.67</v>
      </c>
      <c r="N1368" s="12">
        <v>8915.1299999999992</v>
      </c>
      <c r="O1368" s="12">
        <v>14668.22</v>
      </c>
    </row>
    <row r="1369" spans="1:15">
      <c r="A1369" t="s">
        <v>1543</v>
      </c>
      <c r="B1369" t="s">
        <v>469</v>
      </c>
      <c r="C1369" s="9">
        <v>37256</v>
      </c>
      <c r="D1369">
        <v>24</v>
      </c>
      <c r="E1369" t="s">
        <v>21</v>
      </c>
      <c r="F1369" t="s">
        <v>29</v>
      </c>
      <c r="G1369" s="9">
        <v>44935</v>
      </c>
      <c r="H1369" s="9">
        <v>45235</v>
      </c>
      <c r="I1369">
        <v>29</v>
      </c>
      <c r="J1369" t="s">
        <v>35</v>
      </c>
      <c r="K1369">
        <v>1</v>
      </c>
      <c r="L1369">
        <v>9</v>
      </c>
      <c r="M1369" s="11">
        <v>14762.28</v>
      </c>
      <c r="N1369" s="12">
        <v>4076.02</v>
      </c>
      <c r="O1369" s="12">
        <v>15087.55</v>
      </c>
    </row>
    <row r="1370" spans="1:15">
      <c r="A1370" t="s">
        <v>1544</v>
      </c>
      <c r="B1370" t="s">
        <v>427</v>
      </c>
      <c r="C1370" s="9">
        <v>19724</v>
      </c>
      <c r="D1370">
        <v>72</v>
      </c>
      <c r="E1370" t="s">
        <v>5185</v>
      </c>
      <c r="F1370" t="s">
        <v>22</v>
      </c>
      <c r="G1370" s="9">
        <v>45356</v>
      </c>
      <c r="H1370" s="9">
        <v>45502</v>
      </c>
      <c r="I1370">
        <v>14</v>
      </c>
      <c r="J1370" t="s">
        <v>26</v>
      </c>
      <c r="K1370">
        <v>6</v>
      </c>
      <c r="L1370">
        <v>9</v>
      </c>
      <c r="M1370" s="11">
        <v>1997.58</v>
      </c>
      <c r="N1370" s="12">
        <v>13598.69</v>
      </c>
      <c r="O1370" s="12">
        <v>2603.1799999999998</v>
      </c>
    </row>
    <row r="1371" spans="1:15">
      <c r="A1371" t="s">
        <v>1545</v>
      </c>
      <c r="B1371" t="s">
        <v>350</v>
      </c>
      <c r="C1371" s="9">
        <v>38352</v>
      </c>
      <c r="D1371">
        <v>21</v>
      </c>
      <c r="E1371" t="s">
        <v>21</v>
      </c>
      <c r="F1371" t="s">
        <v>25</v>
      </c>
      <c r="G1371" s="9">
        <v>44939</v>
      </c>
      <c r="H1371" s="9">
        <v>45687</v>
      </c>
      <c r="I1371">
        <v>15</v>
      </c>
      <c r="J1371" t="s">
        <v>26</v>
      </c>
      <c r="K1371">
        <v>3</v>
      </c>
      <c r="L1371">
        <v>4</v>
      </c>
      <c r="M1371" s="11">
        <v>29075.200000000001</v>
      </c>
      <c r="N1371" s="12">
        <v>5158.53</v>
      </c>
      <c r="O1371" s="12">
        <v>11531.59</v>
      </c>
    </row>
    <row r="1372" spans="1:15">
      <c r="A1372" t="s">
        <v>1546</v>
      </c>
      <c r="B1372" t="s">
        <v>252</v>
      </c>
      <c r="C1372" s="9">
        <v>44927</v>
      </c>
      <c r="D1372">
        <v>3</v>
      </c>
      <c r="E1372" t="s">
        <v>21</v>
      </c>
      <c r="F1372" t="s">
        <v>22</v>
      </c>
      <c r="G1372" s="9">
        <v>45151</v>
      </c>
      <c r="H1372" s="9">
        <v>45393</v>
      </c>
      <c r="I1372">
        <v>1</v>
      </c>
      <c r="J1372" t="s">
        <v>32</v>
      </c>
      <c r="K1372">
        <v>7</v>
      </c>
      <c r="L1372">
        <v>6</v>
      </c>
      <c r="M1372" s="11">
        <v>0</v>
      </c>
      <c r="N1372" s="12">
        <v>13611.76</v>
      </c>
      <c r="O1372" s="12">
        <v>7715.59</v>
      </c>
    </row>
    <row r="1373" spans="1:15">
      <c r="A1373" t="s">
        <v>1547</v>
      </c>
      <c r="B1373" t="s">
        <v>229</v>
      </c>
      <c r="C1373" s="9">
        <f t="shared" ref="C1373:C1374" si="5">DATE(2026-D1333,1,1)</f>
        <v>39448</v>
      </c>
      <c r="D1373">
        <v>25</v>
      </c>
      <c r="E1373" t="s">
        <v>21</v>
      </c>
      <c r="F1373" t="s">
        <v>22</v>
      </c>
      <c r="G1373" s="9">
        <v>45616</v>
      </c>
      <c r="H1373" s="9">
        <v>45580</v>
      </c>
      <c r="I1373">
        <v>32</v>
      </c>
      <c r="J1373" t="s">
        <v>32</v>
      </c>
      <c r="K1373">
        <v>1</v>
      </c>
      <c r="L1373">
        <v>3</v>
      </c>
      <c r="M1373" s="11">
        <v>7432.88</v>
      </c>
      <c r="N1373" s="12">
        <v>4192.2299999999996</v>
      </c>
      <c r="O1373" s="12">
        <v>14657.02</v>
      </c>
    </row>
    <row r="1374" spans="1:15">
      <c r="A1374" t="s">
        <v>1548</v>
      </c>
      <c r="B1374" t="s">
        <v>84</v>
      </c>
      <c r="C1374" s="9">
        <f t="shared" si="5"/>
        <v>33239</v>
      </c>
      <c r="D1374">
        <v>57</v>
      </c>
      <c r="E1374" t="s">
        <v>17</v>
      </c>
      <c r="F1374" t="s">
        <v>22</v>
      </c>
      <c r="G1374" s="9">
        <v>44993</v>
      </c>
      <c r="H1374" s="9">
        <v>45532</v>
      </c>
      <c r="I1374">
        <v>37</v>
      </c>
      <c r="J1374" t="s">
        <v>32</v>
      </c>
      <c r="K1374">
        <v>0</v>
      </c>
      <c r="L1374">
        <v>7</v>
      </c>
      <c r="M1374" s="11">
        <v>17243.48</v>
      </c>
      <c r="N1374" s="12">
        <v>9066.82</v>
      </c>
      <c r="O1374" s="12">
        <v>3057.42</v>
      </c>
    </row>
    <row r="1375" spans="1:15">
      <c r="A1375" t="s">
        <v>1549</v>
      </c>
      <c r="B1375" t="s">
        <v>600</v>
      </c>
      <c r="C1375" s="9">
        <v>35795</v>
      </c>
      <c r="D1375">
        <v>28</v>
      </c>
      <c r="E1375" t="s">
        <v>17</v>
      </c>
      <c r="F1375" t="s">
        <v>22</v>
      </c>
      <c r="G1375" s="9">
        <v>45595</v>
      </c>
      <c r="H1375" s="9">
        <v>45034</v>
      </c>
      <c r="I1375">
        <v>33</v>
      </c>
      <c r="J1375" t="s">
        <v>35</v>
      </c>
      <c r="K1375">
        <v>5</v>
      </c>
      <c r="L1375">
        <v>8</v>
      </c>
      <c r="M1375" s="11">
        <v>26948.03</v>
      </c>
      <c r="N1375" s="12">
        <v>1953.28</v>
      </c>
      <c r="O1375" s="12">
        <v>5566.62</v>
      </c>
    </row>
    <row r="1376" spans="1:15">
      <c r="A1376" t="s">
        <v>1550</v>
      </c>
      <c r="B1376" t="s">
        <v>1148</v>
      </c>
      <c r="C1376" s="9">
        <v>14611</v>
      </c>
      <c r="D1376">
        <v>86</v>
      </c>
      <c r="E1376" t="s">
        <v>21</v>
      </c>
      <c r="F1376" t="s">
        <v>18</v>
      </c>
      <c r="G1376" s="9">
        <v>45603</v>
      </c>
      <c r="H1376" s="9">
        <v>45804</v>
      </c>
      <c r="I1376">
        <v>20</v>
      </c>
      <c r="J1376" t="s">
        <v>32</v>
      </c>
      <c r="K1376">
        <v>9</v>
      </c>
      <c r="L1376">
        <v>8</v>
      </c>
      <c r="M1376" s="11">
        <v>27889.61</v>
      </c>
      <c r="N1376" s="12">
        <v>11675.58</v>
      </c>
      <c r="O1376" s="12">
        <v>17961.310000000001</v>
      </c>
    </row>
    <row r="1377" spans="1:15">
      <c r="A1377" t="s">
        <v>1551</v>
      </c>
      <c r="B1377" t="s">
        <v>172</v>
      </c>
      <c r="C1377" s="9">
        <v>32873</v>
      </c>
      <c r="D1377">
        <f ca="1">DATEDIF(C1328,TODAY(),"Y")</f>
        <v>82</v>
      </c>
      <c r="E1377" t="s">
        <v>21</v>
      </c>
      <c r="F1377" t="s">
        <v>22</v>
      </c>
      <c r="G1377" s="9">
        <v>45429</v>
      </c>
      <c r="H1377" s="9">
        <v>45527</v>
      </c>
      <c r="I1377">
        <v>12</v>
      </c>
      <c r="J1377" t="s">
        <v>26</v>
      </c>
      <c r="K1377">
        <v>5</v>
      </c>
      <c r="L1377">
        <v>8</v>
      </c>
      <c r="M1377" s="11">
        <v>21800.32</v>
      </c>
      <c r="N1377" s="12">
        <v>3003.27</v>
      </c>
      <c r="O1377" s="12">
        <v>3312.57</v>
      </c>
    </row>
    <row r="1378" spans="1:15">
      <c r="A1378" t="s">
        <v>1552</v>
      </c>
      <c r="B1378" t="s">
        <v>244</v>
      </c>
      <c r="C1378" s="9">
        <v>18994</v>
      </c>
      <c r="D1378">
        <v>74</v>
      </c>
      <c r="E1378" t="s">
        <v>17</v>
      </c>
      <c r="F1378" t="s">
        <v>25</v>
      </c>
      <c r="G1378" s="9">
        <v>45110</v>
      </c>
      <c r="H1378" s="9">
        <v>45228</v>
      </c>
      <c r="I1378">
        <v>10</v>
      </c>
      <c r="J1378" t="s">
        <v>26</v>
      </c>
      <c r="K1378">
        <v>11</v>
      </c>
      <c r="L1378">
        <v>1</v>
      </c>
      <c r="M1378" s="11">
        <v>21693.94</v>
      </c>
      <c r="N1378" s="12">
        <v>12960.31</v>
      </c>
      <c r="O1378" s="12">
        <v>12611.48</v>
      </c>
    </row>
    <row r="1379" spans="1:15">
      <c r="A1379" t="s">
        <v>1553</v>
      </c>
      <c r="B1379" t="s">
        <v>137</v>
      </c>
      <c r="C1379" s="9">
        <v>20820</v>
      </c>
      <c r="D1379">
        <f ca="1">DATEDIF(C1330,TODAY(),"Y")</f>
        <v>22</v>
      </c>
      <c r="E1379" t="s">
        <v>21</v>
      </c>
      <c r="F1379" t="s">
        <v>22</v>
      </c>
      <c r="G1379" s="9">
        <v>45134</v>
      </c>
      <c r="H1379" s="9">
        <v>45547</v>
      </c>
      <c r="I1379">
        <v>11</v>
      </c>
      <c r="J1379" t="s">
        <v>26</v>
      </c>
      <c r="K1379">
        <v>8</v>
      </c>
      <c r="L1379">
        <v>2</v>
      </c>
      <c r="M1379" s="11">
        <v>0</v>
      </c>
      <c r="N1379" s="12">
        <v>6786.69</v>
      </c>
      <c r="O1379" s="12">
        <v>6234.55</v>
      </c>
    </row>
    <row r="1380" spans="1:15">
      <c r="A1380" t="s">
        <v>1554</v>
      </c>
      <c r="B1380" t="s">
        <v>412</v>
      </c>
      <c r="C1380" s="9">
        <v>39813</v>
      </c>
      <c r="D1380">
        <v>17</v>
      </c>
      <c r="E1380" t="s">
        <v>17</v>
      </c>
      <c r="F1380" t="s">
        <v>29</v>
      </c>
      <c r="G1380" s="9">
        <v>45454</v>
      </c>
      <c r="H1380" s="9">
        <v>44973</v>
      </c>
      <c r="I1380">
        <v>11</v>
      </c>
      <c r="J1380" t="s">
        <v>35</v>
      </c>
      <c r="K1380">
        <v>13</v>
      </c>
      <c r="L1380">
        <v>4</v>
      </c>
      <c r="M1380" s="11">
        <v>29687.74</v>
      </c>
      <c r="N1380" s="12">
        <v>1418.09</v>
      </c>
      <c r="O1380" s="12">
        <v>1545.89</v>
      </c>
    </row>
    <row r="1381" spans="1:15">
      <c r="A1381" t="s">
        <v>1555</v>
      </c>
      <c r="B1381" t="s">
        <v>387</v>
      </c>
      <c r="C1381" s="9">
        <v>15341</v>
      </c>
      <c r="D1381">
        <v>84</v>
      </c>
      <c r="E1381" t="s">
        <v>21</v>
      </c>
      <c r="F1381" t="s">
        <v>18</v>
      </c>
      <c r="G1381" s="9">
        <v>45226</v>
      </c>
      <c r="H1381" s="9">
        <v>45004</v>
      </c>
      <c r="I1381">
        <v>34</v>
      </c>
      <c r="J1381" t="s">
        <v>26</v>
      </c>
      <c r="K1381">
        <v>3</v>
      </c>
      <c r="L1381">
        <v>0</v>
      </c>
      <c r="M1381" s="11">
        <v>6926.18</v>
      </c>
      <c r="N1381" s="12">
        <v>5453.08</v>
      </c>
      <c r="O1381" s="12">
        <v>4396.0200000000004</v>
      </c>
    </row>
    <row r="1382" spans="1:15">
      <c r="A1382" t="s">
        <v>1556</v>
      </c>
      <c r="B1382" t="s">
        <v>172</v>
      </c>
      <c r="C1382" s="9">
        <v>31047</v>
      </c>
      <c r="D1382">
        <v>41</v>
      </c>
      <c r="E1382" t="s">
        <v>21</v>
      </c>
      <c r="F1382" t="s">
        <v>29</v>
      </c>
      <c r="G1382" s="9">
        <v>45167</v>
      </c>
      <c r="H1382" s="9">
        <v>45656</v>
      </c>
      <c r="I1382">
        <v>2</v>
      </c>
      <c r="J1382" t="s">
        <v>26</v>
      </c>
      <c r="K1382">
        <v>5</v>
      </c>
      <c r="L1382">
        <v>3</v>
      </c>
      <c r="M1382" s="11">
        <v>2226.9</v>
      </c>
      <c r="N1382" s="12">
        <v>11695.89</v>
      </c>
      <c r="O1382" s="12">
        <v>17375.13</v>
      </c>
    </row>
    <row r="1383" spans="1:15">
      <c r="A1383" t="s">
        <v>1557</v>
      </c>
      <c r="B1383" t="s">
        <v>153</v>
      </c>
      <c r="C1383" s="9">
        <v>31412</v>
      </c>
      <c r="D1383">
        <v>40</v>
      </c>
      <c r="E1383" t="s">
        <v>17</v>
      </c>
      <c r="F1383" t="s">
        <v>18</v>
      </c>
      <c r="G1383" s="9">
        <v>45381</v>
      </c>
      <c r="H1383" s="9">
        <v>45096</v>
      </c>
      <c r="I1383">
        <v>19</v>
      </c>
      <c r="J1383" t="s">
        <v>32</v>
      </c>
      <c r="K1383">
        <v>10</v>
      </c>
      <c r="L1383">
        <v>4</v>
      </c>
      <c r="M1383" s="11">
        <v>29310.1</v>
      </c>
      <c r="N1383" s="12">
        <v>1144.42</v>
      </c>
      <c r="O1383" s="12">
        <v>18202.05</v>
      </c>
    </row>
    <row r="1384" spans="1:15">
      <c r="A1384" t="s">
        <v>1558</v>
      </c>
      <c r="B1384" t="s">
        <v>16</v>
      </c>
      <c r="C1384" s="9">
        <v>32508</v>
      </c>
      <c r="D1384">
        <v>37</v>
      </c>
      <c r="E1384" t="s">
        <v>21</v>
      </c>
      <c r="F1384" t="s">
        <v>29</v>
      </c>
      <c r="G1384" s="9">
        <v>45456</v>
      </c>
      <c r="H1384" s="9">
        <v>45741</v>
      </c>
      <c r="I1384">
        <v>25</v>
      </c>
      <c r="J1384" t="s">
        <v>35</v>
      </c>
      <c r="K1384">
        <v>4</v>
      </c>
      <c r="L1384">
        <v>8</v>
      </c>
      <c r="M1384" s="11">
        <v>4161.79</v>
      </c>
      <c r="N1384" s="12">
        <v>9385.94</v>
      </c>
      <c r="O1384" s="12">
        <v>8338.66</v>
      </c>
    </row>
    <row r="1385" spans="1:15">
      <c r="A1385" t="s">
        <v>1559</v>
      </c>
      <c r="B1385" t="s">
        <v>28</v>
      </c>
      <c r="C1385" s="9">
        <v>33969</v>
      </c>
      <c r="D1385">
        <v>33</v>
      </c>
      <c r="E1385" t="s">
        <v>17</v>
      </c>
      <c r="F1385" t="s">
        <v>74</v>
      </c>
      <c r="G1385" s="9">
        <v>45585</v>
      </c>
      <c r="H1385" s="9">
        <v>45056</v>
      </c>
      <c r="I1385">
        <v>1</v>
      </c>
      <c r="J1385" t="s">
        <v>26</v>
      </c>
      <c r="K1385">
        <v>7</v>
      </c>
      <c r="L1385">
        <v>7</v>
      </c>
      <c r="M1385" s="11">
        <v>15409.21</v>
      </c>
      <c r="N1385" s="12">
        <v>7608.99</v>
      </c>
      <c r="O1385" s="12">
        <v>12380.11</v>
      </c>
    </row>
    <row r="1386" spans="1:15">
      <c r="A1386" t="s">
        <v>1560</v>
      </c>
      <c r="B1386" t="s">
        <v>127</v>
      </c>
      <c r="C1386" s="9">
        <v>40178</v>
      </c>
      <c r="D1386">
        <v>16</v>
      </c>
      <c r="E1386" t="s">
        <v>21</v>
      </c>
      <c r="F1386" t="s">
        <v>49</v>
      </c>
      <c r="G1386" s="9">
        <v>45170</v>
      </c>
      <c r="H1386" s="9">
        <v>45640</v>
      </c>
      <c r="I1386">
        <v>35</v>
      </c>
      <c r="J1386" t="s">
        <v>32</v>
      </c>
      <c r="K1386">
        <v>10</v>
      </c>
      <c r="L1386">
        <v>0</v>
      </c>
      <c r="M1386" s="11">
        <v>13781.42</v>
      </c>
      <c r="N1386" s="12">
        <v>4648.04</v>
      </c>
      <c r="O1386" s="12">
        <v>10362.01</v>
      </c>
    </row>
    <row r="1387" spans="1:15">
      <c r="A1387" t="s">
        <v>1561</v>
      </c>
      <c r="B1387" t="s">
        <v>82</v>
      </c>
      <c r="C1387" s="9">
        <v>32873</v>
      </c>
      <c r="D1387">
        <v>36</v>
      </c>
      <c r="E1387" t="s">
        <v>21</v>
      </c>
      <c r="F1387" t="s">
        <v>49</v>
      </c>
      <c r="G1387" s="9">
        <v>45489</v>
      </c>
      <c r="H1387" s="9">
        <v>45635</v>
      </c>
      <c r="I1387">
        <v>26</v>
      </c>
      <c r="J1387" t="s">
        <v>26</v>
      </c>
      <c r="K1387">
        <v>1</v>
      </c>
      <c r="L1387">
        <v>2</v>
      </c>
      <c r="M1387" s="11">
        <v>25370.28</v>
      </c>
      <c r="N1387" s="12">
        <v>11334.26</v>
      </c>
      <c r="O1387" s="12">
        <v>5521.85</v>
      </c>
    </row>
    <row r="1388" spans="1:15">
      <c r="A1388" t="s">
        <v>1562</v>
      </c>
      <c r="B1388" t="s">
        <v>427</v>
      </c>
      <c r="C1388" s="9">
        <v>37256</v>
      </c>
      <c r="D1388">
        <f ca="1">DATEDIF(C1339,TODAY(),"Y")</f>
        <v>0</v>
      </c>
      <c r="E1388" t="s">
        <v>5185</v>
      </c>
      <c r="F1388" t="s">
        <v>18</v>
      </c>
      <c r="G1388" s="9">
        <v>45164</v>
      </c>
      <c r="H1388" s="9">
        <v>45787</v>
      </c>
      <c r="I1388">
        <v>34</v>
      </c>
      <c r="J1388" t="s">
        <v>32</v>
      </c>
      <c r="K1388">
        <v>14</v>
      </c>
      <c r="L1388">
        <v>2</v>
      </c>
      <c r="M1388" s="11">
        <v>11598.11</v>
      </c>
      <c r="N1388" s="12">
        <v>786.61</v>
      </c>
      <c r="O1388" s="12">
        <v>6830.39</v>
      </c>
    </row>
    <row r="1389" spans="1:15">
      <c r="A1389" t="s">
        <v>1563</v>
      </c>
      <c r="B1389" t="s">
        <v>137</v>
      </c>
      <c r="C1389" s="9">
        <v>18629</v>
      </c>
      <c r="D1389">
        <v>75</v>
      </c>
      <c r="E1389" t="s">
        <v>21</v>
      </c>
      <c r="F1389" t="s">
        <v>74</v>
      </c>
      <c r="G1389" s="9">
        <v>45172</v>
      </c>
      <c r="H1389" s="9">
        <v>45195</v>
      </c>
      <c r="I1389">
        <v>32</v>
      </c>
      <c r="J1389" t="s">
        <v>26</v>
      </c>
      <c r="K1389">
        <v>2</v>
      </c>
      <c r="L1389">
        <v>5</v>
      </c>
      <c r="M1389" s="11">
        <v>14816.53</v>
      </c>
      <c r="N1389" s="12">
        <v>7464.63</v>
      </c>
      <c r="O1389" s="12">
        <v>10489.09</v>
      </c>
    </row>
    <row r="1390" spans="1:15">
      <c r="A1390" t="s">
        <v>1564</v>
      </c>
      <c r="B1390" t="s">
        <v>51</v>
      </c>
      <c r="C1390" s="9">
        <v>14611</v>
      </c>
      <c r="D1390">
        <f ca="1">DATEDIF(C1341,TODAY(),"Y")</f>
        <v>68</v>
      </c>
      <c r="E1390" t="s">
        <v>17</v>
      </c>
      <c r="F1390" t="s">
        <v>25</v>
      </c>
      <c r="G1390" s="9">
        <v>45271</v>
      </c>
      <c r="H1390" s="9">
        <v>45527</v>
      </c>
      <c r="I1390">
        <v>17</v>
      </c>
      <c r="J1390" t="s">
        <v>35</v>
      </c>
      <c r="K1390">
        <v>7</v>
      </c>
      <c r="L1390">
        <v>3</v>
      </c>
      <c r="M1390" s="11">
        <v>834</v>
      </c>
      <c r="N1390" s="12">
        <v>7602.95</v>
      </c>
      <c r="O1390" s="12">
        <v>13876.78</v>
      </c>
    </row>
    <row r="1391" spans="1:15">
      <c r="A1391" t="s">
        <v>1565</v>
      </c>
      <c r="B1391" t="s">
        <v>273</v>
      </c>
      <c r="C1391" s="9">
        <v>14976</v>
      </c>
      <c r="D1391">
        <v>85</v>
      </c>
      <c r="E1391" t="s">
        <v>21</v>
      </c>
      <c r="F1391" t="s">
        <v>74</v>
      </c>
      <c r="G1391" s="9">
        <v>45410</v>
      </c>
      <c r="H1391" s="9">
        <v>45692</v>
      </c>
      <c r="I1391">
        <v>32</v>
      </c>
      <c r="J1391" t="s">
        <v>32</v>
      </c>
      <c r="K1391">
        <v>8</v>
      </c>
      <c r="L1391">
        <v>3</v>
      </c>
      <c r="M1391" s="11">
        <v>5839.04</v>
      </c>
      <c r="N1391" s="12">
        <v>1296.0899999999999</v>
      </c>
      <c r="O1391" s="12">
        <v>6932.11</v>
      </c>
    </row>
    <row r="1392" spans="1:15">
      <c r="A1392" t="s">
        <v>1566</v>
      </c>
      <c r="B1392" t="s">
        <v>379</v>
      </c>
      <c r="C1392" s="9">
        <v>15341</v>
      </c>
      <c r="D1392">
        <v>84</v>
      </c>
      <c r="E1392" t="s">
        <v>17</v>
      </c>
      <c r="F1392" t="s">
        <v>5184</v>
      </c>
      <c r="G1392" s="9">
        <v>45236</v>
      </c>
      <c r="H1392" s="9">
        <v>45677</v>
      </c>
      <c r="I1392">
        <v>32</v>
      </c>
      <c r="J1392" t="s">
        <v>35</v>
      </c>
      <c r="K1392">
        <v>12</v>
      </c>
      <c r="L1392">
        <v>0</v>
      </c>
      <c r="M1392" s="11">
        <v>24906.37</v>
      </c>
      <c r="N1392" s="12">
        <v>2040.34</v>
      </c>
      <c r="O1392" s="12">
        <v>13948.19</v>
      </c>
    </row>
    <row r="1393" spans="1:15">
      <c r="A1393" t="s">
        <v>1567</v>
      </c>
      <c r="B1393" t="s">
        <v>100</v>
      </c>
      <c r="C1393" s="9">
        <v>36526</v>
      </c>
      <c r="D1393">
        <v>26</v>
      </c>
      <c r="E1393" t="s">
        <v>17</v>
      </c>
      <c r="F1393" t="s">
        <v>18</v>
      </c>
      <c r="G1393" s="9">
        <v>45487</v>
      </c>
      <c r="H1393" s="9">
        <v>45512</v>
      </c>
      <c r="I1393">
        <v>17</v>
      </c>
      <c r="J1393" t="s">
        <v>32</v>
      </c>
      <c r="K1393">
        <v>11</v>
      </c>
      <c r="L1393">
        <v>9</v>
      </c>
      <c r="M1393" s="11">
        <v>14090.02</v>
      </c>
      <c r="N1393" s="12">
        <v>6144.82</v>
      </c>
      <c r="O1393" s="12">
        <v>19215.71</v>
      </c>
    </row>
    <row r="1394" spans="1:15">
      <c r="A1394" t="s">
        <v>1568</v>
      </c>
      <c r="B1394" t="s">
        <v>112</v>
      </c>
      <c r="C1394" s="9">
        <v>25568</v>
      </c>
      <c r="D1394">
        <v>56</v>
      </c>
      <c r="E1394" t="s">
        <v>21</v>
      </c>
      <c r="F1394" t="s">
        <v>74</v>
      </c>
      <c r="G1394" s="9">
        <v>45210</v>
      </c>
      <c r="H1394" s="9">
        <v>45346</v>
      </c>
      <c r="I1394">
        <v>1</v>
      </c>
      <c r="J1394" t="s">
        <v>26</v>
      </c>
      <c r="K1394">
        <v>13</v>
      </c>
      <c r="L1394">
        <v>3</v>
      </c>
      <c r="M1394" s="11">
        <v>6543.42</v>
      </c>
      <c r="N1394" s="12">
        <v>8047.84</v>
      </c>
      <c r="O1394" s="12">
        <v>393.6</v>
      </c>
    </row>
    <row r="1395" spans="1:15">
      <c r="A1395" t="s">
        <v>1569</v>
      </c>
      <c r="B1395" t="s">
        <v>350</v>
      </c>
      <c r="C1395" s="9">
        <f>DATE(2026-D1355,1,1)</f>
        <v>30317</v>
      </c>
      <c r="D1395">
        <v>30</v>
      </c>
      <c r="E1395" t="s">
        <v>17</v>
      </c>
      <c r="F1395" t="s">
        <v>25</v>
      </c>
      <c r="G1395" s="9">
        <v>44964</v>
      </c>
      <c r="H1395" s="9">
        <v>45797</v>
      </c>
      <c r="I1395">
        <v>15</v>
      </c>
      <c r="J1395" t="s">
        <v>35</v>
      </c>
      <c r="K1395">
        <v>6</v>
      </c>
      <c r="L1395">
        <v>0</v>
      </c>
      <c r="M1395" s="11">
        <v>10751.67</v>
      </c>
      <c r="N1395" s="12">
        <v>797.93</v>
      </c>
      <c r="O1395" s="12">
        <v>3193.12</v>
      </c>
    </row>
    <row r="1396" spans="1:15">
      <c r="A1396" t="s">
        <v>1570</v>
      </c>
      <c r="B1396" t="s">
        <v>192</v>
      </c>
      <c r="C1396" s="9">
        <v>44196</v>
      </c>
      <c r="D1396">
        <v>5</v>
      </c>
      <c r="E1396" t="s">
        <v>17</v>
      </c>
      <c r="F1396" t="s">
        <v>18</v>
      </c>
      <c r="G1396" s="9">
        <v>44958</v>
      </c>
      <c r="H1396" s="9">
        <v>45794</v>
      </c>
      <c r="I1396">
        <v>27</v>
      </c>
      <c r="J1396" t="s">
        <v>26</v>
      </c>
      <c r="K1396">
        <v>8</v>
      </c>
      <c r="L1396">
        <v>4</v>
      </c>
      <c r="M1396" s="11">
        <v>8195.42</v>
      </c>
      <c r="N1396" s="12">
        <v>176.35</v>
      </c>
      <c r="O1396" s="12">
        <v>18317.05</v>
      </c>
    </row>
    <row r="1397" spans="1:15">
      <c r="A1397" t="s">
        <v>1571</v>
      </c>
      <c r="B1397" t="s">
        <v>73</v>
      </c>
      <c r="C1397" s="9">
        <v>13150</v>
      </c>
      <c r="D1397">
        <v>90</v>
      </c>
      <c r="E1397" t="s">
        <v>21</v>
      </c>
      <c r="F1397" t="s">
        <v>49</v>
      </c>
      <c r="G1397" s="9">
        <v>45169</v>
      </c>
      <c r="H1397" s="9">
        <v>45088</v>
      </c>
      <c r="I1397">
        <v>39</v>
      </c>
      <c r="J1397" t="s">
        <v>35</v>
      </c>
      <c r="K1397">
        <v>4</v>
      </c>
      <c r="L1397">
        <v>2</v>
      </c>
      <c r="M1397" s="11">
        <v>16464.73</v>
      </c>
      <c r="N1397" s="12">
        <v>2889.06</v>
      </c>
      <c r="O1397" s="12">
        <v>1338.55</v>
      </c>
    </row>
    <row r="1398" spans="1:15">
      <c r="A1398" t="s">
        <v>1572</v>
      </c>
      <c r="B1398" t="s">
        <v>487</v>
      </c>
      <c r="C1398" s="9">
        <v>31778</v>
      </c>
      <c r="D1398">
        <v>39</v>
      </c>
      <c r="E1398" t="s">
        <v>17</v>
      </c>
      <c r="F1398" t="s">
        <v>22</v>
      </c>
      <c r="G1398" s="9">
        <v>45479</v>
      </c>
      <c r="H1398" s="9">
        <v>44985</v>
      </c>
      <c r="I1398">
        <v>26</v>
      </c>
      <c r="J1398" t="s">
        <v>32</v>
      </c>
      <c r="K1398">
        <v>10</v>
      </c>
      <c r="L1398">
        <v>9</v>
      </c>
      <c r="M1398" s="11">
        <v>1069.0999999999999</v>
      </c>
      <c r="N1398" s="12">
        <v>7317.14</v>
      </c>
      <c r="O1398" s="12">
        <v>15277.44</v>
      </c>
    </row>
    <row r="1399" spans="1:15">
      <c r="A1399" t="s">
        <v>1573</v>
      </c>
      <c r="B1399" t="s">
        <v>264</v>
      </c>
      <c r="C1399" s="9">
        <v>42005</v>
      </c>
      <c r="D1399">
        <v>11</v>
      </c>
      <c r="E1399" t="s">
        <v>17</v>
      </c>
      <c r="F1399" t="s">
        <v>74</v>
      </c>
      <c r="G1399" s="9">
        <v>45218</v>
      </c>
      <c r="H1399" s="9">
        <v>45311</v>
      </c>
      <c r="I1399">
        <v>36</v>
      </c>
      <c r="J1399" t="s">
        <v>32</v>
      </c>
      <c r="K1399">
        <v>1</v>
      </c>
      <c r="L1399">
        <v>4</v>
      </c>
      <c r="M1399" s="11">
        <v>6361.58</v>
      </c>
      <c r="N1399" s="12">
        <v>604.17999999999995</v>
      </c>
      <c r="O1399" s="12">
        <v>12441.96</v>
      </c>
    </row>
    <row r="1400" spans="1:15">
      <c r="A1400" t="s">
        <v>1574</v>
      </c>
      <c r="B1400" t="s">
        <v>204</v>
      </c>
      <c r="C1400" s="9">
        <v>27029</v>
      </c>
      <c r="D1400">
        <v>52</v>
      </c>
      <c r="E1400" t="s">
        <v>21</v>
      </c>
      <c r="F1400" t="s">
        <v>49</v>
      </c>
      <c r="G1400" s="9">
        <v>45541</v>
      </c>
      <c r="H1400" s="9">
        <v>45812</v>
      </c>
      <c r="I1400">
        <v>19</v>
      </c>
      <c r="J1400" t="s">
        <v>35</v>
      </c>
      <c r="K1400">
        <v>10</v>
      </c>
      <c r="L1400">
        <v>2</v>
      </c>
      <c r="M1400" s="11">
        <v>10326.43</v>
      </c>
      <c r="N1400" s="12">
        <v>10998.53</v>
      </c>
      <c r="O1400" s="12">
        <v>858.79</v>
      </c>
    </row>
    <row r="1401" spans="1:15">
      <c r="A1401" t="s">
        <v>1575</v>
      </c>
      <c r="B1401" t="s">
        <v>198</v>
      </c>
      <c r="C1401" s="9">
        <v>20455</v>
      </c>
      <c r="D1401">
        <v>70</v>
      </c>
      <c r="E1401" t="s">
        <v>21</v>
      </c>
      <c r="F1401" t="s">
        <v>49</v>
      </c>
      <c r="G1401" s="9">
        <v>45218</v>
      </c>
      <c r="H1401" s="9">
        <v>45730</v>
      </c>
      <c r="I1401">
        <v>26</v>
      </c>
      <c r="J1401" t="s">
        <v>26</v>
      </c>
      <c r="K1401">
        <v>7</v>
      </c>
      <c r="L1401">
        <v>4</v>
      </c>
      <c r="M1401" s="11">
        <v>27810.53</v>
      </c>
      <c r="N1401" s="12">
        <v>2278.92</v>
      </c>
      <c r="O1401" s="12">
        <v>85.38</v>
      </c>
    </row>
    <row r="1402" spans="1:15">
      <c r="A1402" t="s">
        <v>1576</v>
      </c>
      <c r="B1402" t="s">
        <v>194</v>
      </c>
      <c r="C1402" s="9">
        <v>42735</v>
      </c>
      <c r="D1402">
        <v>9</v>
      </c>
      <c r="E1402" t="s">
        <v>21</v>
      </c>
      <c r="F1402" t="s">
        <v>29</v>
      </c>
      <c r="G1402" s="9">
        <v>45545</v>
      </c>
      <c r="H1402" s="9">
        <v>45437</v>
      </c>
      <c r="I1402">
        <v>7</v>
      </c>
      <c r="J1402" t="s">
        <v>26</v>
      </c>
      <c r="K1402">
        <v>7</v>
      </c>
      <c r="L1402">
        <v>3</v>
      </c>
      <c r="M1402" s="11">
        <v>18509.990000000002</v>
      </c>
      <c r="N1402" s="12">
        <v>11589.17</v>
      </c>
      <c r="O1402" s="12">
        <v>9990.18</v>
      </c>
    </row>
    <row r="1403" spans="1:15">
      <c r="A1403" t="s">
        <v>1577</v>
      </c>
      <c r="B1403" t="s">
        <v>367</v>
      </c>
      <c r="C1403" s="9">
        <v>29951</v>
      </c>
      <c r="D1403">
        <v>44</v>
      </c>
      <c r="E1403" t="s">
        <v>21</v>
      </c>
      <c r="F1403" t="s">
        <v>25</v>
      </c>
      <c r="G1403" s="9">
        <v>45308</v>
      </c>
      <c r="H1403" s="9">
        <v>45357</v>
      </c>
      <c r="I1403">
        <v>17</v>
      </c>
      <c r="J1403" t="s">
        <v>26</v>
      </c>
      <c r="K1403">
        <v>9</v>
      </c>
      <c r="L1403">
        <v>8</v>
      </c>
      <c r="M1403" s="11">
        <v>14879.74</v>
      </c>
      <c r="N1403" s="12">
        <v>3071</v>
      </c>
      <c r="O1403" s="12">
        <v>2258.64</v>
      </c>
    </row>
    <row r="1404" spans="1:15">
      <c r="A1404" t="s">
        <v>1578</v>
      </c>
      <c r="B1404" t="s">
        <v>261</v>
      </c>
      <c r="C1404" s="9">
        <v>40178</v>
      </c>
      <c r="D1404">
        <v>16</v>
      </c>
      <c r="E1404" t="s">
        <v>17</v>
      </c>
      <c r="F1404" t="s">
        <v>5184</v>
      </c>
      <c r="G1404" s="9">
        <v>45525</v>
      </c>
      <c r="H1404" s="9">
        <v>45267</v>
      </c>
      <c r="I1404">
        <v>13</v>
      </c>
      <c r="J1404" t="s">
        <v>32</v>
      </c>
      <c r="K1404">
        <v>4</v>
      </c>
      <c r="L1404">
        <v>5</v>
      </c>
      <c r="M1404" s="11">
        <v>5320.12</v>
      </c>
      <c r="N1404" s="12">
        <v>5199.29</v>
      </c>
      <c r="O1404" s="12">
        <v>17431.53</v>
      </c>
    </row>
    <row r="1405" spans="1:15">
      <c r="A1405" t="s">
        <v>1579</v>
      </c>
      <c r="B1405" t="s">
        <v>16</v>
      </c>
      <c r="C1405" s="9">
        <v>36891</v>
      </c>
      <c r="D1405">
        <v>25</v>
      </c>
      <c r="E1405" t="s">
        <v>17</v>
      </c>
      <c r="F1405" t="s">
        <v>22</v>
      </c>
      <c r="G1405" s="9">
        <v>45504</v>
      </c>
      <c r="H1405" s="9">
        <v>45505</v>
      </c>
      <c r="I1405">
        <v>3</v>
      </c>
      <c r="J1405" t="s">
        <v>32</v>
      </c>
      <c r="K1405">
        <v>0</v>
      </c>
      <c r="L1405">
        <v>9</v>
      </c>
      <c r="M1405" s="11">
        <v>16514.52</v>
      </c>
      <c r="N1405" s="12">
        <v>7186.39</v>
      </c>
      <c r="O1405" s="12">
        <v>9563.57</v>
      </c>
    </row>
    <row r="1406" spans="1:15">
      <c r="A1406" t="s">
        <v>1580</v>
      </c>
      <c r="B1406" t="s">
        <v>664</v>
      </c>
      <c r="C1406" s="9">
        <v>15341</v>
      </c>
      <c r="D1406">
        <v>84</v>
      </c>
      <c r="E1406" t="s">
        <v>17</v>
      </c>
      <c r="F1406" t="s">
        <v>74</v>
      </c>
      <c r="G1406" s="9">
        <v>45064</v>
      </c>
      <c r="H1406" s="9">
        <v>44953</v>
      </c>
      <c r="I1406">
        <v>14</v>
      </c>
      <c r="J1406" t="s">
        <v>32</v>
      </c>
      <c r="K1406">
        <v>5</v>
      </c>
      <c r="L1406">
        <v>1</v>
      </c>
      <c r="M1406" s="11">
        <v>27834.79</v>
      </c>
      <c r="N1406" s="12">
        <v>5209.0600000000004</v>
      </c>
      <c r="O1406" s="12">
        <v>4612.32</v>
      </c>
    </row>
    <row r="1407" spans="1:15">
      <c r="A1407" t="s">
        <v>1581</v>
      </c>
      <c r="B1407" t="s">
        <v>187</v>
      </c>
      <c r="C1407" s="9">
        <v>12785</v>
      </c>
      <c r="D1407">
        <v>91</v>
      </c>
      <c r="E1407" t="s">
        <v>21</v>
      </c>
      <c r="F1407" t="s">
        <v>49</v>
      </c>
      <c r="G1407" s="9">
        <v>45126</v>
      </c>
      <c r="H1407" s="9">
        <v>45737</v>
      </c>
      <c r="I1407">
        <v>3</v>
      </c>
      <c r="J1407" t="s">
        <v>26</v>
      </c>
      <c r="K1407">
        <v>13</v>
      </c>
      <c r="L1407">
        <v>0</v>
      </c>
      <c r="M1407" s="11">
        <v>16772.43</v>
      </c>
      <c r="N1407" s="12">
        <v>354.29</v>
      </c>
      <c r="O1407" s="12">
        <v>3280.92</v>
      </c>
    </row>
    <row r="1408" spans="1:15">
      <c r="A1408" t="s">
        <v>1582</v>
      </c>
      <c r="B1408" t="s">
        <v>123</v>
      </c>
      <c r="C1408" s="9">
        <f>DATE(2026-D1368,1,1)</f>
        <v>22282</v>
      </c>
      <c r="D1408">
        <v>61</v>
      </c>
      <c r="E1408" t="s">
        <v>21</v>
      </c>
      <c r="F1408" t="s">
        <v>49</v>
      </c>
      <c r="G1408" s="9">
        <v>45261</v>
      </c>
      <c r="H1408" s="9">
        <v>45516</v>
      </c>
      <c r="I1408">
        <v>19</v>
      </c>
      <c r="J1408" t="s">
        <v>32</v>
      </c>
      <c r="K1408">
        <v>7</v>
      </c>
      <c r="L1408">
        <v>0</v>
      </c>
      <c r="M1408" s="11">
        <v>4525.6099999999997</v>
      </c>
      <c r="N1408" s="12">
        <v>13628.61</v>
      </c>
      <c r="O1408" s="12">
        <v>16699.03</v>
      </c>
    </row>
    <row r="1409" spans="1:15">
      <c r="A1409" t="s">
        <v>1583</v>
      </c>
      <c r="B1409" t="s">
        <v>159</v>
      </c>
      <c r="C1409" s="9">
        <v>29586</v>
      </c>
      <c r="D1409">
        <f ca="1">DATEDIF(C1360,TODAY(),"Y")</f>
        <v>29</v>
      </c>
      <c r="E1409" t="s">
        <v>17</v>
      </c>
      <c r="F1409" t="s">
        <v>5184</v>
      </c>
      <c r="G1409" s="9">
        <v>45531</v>
      </c>
      <c r="H1409" s="9">
        <v>45725</v>
      </c>
      <c r="I1409">
        <v>15</v>
      </c>
      <c r="J1409" t="s">
        <v>26</v>
      </c>
      <c r="K1409">
        <v>7</v>
      </c>
      <c r="L1409">
        <v>0</v>
      </c>
      <c r="M1409" s="11">
        <v>29912.13</v>
      </c>
      <c r="N1409" s="12">
        <v>4297</v>
      </c>
      <c r="O1409" s="12">
        <v>14346.65</v>
      </c>
    </row>
    <row r="1410" spans="1:15">
      <c r="A1410" t="s">
        <v>1584</v>
      </c>
      <c r="B1410" t="s">
        <v>539</v>
      </c>
      <c r="C1410" s="9">
        <f>DATE(2026-D1370,1,1)</f>
        <v>19725</v>
      </c>
      <c r="D1410">
        <v>63</v>
      </c>
      <c r="E1410" t="s">
        <v>17</v>
      </c>
      <c r="F1410" t="s">
        <v>25</v>
      </c>
      <c r="G1410" s="9">
        <v>45373</v>
      </c>
      <c r="H1410" s="9">
        <v>45299</v>
      </c>
      <c r="I1410">
        <v>29</v>
      </c>
      <c r="J1410" t="s">
        <v>35</v>
      </c>
      <c r="K1410">
        <v>1</v>
      </c>
      <c r="L1410">
        <v>8</v>
      </c>
      <c r="M1410" s="11">
        <v>14715.16</v>
      </c>
      <c r="N1410" s="12">
        <v>2040.54</v>
      </c>
      <c r="O1410" s="12">
        <v>14331.05</v>
      </c>
    </row>
    <row r="1411" spans="1:15">
      <c r="A1411" t="s">
        <v>1585</v>
      </c>
      <c r="B1411" t="s">
        <v>619</v>
      </c>
      <c r="C1411" s="9">
        <v>45657</v>
      </c>
      <c r="D1411">
        <v>1</v>
      </c>
      <c r="E1411" t="s">
        <v>17</v>
      </c>
      <c r="F1411" t="s">
        <v>22</v>
      </c>
      <c r="G1411" s="9">
        <v>45274</v>
      </c>
      <c r="H1411" s="9">
        <v>44963</v>
      </c>
      <c r="I1411">
        <v>25</v>
      </c>
      <c r="J1411" t="s">
        <v>35</v>
      </c>
      <c r="K1411">
        <v>0</v>
      </c>
      <c r="L1411">
        <v>4</v>
      </c>
      <c r="M1411" s="11">
        <v>9246.44</v>
      </c>
      <c r="N1411" s="12">
        <v>1987.77</v>
      </c>
      <c r="O1411" s="12">
        <v>1614.67</v>
      </c>
    </row>
    <row r="1412" spans="1:15">
      <c r="A1412" t="s">
        <v>1586</v>
      </c>
      <c r="B1412" t="s">
        <v>44</v>
      </c>
      <c r="C1412" s="9">
        <v>26664</v>
      </c>
      <c r="D1412">
        <v>53</v>
      </c>
      <c r="E1412" t="s">
        <v>21</v>
      </c>
      <c r="F1412" t="s">
        <v>22</v>
      </c>
      <c r="G1412" s="9">
        <v>45204</v>
      </c>
      <c r="H1412" s="9">
        <v>45458</v>
      </c>
      <c r="I1412">
        <v>39</v>
      </c>
      <c r="J1412" t="s">
        <v>35</v>
      </c>
      <c r="K1412">
        <v>14</v>
      </c>
      <c r="L1412">
        <v>3</v>
      </c>
      <c r="M1412" s="11">
        <v>14852.97</v>
      </c>
      <c r="N1412" s="12">
        <v>14619.19</v>
      </c>
      <c r="O1412" s="12">
        <v>12452.81</v>
      </c>
    </row>
    <row r="1413" spans="1:15">
      <c r="A1413" t="s">
        <v>1587</v>
      </c>
      <c r="B1413" t="s">
        <v>192</v>
      </c>
      <c r="C1413" s="9">
        <v>22646</v>
      </c>
      <c r="D1413">
        <v>64</v>
      </c>
      <c r="E1413" t="s">
        <v>21</v>
      </c>
      <c r="F1413" t="s">
        <v>5184</v>
      </c>
      <c r="G1413" s="9">
        <v>45458</v>
      </c>
      <c r="H1413" s="9">
        <v>45717</v>
      </c>
      <c r="I1413">
        <v>7</v>
      </c>
      <c r="J1413" t="s">
        <v>26</v>
      </c>
      <c r="K1413">
        <v>14</v>
      </c>
      <c r="L1413">
        <v>9</v>
      </c>
      <c r="M1413" s="11">
        <v>7542.57</v>
      </c>
      <c r="N1413" s="12">
        <v>1845.87</v>
      </c>
      <c r="O1413" s="12">
        <v>17376.599999999999</v>
      </c>
    </row>
    <row r="1414" spans="1:15">
      <c r="A1414" t="s">
        <v>1588</v>
      </c>
      <c r="B1414" t="s">
        <v>174</v>
      </c>
      <c r="C1414" s="9">
        <v>27760</v>
      </c>
      <c r="D1414">
        <v>50</v>
      </c>
      <c r="E1414" t="s">
        <v>21</v>
      </c>
      <c r="F1414" t="s">
        <v>49</v>
      </c>
      <c r="G1414" s="9">
        <v>45325</v>
      </c>
      <c r="H1414" s="9">
        <v>45760</v>
      </c>
      <c r="I1414">
        <v>38</v>
      </c>
      <c r="J1414" t="s">
        <v>35</v>
      </c>
      <c r="K1414">
        <v>10</v>
      </c>
      <c r="L1414">
        <v>4</v>
      </c>
      <c r="M1414" s="11">
        <v>426.38</v>
      </c>
      <c r="N1414" s="12">
        <v>5198.21</v>
      </c>
      <c r="O1414" s="12">
        <v>15294.6</v>
      </c>
    </row>
    <row r="1415" spans="1:15">
      <c r="A1415" t="s">
        <v>1589</v>
      </c>
      <c r="B1415" t="s">
        <v>93</v>
      </c>
      <c r="C1415" s="9">
        <v>27029</v>
      </c>
      <c r="D1415">
        <v>52</v>
      </c>
      <c r="E1415" t="s">
        <v>5185</v>
      </c>
      <c r="F1415" t="s">
        <v>49</v>
      </c>
      <c r="G1415" s="9">
        <v>45317</v>
      </c>
      <c r="H1415" s="9">
        <v>45752</v>
      </c>
      <c r="I1415">
        <v>19</v>
      </c>
      <c r="J1415" t="s">
        <v>26</v>
      </c>
      <c r="K1415">
        <v>3</v>
      </c>
      <c r="L1415">
        <v>8</v>
      </c>
      <c r="M1415" s="11">
        <v>26630.400000000001</v>
      </c>
      <c r="N1415" s="12">
        <v>1014.32</v>
      </c>
      <c r="O1415" s="12">
        <v>2274.9499999999998</v>
      </c>
    </row>
    <row r="1416" spans="1:15">
      <c r="A1416" t="s">
        <v>1590</v>
      </c>
      <c r="B1416" t="s">
        <v>328</v>
      </c>
      <c r="C1416" s="9">
        <v>33239</v>
      </c>
      <c r="D1416">
        <v>35</v>
      </c>
      <c r="E1416" t="s">
        <v>21</v>
      </c>
      <c r="F1416" t="s">
        <v>49</v>
      </c>
      <c r="G1416" s="9">
        <v>45528</v>
      </c>
      <c r="H1416" s="9">
        <v>45194</v>
      </c>
      <c r="I1416">
        <v>25</v>
      </c>
      <c r="J1416" t="s">
        <v>32</v>
      </c>
      <c r="K1416">
        <v>9</v>
      </c>
      <c r="L1416">
        <v>2</v>
      </c>
      <c r="M1416" s="11">
        <v>12580.67</v>
      </c>
      <c r="N1416" s="12">
        <v>11032.09</v>
      </c>
      <c r="O1416" s="12">
        <v>18980.52</v>
      </c>
    </row>
    <row r="1417" spans="1:15">
      <c r="A1417" t="s">
        <v>1591</v>
      </c>
      <c r="B1417" t="s">
        <v>654</v>
      </c>
      <c r="C1417" s="9">
        <v>36891</v>
      </c>
      <c r="D1417">
        <v>25</v>
      </c>
      <c r="E1417" t="s">
        <v>17</v>
      </c>
      <c r="F1417" t="s">
        <v>49</v>
      </c>
      <c r="G1417" s="9">
        <v>45488</v>
      </c>
      <c r="H1417" s="9">
        <v>45721</v>
      </c>
      <c r="I1417">
        <v>12</v>
      </c>
      <c r="J1417" t="s">
        <v>32</v>
      </c>
      <c r="K1417">
        <v>8</v>
      </c>
      <c r="L1417">
        <v>2</v>
      </c>
      <c r="M1417" s="11">
        <v>22463.23</v>
      </c>
      <c r="N1417" s="12">
        <v>8951.27</v>
      </c>
      <c r="O1417" s="12">
        <v>1301.6600000000001</v>
      </c>
    </row>
    <row r="1418" spans="1:15">
      <c r="A1418" t="s">
        <v>1592</v>
      </c>
      <c r="B1418" t="s">
        <v>145</v>
      </c>
      <c r="C1418" s="9">
        <v>35795</v>
      </c>
      <c r="D1418">
        <v>28</v>
      </c>
      <c r="E1418" t="s">
        <v>17</v>
      </c>
      <c r="F1418" t="s">
        <v>29</v>
      </c>
      <c r="G1418" s="9">
        <v>44936</v>
      </c>
      <c r="H1418" s="9">
        <v>45359</v>
      </c>
      <c r="I1418">
        <v>26</v>
      </c>
      <c r="J1418" t="s">
        <v>35</v>
      </c>
      <c r="K1418">
        <v>11</v>
      </c>
      <c r="L1418">
        <v>1</v>
      </c>
      <c r="M1418" s="11">
        <v>29123.29</v>
      </c>
      <c r="N1418" s="12">
        <v>8003.53</v>
      </c>
      <c r="O1418" s="12">
        <v>11093.78</v>
      </c>
    </row>
    <row r="1419" spans="1:15">
      <c r="A1419" t="s">
        <v>1593</v>
      </c>
      <c r="B1419" t="s">
        <v>539</v>
      </c>
      <c r="C1419" s="9">
        <v>38717</v>
      </c>
      <c r="D1419">
        <v>20</v>
      </c>
      <c r="E1419" t="s">
        <v>21</v>
      </c>
      <c r="F1419" t="s">
        <v>29</v>
      </c>
      <c r="G1419" s="9">
        <v>45517</v>
      </c>
      <c r="H1419" s="9">
        <v>44946</v>
      </c>
      <c r="I1419">
        <v>4</v>
      </c>
      <c r="J1419" t="s">
        <v>26</v>
      </c>
      <c r="K1419">
        <v>5</v>
      </c>
      <c r="L1419">
        <v>7</v>
      </c>
      <c r="M1419" s="11">
        <v>18793.919999999998</v>
      </c>
      <c r="N1419" s="12">
        <v>12837.61</v>
      </c>
      <c r="O1419" s="12">
        <v>18894.75</v>
      </c>
    </row>
    <row r="1420" spans="1:15">
      <c r="A1420" t="s">
        <v>1594</v>
      </c>
      <c r="B1420" t="s">
        <v>244</v>
      </c>
      <c r="C1420" s="9">
        <v>42370</v>
      </c>
      <c r="D1420">
        <v>10</v>
      </c>
      <c r="E1420" t="s">
        <v>17</v>
      </c>
      <c r="F1420" t="s">
        <v>5184</v>
      </c>
      <c r="G1420" s="9">
        <v>45475</v>
      </c>
      <c r="H1420" s="9">
        <v>45266</v>
      </c>
      <c r="I1420">
        <v>31</v>
      </c>
      <c r="J1420" t="s">
        <v>26</v>
      </c>
      <c r="K1420">
        <v>1</v>
      </c>
      <c r="L1420">
        <v>6</v>
      </c>
      <c r="M1420" s="11">
        <v>20594.3</v>
      </c>
      <c r="N1420" s="12">
        <v>8600.0499999999993</v>
      </c>
      <c r="O1420" s="12">
        <v>16427.36</v>
      </c>
    </row>
    <row r="1421" spans="1:15">
      <c r="A1421" t="s">
        <v>1595</v>
      </c>
      <c r="B1421" t="s">
        <v>97</v>
      </c>
      <c r="C1421" s="9">
        <v>31778</v>
      </c>
      <c r="D1421">
        <v>39</v>
      </c>
      <c r="E1421" t="s">
        <v>17</v>
      </c>
      <c r="F1421" t="s">
        <v>22</v>
      </c>
      <c r="G1421" s="9">
        <v>44985</v>
      </c>
      <c r="H1421" s="9">
        <v>45067</v>
      </c>
      <c r="I1421">
        <v>29</v>
      </c>
      <c r="J1421" t="s">
        <v>32</v>
      </c>
      <c r="K1421">
        <v>10</v>
      </c>
      <c r="L1421">
        <v>1</v>
      </c>
      <c r="M1421" s="11">
        <v>28268.85</v>
      </c>
      <c r="N1421" s="12">
        <v>14332.96</v>
      </c>
      <c r="O1421" s="12">
        <v>13584.66</v>
      </c>
    </row>
    <row r="1422" spans="1:15">
      <c r="A1422" t="s">
        <v>1596</v>
      </c>
      <c r="B1422" t="s">
        <v>328</v>
      </c>
      <c r="C1422" s="9">
        <v>42370</v>
      </c>
      <c r="D1422">
        <v>10</v>
      </c>
      <c r="E1422" t="s">
        <v>17</v>
      </c>
      <c r="F1422" t="s">
        <v>18</v>
      </c>
      <c r="G1422" s="9">
        <v>45014</v>
      </c>
      <c r="H1422" s="9">
        <v>44994</v>
      </c>
      <c r="I1422">
        <v>1</v>
      </c>
      <c r="J1422" t="s">
        <v>32</v>
      </c>
      <c r="K1422">
        <v>2</v>
      </c>
      <c r="L1422">
        <v>3</v>
      </c>
      <c r="M1422" s="11">
        <v>15254.91</v>
      </c>
      <c r="N1422" s="12">
        <v>9341.7000000000007</v>
      </c>
      <c r="O1422" s="12">
        <v>17112.509999999998</v>
      </c>
    </row>
    <row r="1423" spans="1:15">
      <c r="A1423" t="s">
        <v>1597</v>
      </c>
      <c r="B1423" t="s">
        <v>226</v>
      </c>
      <c r="C1423" s="9">
        <v>33239</v>
      </c>
      <c r="D1423">
        <v>35</v>
      </c>
      <c r="E1423" t="s">
        <v>21</v>
      </c>
      <c r="F1423" t="s">
        <v>74</v>
      </c>
      <c r="G1423" s="9">
        <v>45385</v>
      </c>
      <c r="H1423" s="9">
        <v>45751</v>
      </c>
      <c r="I1423">
        <v>23</v>
      </c>
      <c r="J1423" t="s">
        <v>32</v>
      </c>
      <c r="K1423">
        <v>8</v>
      </c>
      <c r="L1423">
        <v>6</v>
      </c>
      <c r="M1423" s="11">
        <v>9256.9500000000007</v>
      </c>
      <c r="N1423" s="12">
        <v>5315.11</v>
      </c>
      <c r="O1423" s="12">
        <v>13432.95</v>
      </c>
    </row>
    <row r="1424" spans="1:15">
      <c r="A1424" t="s">
        <v>1598</v>
      </c>
      <c r="B1424" t="s">
        <v>578</v>
      </c>
      <c r="C1424" s="9">
        <v>24838</v>
      </c>
      <c r="D1424">
        <v>58</v>
      </c>
      <c r="E1424" t="s">
        <v>21</v>
      </c>
      <c r="F1424" t="s">
        <v>25</v>
      </c>
      <c r="G1424" s="9">
        <v>45030</v>
      </c>
      <c r="H1424" s="9">
        <v>45457</v>
      </c>
      <c r="I1424">
        <v>8</v>
      </c>
      <c r="J1424" t="s">
        <v>32</v>
      </c>
      <c r="K1424">
        <v>0</v>
      </c>
      <c r="L1424">
        <v>0</v>
      </c>
      <c r="M1424" s="11">
        <v>27602.22</v>
      </c>
      <c r="N1424" s="12">
        <v>551.20000000000005</v>
      </c>
      <c r="O1424" s="12">
        <v>1004.47</v>
      </c>
    </row>
    <row r="1425" spans="1:15">
      <c r="A1425" t="s">
        <v>1599</v>
      </c>
      <c r="B1425" t="s">
        <v>278</v>
      </c>
      <c r="C1425" s="9">
        <v>32143</v>
      </c>
      <c r="D1425">
        <v>38</v>
      </c>
      <c r="E1425" t="s">
        <v>21</v>
      </c>
      <c r="F1425" t="s">
        <v>18</v>
      </c>
      <c r="G1425" s="9">
        <v>45030</v>
      </c>
      <c r="H1425" s="9">
        <v>45296</v>
      </c>
      <c r="I1425">
        <v>22</v>
      </c>
      <c r="J1425" t="s">
        <v>32</v>
      </c>
      <c r="K1425">
        <v>10</v>
      </c>
      <c r="L1425">
        <v>0</v>
      </c>
      <c r="M1425" s="11">
        <v>1604.32</v>
      </c>
      <c r="N1425" s="12">
        <v>10879.13</v>
      </c>
      <c r="O1425" s="12">
        <v>6952.53</v>
      </c>
    </row>
    <row r="1426" spans="1:15">
      <c r="A1426" t="s">
        <v>1600</v>
      </c>
      <c r="B1426" t="s">
        <v>367</v>
      </c>
      <c r="C1426" s="9">
        <v>26664</v>
      </c>
      <c r="D1426">
        <v>53</v>
      </c>
      <c r="E1426" t="s">
        <v>21</v>
      </c>
      <c r="F1426" t="s">
        <v>29</v>
      </c>
      <c r="G1426" s="9">
        <v>45180</v>
      </c>
      <c r="H1426" s="9">
        <v>45188</v>
      </c>
      <c r="I1426">
        <v>16</v>
      </c>
      <c r="J1426" t="s">
        <v>32</v>
      </c>
      <c r="K1426">
        <v>10</v>
      </c>
      <c r="L1426">
        <v>7</v>
      </c>
      <c r="M1426" s="11">
        <v>6045.54</v>
      </c>
      <c r="N1426" s="12">
        <v>5604.68</v>
      </c>
      <c r="O1426" s="12">
        <v>8485.16</v>
      </c>
    </row>
    <row r="1427" spans="1:15">
      <c r="A1427" t="s">
        <v>1601</v>
      </c>
      <c r="B1427" t="s">
        <v>242</v>
      </c>
      <c r="C1427" s="9">
        <v>26299</v>
      </c>
      <c r="D1427">
        <v>54</v>
      </c>
      <c r="E1427" t="s">
        <v>17</v>
      </c>
      <c r="F1427" t="s">
        <v>29</v>
      </c>
      <c r="G1427" s="9">
        <v>45261</v>
      </c>
      <c r="H1427" s="9">
        <v>45551</v>
      </c>
      <c r="I1427">
        <v>17</v>
      </c>
      <c r="J1427" t="s">
        <v>32</v>
      </c>
      <c r="K1427">
        <v>9</v>
      </c>
      <c r="L1427">
        <v>5</v>
      </c>
      <c r="M1427" s="11">
        <v>9908.57</v>
      </c>
      <c r="N1427" s="12">
        <v>8988.0300000000007</v>
      </c>
      <c r="O1427" s="12">
        <v>10882.18</v>
      </c>
    </row>
    <row r="1428" spans="1:15">
      <c r="A1428" t="s">
        <v>1602</v>
      </c>
      <c r="B1428" t="s">
        <v>103</v>
      </c>
      <c r="C1428" s="9">
        <v>37622</v>
      </c>
      <c r="D1428">
        <v>23</v>
      </c>
      <c r="E1428" t="s">
        <v>17</v>
      </c>
      <c r="F1428" t="s">
        <v>29</v>
      </c>
      <c r="G1428" s="9">
        <v>45389</v>
      </c>
      <c r="H1428" s="9">
        <v>45554</v>
      </c>
      <c r="I1428">
        <v>30</v>
      </c>
      <c r="J1428" t="s">
        <v>32</v>
      </c>
      <c r="K1428">
        <v>12</v>
      </c>
      <c r="L1428">
        <v>1</v>
      </c>
      <c r="M1428" s="11">
        <v>23354.400000000001</v>
      </c>
      <c r="N1428" s="12">
        <v>13145.22</v>
      </c>
      <c r="O1428" s="12">
        <v>4515.7700000000004</v>
      </c>
    </row>
    <row r="1429" spans="1:15">
      <c r="A1429" t="s">
        <v>1603</v>
      </c>
      <c r="B1429" t="s">
        <v>338</v>
      </c>
      <c r="C1429" s="9">
        <v>38352</v>
      </c>
      <c r="D1429">
        <v>21</v>
      </c>
      <c r="E1429" t="s">
        <v>21</v>
      </c>
      <c r="F1429" t="s">
        <v>18</v>
      </c>
      <c r="G1429" s="9">
        <v>45475</v>
      </c>
      <c r="H1429" s="9">
        <v>45605</v>
      </c>
      <c r="I1429">
        <v>14</v>
      </c>
      <c r="J1429" t="s">
        <v>35</v>
      </c>
      <c r="K1429">
        <v>13</v>
      </c>
      <c r="L1429">
        <v>9</v>
      </c>
      <c r="M1429" s="11">
        <v>27068.99</v>
      </c>
      <c r="N1429" s="12">
        <v>114.87</v>
      </c>
      <c r="O1429" s="12">
        <v>17611.57</v>
      </c>
    </row>
    <row r="1430" spans="1:15">
      <c r="A1430" t="s">
        <v>1604</v>
      </c>
      <c r="B1430" t="s">
        <v>479</v>
      </c>
      <c r="C1430" s="9">
        <v>21185</v>
      </c>
      <c r="D1430">
        <f ca="1">DATEDIF(C1381,TODAY(),"Y")</f>
        <v>84</v>
      </c>
      <c r="E1430" t="s">
        <v>17</v>
      </c>
      <c r="F1430" t="s">
        <v>29</v>
      </c>
      <c r="G1430" s="9">
        <v>45227</v>
      </c>
      <c r="H1430" s="9">
        <v>45506</v>
      </c>
      <c r="I1430">
        <v>27</v>
      </c>
      <c r="J1430" t="s">
        <v>32</v>
      </c>
      <c r="K1430">
        <v>12</v>
      </c>
      <c r="L1430">
        <v>9</v>
      </c>
      <c r="M1430" s="11">
        <v>13279.49</v>
      </c>
      <c r="N1430" s="12">
        <v>11394.19</v>
      </c>
      <c r="O1430" s="12">
        <v>4496.88</v>
      </c>
    </row>
    <row r="1431" spans="1:15">
      <c r="A1431" t="s">
        <v>1605</v>
      </c>
      <c r="B1431" t="s">
        <v>34</v>
      </c>
      <c r="C1431" s="9">
        <v>25934</v>
      </c>
      <c r="D1431">
        <v>55</v>
      </c>
      <c r="E1431" t="s">
        <v>17</v>
      </c>
      <c r="F1431" t="s">
        <v>18</v>
      </c>
      <c r="G1431" s="9">
        <v>45580</v>
      </c>
      <c r="H1431" s="9">
        <v>45694</v>
      </c>
      <c r="I1431">
        <v>15</v>
      </c>
      <c r="J1431" t="s">
        <v>26</v>
      </c>
      <c r="K1431">
        <v>8</v>
      </c>
      <c r="L1431">
        <v>0</v>
      </c>
      <c r="M1431" s="11">
        <v>8226.89</v>
      </c>
      <c r="N1431" s="12">
        <v>6529.27</v>
      </c>
      <c r="O1431" s="12">
        <v>13117.63</v>
      </c>
    </row>
    <row r="1432" spans="1:15">
      <c r="A1432" t="s">
        <v>1606</v>
      </c>
      <c r="B1432" t="s">
        <v>97</v>
      </c>
      <c r="C1432" s="9">
        <f>DATE(2026-D1392,1,1)</f>
        <v>15342</v>
      </c>
      <c r="D1432">
        <v>32</v>
      </c>
      <c r="E1432" t="s">
        <v>21</v>
      </c>
      <c r="F1432" t="s">
        <v>29</v>
      </c>
      <c r="G1432" s="9">
        <v>45481</v>
      </c>
      <c r="H1432" s="9">
        <v>45509</v>
      </c>
      <c r="I1432">
        <v>29</v>
      </c>
      <c r="J1432" t="s">
        <v>26</v>
      </c>
      <c r="K1432">
        <v>11</v>
      </c>
      <c r="L1432">
        <v>2</v>
      </c>
      <c r="M1432" s="11">
        <v>10272.93</v>
      </c>
      <c r="N1432" s="12">
        <v>1860.9</v>
      </c>
      <c r="O1432" s="12">
        <v>17519.810000000001</v>
      </c>
    </row>
    <row r="1433" spans="1:15">
      <c r="A1433" t="s">
        <v>1607</v>
      </c>
      <c r="B1433" t="s">
        <v>192</v>
      </c>
      <c r="C1433" s="9">
        <v>33239</v>
      </c>
      <c r="D1433">
        <v>35</v>
      </c>
      <c r="E1433" t="s">
        <v>21</v>
      </c>
      <c r="F1433" t="s">
        <v>49</v>
      </c>
      <c r="G1433" s="9">
        <v>45554</v>
      </c>
      <c r="H1433" s="9">
        <v>45747</v>
      </c>
      <c r="I1433">
        <v>37</v>
      </c>
      <c r="J1433" t="s">
        <v>26</v>
      </c>
      <c r="K1433">
        <v>10</v>
      </c>
      <c r="L1433">
        <v>3</v>
      </c>
      <c r="M1433" s="11">
        <v>19524.689999999999</v>
      </c>
      <c r="N1433" s="12">
        <v>8736.8700000000008</v>
      </c>
      <c r="O1433" s="12">
        <v>14629.54</v>
      </c>
    </row>
    <row r="1434" spans="1:15">
      <c r="A1434" t="s">
        <v>1608</v>
      </c>
      <c r="B1434" t="s">
        <v>170</v>
      </c>
      <c r="C1434" s="9">
        <v>39083</v>
      </c>
      <c r="D1434">
        <v>19</v>
      </c>
      <c r="E1434" t="s">
        <v>17</v>
      </c>
      <c r="F1434" t="s">
        <v>49</v>
      </c>
      <c r="G1434" s="9">
        <v>45267</v>
      </c>
      <c r="H1434" s="9">
        <v>45130</v>
      </c>
      <c r="I1434">
        <v>1</v>
      </c>
      <c r="J1434" t="s">
        <v>32</v>
      </c>
      <c r="K1434">
        <v>11</v>
      </c>
      <c r="L1434">
        <v>4</v>
      </c>
      <c r="M1434" s="11">
        <v>4319.22</v>
      </c>
      <c r="N1434" s="12">
        <v>7989.22</v>
      </c>
      <c r="O1434" s="12">
        <v>2633.85</v>
      </c>
    </row>
    <row r="1435" spans="1:15">
      <c r="A1435" t="s">
        <v>1609</v>
      </c>
      <c r="B1435" t="s">
        <v>278</v>
      </c>
      <c r="C1435" s="9">
        <f>DATE(2026-D1395,1,1)</f>
        <v>35065</v>
      </c>
      <c r="D1435">
        <v>82</v>
      </c>
      <c r="E1435" t="s">
        <v>17</v>
      </c>
      <c r="F1435" t="s">
        <v>74</v>
      </c>
      <c r="G1435" s="9">
        <v>45418</v>
      </c>
      <c r="H1435" s="9">
        <v>45566</v>
      </c>
      <c r="I1435">
        <v>29</v>
      </c>
      <c r="J1435" t="s">
        <v>26</v>
      </c>
      <c r="K1435">
        <v>0</v>
      </c>
      <c r="L1435">
        <v>9</v>
      </c>
      <c r="M1435" s="11">
        <v>0</v>
      </c>
      <c r="N1435" s="12">
        <v>12634.62</v>
      </c>
      <c r="O1435" s="12">
        <v>19023.02</v>
      </c>
    </row>
    <row r="1436" spans="1:15">
      <c r="A1436" t="s">
        <v>1610</v>
      </c>
      <c r="B1436" t="s">
        <v>145</v>
      </c>
      <c r="C1436" s="9">
        <v>16802</v>
      </c>
      <c r="D1436">
        <v>80</v>
      </c>
      <c r="E1436" t="s">
        <v>17</v>
      </c>
      <c r="F1436" t="s">
        <v>29</v>
      </c>
      <c r="G1436" s="9">
        <v>45010</v>
      </c>
      <c r="H1436" s="9">
        <v>45337</v>
      </c>
      <c r="I1436">
        <v>16</v>
      </c>
      <c r="J1436" t="s">
        <v>32</v>
      </c>
      <c r="K1436">
        <v>5</v>
      </c>
      <c r="L1436">
        <v>2</v>
      </c>
      <c r="M1436" s="11">
        <v>0</v>
      </c>
      <c r="N1436" s="12">
        <v>7823.44</v>
      </c>
      <c r="O1436" s="12">
        <v>1747.52</v>
      </c>
    </row>
    <row r="1437" spans="1:15">
      <c r="A1437" t="s">
        <v>1611</v>
      </c>
      <c r="B1437" t="s">
        <v>137</v>
      </c>
      <c r="C1437" s="9">
        <v>23742</v>
      </c>
      <c r="D1437">
        <v>61</v>
      </c>
      <c r="E1437" t="s">
        <v>21</v>
      </c>
      <c r="F1437" t="s">
        <v>5184</v>
      </c>
      <c r="G1437" s="9">
        <v>45185</v>
      </c>
      <c r="H1437" s="9">
        <v>45760</v>
      </c>
      <c r="I1437">
        <v>0</v>
      </c>
      <c r="J1437" t="s">
        <v>26</v>
      </c>
      <c r="K1437">
        <v>0</v>
      </c>
      <c r="L1437">
        <v>4</v>
      </c>
      <c r="M1437" s="11">
        <v>21089.599999999999</v>
      </c>
      <c r="N1437" s="12">
        <v>12410.28</v>
      </c>
      <c r="O1437" s="12">
        <v>3921.35</v>
      </c>
    </row>
    <row r="1438" spans="1:15">
      <c r="A1438" t="s">
        <v>1612</v>
      </c>
      <c r="B1438" t="s">
        <v>242</v>
      </c>
      <c r="C1438" s="9">
        <v>19724</v>
      </c>
      <c r="D1438">
        <v>72</v>
      </c>
      <c r="E1438" t="s">
        <v>21</v>
      </c>
      <c r="F1438" t="s">
        <v>74</v>
      </c>
      <c r="G1438" s="9">
        <v>45286</v>
      </c>
      <c r="H1438" s="9">
        <v>45007</v>
      </c>
      <c r="I1438">
        <v>35</v>
      </c>
      <c r="J1438" t="s">
        <v>32</v>
      </c>
      <c r="K1438">
        <v>1</v>
      </c>
      <c r="L1438">
        <v>6</v>
      </c>
      <c r="M1438" s="11">
        <v>17918.89</v>
      </c>
      <c r="N1438" s="12">
        <v>8167.34</v>
      </c>
      <c r="O1438" s="12">
        <v>2698.79</v>
      </c>
    </row>
    <row r="1439" spans="1:15">
      <c r="A1439" t="s">
        <v>1613</v>
      </c>
      <c r="B1439" t="s">
        <v>261</v>
      </c>
      <c r="C1439" s="9">
        <v>36891</v>
      </c>
      <c r="D1439">
        <v>25</v>
      </c>
      <c r="E1439" t="s">
        <v>21</v>
      </c>
      <c r="F1439" t="s">
        <v>18</v>
      </c>
      <c r="G1439" s="9">
        <v>45013</v>
      </c>
      <c r="H1439" s="9">
        <v>45615</v>
      </c>
      <c r="I1439">
        <v>25</v>
      </c>
      <c r="J1439" t="s">
        <v>32</v>
      </c>
      <c r="K1439">
        <v>2</v>
      </c>
      <c r="L1439">
        <v>8</v>
      </c>
      <c r="M1439" s="11">
        <v>2457.15</v>
      </c>
      <c r="N1439" s="12">
        <v>6704.18</v>
      </c>
      <c r="O1439" s="12">
        <v>13305.03</v>
      </c>
    </row>
    <row r="1440" spans="1:15">
      <c r="A1440" t="s">
        <v>1614</v>
      </c>
      <c r="B1440" t="s">
        <v>63</v>
      </c>
      <c r="C1440" s="9">
        <v>22281</v>
      </c>
      <c r="D1440">
        <v>65</v>
      </c>
      <c r="E1440" t="s">
        <v>17</v>
      </c>
      <c r="F1440" t="s">
        <v>74</v>
      </c>
      <c r="G1440" s="9">
        <v>45354</v>
      </c>
      <c r="H1440" s="9">
        <v>45040</v>
      </c>
      <c r="I1440">
        <v>35</v>
      </c>
      <c r="J1440" t="s">
        <v>26</v>
      </c>
      <c r="K1440">
        <v>13</v>
      </c>
      <c r="L1440">
        <v>4</v>
      </c>
      <c r="M1440" s="11">
        <v>20508.37</v>
      </c>
      <c r="N1440" s="12">
        <v>5567.76</v>
      </c>
      <c r="O1440" s="12">
        <v>16128.94</v>
      </c>
    </row>
    <row r="1441" spans="1:15">
      <c r="A1441" t="s">
        <v>1615</v>
      </c>
      <c r="B1441" t="s">
        <v>37</v>
      </c>
      <c r="C1441" s="9">
        <v>19724</v>
      </c>
      <c r="D1441">
        <v>72</v>
      </c>
      <c r="E1441" t="s">
        <v>17</v>
      </c>
      <c r="F1441" t="s">
        <v>29</v>
      </c>
      <c r="G1441" s="9">
        <v>45293</v>
      </c>
      <c r="H1441" s="9">
        <v>45550</v>
      </c>
      <c r="I1441">
        <v>3</v>
      </c>
      <c r="J1441" t="s">
        <v>32</v>
      </c>
      <c r="K1441">
        <v>12</v>
      </c>
      <c r="L1441">
        <v>3</v>
      </c>
      <c r="M1441" s="11">
        <v>163.30000000000001</v>
      </c>
      <c r="N1441" s="12">
        <v>2605.46</v>
      </c>
      <c r="O1441" s="12">
        <v>4684.12</v>
      </c>
    </row>
    <row r="1442" spans="1:15">
      <c r="A1442" t="s">
        <v>1616</v>
      </c>
      <c r="B1442" t="s">
        <v>356</v>
      </c>
      <c r="C1442" s="9">
        <v>19724</v>
      </c>
      <c r="D1442">
        <v>72</v>
      </c>
      <c r="E1442" t="s">
        <v>21</v>
      </c>
      <c r="F1442" t="s">
        <v>18</v>
      </c>
      <c r="G1442" s="9">
        <v>45269</v>
      </c>
      <c r="H1442" s="9">
        <v>45748</v>
      </c>
      <c r="I1442">
        <v>37</v>
      </c>
      <c r="J1442" t="s">
        <v>32</v>
      </c>
      <c r="K1442">
        <v>4</v>
      </c>
      <c r="L1442">
        <v>9</v>
      </c>
      <c r="M1442" s="11">
        <v>11404.42</v>
      </c>
      <c r="N1442" s="12">
        <v>8760.4599999999991</v>
      </c>
      <c r="O1442" s="12">
        <v>19582.89</v>
      </c>
    </row>
    <row r="1443" spans="1:15">
      <c r="A1443" t="s">
        <v>1617</v>
      </c>
      <c r="B1443" t="s">
        <v>244</v>
      </c>
      <c r="C1443" s="9">
        <f>DATE(2026-D1403,1,1)</f>
        <v>29952</v>
      </c>
      <c r="D1443">
        <v>39</v>
      </c>
      <c r="E1443" t="s">
        <v>17</v>
      </c>
      <c r="F1443" t="s">
        <v>5184</v>
      </c>
      <c r="G1443" s="9">
        <v>45273</v>
      </c>
      <c r="H1443" s="9">
        <v>45064</v>
      </c>
      <c r="I1443">
        <v>14</v>
      </c>
      <c r="J1443" t="s">
        <v>32</v>
      </c>
      <c r="K1443">
        <v>14</v>
      </c>
      <c r="L1443">
        <v>8</v>
      </c>
      <c r="M1443" s="11">
        <v>12220.42</v>
      </c>
      <c r="N1443" s="12">
        <v>8163.75</v>
      </c>
      <c r="O1443" s="12">
        <v>2698.8</v>
      </c>
    </row>
    <row r="1444" spans="1:15">
      <c r="A1444" t="s">
        <v>1618</v>
      </c>
      <c r="B1444" t="s">
        <v>71</v>
      </c>
      <c r="C1444" s="9">
        <v>40178</v>
      </c>
      <c r="D1444">
        <v>16</v>
      </c>
      <c r="E1444" t="s">
        <v>17</v>
      </c>
      <c r="F1444" t="s">
        <v>18</v>
      </c>
      <c r="G1444" s="9">
        <v>45022</v>
      </c>
      <c r="H1444" s="9">
        <v>45572</v>
      </c>
      <c r="I1444">
        <v>39</v>
      </c>
      <c r="J1444" t="s">
        <v>32</v>
      </c>
      <c r="K1444">
        <v>8</v>
      </c>
      <c r="L1444">
        <v>7</v>
      </c>
      <c r="M1444" s="11">
        <v>3057.23</v>
      </c>
      <c r="N1444" s="12">
        <v>14636.09</v>
      </c>
      <c r="O1444" s="12">
        <v>6248.96</v>
      </c>
    </row>
    <row r="1445" spans="1:15">
      <c r="A1445" t="s">
        <v>1619</v>
      </c>
      <c r="B1445" t="s">
        <v>31</v>
      </c>
      <c r="C1445" s="9">
        <v>46022</v>
      </c>
      <c r="D1445">
        <v>0</v>
      </c>
      <c r="E1445" t="s">
        <v>17</v>
      </c>
      <c r="F1445" t="s">
        <v>49</v>
      </c>
      <c r="G1445" s="9">
        <v>45181</v>
      </c>
      <c r="H1445" s="9">
        <v>45811</v>
      </c>
      <c r="I1445">
        <v>2</v>
      </c>
      <c r="J1445" t="s">
        <v>32</v>
      </c>
      <c r="K1445">
        <v>8</v>
      </c>
      <c r="L1445">
        <v>4</v>
      </c>
      <c r="M1445" s="11">
        <v>199.36</v>
      </c>
      <c r="N1445" s="12">
        <v>6186.13</v>
      </c>
      <c r="O1445" s="12">
        <v>9755.2199999999993</v>
      </c>
    </row>
    <row r="1446" spans="1:15">
      <c r="A1446" t="s">
        <v>1620</v>
      </c>
      <c r="B1446" t="s">
        <v>332</v>
      </c>
      <c r="C1446" s="9">
        <v>13880</v>
      </c>
      <c r="D1446">
        <v>88</v>
      </c>
      <c r="E1446" t="s">
        <v>5185</v>
      </c>
      <c r="F1446" t="s">
        <v>18</v>
      </c>
      <c r="G1446" s="9">
        <v>45062</v>
      </c>
      <c r="H1446" s="9">
        <v>45767</v>
      </c>
      <c r="I1446">
        <v>16</v>
      </c>
      <c r="J1446" t="s">
        <v>32</v>
      </c>
      <c r="K1446">
        <v>2</v>
      </c>
      <c r="L1446">
        <v>8</v>
      </c>
      <c r="M1446" s="11">
        <v>1670.44</v>
      </c>
      <c r="N1446" s="12">
        <v>6322.85</v>
      </c>
      <c r="O1446" s="12">
        <v>16157.84</v>
      </c>
    </row>
    <row r="1447" spans="1:15">
      <c r="A1447" t="s">
        <v>1621</v>
      </c>
      <c r="B1447" t="s">
        <v>174</v>
      </c>
      <c r="C1447" s="9">
        <v>24107</v>
      </c>
      <c r="D1447">
        <v>60</v>
      </c>
      <c r="E1447" t="s">
        <v>21</v>
      </c>
      <c r="F1447" t="s">
        <v>18</v>
      </c>
      <c r="G1447" s="9">
        <v>45174</v>
      </c>
      <c r="H1447" s="9">
        <v>45116</v>
      </c>
      <c r="I1447">
        <v>39</v>
      </c>
      <c r="J1447" t="s">
        <v>32</v>
      </c>
      <c r="K1447">
        <v>1</v>
      </c>
      <c r="L1447">
        <v>8</v>
      </c>
      <c r="M1447" s="11">
        <v>13112.15</v>
      </c>
      <c r="N1447" s="12">
        <v>2458.0700000000002</v>
      </c>
      <c r="O1447" s="12">
        <v>7468.5</v>
      </c>
    </row>
    <row r="1448" spans="1:15">
      <c r="A1448" t="s">
        <v>1622</v>
      </c>
      <c r="B1448" t="s">
        <v>59</v>
      </c>
      <c r="C1448" s="9">
        <v>30682</v>
      </c>
      <c r="D1448">
        <v>42</v>
      </c>
      <c r="E1448" t="s">
        <v>17</v>
      </c>
      <c r="F1448" t="s">
        <v>74</v>
      </c>
      <c r="G1448" s="9">
        <v>45425</v>
      </c>
      <c r="H1448" s="9">
        <v>45204</v>
      </c>
      <c r="I1448">
        <v>32</v>
      </c>
      <c r="J1448" t="s">
        <v>35</v>
      </c>
      <c r="K1448">
        <v>1</v>
      </c>
      <c r="L1448">
        <v>0</v>
      </c>
      <c r="M1448" s="11">
        <v>6830.8</v>
      </c>
      <c r="N1448" s="12">
        <v>8963.57</v>
      </c>
      <c r="O1448" s="12">
        <v>3515.92</v>
      </c>
    </row>
    <row r="1449" spans="1:15">
      <c r="A1449" t="s">
        <v>1623</v>
      </c>
      <c r="B1449" t="s">
        <v>654</v>
      </c>
      <c r="C1449" s="9">
        <v>31047</v>
      </c>
      <c r="D1449">
        <v>41</v>
      </c>
      <c r="E1449" t="s">
        <v>21</v>
      </c>
      <c r="F1449" t="s">
        <v>5184</v>
      </c>
      <c r="G1449" s="9">
        <v>45412</v>
      </c>
      <c r="H1449" s="9">
        <v>45664</v>
      </c>
      <c r="I1449">
        <v>19</v>
      </c>
      <c r="J1449" t="s">
        <v>35</v>
      </c>
      <c r="K1449">
        <v>7</v>
      </c>
      <c r="L1449">
        <v>5</v>
      </c>
      <c r="M1449" s="11">
        <v>1603.9</v>
      </c>
      <c r="N1449" s="12">
        <v>12717.78</v>
      </c>
      <c r="O1449" s="12">
        <v>9245.2199999999993</v>
      </c>
    </row>
    <row r="1450" spans="1:15">
      <c r="A1450" t="s">
        <v>1624</v>
      </c>
      <c r="B1450" t="s">
        <v>289</v>
      </c>
      <c r="C1450" s="9">
        <v>37256</v>
      </c>
      <c r="D1450">
        <v>24</v>
      </c>
      <c r="E1450" t="s">
        <v>21</v>
      </c>
      <c r="F1450" t="s">
        <v>22</v>
      </c>
      <c r="G1450" s="9">
        <v>45328</v>
      </c>
      <c r="H1450" s="9">
        <v>45030</v>
      </c>
      <c r="I1450">
        <v>21</v>
      </c>
      <c r="J1450" t="s">
        <v>35</v>
      </c>
      <c r="K1450">
        <v>1</v>
      </c>
      <c r="L1450">
        <v>4</v>
      </c>
      <c r="M1450" s="11">
        <v>7320.37</v>
      </c>
      <c r="N1450" s="12">
        <v>3718.85</v>
      </c>
      <c r="O1450" s="12">
        <v>9477.56</v>
      </c>
    </row>
    <row r="1451" spans="1:15">
      <c r="A1451" t="s">
        <v>1625</v>
      </c>
      <c r="B1451" t="s">
        <v>209</v>
      </c>
      <c r="C1451" s="9">
        <v>32143</v>
      </c>
      <c r="D1451">
        <v>38</v>
      </c>
      <c r="E1451" t="s">
        <v>17</v>
      </c>
      <c r="F1451" t="s">
        <v>18</v>
      </c>
      <c r="G1451" s="9">
        <v>45530</v>
      </c>
      <c r="H1451" s="9">
        <v>45034</v>
      </c>
      <c r="I1451">
        <v>7</v>
      </c>
      <c r="J1451" t="s">
        <v>35</v>
      </c>
      <c r="K1451">
        <v>5</v>
      </c>
      <c r="L1451">
        <v>5</v>
      </c>
      <c r="M1451" s="11">
        <v>15629.08</v>
      </c>
      <c r="N1451" s="12">
        <v>136.16999999999999</v>
      </c>
      <c r="O1451" s="12">
        <v>225.72</v>
      </c>
    </row>
    <row r="1452" spans="1:15">
      <c r="A1452" t="s">
        <v>1626</v>
      </c>
      <c r="B1452" t="s">
        <v>268</v>
      </c>
      <c r="C1452" s="9">
        <v>33604</v>
      </c>
      <c r="D1452">
        <v>34</v>
      </c>
      <c r="E1452" t="s">
        <v>17</v>
      </c>
      <c r="F1452" t="s">
        <v>25</v>
      </c>
      <c r="G1452" s="9">
        <v>45338</v>
      </c>
      <c r="H1452" s="9">
        <v>45502</v>
      </c>
      <c r="I1452">
        <v>1</v>
      </c>
      <c r="J1452" t="s">
        <v>32</v>
      </c>
      <c r="K1452">
        <v>9</v>
      </c>
      <c r="L1452">
        <v>9</v>
      </c>
      <c r="M1452" s="11">
        <v>22135.23</v>
      </c>
      <c r="N1452" s="12">
        <v>10372.1</v>
      </c>
      <c r="O1452" s="12">
        <v>319.86</v>
      </c>
    </row>
    <row r="1453" spans="1:15">
      <c r="A1453" t="s">
        <v>1627</v>
      </c>
      <c r="B1453" t="s">
        <v>242</v>
      </c>
      <c r="C1453" s="9">
        <v>45292</v>
      </c>
      <c r="D1453">
        <v>2</v>
      </c>
      <c r="E1453" t="s">
        <v>17</v>
      </c>
      <c r="F1453" t="s">
        <v>22</v>
      </c>
      <c r="G1453" s="9">
        <v>45374</v>
      </c>
      <c r="H1453" s="9">
        <v>45684</v>
      </c>
      <c r="I1453">
        <v>25</v>
      </c>
      <c r="J1453" t="s">
        <v>35</v>
      </c>
      <c r="K1453">
        <v>10</v>
      </c>
      <c r="L1453">
        <v>2</v>
      </c>
      <c r="M1453" s="11">
        <v>12066.04</v>
      </c>
      <c r="N1453" s="12">
        <v>470.61</v>
      </c>
      <c r="O1453" s="12">
        <v>5480.54</v>
      </c>
    </row>
    <row r="1454" spans="1:15">
      <c r="A1454" t="s">
        <v>1628</v>
      </c>
      <c r="B1454" t="s">
        <v>619</v>
      </c>
      <c r="C1454" s="9">
        <v>30317</v>
      </c>
      <c r="D1454">
        <v>43</v>
      </c>
      <c r="E1454" t="s">
        <v>17</v>
      </c>
      <c r="F1454" t="s">
        <v>49</v>
      </c>
      <c r="G1454" s="9">
        <v>45173</v>
      </c>
      <c r="H1454" s="9">
        <v>45100</v>
      </c>
      <c r="I1454">
        <v>38</v>
      </c>
      <c r="J1454" t="s">
        <v>26</v>
      </c>
      <c r="K1454">
        <v>10</v>
      </c>
      <c r="L1454">
        <v>2</v>
      </c>
      <c r="M1454" s="11">
        <v>18201.04</v>
      </c>
      <c r="N1454" s="12">
        <v>6139.14</v>
      </c>
      <c r="O1454" s="12">
        <v>14798.54</v>
      </c>
    </row>
    <row r="1455" spans="1:15">
      <c r="A1455" t="s">
        <v>1629</v>
      </c>
      <c r="B1455" t="s">
        <v>24</v>
      </c>
      <c r="C1455" s="9">
        <v>27760</v>
      </c>
      <c r="D1455">
        <v>50</v>
      </c>
      <c r="E1455" t="s">
        <v>17</v>
      </c>
      <c r="F1455" t="s">
        <v>5184</v>
      </c>
      <c r="G1455" s="9">
        <v>45625</v>
      </c>
      <c r="H1455" s="9">
        <v>45772</v>
      </c>
      <c r="I1455">
        <v>34</v>
      </c>
      <c r="J1455" t="s">
        <v>35</v>
      </c>
      <c r="K1455">
        <v>10</v>
      </c>
      <c r="L1455">
        <v>9</v>
      </c>
      <c r="M1455" s="11">
        <v>17701.32</v>
      </c>
      <c r="N1455" s="12">
        <v>9190.66</v>
      </c>
      <c r="O1455" s="12">
        <v>7256.41</v>
      </c>
    </row>
    <row r="1456" spans="1:15">
      <c r="A1456" t="s">
        <v>1630</v>
      </c>
      <c r="B1456" t="s">
        <v>91</v>
      </c>
      <c r="C1456" s="9">
        <v>12054</v>
      </c>
      <c r="D1456">
        <v>93</v>
      </c>
      <c r="E1456" t="s">
        <v>17</v>
      </c>
      <c r="F1456" t="s">
        <v>5184</v>
      </c>
      <c r="G1456" s="9">
        <v>45347</v>
      </c>
      <c r="H1456" s="9">
        <v>45258</v>
      </c>
      <c r="I1456">
        <v>14</v>
      </c>
      <c r="J1456" t="s">
        <v>26</v>
      </c>
      <c r="K1456">
        <v>13</v>
      </c>
      <c r="L1456">
        <v>4</v>
      </c>
      <c r="M1456" s="11">
        <v>26837.59</v>
      </c>
      <c r="N1456" s="12">
        <v>5790.18</v>
      </c>
      <c r="O1456" s="12">
        <v>4145.21</v>
      </c>
    </row>
    <row r="1457" spans="1:15">
      <c r="A1457" t="s">
        <v>1631</v>
      </c>
      <c r="B1457" t="s">
        <v>341</v>
      </c>
      <c r="C1457" s="9">
        <v>42005</v>
      </c>
      <c r="D1457">
        <v>11</v>
      </c>
      <c r="E1457" t="s">
        <v>21</v>
      </c>
      <c r="F1457" t="s">
        <v>49</v>
      </c>
      <c r="G1457" s="9">
        <v>45050</v>
      </c>
      <c r="H1457" s="9">
        <v>45649</v>
      </c>
      <c r="I1457">
        <v>3</v>
      </c>
      <c r="J1457" t="s">
        <v>26</v>
      </c>
      <c r="K1457">
        <v>12</v>
      </c>
      <c r="L1457">
        <v>6</v>
      </c>
      <c r="M1457" s="11">
        <v>4971.53</v>
      </c>
      <c r="N1457" s="12">
        <v>3908.67</v>
      </c>
      <c r="O1457" s="12">
        <v>2170.79</v>
      </c>
    </row>
    <row r="1458" spans="1:15">
      <c r="A1458" t="s">
        <v>1632</v>
      </c>
      <c r="B1458" t="s">
        <v>129</v>
      </c>
      <c r="C1458" s="9">
        <f>DATE(2026-D1418,1,1)</f>
        <v>35796</v>
      </c>
      <c r="D1458">
        <v>18</v>
      </c>
      <c r="E1458" t="s">
        <v>17</v>
      </c>
      <c r="F1458" t="s">
        <v>18</v>
      </c>
      <c r="G1458" s="9">
        <v>45186</v>
      </c>
      <c r="H1458" s="9">
        <v>45118</v>
      </c>
      <c r="I1458">
        <v>2</v>
      </c>
      <c r="J1458" t="s">
        <v>32</v>
      </c>
      <c r="K1458">
        <v>5</v>
      </c>
      <c r="L1458">
        <v>3</v>
      </c>
      <c r="M1458" s="11">
        <v>14031.13</v>
      </c>
      <c r="N1458" s="12">
        <v>11989</v>
      </c>
      <c r="O1458" s="12">
        <v>5538.5</v>
      </c>
    </row>
    <row r="1459" spans="1:15">
      <c r="A1459" t="s">
        <v>1633</v>
      </c>
      <c r="B1459" t="s">
        <v>328</v>
      </c>
      <c r="C1459" s="9">
        <v>30317</v>
      </c>
      <c r="D1459">
        <v>43</v>
      </c>
      <c r="E1459" t="s">
        <v>17</v>
      </c>
      <c r="F1459" t="s">
        <v>74</v>
      </c>
      <c r="G1459" s="9">
        <v>45095</v>
      </c>
      <c r="H1459" s="9">
        <v>45597</v>
      </c>
      <c r="I1459">
        <v>36</v>
      </c>
      <c r="J1459" t="s">
        <v>32</v>
      </c>
      <c r="K1459">
        <v>1</v>
      </c>
      <c r="L1459">
        <v>5</v>
      </c>
      <c r="M1459" s="11">
        <v>18770.810000000001</v>
      </c>
      <c r="N1459" s="12">
        <v>4514</v>
      </c>
      <c r="O1459" s="12">
        <v>9576.93</v>
      </c>
    </row>
    <row r="1460" spans="1:15">
      <c r="A1460" t="s">
        <v>1634</v>
      </c>
      <c r="B1460" t="s">
        <v>174</v>
      </c>
      <c r="C1460" s="9">
        <v>24838</v>
      </c>
      <c r="D1460">
        <f ca="1">DATEDIF(C1411,TODAY(),"Y")</f>
        <v>1</v>
      </c>
      <c r="E1460" t="s">
        <v>21</v>
      </c>
      <c r="F1460" t="s">
        <v>22</v>
      </c>
      <c r="G1460" s="9">
        <v>45037</v>
      </c>
      <c r="H1460" s="9">
        <v>45758</v>
      </c>
      <c r="I1460">
        <v>4</v>
      </c>
      <c r="J1460" t="s">
        <v>32</v>
      </c>
      <c r="K1460">
        <v>1</v>
      </c>
      <c r="L1460">
        <v>4</v>
      </c>
      <c r="M1460" s="11">
        <v>15351.53</v>
      </c>
      <c r="N1460" s="12">
        <v>2700.7</v>
      </c>
      <c r="O1460" s="12">
        <v>1776.93</v>
      </c>
    </row>
    <row r="1461" spans="1:15">
      <c r="A1461" t="s">
        <v>1635</v>
      </c>
      <c r="B1461" t="s">
        <v>108</v>
      </c>
      <c r="C1461" s="9">
        <v>28490</v>
      </c>
      <c r="D1461">
        <v>48</v>
      </c>
      <c r="E1461" t="s">
        <v>21</v>
      </c>
      <c r="F1461" t="s">
        <v>49</v>
      </c>
      <c r="G1461" s="9">
        <v>45216</v>
      </c>
      <c r="H1461" s="9">
        <v>45152</v>
      </c>
      <c r="I1461">
        <v>29</v>
      </c>
      <c r="J1461" t="s">
        <v>35</v>
      </c>
      <c r="K1461">
        <v>4</v>
      </c>
      <c r="L1461">
        <v>1</v>
      </c>
      <c r="M1461" s="11">
        <v>13235.42</v>
      </c>
      <c r="N1461" s="12">
        <v>5825.95</v>
      </c>
      <c r="O1461" s="12">
        <v>200.17</v>
      </c>
    </row>
    <row r="1462" spans="1:15">
      <c r="A1462" t="s">
        <v>1636</v>
      </c>
      <c r="B1462" t="s">
        <v>367</v>
      </c>
      <c r="C1462" s="9">
        <v>24107</v>
      </c>
      <c r="D1462">
        <v>60</v>
      </c>
      <c r="E1462" t="s">
        <v>17</v>
      </c>
      <c r="F1462" t="s">
        <v>49</v>
      </c>
      <c r="G1462" s="9">
        <v>45525</v>
      </c>
      <c r="H1462" s="9">
        <v>45611</v>
      </c>
      <c r="I1462">
        <v>1</v>
      </c>
      <c r="J1462" t="s">
        <v>32</v>
      </c>
      <c r="K1462">
        <v>6</v>
      </c>
      <c r="L1462">
        <v>0</v>
      </c>
      <c r="M1462" s="11">
        <v>29190.5</v>
      </c>
      <c r="N1462" s="12">
        <v>1974.97</v>
      </c>
      <c r="O1462" s="12">
        <v>2458.87</v>
      </c>
    </row>
    <row r="1463" spans="1:15">
      <c r="A1463" t="s">
        <v>1637</v>
      </c>
      <c r="B1463" t="s">
        <v>176</v>
      </c>
      <c r="C1463" s="9">
        <v>40178</v>
      </c>
      <c r="D1463">
        <v>16</v>
      </c>
      <c r="E1463" t="s">
        <v>17</v>
      </c>
      <c r="F1463" t="s">
        <v>25</v>
      </c>
      <c r="G1463" s="9">
        <v>44939</v>
      </c>
      <c r="H1463" s="9">
        <v>45250</v>
      </c>
      <c r="I1463">
        <v>18</v>
      </c>
      <c r="J1463" t="s">
        <v>26</v>
      </c>
      <c r="K1463">
        <v>5</v>
      </c>
      <c r="L1463">
        <v>5</v>
      </c>
      <c r="M1463" s="11">
        <v>28231.42</v>
      </c>
      <c r="N1463" s="12">
        <v>10355.950000000001</v>
      </c>
      <c r="O1463" s="12">
        <v>14733.39</v>
      </c>
    </row>
    <row r="1464" spans="1:15">
      <c r="A1464" t="s">
        <v>1638</v>
      </c>
      <c r="B1464" t="s">
        <v>278</v>
      </c>
      <c r="C1464" s="9">
        <v>19359</v>
      </c>
      <c r="D1464">
        <v>73</v>
      </c>
      <c r="E1464" t="s">
        <v>17</v>
      </c>
      <c r="F1464" t="s">
        <v>18</v>
      </c>
      <c r="G1464" s="9">
        <v>45189</v>
      </c>
      <c r="H1464" s="9">
        <v>45435</v>
      </c>
      <c r="I1464">
        <v>39</v>
      </c>
      <c r="J1464" t="s">
        <v>32</v>
      </c>
      <c r="K1464">
        <v>4</v>
      </c>
      <c r="L1464">
        <v>4</v>
      </c>
      <c r="M1464" s="11">
        <v>0</v>
      </c>
      <c r="N1464" s="12">
        <v>10651.21</v>
      </c>
      <c r="O1464" s="12">
        <v>9272.83</v>
      </c>
    </row>
    <row r="1465" spans="1:15">
      <c r="A1465" t="s">
        <v>1639</v>
      </c>
      <c r="B1465" t="s">
        <v>159</v>
      </c>
      <c r="C1465" s="9">
        <v>25568</v>
      </c>
      <c r="D1465">
        <v>56</v>
      </c>
      <c r="E1465" t="s">
        <v>17</v>
      </c>
      <c r="F1465" t="s">
        <v>22</v>
      </c>
      <c r="G1465" s="9">
        <v>44949</v>
      </c>
      <c r="H1465" s="9">
        <v>45475</v>
      </c>
      <c r="I1465">
        <v>29</v>
      </c>
      <c r="J1465" t="s">
        <v>32</v>
      </c>
      <c r="K1465">
        <v>8</v>
      </c>
      <c r="L1465">
        <v>8</v>
      </c>
      <c r="M1465" s="11">
        <v>12907.06</v>
      </c>
      <c r="N1465" s="12">
        <v>221.68</v>
      </c>
      <c r="O1465" s="12">
        <v>8847.86</v>
      </c>
    </row>
    <row r="1466" spans="1:15">
      <c r="A1466" t="s">
        <v>1640</v>
      </c>
      <c r="B1466" t="s">
        <v>125</v>
      </c>
      <c r="C1466" s="9">
        <v>26299</v>
      </c>
      <c r="D1466">
        <v>54</v>
      </c>
      <c r="E1466" t="s">
        <v>21</v>
      </c>
      <c r="F1466" t="s">
        <v>49</v>
      </c>
      <c r="G1466" s="9">
        <v>45126</v>
      </c>
      <c r="H1466" s="9">
        <v>45061</v>
      </c>
      <c r="I1466">
        <v>15</v>
      </c>
      <c r="J1466" t="s">
        <v>35</v>
      </c>
      <c r="K1466">
        <v>1</v>
      </c>
      <c r="L1466">
        <v>6</v>
      </c>
      <c r="M1466" s="11">
        <v>22539.15</v>
      </c>
      <c r="N1466" s="12">
        <v>10423</v>
      </c>
      <c r="O1466" s="12">
        <v>297.02999999999997</v>
      </c>
    </row>
    <row r="1467" spans="1:15">
      <c r="A1467" t="s">
        <v>1641</v>
      </c>
      <c r="B1467" t="s">
        <v>681</v>
      </c>
      <c r="C1467" s="9">
        <v>29221</v>
      </c>
      <c r="D1467">
        <v>46</v>
      </c>
      <c r="E1467" t="s">
        <v>17</v>
      </c>
      <c r="F1467" t="s">
        <v>5184</v>
      </c>
      <c r="G1467" s="9">
        <v>45168</v>
      </c>
      <c r="H1467" s="9">
        <v>44964</v>
      </c>
      <c r="I1467">
        <v>30</v>
      </c>
      <c r="J1467" t="s">
        <v>32</v>
      </c>
      <c r="K1467">
        <v>12</v>
      </c>
      <c r="L1467">
        <v>0</v>
      </c>
      <c r="M1467" s="11">
        <v>15144.51</v>
      </c>
      <c r="N1467" s="12">
        <v>4484.8100000000004</v>
      </c>
      <c r="O1467" s="12">
        <v>14189.98</v>
      </c>
    </row>
    <row r="1468" spans="1:15">
      <c r="A1468" t="s">
        <v>1642</v>
      </c>
      <c r="B1468" t="s">
        <v>65</v>
      </c>
      <c r="C1468" s="9">
        <v>42005</v>
      </c>
      <c r="D1468">
        <f ca="1">DATEDIF(C1419,TODAY(),"Y")</f>
        <v>20</v>
      </c>
      <c r="E1468" t="s">
        <v>17</v>
      </c>
      <c r="F1468" t="s">
        <v>49</v>
      </c>
      <c r="G1468" s="9">
        <v>45165</v>
      </c>
      <c r="H1468" s="9">
        <v>45020</v>
      </c>
      <c r="I1468">
        <v>11</v>
      </c>
      <c r="J1468" t="s">
        <v>32</v>
      </c>
      <c r="K1468">
        <v>10</v>
      </c>
      <c r="L1468">
        <v>9</v>
      </c>
      <c r="M1468" s="11">
        <v>29864.87</v>
      </c>
      <c r="N1468" s="12">
        <v>9843.0499999999993</v>
      </c>
      <c r="O1468" s="12">
        <v>3958.37</v>
      </c>
    </row>
    <row r="1469" spans="1:15">
      <c r="A1469" t="s">
        <v>1643</v>
      </c>
      <c r="B1469" t="s">
        <v>51</v>
      </c>
      <c r="C1469" s="9">
        <v>23742</v>
      </c>
      <c r="D1469">
        <v>61</v>
      </c>
      <c r="E1469" t="s">
        <v>17</v>
      </c>
      <c r="F1469" t="s">
        <v>49</v>
      </c>
      <c r="G1469" s="9">
        <v>45229</v>
      </c>
      <c r="H1469" s="9">
        <v>45002</v>
      </c>
      <c r="I1469">
        <v>3</v>
      </c>
      <c r="J1469" t="s">
        <v>32</v>
      </c>
      <c r="K1469">
        <v>9</v>
      </c>
      <c r="L1469">
        <v>5</v>
      </c>
      <c r="M1469" s="11">
        <v>20421.09</v>
      </c>
      <c r="N1469" s="12">
        <v>10597.26</v>
      </c>
      <c r="O1469" s="12">
        <v>1726.4</v>
      </c>
    </row>
    <row r="1470" spans="1:15">
      <c r="A1470" t="s">
        <v>1644</v>
      </c>
      <c r="B1470" t="s">
        <v>237</v>
      </c>
      <c r="C1470" s="9">
        <v>17168</v>
      </c>
      <c r="D1470">
        <f ca="1">DATEDIF(C1421,TODAY(),"Y")</f>
        <v>39</v>
      </c>
      <c r="E1470" t="s">
        <v>17</v>
      </c>
      <c r="F1470" t="s">
        <v>49</v>
      </c>
      <c r="G1470" s="9">
        <v>45091</v>
      </c>
      <c r="H1470" s="9">
        <v>45683</v>
      </c>
      <c r="I1470">
        <v>8</v>
      </c>
      <c r="J1470" t="s">
        <v>32</v>
      </c>
      <c r="K1470">
        <v>5</v>
      </c>
      <c r="L1470">
        <v>6</v>
      </c>
      <c r="M1470" s="11">
        <v>1578.88</v>
      </c>
      <c r="N1470" s="12">
        <v>4166.72</v>
      </c>
      <c r="O1470" s="12">
        <v>16824.86</v>
      </c>
    </row>
    <row r="1471" spans="1:15">
      <c r="A1471" t="s">
        <v>1645</v>
      </c>
      <c r="B1471" t="s">
        <v>309</v>
      </c>
      <c r="C1471" s="9">
        <v>14246</v>
      </c>
      <c r="D1471">
        <v>87</v>
      </c>
      <c r="E1471" t="s">
        <v>17</v>
      </c>
      <c r="F1471" t="s">
        <v>74</v>
      </c>
      <c r="G1471" s="9">
        <v>45102</v>
      </c>
      <c r="H1471" s="9">
        <v>45110</v>
      </c>
      <c r="I1471">
        <v>17</v>
      </c>
      <c r="J1471" t="s">
        <v>26</v>
      </c>
      <c r="K1471">
        <v>4</v>
      </c>
      <c r="L1471">
        <v>2</v>
      </c>
      <c r="M1471" s="11">
        <v>11758.27</v>
      </c>
      <c r="N1471" s="12">
        <v>2780.78</v>
      </c>
      <c r="O1471" s="12">
        <v>9660.7199999999993</v>
      </c>
    </row>
    <row r="1472" spans="1:15">
      <c r="A1472" t="s">
        <v>1646</v>
      </c>
      <c r="B1472" t="s">
        <v>356</v>
      </c>
      <c r="C1472" s="9">
        <v>16072</v>
      </c>
      <c r="D1472">
        <v>82</v>
      </c>
      <c r="E1472" t="s">
        <v>17</v>
      </c>
      <c r="F1472" t="s">
        <v>29</v>
      </c>
      <c r="G1472" s="9">
        <v>44955</v>
      </c>
      <c r="H1472" s="9">
        <v>45644</v>
      </c>
      <c r="I1472">
        <v>26</v>
      </c>
      <c r="J1472" t="s">
        <v>26</v>
      </c>
      <c r="K1472">
        <v>6</v>
      </c>
      <c r="L1472">
        <v>8</v>
      </c>
      <c r="M1472" s="11">
        <v>21773.07</v>
      </c>
      <c r="N1472" s="12">
        <v>12395.38</v>
      </c>
      <c r="O1472" s="12">
        <v>14953.55</v>
      </c>
    </row>
    <row r="1473" spans="1:15">
      <c r="A1473" t="s">
        <v>1647</v>
      </c>
      <c r="B1473" t="s">
        <v>95</v>
      </c>
      <c r="C1473" s="9">
        <v>43466</v>
      </c>
      <c r="D1473">
        <v>7</v>
      </c>
      <c r="E1473" t="s">
        <v>17</v>
      </c>
      <c r="F1473" t="s">
        <v>25</v>
      </c>
      <c r="G1473" s="9">
        <v>45603</v>
      </c>
      <c r="H1473" s="9">
        <v>45386</v>
      </c>
      <c r="I1473">
        <v>32</v>
      </c>
      <c r="J1473" t="s">
        <v>32</v>
      </c>
      <c r="K1473">
        <v>2</v>
      </c>
      <c r="L1473">
        <v>1</v>
      </c>
      <c r="M1473" s="11">
        <v>25192.26</v>
      </c>
      <c r="N1473" s="12">
        <v>11087.76</v>
      </c>
      <c r="O1473" s="12">
        <v>16419.89</v>
      </c>
    </row>
    <row r="1474" spans="1:15">
      <c r="A1474" t="s">
        <v>1648</v>
      </c>
      <c r="B1474" t="s">
        <v>524</v>
      </c>
      <c r="C1474" s="9">
        <v>11689</v>
      </c>
      <c r="D1474">
        <v>94</v>
      </c>
      <c r="E1474" t="s">
        <v>21</v>
      </c>
      <c r="F1474" t="s">
        <v>5184</v>
      </c>
      <c r="G1474" s="9">
        <v>45461</v>
      </c>
      <c r="H1474" s="9">
        <v>45626</v>
      </c>
      <c r="I1474">
        <v>13</v>
      </c>
      <c r="J1474" t="s">
        <v>35</v>
      </c>
      <c r="K1474">
        <v>7</v>
      </c>
      <c r="L1474">
        <v>0</v>
      </c>
      <c r="M1474" s="11">
        <v>0</v>
      </c>
      <c r="N1474" s="12">
        <v>12557.14</v>
      </c>
      <c r="O1474" s="12">
        <v>19288.8</v>
      </c>
    </row>
    <row r="1475" spans="1:15">
      <c r="A1475" t="s">
        <v>1649</v>
      </c>
      <c r="B1475" t="s">
        <v>133</v>
      </c>
      <c r="C1475" s="9">
        <v>38717</v>
      </c>
      <c r="D1475">
        <v>20</v>
      </c>
      <c r="E1475" t="s">
        <v>17</v>
      </c>
      <c r="F1475" t="s">
        <v>74</v>
      </c>
      <c r="G1475" s="9">
        <v>45220</v>
      </c>
      <c r="H1475" s="9">
        <v>45605</v>
      </c>
      <c r="I1475">
        <v>4</v>
      </c>
      <c r="J1475" t="s">
        <v>35</v>
      </c>
      <c r="K1475">
        <v>13</v>
      </c>
      <c r="L1475">
        <v>9</v>
      </c>
      <c r="M1475" s="11">
        <v>29305.75</v>
      </c>
      <c r="N1475" s="12">
        <v>6535.8</v>
      </c>
      <c r="O1475" s="12">
        <v>12436.36</v>
      </c>
    </row>
    <row r="1476" spans="1:15">
      <c r="A1476" t="s">
        <v>1650</v>
      </c>
      <c r="B1476" t="s">
        <v>196</v>
      </c>
      <c r="C1476" s="9">
        <v>16802</v>
      </c>
      <c r="D1476">
        <v>80</v>
      </c>
      <c r="E1476" t="s">
        <v>21</v>
      </c>
      <c r="F1476" t="s">
        <v>25</v>
      </c>
      <c r="G1476" s="9">
        <v>45403</v>
      </c>
      <c r="H1476" s="9">
        <v>45554</v>
      </c>
      <c r="I1476">
        <v>37</v>
      </c>
      <c r="J1476" t="s">
        <v>26</v>
      </c>
      <c r="K1476">
        <v>1</v>
      </c>
      <c r="L1476">
        <v>9</v>
      </c>
      <c r="M1476" s="11">
        <v>14418.18</v>
      </c>
      <c r="N1476" s="12">
        <v>6845.53</v>
      </c>
      <c r="O1476" s="12">
        <v>1272.3900000000001</v>
      </c>
    </row>
    <row r="1477" spans="1:15">
      <c r="A1477" t="s">
        <v>1651</v>
      </c>
      <c r="B1477" t="s">
        <v>539</v>
      </c>
      <c r="C1477" s="9">
        <v>14611</v>
      </c>
      <c r="D1477">
        <v>86</v>
      </c>
      <c r="E1477" t="s">
        <v>21</v>
      </c>
      <c r="F1477" t="s">
        <v>49</v>
      </c>
      <c r="G1477" s="9">
        <v>45309</v>
      </c>
      <c r="H1477" s="9">
        <v>45336</v>
      </c>
      <c r="I1477">
        <v>33</v>
      </c>
      <c r="J1477" t="s">
        <v>32</v>
      </c>
      <c r="K1477">
        <v>10</v>
      </c>
      <c r="L1477">
        <v>8</v>
      </c>
      <c r="M1477" s="11">
        <v>3772.04</v>
      </c>
      <c r="N1477" s="12">
        <v>5162.51</v>
      </c>
      <c r="O1477" s="12">
        <v>11109.53</v>
      </c>
    </row>
    <row r="1478" spans="1:15">
      <c r="A1478" t="s">
        <v>1652</v>
      </c>
      <c r="B1478" t="s">
        <v>387</v>
      </c>
      <c r="C1478" s="9">
        <v>17168</v>
      </c>
      <c r="D1478">
        <v>79</v>
      </c>
      <c r="E1478" t="s">
        <v>17</v>
      </c>
      <c r="F1478" t="s">
        <v>25</v>
      </c>
      <c r="G1478" s="9">
        <v>45482</v>
      </c>
      <c r="H1478" s="9">
        <v>45134</v>
      </c>
      <c r="I1478">
        <v>28</v>
      </c>
      <c r="J1478" t="s">
        <v>35</v>
      </c>
      <c r="K1478">
        <v>14</v>
      </c>
      <c r="L1478">
        <v>6</v>
      </c>
      <c r="M1478" s="11">
        <v>19393.419999999998</v>
      </c>
      <c r="N1478" s="12">
        <v>7485.94</v>
      </c>
      <c r="O1478" s="12">
        <v>10141.41</v>
      </c>
    </row>
    <row r="1479" spans="1:15">
      <c r="A1479" t="s">
        <v>1653</v>
      </c>
      <c r="B1479" t="s">
        <v>147</v>
      </c>
      <c r="C1479" s="9">
        <v>20820</v>
      </c>
      <c r="D1479">
        <v>69</v>
      </c>
      <c r="E1479" t="s">
        <v>21</v>
      </c>
      <c r="F1479" t="s">
        <v>18</v>
      </c>
      <c r="G1479" s="9">
        <v>45618</v>
      </c>
      <c r="H1479" s="9">
        <v>45172</v>
      </c>
      <c r="I1479">
        <v>39</v>
      </c>
      <c r="J1479" t="s">
        <v>32</v>
      </c>
      <c r="K1479">
        <v>11</v>
      </c>
      <c r="L1479">
        <v>9</v>
      </c>
      <c r="M1479" s="11">
        <v>1657.84</v>
      </c>
      <c r="N1479" s="12">
        <v>9698.5499999999993</v>
      </c>
      <c r="O1479" s="12">
        <v>1057.03</v>
      </c>
    </row>
    <row r="1480" spans="1:15">
      <c r="A1480" t="s">
        <v>1654</v>
      </c>
      <c r="B1480" t="s">
        <v>168</v>
      </c>
      <c r="C1480" s="9">
        <v>20090</v>
      </c>
      <c r="D1480">
        <v>71</v>
      </c>
      <c r="E1480" t="s">
        <v>17</v>
      </c>
      <c r="F1480" t="s">
        <v>18</v>
      </c>
      <c r="G1480" s="9">
        <v>45222</v>
      </c>
      <c r="H1480" s="9">
        <v>45260</v>
      </c>
      <c r="I1480">
        <v>3</v>
      </c>
      <c r="J1480" t="s">
        <v>26</v>
      </c>
      <c r="K1480">
        <v>5</v>
      </c>
      <c r="L1480">
        <v>0</v>
      </c>
      <c r="M1480" s="11">
        <v>0</v>
      </c>
      <c r="N1480" s="12">
        <v>12218.17</v>
      </c>
      <c r="O1480" s="12">
        <v>6056.67</v>
      </c>
    </row>
    <row r="1481" spans="1:15">
      <c r="A1481" t="s">
        <v>1655</v>
      </c>
      <c r="B1481" t="s">
        <v>546</v>
      </c>
      <c r="C1481" s="9">
        <v>37256</v>
      </c>
      <c r="D1481">
        <v>24</v>
      </c>
      <c r="E1481" t="s">
        <v>21</v>
      </c>
      <c r="F1481" t="s">
        <v>29</v>
      </c>
      <c r="G1481" s="9">
        <v>45577</v>
      </c>
      <c r="H1481" s="9">
        <v>45600</v>
      </c>
      <c r="I1481">
        <v>26</v>
      </c>
      <c r="J1481" t="s">
        <v>26</v>
      </c>
      <c r="K1481">
        <v>7</v>
      </c>
      <c r="L1481">
        <v>3</v>
      </c>
      <c r="M1481" s="11">
        <v>22635.26</v>
      </c>
      <c r="N1481" s="12">
        <v>2747.56</v>
      </c>
      <c r="O1481" s="12">
        <v>8184.78</v>
      </c>
    </row>
    <row r="1482" spans="1:15">
      <c r="A1482" t="s">
        <v>1656</v>
      </c>
      <c r="B1482" t="s">
        <v>46</v>
      </c>
      <c r="C1482" s="9">
        <v>16437</v>
      </c>
      <c r="D1482">
        <v>81</v>
      </c>
      <c r="E1482" t="s">
        <v>21</v>
      </c>
      <c r="F1482" t="s">
        <v>29</v>
      </c>
      <c r="G1482" s="9">
        <v>45260</v>
      </c>
      <c r="H1482" s="9">
        <v>45452</v>
      </c>
      <c r="I1482">
        <v>24</v>
      </c>
      <c r="J1482" t="s">
        <v>32</v>
      </c>
      <c r="K1482">
        <v>14</v>
      </c>
      <c r="L1482">
        <v>9</v>
      </c>
      <c r="M1482" s="11">
        <v>29455.52</v>
      </c>
      <c r="N1482" s="12">
        <v>6081.26</v>
      </c>
      <c r="O1482" s="12">
        <v>3135.6</v>
      </c>
    </row>
    <row r="1483" spans="1:15">
      <c r="A1483" t="s">
        <v>1657</v>
      </c>
      <c r="B1483" t="s">
        <v>664</v>
      </c>
      <c r="C1483" s="9">
        <v>13880</v>
      </c>
      <c r="D1483">
        <f ca="1">DATEDIF(C1434,TODAY(),"Y")</f>
        <v>19</v>
      </c>
      <c r="E1483" t="s">
        <v>17</v>
      </c>
      <c r="F1483" t="s">
        <v>25</v>
      </c>
      <c r="G1483" s="9">
        <v>45174</v>
      </c>
      <c r="H1483" s="9">
        <v>45221</v>
      </c>
      <c r="I1483">
        <v>1</v>
      </c>
      <c r="J1483" t="s">
        <v>32</v>
      </c>
      <c r="K1483">
        <v>14</v>
      </c>
      <c r="L1483">
        <v>2</v>
      </c>
      <c r="M1483" s="11">
        <v>11006.22</v>
      </c>
      <c r="N1483" s="12">
        <v>6918.02</v>
      </c>
      <c r="O1483" s="12">
        <v>76.11</v>
      </c>
    </row>
    <row r="1484" spans="1:15">
      <c r="A1484" t="s">
        <v>1658</v>
      </c>
      <c r="B1484" t="s">
        <v>284</v>
      </c>
      <c r="C1484" s="9">
        <v>42005</v>
      </c>
      <c r="D1484">
        <v>11</v>
      </c>
      <c r="E1484" t="s">
        <v>21</v>
      </c>
      <c r="F1484" t="s">
        <v>74</v>
      </c>
      <c r="G1484" s="9">
        <v>45167</v>
      </c>
      <c r="H1484" s="9">
        <v>45675</v>
      </c>
      <c r="I1484">
        <v>19</v>
      </c>
      <c r="J1484" t="s">
        <v>26</v>
      </c>
      <c r="K1484">
        <v>8</v>
      </c>
      <c r="L1484">
        <v>6</v>
      </c>
      <c r="M1484" s="11">
        <v>18.2</v>
      </c>
      <c r="N1484" s="12">
        <v>7319.92</v>
      </c>
      <c r="O1484" s="12">
        <v>15115.26</v>
      </c>
    </row>
    <row r="1485" spans="1:15">
      <c r="A1485" t="s">
        <v>1659</v>
      </c>
      <c r="B1485" t="s">
        <v>93</v>
      </c>
      <c r="C1485" s="9">
        <v>40909</v>
      </c>
      <c r="D1485">
        <v>14</v>
      </c>
      <c r="E1485" t="s">
        <v>17</v>
      </c>
      <c r="F1485" t="s">
        <v>74</v>
      </c>
      <c r="G1485" s="9">
        <v>45032</v>
      </c>
      <c r="H1485" s="9">
        <v>45200</v>
      </c>
      <c r="I1485">
        <v>6</v>
      </c>
      <c r="J1485" t="s">
        <v>32</v>
      </c>
      <c r="K1485">
        <v>12</v>
      </c>
      <c r="L1485">
        <v>4</v>
      </c>
      <c r="M1485" s="11">
        <v>15399.34</v>
      </c>
      <c r="N1485" s="12">
        <v>8129.59</v>
      </c>
      <c r="O1485" s="12">
        <v>17017.849999999999</v>
      </c>
    </row>
    <row r="1486" spans="1:15">
      <c r="A1486" t="s">
        <v>1660</v>
      </c>
      <c r="B1486" t="s">
        <v>289</v>
      </c>
      <c r="C1486" s="9">
        <v>24838</v>
      </c>
      <c r="D1486">
        <f ca="1">DATEDIF(C1437,TODAY(),"Y")</f>
        <v>61</v>
      </c>
      <c r="E1486" t="s">
        <v>21</v>
      </c>
      <c r="F1486" t="s">
        <v>49</v>
      </c>
      <c r="G1486" s="9">
        <v>45611</v>
      </c>
      <c r="H1486" s="9">
        <v>45306</v>
      </c>
      <c r="I1486">
        <v>8</v>
      </c>
      <c r="J1486" t="s">
        <v>35</v>
      </c>
      <c r="K1486">
        <v>1</v>
      </c>
      <c r="L1486">
        <v>8</v>
      </c>
      <c r="M1486" s="11">
        <v>3196.09</v>
      </c>
      <c r="N1486" s="12">
        <v>12026.21</v>
      </c>
      <c r="O1486" s="12">
        <v>4504.9399999999996</v>
      </c>
    </row>
    <row r="1487" spans="1:15">
      <c r="A1487" t="s">
        <v>1661</v>
      </c>
      <c r="B1487" t="s">
        <v>502</v>
      </c>
      <c r="C1487" s="9">
        <v>36891</v>
      </c>
      <c r="D1487">
        <v>25</v>
      </c>
      <c r="E1487" t="s">
        <v>21</v>
      </c>
      <c r="F1487" t="s">
        <v>74</v>
      </c>
      <c r="G1487" s="9">
        <v>45487</v>
      </c>
      <c r="H1487" s="9">
        <v>45553</v>
      </c>
      <c r="I1487">
        <v>13</v>
      </c>
      <c r="J1487" t="s">
        <v>26</v>
      </c>
      <c r="K1487">
        <v>8</v>
      </c>
      <c r="L1487">
        <v>2</v>
      </c>
      <c r="M1487" s="11">
        <v>20228.64</v>
      </c>
      <c r="N1487" s="12">
        <v>13293.76</v>
      </c>
      <c r="O1487" s="12">
        <v>23.61</v>
      </c>
    </row>
    <row r="1488" spans="1:15">
      <c r="A1488" t="s">
        <v>1662</v>
      </c>
      <c r="B1488" t="s">
        <v>268</v>
      </c>
      <c r="C1488" s="9">
        <v>36891</v>
      </c>
      <c r="D1488">
        <v>25</v>
      </c>
      <c r="E1488" t="s">
        <v>21</v>
      </c>
      <c r="F1488" t="s">
        <v>29</v>
      </c>
      <c r="G1488" s="9">
        <v>45049</v>
      </c>
      <c r="H1488" s="9">
        <v>45591</v>
      </c>
      <c r="I1488">
        <v>10</v>
      </c>
      <c r="J1488" t="s">
        <v>35</v>
      </c>
      <c r="K1488">
        <v>14</v>
      </c>
      <c r="L1488">
        <v>5</v>
      </c>
      <c r="M1488" s="11">
        <v>14675.32</v>
      </c>
      <c r="N1488" s="12">
        <v>2387.37</v>
      </c>
      <c r="O1488" s="12">
        <v>17787.73</v>
      </c>
    </row>
    <row r="1489" spans="1:15">
      <c r="A1489" t="s">
        <v>1663</v>
      </c>
      <c r="B1489" t="s">
        <v>108</v>
      </c>
      <c r="C1489" s="9">
        <v>29221</v>
      </c>
      <c r="D1489">
        <v>46</v>
      </c>
      <c r="E1489" t="s">
        <v>21</v>
      </c>
      <c r="F1489" t="s">
        <v>74</v>
      </c>
      <c r="G1489" s="9">
        <v>44961</v>
      </c>
      <c r="H1489" s="9">
        <v>44953</v>
      </c>
      <c r="I1489">
        <v>15</v>
      </c>
      <c r="J1489" t="s">
        <v>26</v>
      </c>
      <c r="K1489">
        <v>1</v>
      </c>
      <c r="L1489">
        <v>9</v>
      </c>
      <c r="M1489" s="11">
        <v>22480.13</v>
      </c>
      <c r="N1489" s="12">
        <v>10690.23</v>
      </c>
      <c r="O1489" s="12">
        <v>2592.6</v>
      </c>
    </row>
    <row r="1490" spans="1:15">
      <c r="A1490" t="s">
        <v>1664</v>
      </c>
      <c r="B1490" t="s">
        <v>137</v>
      </c>
      <c r="C1490" s="9">
        <v>34700</v>
      </c>
      <c r="D1490">
        <v>31</v>
      </c>
      <c r="E1490" t="s">
        <v>17</v>
      </c>
      <c r="F1490" t="s">
        <v>49</v>
      </c>
      <c r="G1490" s="9">
        <v>45544</v>
      </c>
      <c r="H1490" s="9">
        <v>45607</v>
      </c>
      <c r="I1490">
        <v>22</v>
      </c>
      <c r="J1490" t="s">
        <v>35</v>
      </c>
      <c r="K1490">
        <v>5</v>
      </c>
      <c r="L1490">
        <v>1</v>
      </c>
      <c r="M1490" s="11">
        <v>8377.6</v>
      </c>
      <c r="N1490" s="12">
        <v>7186.62</v>
      </c>
      <c r="O1490" s="12">
        <v>8004.91</v>
      </c>
    </row>
    <row r="1491" spans="1:15">
      <c r="A1491" t="s">
        <v>1665</v>
      </c>
      <c r="B1491" t="s">
        <v>774</v>
      </c>
      <c r="C1491" s="9">
        <v>42735</v>
      </c>
      <c r="D1491">
        <v>9</v>
      </c>
      <c r="E1491" t="s">
        <v>21</v>
      </c>
      <c r="F1491" t="s">
        <v>18</v>
      </c>
      <c r="G1491" s="9">
        <v>45342</v>
      </c>
      <c r="H1491" s="9">
        <v>45471</v>
      </c>
      <c r="I1491">
        <v>30</v>
      </c>
      <c r="J1491" t="s">
        <v>32</v>
      </c>
      <c r="K1491">
        <v>7</v>
      </c>
      <c r="L1491">
        <v>2</v>
      </c>
      <c r="M1491" s="11">
        <v>24789.55</v>
      </c>
      <c r="N1491" s="12">
        <v>6265.75</v>
      </c>
      <c r="O1491" s="12">
        <v>7255.92</v>
      </c>
    </row>
    <row r="1492" spans="1:15">
      <c r="A1492" t="s">
        <v>1666</v>
      </c>
      <c r="B1492" t="s">
        <v>223</v>
      </c>
      <c r="C1492" s="9">
        <v>40544</v>
      </c>
      <c r="D1492">
        <v>15</v>
      </c>
      <c r="E1492" t="s">
        <v>17</v>
      </c>
      <c r="F1492" t="s">
        <v>74</v>
      </c>
      <c r="G1492" s="9">
        <v>45634</v>
      </c>
      <c r="H1492" s="9">
        <v>45660</v>
      </c>
      <c r="I1492">
        <v>7</v>
      </c>
      <c r="J1492" t="s">
        <v>35</v>
      </c>
      <c r="K1492">
        <v>12</v>
      </c>
      <c r="L1492">
        <v>3</v>
      </c>
      <c r="M1492" s="11">
        <v>19350.03</v>
      </c>
      <c r="N1492" s="12">
        <v>1700.15</v>
      </c>
      <c r="O1492" s="12">
        <v>3201.65</v>
      </c>
    </row>
    <row r="1493" spans="1:15">
      <c r="A1493" t="s">
        <v>1667</v>
      </c>
      <c r="B1493" t="s">
        <v>479</v>
      </c>
      <c r="C1493" s="9">
        <v>20455</v>
      </c>
      <c r="D1493">
        <v>70</v>
      </c>
      <c r="E1493" t="s">
        <v>17</v>
      </c>
      <c r="F1493" t="s">
        <v>74</v>
      </c>
      <c r="G1493" s="9">
        <v>45547</v>
      </c>
      <c r="H1493" s="9">
        <v>45645</v>
      </c>
      <c r="I1493">
        <v>27</v>
      </c>
      <c r="J1493" t="s">
        <v>32</v>
      </c>
      <c r="K1493">
        <v>1</v>
      </c>
      <c r="L1493">
        <v>5</v>
      </c>
      <c r="M1493" s="11">
        <v>29625.15</v>
      </c>
      <c r="N1493" s="12">
        <v>962.04</v>
      </c>
      <c r="O1493" s="12">
        <v>11936.09</v>
      </c>
    </row>
    <row r="1494" spans="1:15">
      <c r="A1494" t="s">
        <v>1668</v>
      </c>
      <c r="B1494" t="s">
        <v>232</v>
      </c>
      <c r="C1494" s="9">
        <v>40178</v>
      </c>
      <c r="D1494">
        <v>16</v>
      </c>
      <c r="E1494" t="s">
        <v>17</v>
      </c>
      <c r="F1494" t="s">
        <v>29</v>
      </c>
      <c r="G1494" s="9">
        <v>45563</v>
      </c>
      <c r="H1494" s="9">
        <v>45781</v>
      </c>
      <c r="I1494">
        <v>2</v>
      </c>
      <c r="J1494" t="s">
        <v>32</v>
      </c>
      <c r="K1494">
        <v>4</v>
      </c>
      <c r="L1494">
        <v>0</v>
      </c>
      <c r="M1494" s="11">
        <v>4945.99</v>
      </c>
      <c r="N1494" s="12">
        <v>14667.16</v>
      </c>
      <c r="O1494" s="12">
        <v>18362.7</v>
      </c>
    </row>
    <row r="1495" spans="1:15">
      <c r="A1495" t="s">
        <v>1669</v>
      </c>
      <c r="B1495" t="s">
        <v>292</v>
      </c>
      <c r="C1495" s="9">
        <v>37987</v>
      </c>
      <c r="D1495">
        <v>22</v>
      </c>
      <c r="E1495" t="s">
        <v>17</v>
      </c>
      <c r="F1495" t="s">
        <v>25</v>
      </c>
      <c r="G1495" s="9">
        <v>45253</v>
      </c>
      <c r="H1495" s="9">
        <v>45537</v>
      </c>
      <c r="I1495">
        <v>30</v>
      </c>
      <c r="J1495" t="s">
        <v>26</v>
      </c>
      <c r="K1495">
        <v>9</v>
      </c>
      <c r="L1495">
        <v>5</v>
      </c>
      <c r="M1495" s="11">
        <v>1060.77</v>
      </c>
      <c r="N1495" s="12">
        <v>9635.5300000000007</v>
      </c>
      <c r="O1495" s="12">
        <v>10225.84</v>
      </c>
    </row>
    <row r="1496" spans="1:15">
      <c r="A1496" t="s">
        <v>1670</v>
      </c>
      <c r="B1496" t="s">
        <v>278</v>
      </c>
      <c r="C1496" s="9">
        <v>36891</v>
      </c>
      <c r="D1496">
        <v>25</v>
      </c>
      <c r="E1496" t="s">
        <v>21</v>
      </c>
      <c r="F1496" t="s">
        <v>18</v>
      </c>
      <c r="G1496" s="9">
        <v>45221</v>
      </c>
      <c r="H1496" s="9">
        <v>45018</v>
      </c>
      <c r="I1496">
        <v>12</v>
      </c>
      <c r="J1496" t="s">
        <v>35</v>
      </c>
      <c r="K1496">
        <v>12</v>
      </c>
      <c r="L1496">
        <v>3</v>
      </c>
      <c r="M1496" s="11">
        <v>25457.02</v>
      </c>
      <c r="N1496" s="12">
        <v>6786.39</v>
      </c>
      <c r="O1496" s="12">
        <v>19455.54</v>
      </c>
    </row>
    <row r="1497" spans="1:15">
      <c r="A1497" t="s">
        <v>1671</v>
      </c>
      <c r="B1497" t="s">
        <v>546</v>
      </c>
      <c r="C1497" s="9">
        <v>15341</v>
      </c>
      <c r="D1497">
        <v>84</v>
      </c>
      <c r="E1497" t="s">
        <v>21</v>
      </c>
      <c r="F1497" t="s">
        <v>25</v>
      </c>
      <c r="G1497" s="9">
        <v>45358</v>
      </c>
      <c r="H1497" s="9">
        <v>45403</v>
      </c>
      <c r="I1497">
        <v>26</v>
      </c>
      <c r="J1497" t="s">
        <v>26</v>
      </c>
      <c r="K1497">
        <v>0</v>
      </c>
      <c r="L1497">
        <v>7</v>
      </c>
      <c r="M1497" s="11">
        <v>9822.76</v>
      </c>
      <c r="N1497" s="12">
        <v>11426.45</v>
      </c>
      <c r="O1497" s="12">
        <v>3734.51</v>
      </c>
    </row>
    <row r="1498" spans="1:15">
      <c r="A1498" t="s">
        <v>1672</v>
      </c>
      <c r="B1498" t="s">
        <v>34</v>
      </c>
      <c r="C1498" s="9">
        <v>14976</v>
      </c>
      <c r="D1498">
        <v>85</v>
      </c>
      <c r="E1498" t="s">
        <v>17</v>
      </c>
      <c r="F1498" t="s">
        <v>49</v>
      </c>
      <c r="G1498" s="9">
        <v>45273</v>
      </c>
      <c r="H1498" s="9">
        <v>45816</v>
      </c>
      <c r="I1498">
        <v>1</v>
      </c>
      <c r="J1498" t="s">
        <v>32</v>
      </c>
      <c r="K1498">
        <v>3</v>
      </c>
      <c r="L1498">
        <v>8</v>
      </c>
      <c r="M1498" s="11">
        <v>12653.01</v>
      </c>
      <c r="N1498" s="12">
        <v>1366.99</v>
      </c>
      <c r="O1498" s="12">
        <v>16954.900000000001</v>
      </c>
    </row>
    <row r="1499" spans="1:15">
      <c r="A1499" t="s">
        <v>1673</v>
      </c>
      <c r="B1499" t="s">
        <v>242</v>
      </c>
      <c r="C1499" s="9">
        <v>43831</v>
      </c>
      <c r="D1499">
        <f t="shared" ref="D1499:D1500" ca="1" si="6">DATEDIF(C1450,TODAY(),"Y")</f>
        <v>24</v>
      </c>
      <c r="E1499" t="s">
        <v>17</v>
      </c>
      <c r="F1499" t="s">
        <v>49</v>
      </c>
      <c r="G1499" s="9">
        <v>44963</v>
      </c>
      <c r="H1499" s="9">
        <v>45653</v>
      </c>
      <c r="I1499">
        <v>8</v>
      </c>
      <c r="J1499" t="s">
        <v>32</v>
      </c>
      <c r="K1499">
        <v>13</v>
      </c>
      <c r="L1499">
        <v>7</v>
      </c>
      <c r="M1499" s="11">
        <v>27732.880000000001</v>
      </c>
      <c r="N1499" s="12">
        <v>9111.7000000000007</v>
      </c>
      <c r="O1499" s="12">
        <v>5063.8500000000004</v>
      </c>
    </row>
    <row r="1500" spans="1:15">
      <c r="A1500" t="s">
        <v>1674</v>
      </c>
      <c r="B1500" t="s">
        <v>671</v>
      </c>
      <c r="C1500" s="9">
        <v>41274</v>
      </c>
      <c r="D1500">
        <f t="shared" ca="1" si="6"/>
        <v>38</v>
      </c>
      <c r="E1500" t="s">
        <v>17</v>
      </c>
      <c r="F1500" t="s">
        <v>25</v>
      </c>
      <c r="G1500" s="9">
        <v>45626</v>
      </c>
      <c r="H1500" s="9">
        <v>45115</v>
      </c>
      <c r="I1500">
        <v>31</v>
      </c>
      <c r="J1500" t="s">
        <v>32</v>
      </c>
      <c r="K1500">
        <v>12</v>
      </c>
      <c r="L1500">
        <v>7</v>
      </c>
      <c r="M1500" s="11">
        <v>12941.25</v>
      </c>
      <c r="N1500" s="12">
        <v>9909.17</v>
      </c>
      <c r="O1500" s="12">
        <v>4935.88</v>
      </c>
    </row>
    <row r="1501" spans="1:15">
      <c r="A1501" t="s">
        <v>1675</v>
      </c>
      <c r="B1501" t="s">
        <v>139</v>
      </c>
      <c r="C1501" s="9">
        <v>17533</v>
      </c>
      <c r="D1501">
        <v>78</v>
      </c>
      <c r="E1501" t="s">
        <v>17</v>
      </c>
      <c r="F1501" t="s">
        <v>29</v>
      </c>
      <c r="G1501" s="9">
        <v>45438</v>
      </c>
      <c r="H1501" s="9">
        <v>45496</v>
      </c>
      <c r="I1501">
        <v>38</v>
      </c>
      <c r="J1501" t="s">
        <v>32</v>
      </c>
      <c r="K1501">
        <v>5</v>
      </c>
      <c r="L1501">
        <v>1</v>
      </c>
      <c r="M1501" s="11">
        <v>8589.58</v>
      </c>
      <c r="N1501" s="12">
        <v>6780.82</v>
      </c>
      <c r="O1501" s="12">
        <v>2265.6</v>
      </c>
    </row>
    <row r="1502" spans="1:15">
      <c r="A1502" t="s">
        <v>1676</v>
      </c>
      <c r="B1502" t="s">
        <v>55</v>
      </c>
      <c r="C1502" s="9">
        <v>43831</v>
      </c>
      <c r="D1502">
        <v>6</v>
      </c>
      <c r="E1502" t="s">
        <v>21</v>
      </c>
      <c r="F1502" t="s">
        <v>22</v>
      </c>
      <c r="G1502" s="9">
        <v>45461</v>
      </c>
      <c r="H1502" s="9">
        <v>45546</v>
      </c>
      <c r="I1502">
        <v>16</v>
      </c>
      <c r="J1502" t="s">
        <v>26</v>
      </c>
      <c r="K1502">
        <v>12</v>
      </c>
      <c r="L1502">
        <v>9</v>
      </c>
      <c r="M1502" s="11">
        <v>1314.61</v>
      </c>
      <c r="N1502" s="12">
        <v>3788.98</v>
      </c>
      <c r="O1502" s="12">
        <v>17259.02</v>
      </c>
    </row>
    <row r="1503" spans="1:15">
      <c r="A1503" t="s">
        <v>1677</v>
      </c>
      <c r="B1503" t="s">
        <v>117</v>
      </c>
      <c r="C1503" s="9">
        <v>43100</v>
      </c>
      <c r="D1503">
        <v>8</v>
      </c>
      <c r="E1503" t="s">
        <v>21</v>
      </c>
      <c r="F1503" t="s">
        <v>29</v>
      </c>
      <c r="G1503" s="9">
        <v>45632</v>
      </c>
      <c r="H1503" s="9">
        <v>45122</v>
      </c>
      <c r="I1503">
        <v>1</v>
      </c>
      <c r="J1503" t="s">
        <v>32</v>
      </c>
      <c r="K1503">
        <v>5</v>
      </c>
      <c r="L1503">
        <v>1</v>
      </c>
      <c r="M1503" s="11">
        <v>13009.53</v>
      </c>
      <c r="N1503" s="12">
        <v>14318.77</v>
      </c>
      <c r="O1503" s="12">
        <v>14473.68</v>
      </c>
    </row>
    <row r="1504" spans="1:15">
      <c r="A1504" t="s">
        <v>1678</v>
      </c>
      <c r="B1504" t="s">
        <v>681</v>
      </c>
      <c r="C1504" s="9">
        <v>28856</v>
      </c>
      <c r="D1504">
        <f ca="1">DATEDIF(C1455,TODAY(),"Y")</f>
        <v>50</v>
      </c>
      <c r="E1504" t="s">
        <v>17</v>
      </c>
      <c r="F1504" t="s">
        <v>22</v>
      </c>
      <c r="G1504" s="9">
        <v>45590</v>
      </c>
      <c r="H1504" s="9">
        <v>45461</v>
      </c>
      <c r="I1504">
        <v>17</v>
      </c>
      <c r="J1504" t="s">
        <v>32</v>
      </c>
      <c r="K1504">
        <v>8</v>
      </c>
      <c r="L1504">
        <v>5</v>
      </c>
      <c r="M1504" s="11">
        <v>19476.02</v>
      </c>
      <c r="N1504" s="12">
        <v>4517.0200000000004</v>
      </c>
      <c r="O1504" s="12">
        <v>6767.3</v>
      </c>
    </row>
    <row r="1505" spans="1:15">
      <c r="A1505" t="s">
        <v>1679</v>
      </c>
      <c r="B1505" t="s">
        <v>31</v>
      </c>
      <c r="C1505" s="9">
        <v>20090</v>
      </c>
      <c r="D1505">
        <v>71</v>
      </c>
      <c r="E1505" t="s">
        <v>17</v>
      </c>
      <c r="F1505" t="s">
        <v>22</v>
      </c>
      <c r="G1505" s="9">
        <v>44944</v>
      </c>
      <c r="H1505" s="9">
        <v>45625</v>
      </c>
      <c r="I1505">
        <v>38</v>
      </c>
      <c r="J1505" t="s">
        <v>26</v>
      </c>
      <c r="K1505">
        <v>14</v>
      </c>
      <c r="L1505">
        <v>4</v>
      </c>
      <c r="M1505" s="11">
        <v>7709.84</v>
      </c>
      <c r="N1505" s="12">
        <v>1871.95</v>
      </c>
      <c r="O1505" s="12">
        <v>6923.28</v>
      </c>
    </row>
    <row r="1506" spans="1:15">
      <c r="A1506" t="s">
        <v>1680</v>
      </c>
      <c r="B1506" t="s">
        <v>119</v>
      </c>
      <c r="C1506" s="9">
        <v>24838</v>
      </c>
      <c r="D1506">
        <v>58</v>
      </c>
      <c r="E1506" t="s">
        <v>21</v>
      </c>
      <c r="F1506" t="s">
        <v>29</v>
      </c>
      <c r="G1506" s="9">
        <v>44953</v>
      </c>
      <c r="H1506" s="9">
        <v>45807</v>
      </c>
      <c r="I1506">
        <v>28</v>
      </c>
      <c r="J1506" t="s">
        <v>26</v>
      </c>
      <c r="K1506">
        <v>5</v>
      </c>
      <c r="L1506">
        <v>5</v>
      </c>
      <c r="M1506" s="11">
        <v>21392.27</v>
      </c>
      <c r="N1506" s="12">
        <v>9457.1</v>
      </c>
      <c r="O1506" s="12">
        <v>16880.37</v>
      </c>
    </row>
    <row r="1507" spans="1:15">
      <c r="A1507" t="s">
        <v>1681</v>
      </c>
      <c r="B1507" t="s">
        <v>135</v>
      </c>
      <c r="C1507" s="9">
        <v>14611</v>
      </c>
      <c r="D1507">
        <v>86</v>
      </c>
      <c r="E1507" t="s">
        <v>17</v>
      </c>
      <c r="F1507" t="s">
        <v>22</v>
      </c>
      <c r="G1507" s="9">
        <v>45462</v>
      </c>
      <c r="H1507" s="9">
        <v>45012</v>
      </c>
      <c r="I1507">
        <v>1</v>
      </c>
      <c r="J1507" t="s">
        <v>32</v>
      </c>
      <c r="K1507">
        <v>10</v>
      </c>
      <c r="L1507">
        <v>8</v>
      </c>
      <c r="M1507" s="11">
        <v>14087.05</v>
      </c>
      <c r="N1507" s="12">
        <v>8614.84</v>
      </c>
      <c r="O1507" s="12">
        <v>18544.39</v>
      </c>
    </row>
    <row r="1508" spans="1:15">
      <c r="A1508" t="s">
        <v>1682</v>
      </c>
      <c r="B1508" t="s">
        <v>209</v>
      </c>
      <c r="C1508" s="9">
        <v>12419</v>
      </c>
      <c r="D1508">
        <v>92</v>
      </c>
      <c r="E1508" t="s">
        <v>21</v>
      </c>
      <c r="F1508" t="s">
        <v>22</v>
      </c>
      <c r="G1508" s="9">
        <v>44955</v>
      </c>
      <c r="H1508" s="9">
        <v>45519</v>
      </c>
      <c r="I1508">
        <v>26</v>
      </c>
      <c r="J1508" t="s">
        <v>32</v>
      </c>
      <c r="K1508">
        <v>2</v>
      </c>
      <c r="L1508">
        <v>9</v>
      </c>
      <c r="M1508" s="11">
        <v>25672.27</v>
      </c>
      <c r="N1508" s="12">
        <v>11321.59</v>
      </c>
      <c r="O1508" s="12">
        <v>12008.76</v>
      </c>
    </row>
    <row r="1509" spans="1:15">
      <c r="A1509" t="s">
        <v>1683</v>
      </c>
      <c r="B1509" t="s">
        <v>127</v>
      </c>
      <c r="C1509" s="9">
        <v>16437</v>
      </c>
      <c r="D1509">
        <v>81</v>
      </c>
      <c r="E1509" t="s">
        <v>21</v>
      </c>
      <c r="F1509" t="s">
        <v>22</v>
      </c>
      <c r="G1509" s="9">
        <v>45577</v>
      </c>
      <c r="H1509" s="9">
        <v>45768</v>
      </c>
      <c r="I1509">
        <v>27</v>
      </c>
      <c r="J1509" t="s">
        <v>32</v>
      </c>
      <c r="K1509">
        <v>10</v>
      </c>
      <c r="L1509">
        <v>6</v>
      </c>
      <c r="M1509" s="11">
        <v>4432.99</v>
      </c>
      <c r="N1509" s="12">
        <v>11306.75</v>
      </c>
      <c r="O1509" s="12">
        <v>8077.47</v>
      </c>
    </row>
    <row r="1510" spans="1:15">
      <c r="A1510" t="s">
        <v>1684</v>
      </c>
      <c r="B1510" t="s">
        <v>127</v>
      </c>
      <c r="C1510" s="9">
        <v>11689</v>
      </c>
      <c r="D1510">
        <f ca="1">DATEDIF(C1461,TODAY(),"Y")</f>
        <v>48</v>
      </c>
      <c r="E1510" t="s">
        <v>17</v>
      </c>
      <c r="F1510" t="s">
        <v>18</v>
      </c>
      <c r="G1510" s="9">
        <v>45584</v>
      </c>
      <c r="H1510" s="9">
        <v>45004</v>
      </c>
      <c r="I1510">
        <v>10</v>
      </c>
      <c r="J1510" t="s">
        <v>35</v>
      </c>
      <c r="K1510">
        <v>4</v>
      </c>
      <c r="L1510">
        <v>4</v>
      </c>
      <c r="M1510" s="11">
        <v>22590.93</v>
      </c>
      <c r="N1510" s="12">
        <v>9303.5400000000009</v>
      </c>
      <c r="O1510" s="12">
        <v>968.19</v>
      </c>
    </row>
    <row r="1511" spans="1:15">
      <c r="A1511" t="s">
        <v>1685</v>
      </c>
      <c r="B1511" t="s">
        <v>273</v>
      </c>
      <c r="C1511" s="9">
        <v>12054</v>
      </c>
      <c r="D1511">
        <v>93</v>
      </c>
      <c r="E1511" t="s">
        <v>17</v>
      </c>
      <c r="F1511" t="s">
        <v>49</v>
      </c>
      <c r="G1511" s="9">
        <v>45561</v>
      </c>
      <c r="H1511" s="9">
        <v>45257</v>
      </c>
      <c r="I1511">
        <v>12</v>
      </c>
      <c r="J1511" t="s">
        <v>35</v>
      </c>
      <c r="K1511">
        <v>9</v>
      </c>
      <c r="L1511">
        <v>9</v>
      </c>
      <c r="M1511" s="11">
        <v>27942.85</v>
      </c>
      <c r="N1511" s="12">
        <v>3113.03</v>
      </c>
      <c r="O1511" s="12">
        <v>2443.96</v>
      </c>
    </row>
    <row r="1512" spans="1:15">
      <c r="A1512" t="s">
        <v>1686</v>
      </c>
      <c r="B1512" t="s">
        <v>422</v>
      </c>
      <c r="C1512" s="9">
        <v>32143</v>
      </c>
      <c r="D1512">
        <v>38</v>
      </c>
      <c r="E1512" t="s">
        <v>17</v>
      </c>
      <c r="F1512" t="s">
        <v>22</v>
      </c>
      <c r="G1512" s="9">
        <v>45566</v>
      </c>
      <c r="H1512" s="9">
        <v>45310</v>
      </c>
      <c r="I1512">
        <v>17</v>
      </c>
      <c r="J1512" t="s">
        <v>35</v>
      </c>
      <c r="K1512">
        <v>8</v>
      </c>
      <c r="L1512">
        <v>6</v>
      </c>
      <c r="M1512" s="11">
        <v>22112.639999999999</v>
      </c>
      <c r="N1512" s="12">
        <v>13307.18</v>
      </c>
      <c r="O1512" s="12">
        <v>2749.94</v>
      </c>
    </row>
    <row r="1513" spans="1:15">
      <c r="A1513" t="s">
        <v>1687</v>
      </c>
      <c r="B1513" t="s">
        <v>379</v>
      </c>
      <c r="C1513" s="9">
        <v>39813</v>
      </c>
      <c r="D1513">
        <v>17</v>
      </c>
      <c r="E1513" t="s">
        <v>21</v>
      </c>
      <c r="F1513" t="s">
        <v>49</v>
      </c>
      <c r="G1513" s="9">
        <v>45043</v>
      </c>
      <c r="H1513" s="9">
        <v>45360</v>
      </c>
      <c r="I1513">
        <v>31</v>
      </c>
      <c r="J1513" t="s">
        <v>35</v>
      </c>
      <c r="K1513">
        <v>4</v>
      </c>
      <c r="L1513">
        <v>7</v>
      </c>
      <c r="M1513" s="11">
        <v>11881.09</v>
      </c>
      <c r="N1513" s="12">
        <v>3724.25</v>
      </c>
      <c r="O1513" s="12">
        <v>5463.75</v>
      </c>
    </row>
    <row r="1514" spans="1:15">
      <c r="A1514" t="s">
        <v>1688</v>
      </c>
      <c r="B1514" t="s">
        <v>664</v>
      </c>
      <c r="C1514" s="9">
        <v>24838</v>
      </c>
      <c r="D1514">
        <v>58</v>
      </c>
      <c r="E1514" t="s">
        <v>21</v>
      </c>
      <c r="F1514" t="s">
        <v>5184</v>
      </c>
      <c r="G1514" s="9">
        <v>45058</v>
      </c>
      <c r="H1514" s="9">
        <v>45304</v>
      </c>
      <c r="I1514">
        <v>25</v>
      </c>
      <c r="J1514" t="s">
        <v>26</v>
      </c>
      <c r="K1514">
        <v>5</v>
      </c>
      <c r="L1514">
        <v>0</v>
      </c>
      <c r="M1514" s="11">
        <v>6528.9</v>
      </c>
      <c r="N1514" s="12">
        <v>1409.76</v>
      </c>
      <c r="O1514" s="12">
        <v>5066.34</v>
      </c>
    </row>
    <row r="1515" spans="1:15">
      <c r="A1515" t="s">
        <v>1689</v>
      </c>
      <c r="B1515" t="s">
        <v>135</v>
      </c>
      <c r="C1515" s="9">
        <v>40178</v>
      </c>
      <c r="D1515">
        <v>16</v>
      </c>
      <c r="E1515" t="s">
        <v>17</v>
      </c>
      <c r="F1515" t="s">
        <v>49</v>
      </c>
      <c r="G1515" s="9">
        <v>45215</v>
      </c>
      <c r="H1515" s="9">
        <v>45268</v>
      </c>
      <c r="I1515">
        <v>17</v>
      </c>
      <c r="J1515" t="s">
        <v>32</v>
      </c>
      <c r="K1515">
        <v>7</v>
      </c>
      <c r="L1515">
        <v>9</v>
      </c>
      <c r="M1515" s="11">
        <v>2500.21</v>
      </c>
      <c r="N1515" s="12">
        <v>4522.49</v>
      </c>
      <c r="O1515" s="12">
        <v>10811.92</v>
      </c>
    </row>
    <row r="1516" spans="1:15">
      <c r="A1516" t="s">
        <v>1690</v>
      </c>
      <c r="B1516" t="s">
        <v>115</v>
      </c>
      <c r="C1516" s="9">
        <v>41274</v>
      </c>
      <c r="D1516">
        <v>13</v>
      </c>
      <c r="E1516" t="s">
        <v>21</v>
      </c>
      <c r="F1516" t="s">
        <v>5184</v>
      </c>
      <c r="G1516" s="9">
        <v>45644</v>
      </c>
      <c r="H1516" s="9">
        <v>45104</v>
      </c>
      <c r="I1516">
        <v>22</v>
      </c>
      <c r="J1516" t="s">
        <v>32</v>
      </c>
      <c r="K1516">
        <v>4</v>
      </c>
      <c r="L1516">
        <v>6</v>
      </c>
      <c r="M1516" s="11">
        <v>0</v>
      </c>
      <c r="N1516" s="12">
        <v>7248.48</v>
      </c>
      <c r="O1516" s="12">
        <v>18876.41</v>
      </c>
    </row>
    <row r="1517" spans="1:15">
      <c r="A1517" t="s">
        <v>1691</v>
      </c>
      <c r="B1517" t="s">
        <v>166</v>
      </c>
      <c r="C1517" s="9">
        <v>35065</v>
      </c>
      <c r="D1517">
        <v>30</v>
      </c>
      <c r="E1517" t="s">
        <v>17</v>
      </c>
      <c r="F1517" t="s">
        <v>18</v>
      </c>
      <c r="G1517" s="9">
        <v>45162</v>
      </c>
      <c r="H1517" s="9">
        <v>45353</v>
      </c>
      <c r="I1517">
        <v>24</v>
      </c>
      <c r="J1517" t="s">
        <v>26</v>
      </c>
      <c r="K1517">
        <v>10</v>
      </c>
      <c r="L1517">
        <v>3</v>
      </c>
      <c r="M1517" s="11">
        <v>3857.06</v>
      </c>
      <c r="N1517" s="12">
        <v>3107.74</v>
      </c>
      <c r="O1517" s="12">
        <v>17219.39</v>
      </c>
    </row>
    <row r="1518" spans="1:15">
      <c r="A1518" t="s">
        <v>1692</v>
      </c>
      <c r="B1518" t="s">
        <v>187</v>
      </c>
      <c r="C1518" s="9">
        <v>37622</v>
      </c>
      <c r="D1518">
        <v>23</v>
      </c>
      <c r="E1518" t="s">
        <v>17</v>
      </c>
      <c r="F1518" t="s">
        <v>49</v>
      </c>
      <c r="G1518" s="9">
        <v>44968</v>
      </c>
      <c r="H1518" s="9">
        <v>45351</v>
      </c>
      <c r="I1518">
        <v>27</v>
      </c>
      <c r="J1518" t="s">
        <v>35</v>
      </c>
      <c r="K1518">
        <v>8</v>
      </c>
      <c r="L1518">
        <v>4</v>
      </c>
      <c r="M1518" s="11">
        <v>25068.27</v>
      </c>
      <c r="N1518" s="12">
        <v>5005.08</v>
      </c>
      <c r="O1518" s="12">
        <v>10134.18</v>
      </c>
    </row>
    <row r="1519" spans="1:15">
      <c r="A1519" t="s">
        <v>1693</v>
      </c>
      <c r="B1519" t="s">
        <v>110</v>
      </c>
      <c r="C1519" s="9">
        <v>24473</v>
      </c>
      <c r="D1519">
        <v>59</v>
      </c>
      <c r="E1519" t="s">
        <v>17</v>
      </c>
      <c r="F1519" t="s">
        <v>25</v>
      </c>
      <c r="G1519" s="9">
        <v>45086</v>
      </c>
      <c r="H1519" s="9">
        <v>45101</v>
      </c>
      <c r="I1519">
        <v>38</v>
      </c>
      <c r="J1519" t="s">
        <v>32</v>
      </c>
      <c r="K1519">
        <v>1</v>
      </c>
      <c r="L1519">
        <v>1</v>
      </c>
      <c r="M1519" s="11">
        <v>28802.49</v>
      </c>
      <c r="N1519" s="12">
        <v>7705.4</v>
      </c>
      <c r="O1519" s="12">
        <v>247.7</v>
      </c>
    </row>
    <row r="1520" spans="1:15">
      <c r="A1520" t="s">
        <v>1694</v>
      </c>
      <c r="B1520" t="s">
        <v>135</v>
      </c>
      <c r="C1520" s="9">
        <v>29951</v>
      </c>
      <c r="D1520">
        <v>44</v>
      </c>
      <c r="E1520" t="s">
        <v>21</v>
      </c>
      <c r="F1520" t="s">
        <v>74</v>
      </c>
      <c r="G1520" s="9">
        <v>45617</v>
      </c>
      <c r="H1520" s="9">
        <v>45333</v>
      </c>
      <c r="I1520">
        <v>17</v>
      </c>
      <c r="J1520" t="s">
        <v>32</v>
      </c>
      <c r="K1520">
        <v>6</v>
      </c>
      <c r="L1520">
        <v>9</v>
      </c>
      <c r="M1520" s="11">
        <v>0</v>
      </c>
      <c r="N1520" s="12">
        <v>4844.09</v>
      </c>
      <c r="O1520" s="12">
        <v>1274.82</v>
      </c>
    </row>
    <row r="1521" spans="1:15">
      <c r="A1521" t="s">
        <v>1695</v>
      </c>
      <c r="B1521" t="s">
        <v>232</v>
      </c>
      <c r="C1521" s="9">
        <v>45292</v>
      </c>
      <c r="D1521">
        <v>2</v>
      </c>
      <c r="E1521" t="s">
        <v>17</v>
      </c>
      <c r="F1521" t="s">
        <v>18</v>
      </c>
      <c r="G1521" s="9">
        <v>45051</v>
      </c>
      <c r="H1521" s="9">
        <v>45009</v>
      </c>
      <c r="I1521">
        <v>2</v>
      </c>
      <c r="J1521" t="s">
        <v>26</v>
      </c>
      <c r="K1521">
        <v>0</v>
      </c>
      <c r="L1521">
        <v>4</v>
      </c>
      <c r="M1521" s="11">
        <v>10969.62</v>
      </c>
      <c r="N1521" s="12">
        <v>1339.76</v>
      </c>
      <c r="O1521" s="12">
        <v>17193.05</v>
      </c>
    </row>
    <row r="1522" spans="1:15">
      <c r="A1522" t="s">
        <v>1696</v>
      </c>
      <c r="B1522" t="s">
        <v>356</v>
      </c>
      <c r="C1522" s="9">
        <v>32873</v>
      </c>
      <c r="D1522">
        <v>36</v>
      </c>
      <c r="E1522" t="s">
        <v>21</v>
      </c>
      <c r="F1522" t="s">
        <v>74</v>
      </c>
      <c r="G1522" s="9">
        <v>45186</v>
      </c>
      <c r="H1522" s="9">
        <v>44948</v>
      </c>
      <c r="I1522">
        <v>32</v>
      </c>
      <c r="J1522" t="s">
        <v>26</v>
      </c>
      <c r="K1522">
        <v>1</v>
      </c>
      <c r="L1522">
        <v>8</v>
      </c>
      <c r="M1522" s="11">
        <v>28086.799999999999</v>
      </c>
      <c r="N1522" s="12">
        <v>2958.2</v>
      </c>
      <c r="O1522" s="12">
        <v>5600.96</v>
      </c>
    </row>
    <row r="1523" spans="1:15">
      <c r="A1523" t="s">
        <v>1697</v>
      </c>
      <c r="B1523" t="s">
        <v>125</v>
      </c>
      <c r="C1523" s="9">
        <v>30682</v>
      </c>
      <c r="D1523">
        <v>42</v>
      </c>
      <c r="E1523" t="s">
        <v>21</v>
      </c>
      <c r="F1523" t="s">
        <v>25</v>
      </c>
      <c r="G1523" s="9">
        <v>45202</v>
      </c>
      <c r="H1523" s="9">
        <v>45618</v>
      </c>
      <c r="I1523">
        <v>21</v>
      </c>
      <c r="J1523" t="s">
        <v>32</v>
      </c>
      <c r="K1523">
        <v>10</v>
      </c>
      <c r="L1523">
        <v>0</v>
      </c>
      <c r="M1523" s="11">
        <v>13856.49</v>
      </c>
      <c r="N1523" s="12">
        <v>11913.1</v>
      </c>
      <c r="O1523" s="12">
        <v>6293.62</v>
      </c>
    </row>
    <row r="1524" spans="1:15">
      <c r="A1524" t="s">
        <v>1698</v>
      </c>
      <c r="B1524" t="s">
        <v>84</v>
      </c>
      <c r="C1524" s="9">
        <v>31778</v>
      </c>
      <c r="D1524">
        <v>39</v>
      </c>
      <c r="E1524" t="s">
        <v>21</v>
      </c>
      <c r="F1524" t="s">
        <v>29</v>
      </c>
      <c r="G1524" s="9">
        <v>45139</v>
      </c>
      <c r="H1524" s="9">
        <v>45325</v>
      </c>
      <c r="I1524">
        <v>22</v>
      </c>
      <c r="J1524" t="s">
        <v>35</v>
      </c>
      <c r="K1524">
        <v>3</v>
      </c>
      <c r="L1524">
        <v>2</v>
      </c>
      <c r="M1524" s="11">
        <v>15830.19</v>
      </c>
      <c r="N1524" s="12">
        <v>14314.97</v>
      </c>
      <c r="O1524" s="12">
        <v>2709.53</v>
      </c>
    </row>
    <row r="1525" spans="1:15">
      <c r="A1525" t="s">
        <v>1699</v>
      </c>
      <c r="B1525" t="s">
        <v>1148</v>
      </c>
      <c r="C1525" s="9">
        <f>DATE(2026-D1485,1,1)</f>
        <v>40909</v>
      </c>
      <c r="D1525">
        <v>89</v>
      </c>
      <c r="E1525" t="s">
        <v>21</v>
      </c>
      <c r="F1525" t="s">
        <v>29</v>
      </c>
      <c r="G1525" s="9">
        <v>45399</v>
      </c>
      <c r="H1525" s="9">
        <v>45257</v>
      </c>
      <c r="I1525">
        <v>37</v>
      </c>
      <c r="J1525" t="s">
        <v>35</v>
      </c>
      <c r="K1525">
        <v>4</v>
      </c>
      <c r="L1525">
        <v>3</v>
      </c>
      <c r="M1525" s="11">
        <v>22299.24</v>
      </c>
      <c r="N1525" s="12">
        <v>2226.5500000000002</v>
      </c>
      <c r="O1525" s="12">
        <v>4384.58</v>
      </c>
    </row>
    <row r="1526" spans="1:15">
      <c r="A1526" t="s">
        <v>1700</v>
      </c>
      <c r="B1526" t="s">
        <v>131</v>
      </c>
      <c r="C1526" s="9">
        <v>26299</v>
      </c>
      <c r="D1526">
        <v>54</v>
      </c>
      <c r="E1526" t="s">
        <v>17</v>
      </c>
      <c r="F1526" t="s">
        <v>22</v>
      </c>
      <c r="G1526" s="9">
        <v>45628</v>
      </c>
      <c r="H1526" s="9">
        <v>45152</v>
      </c>
      <c r="I1526">
        <v>9</v>
      </c>
      <c r="J1526" t="s">
        <v>32</v>
      </c>
      <c r="K1526">
        <v>5</v>
      </c>
      <c r="L1526">
        <v>8</v>
      </c>
      <c r="M1526" s="11">
        <v>5921.27</v>
      </c>
      <c r="N1526" s="12">
        <v>10215.290000000001</v>
      </c>
      <c r="O1526" s="12">
        <v>4868.4799999999996</v>
      </c>
    </row>
    <row r="1527" spans="1:15">
      <c r="A1527" t="s">
        <v>1701</v>
      </c>
      <c r="B1527" t="s">
        <v>194</v>
      </c>
      <c r="C1527" s="9">
        <v>14611</v>
      </c>
      <c r="D1527">
        <v>86</v>
      </c>
      <c r="E1527" t="s">
        <v>21</v>
      </c>
      <c r="F1527" t="s">
        <v>29</v>
      </c>
      <c r="G1527" s="9">
        <v>45496</v>
      </c>
      <c r="H1527" s="9">
        <v>45704</v>
      </c>
      <c r="I1527">
        <v>8</v>
      </c>
      <c r="J1527" t="s">
        <v>32</v>
      </c>
      <c r="K1527">
        <v>10</v>
      </c>
      <c r="L1527">
        <v>1</v>
      </c>
      <c r="M1527" s="11">
        <v>29364.05</v>
      </c>
      <c r="N1527" s="12">
        <v>13583.7</v>
      </c>
      <c r="O1527" s="12">
        <v>8183.08</v>
      </c>
    </row>
    <row r="1528" spans="1:15">
      <c r="A1528" t="s">
        <v>1702</v>
      </c>
      <c r="B1528" t="s">
        <v>55</v>
      </c>
      <c r="C1528" s="9">
        <v>32143</v>
      </c>
      <c r="D1528">
        <v>38</v>
      </c>
      <c r="E1528" t="s">
        <v>21</v>
      </c>
      <c r="F1528" t="s">
        <v>18</v>
      </c>
      <c r="G1528" s="9">
        <v>45357</v>
      </c>
      <c r="H1528" s="9">
        <v>45329</v>
      </c>
      <c r="I1528">
        <v>27</v>
      </c>
      <c r="J1528" t="s">
        <v>32</v>
      </c>
      <c r="K1528">
        <v>2</v>
      </c>
      <c r="L1528">
        <v>6</v>
      </c>
      <c r="M1528" s="11">
        <v>23316.95</v>
      </c>
      <c r="N1528" s="12">
        <v>4487.1400000000003</v>
      </c>
      <c r="O1528" s="12">
        <v>12425.22</v>
      </c>
    </row>
    <row r="1529" spans="1:15">
      <c r="A1529" t="s">
        <v>1703</v>
      </c>
      <c r="B1529" t="s">
        <v>578</v>
      </c>
      <c r="C1529" s="9">
        <f>DATE(2026-D1489,1,1)</f>
        <v>29221</v>
      </c>
      <c r="D1529">
        <v>14</v>
      </c>
      <c r="E1529" t="s">
        <v>5185</v>
      </c>
      <c r="F1529" t="s">
        <v>29</v>
      </c>
      <c r="G1529" s="9">
        <v>45641</v>
      </c>
      <c r="H1529" s="9">
        <v>45708</v>
      </c>
      <c r="I1529">
        <v>10</v>
      </c>
      <c r="J1529" t="s">
        <v>35</v>
      </c>
      <c r="K1529">
        <v>1</v>
      </c>
      <c r="L1529">
        <v>8</v>
      </c>
      <c r="M1529" s="11">
        <v>4421.8900000000003</v>
      </c>
      <c r="N1529" s="12">
        <v>12441.93</v>
      </c>
      <c r="O1529" s="12">
        <v>6998.44</v>
      </c>
    </row>
    <row r="1530" spans="1:15">
      <c r="A1530" t="s">
        <v>1704</v>
      </c>
      <c r="B1530" t="s">
        <v>392</v>
      </c>
      <c r="C1530" s="9">
        <v>44927</v>
      </c>
      <c r="D1530">
        <v>3</v>
      </c>
      <c r="E1530" t="s">
        <v>21</v>
      </c>
      <c r="F1530" t="s">
        <v>18</v>
      </c>
      <c r="G1530" s="9">
        <v>45006</v>
      </c>
      <c r="H1530" s="9">
        <v>45690</v>
      </c>
      <c r="I1530">
        <v>22</v>
      </c>
      <c r="J1530" t="s">
        <v>32</v>
      </c>
      <c r="K1530">
        <v>7</v>
      </c>
      <c r="L1530">
        <v>9</v>
      </c>
      <c r="M1530" s="11">
        <v>2887.62</v>
      </c>
      <c r="N1530" s="12">
        <v>13574.04</v>
      </c>
      <c r="O1530" s="12">
        <v>8942.25</v>
      </c>
    </row>
    <row r="1531" spans="1:15">
      <c r="A1531" t="s">
        <v>1705</v>
      </c>
      <c r="B1531" t="s">
        <v>125</v>
      </c>
      <c r="C1531" s="9">
        <v>12419</v>
      </c>
      <c r="D1531">
        <v>92</v>
      </c>
      <c r="E1531" t="s">
        <v>17</v>
      </c>
      <c r="F1531" t="s">
        <v>18</v>
      </c>
      <c r="G1531" s="9">
        <v>45154</v>
      </c>
      <c r="H1531" s="9">
        <v>45712</v>
      </c>
      <c r="I1531">
        <v>22</v>
      </c>
      <c r="J1531" t="s">
        <v>32</v>
      </c>
      <c r="K1531">
        <v>2</v>
      </c>
      <c r="L1531">
        <v>3</v>
      </c>
      <c r="M1531" s="11">
        <v>28016.1</v>
      </c>
      <c r="N1531" s="12">
        <v>4492.47</v>
      </c>
      <c r="O1531" s="12">
        <v>3556.19</v>
      </c>
    </row>
    <row r="1532" spans="1:15">
      <c r="A1532" t="s">
        <v>1706</v>
      </c>
      <c r="B1532" t="s">
        <v>422</v>
      </c>
      <c r="C1532" s="9">
        <v>14976</v>
      </c>
      <c r="D1532">
        <v>85</v>
      </c>
      <c r="E1532" t="s">
        <v>21</v>
      </c>
      <c r="F1532" t="s">
        <v>74</v>
      </c>
      <c r="G1532" s="9">
        <v>45021</v>
      </c>
      <c r="H1532" s="9">
        <v>45821</v>
      </c>
      <c r="I1532">
        <v>14</v>
      </c>
      <c r="J1532" t="s">
        <v>32</v>
      </c>
      <c r="K1532">
        <v>7</v>
      </c>
      <c r="L1532">
        <v>4</v>
      </c>
      <c r="M1532" s="11">
        <v>20393.349999999999</v>
      </c>
      <c r="N1532" s="12">
        <v>851.11</v>
      </c>
      <c r="O1532" s="12">
        <v>1033.43</v>
      </c>
    </row>
    <row r="1533" spans="1:15">
      <c r="A1533" t="s">
        <v>1707</v>
      </c>
      <c r="B1533" t="s">
        <v>194</v>
      </c>
      <c r="C1533" s="9">
        <v>37256</v>
      </c>
      <c r="D1533">
        <v>24</v>
      </c>
      <c r="E1533" t="s">
        <v>21</v>
      </c>
      <c r="F1533" t="s">
        <v>29</v>
      </c>
      <c r="G1533" s="9">
        <v>45350</v>
      </c>
      <c r="H1533" s="9">
        <v>45782</v>
      </c>
      <c r="I1533">
        <v>9</v>
      </c>
      <c r="J1533" t="s">
        <v>32</v>
      </c>
      <c r="K1533">
        <v>7</v>
      </c>
      <c r="L1533">
        <v>9</v>
      </c>
      <c r="M1533" s="11">
        <v>676.3</v>
      </c>
      <c r="N1533" s="12">
        <v>13751.9</v>
      </c>
      <c r="O1533" s="12">
        <v>6899.63</v>
      </c>
    </row>
    <row r="1534" spans="1:15">
      <c r="A1534" t="s">
        <v>1708</v>
      </c>
      <c r="B1534" t="s">
        <v>176</v>
      </c>
      <c r="C1534" s="9">
        <v>41639</v>
      </c>
      <c r="D1534">
        <f ca="1">DATEDIF(C1485,TODAY(),"Y")</f>
        <v>14</v>
      </c>
      <c r="E1534" t="s">
        <v>17</v>
      </c>
      <c r="F1534" t="s">
        <v>49</v>
      </c>
      <c r="G1534" s="9">
        <v>45442</v>
      </c>
      <c r="H1534" s="9">
        <v>45365</v>
      </c>
      <c r="I1534">
        <v>8</v>
      </c>
      <c r="J1534" t="s">
        <v>35</v>
      </c>
      <c r="K1534">
        <v>9</v>
      </c>
      <c r="L1534">
        <v>3</v>
      </c>
      <c r="M1534" s="11">
        <v>3830.61</v>
      </c>
      <c r="N1534" s="12">
        <v>4957.24</v>
      </c>
      <c r="O1534" s="12">
        <v>1156.08</v>
      </c>
    </row>
    <row r="1535" spans="1:15">
      <c r="A1535" t="s">
        <v>1709</v>
      </c>
      <c r="B1535" t="s">
        <v>209</v>
      </c>
      <c r="C1535" s="9">
        <v>16437</v>
      </c>
      <c r="D1535">
        <v>81</v>
      </c>
      <c r="E1535" t="s">
        <v>21</v>
      </c>
      <c r="F1535" t="s">
        <v>5184</v>
      </c>
      <c r="G1535" s="9">
        <v>45091</v>
      </c>
      <c r="H1535" s="9">
        <v>45199</v>
      </c>
      <c r="I1535">
        <v>7</v>
      </c>
      <c r="J1535" t="s">
        <v>26</v>
      </c>
      <c r="K1535">
        <v>10</v>
      </c>
      <c r="L1535">
        <v>6</v>
      </c>
      <c r="M1535" s="11">
        <v>958.79</v>
      </c>
      <c r="N1535" s="12">
        <v>206.07</v>
      </c>
      <c r="O1535" s="12">
        <v>5924.37</v>
      </c>
    </row>
    <row r="1536" spans="1:15">
      <c r="A1536" t="s">
        <v>1710</v>
      </c>
      <c r="B1536" t="s">
        <v>209</v>
      </c>
      <c r="C1536" s="9">
        <v>34334</v>
      </c>
      <c r="D1536">
        <v>32</v>
      </c>
      <c r="E1536" t="s">
        <v>17</v>
      </c>
      <c r="F1536" t="s">
        <v>29</v>
      </c>
      <c r="G1536" s="9">
        <v>45352</v>
      </c>
      <c r="H1536" s="9">
        <v>45207</v>
      </c>
      <c r="I1536">
        <v>14</v>
      </c>
      <c r="J1536" t="s">
        <v>26</v>
      </c>
      <c r="K1536">
        <v>12</v>
      </c>
      <c r="L1536">
        <v>7</v>
      </c>
      <c r="M1536" s="11">
        <v>29209.49</v>
      </c>
      <c r="N1536" s="12">
        <v>7123.8</v>
      </c>
      <c r="O1536" s="12">
        <v>16735.740000000002</v>
      </c>
    </row>
    <row r="1537" spans="1:15">
      <c r="A1537" t="s">
        <v>1711</v>
      </c>
      <c r="B1537" t="s">
        <v>89</v>
      </c>
      <c r="C1537" s="9">
        <v>40544</v>
      </c>
      <c r="D1537">
        <v>15</v>
      </c>
      <c r="E1537" t="s">
        <v>21</v>
      </c>
      <c r="F1537" t="s">
        <v>29</v>
      </c>
      <c r="G1537" s="9">
        <v>44968</v>
      </c>
      <c r="H1537" s="9">
        <v>45150</v>
      </c>
      <c r="I1537">
        <v>13</v>
      </c>
      <c r="J1537" t="s">
        <v>26</v>
      </c>
      <c r="K1537">
        <v>1</v>
      </c>
      <c r="L1537">
        <v>7</v>
      </c>
      <c r="M1537" s="11">
        <v>14684.45</v>
      </c>
      <c r="N1537" s="12">
        <v>1738.15</v>
      </c>
      <c r="O1537" s="12">
        <v>7275.31</v>
      </c>
    </row>
    <row r="1538" spans="1:15">
      <c r="A1538" t="s">
        <v>1712</v>
      </c>
      <c r="B1538" t="s">
        <v>379</v>
      </c>
      <c r="C1538" s="9">
        <v>31047</v>
      </c>
      <c r="D1538">
        <v>41</v>
      </c>
      <c r="E1538" t="s">
        <v>21</v>
      </c>
      <c r="F1538" t="s">
        <v>29</v>
      </c>
      <c r="G1538" s="9">
        <v>45329</v>
      </c>
      <c r="H1538" s="9">
        <v>45514</v>
      </c>
      <c r="I1538">
        <v>17</v>
      </c>
      <c r="J1538" t="s">
        <v>32</v>
      </c>
      <c r="K1538">
        <v>1</v>
      </c>
      <c r="L1538">
        <v>2</v>
      </c>
      <c r="M1538" s="11">
        <v>13595.53</v>
      </c>
      <c r="N1538" s="12">
        <v>13525.53</v>
      </c>
      <c r="O1538" s="12">
        <v>3784.56</v>
      </c>
    </row>
    <row r="1539" spans="1:15">
      <c r="A1539" t="s">
        <v>1713</v>
      </c>
      <c r="B1539" t="s">
        <v>139</v>
      </c>
      <c r="C1539" s="9">
        <v>22281</v>
      </c>
      <c r="D1539">
        <v>65</v>
      </c>
      <c r="E1539" t="s">
        <v>21</v>
      </c>
      <c r="F1539" t="s">
        <v>22</v>
      </c>
      <c r="G1539" s="9">
        <v>45650</v>
      </c>
      <c r="H1539" s="9">
        <v>45590</v>
      </c>
      <c r="I1539">
        <v>2</v>
      </c>
      <c r="J1539" t="s">
        <v>32</v>
      </c>
      <c r="K1539">
        <v>11</v>
      </c>
      <c r="L1539">
        <v>1</v>
      </c>
      <c r="M1539" s="11">
        <v>28651.25</v>
      </c>
      <c r="N1539" s="12">
        <v>2324.9299999999998</v>
      </c>
      <c r="O1539" s="12">
        <v>18031.560000000001</v>
      </c>
    </row>
    <row r="1540" spans="1:15">
      <c r="A1540" t="s">
        <v>1714</v>
      </c>
      <c r="B1540" t="s">
        <v>539</v>
      </c>
      <c r="C1540" s="9">
        <v>26299</v>
      </c>
      <c r="D1540">
        <v>54</v>
      </c>
      <c r="E1540" t="s">
        <v>21</v>
      </c>
      <c r="F1540" t="s">
        <v>49</v>
      </c>
      <c r="G1540" s="9">
        <v>45342</v>
      </c>
      <c r="H1540" s="9">
        <v>45798</v>
      </c>
      <c r="I1540">
        <v>38</v>
      </c>
      <c r="J1540" t="s">
        <v>35</v>
      </c>
      <c r="K1540">
        <v>12</v>
      </c>
      <c r="L1540">
        <v>5</v>
      </c>
      <c r="M1540" s="11">
        <v>14891.4</v>
      </c>
      <c r="N1540" s="12">
        <v>4566.28</v>
      </c>
      <c r="O1540" s="12">
        <v>12750.92</v>
      </c>
    </row>
    <row r="1541" spans="1:15">
      <c r="A1541" t="s">
        <v>1715</v>
      </c>
      <c r="B1541" t="s">
        <v>254</v>
      </c>
      <c r="C1541" s="9">
        <v>31047</v>
      </c>
      <c r="D1541">
        <v>41</v>
      </c>
      <c r="E1541" t="s">
        <v>21</v>
      </c>
      <c r="F1541" t="s">
        <v>49</v>
      </c>
      <c r="G1541" s="9">
        <v>45226</v>
      </c>
      <c r="H1541" s="9">
        <v>45436</v>
      </c>
      <c r="I1541">
        <v>29</v>
      </c>
      <c r="J1541" t="s">
        <v>26</v>
      </c>
      <c r="K1541">
        <v>9</v>
      </c>
      <c r="L1541">
        <v>0</v>
      </c>
      <c r="M1541" s="11">
        <v>15291.52</v>
      </c>
      <c r="N1541" s="12">
        <v>11856.75</v>
      </c>
      <c r="O1541" s="12">
        <v>19763.86</v>
      </c>
    </row>
    <row r="1542" spans="1:15">
      <c r="A1542" t="s">
        <v>1716</v>
      </c>
      <c r="B1542" t="s">
        <v>73</v>
      </c>
      <c r="C1542" s="9">
        <v>33969</v>
      </c>
      <c r="D1542">
        <v>33</v>
      </c>
      <c r="E1542" t="s">
        <v>17</v>
      </c>
      <c r="F1542" t="s">
        <v>18</v>
      </c>
      <c r="G1542" s="9">
        <v>44981</v>
      </c>
      <c r="H1542" s="9">
        <v>45269</v>
      </c>
      <c r="I1542">
        <v>24</v>
      </c>
      <c r="J1542" t="s">
        <v>26</v>
      </c>
      <c r="K1542">
        <v>11</v>
      </c>
      <c r="L1542">
        <v>8</v>
      </c>
      <c r="M1542" s="11">
        <v>0</v>
      </c>
      <c r="N1542" s="12">
        <v>12095.2</v>
      </c>
      <c r="O1542" s="12">
        <v>5935.05</v>
      </c>
    </row>
    <row r="1543" spans="1:15">
      <c r="A1543" t="s">
        <v>1717</v>
      </c>
      <c r="B1543" t="s">
        <v>237</v>
      </c>
      <c r="C1543" s="9">
        <v>35430</v>
      </c>
      <c r="D1543">
        <v>29</v>
      </c>
      <c r="E1543" t="s">
        <v>17</v>
      </c>
      <c r="F1543" t="s">
        <v>49</v>
      </c>
      <c r="G1543" s="9">
        <v>45262</v>
      </c>
      <c r="H1543" s="9">
        <v>45544</v>
      </c>
      <c r="I1543">
        <v>1</v>
      </c>
      <c r="J1543" t="s">
        <v>32</v>
      </c>
      <c r="K1543">
        <v>6</v>
      </c>
      <c r="L1543">
        <v>6</v>
      </c>
      <c r="M1543" s="11">
        <v>2898.68</v>
      </c>
      <c r="N1543" s="12">
        <v>13519.2</v>
      </c>
      <c r="O1543" s="12">
        <v>3927.42</v>
      </c>
    </row>
    <row r="1544" spans="1:15">
      <c r="A1544" t="s">
        <v>1718</v>
      </c>
      <c r="B1544" t="s">
        <v>65</v>
      </c>
      <c r="C1544" s="9">
        <v>41639</v>
      </c>
      <c r="D1544">
        <v>12</v>
      </c>
      <c r="E1544" t="s">
        <v>21</v>
      </c>
      <c r="F1544" t="s">
        <v>18</v>
      </c>
      <c r="G1544" s="9">
        <v>45356</v>
      </c>
      <c r="H1544" s="9">
        <v>44969</v>
      </c>
      <c r="I1544">
        <v>38</v>
      </c>
      <c r="J1544" t="s">
        <v>32</v>
      </c>
      <c r="K1544">
        <v>1</v>
      </c>
      <c r="L1544">
        <v>7</v>
      </c>
      <c r="M1544" s="11">
        <v>29565.52</v>
      </c>
      <c r="N1544" s="12">
        <v>7460.94</v>
      </c>
      <c r="O1544" s="12">
        <v>5888.6</v>
      </c>
    </row>
    <row r="1545" spans="1:15">
      <c r="A1545" t="s">
        <v>1719</v>
      </c>
      <c r="B1545" t="s">
        <v>275</v>
      </c>
      <c r="C1545" s="9">
        <v>41639</v>
      </c>
      <c r="D1545">
        <v>12</v>
      </c>
      <c r="E1545" t="s">
        <v>21</v>
      </c>
      <c r="F1545" t="s">
        <v>5184</v>
      </c>
      <c r="G1545" s="9">
        <v>45611</v>
      </c>
      <c r="H1545" s="9">
        <v>45103</v>
      </c>
      <c r="I1545">
        <v>4</v>
      </c>
      <c r="J1545" t="s">
        <v>26</v>
      </c>
      <c r="K1545">
        <v>4</v>
      </c>
      <c r="L1545">
        <v>6</v>
      </c>
      <c r="M1545" s="11">
        <v>4553.18</v>
      </c>
      <c r="N1545" s="12">
        <v>14800.81</v>
      </c>
      <c r="O1545" s="12">
        <v>16231.1</v>
      </c>
    </row>
    <row r="1546" spans="1:15">
      <c r="A1546" t="s">
        <v>1720</v>
      </c>
      <c r="B1546" t="s">
        <v>100</v>
      </c>
      <c r="C1546" s="9">
        <v>39813</v>
      </c>
      <c r="D1546">
        <v>17</v>
      </c>
      <c r="E1546" t="s">
        <v>17</v>
      </c>
      <c r="F1546" t="s">
        <v>74</v>
      </c>
      <c r="G1546" s="9">
        <v>45260</v>
      </c>
      <c r="H1546" s="9">
        <v>45172</v>
      </c>
      <c r="I1546">
        <v>11</v>
      </c>
      <c r="J1546" t="s">
        <v>32</v>
      </c>
      <c r="K1546">
        <v>4</v>
      </c>
      <c r="L1546">
        <v>4</v>
      </c>
      <c r="M1546" s="11">
        <v>13923.8</v>
      </c>
      <c r="N1546" s="12">
        <v>7742.84</v>
      </c>
      <c r="O1546" s="12">
        <v>2945.72</v>
      </c>
    </row>
    <row r="1547" spans="1:15">
      <c r="A1547" t="s">
        <v>1721</v>
      </c>
      <c r="B1547" t="s">
        <v>207</v>
      </c>
      <c r="C1547" s="9">
        <v>34700</v>
      </c>
      <c r="D1547">
        <v>31</v>
      </c>
      <c r="E1547" t="s">
        <v>17</v>
      </c>
      <c r="F1547" t="s">
        <v>18</v>
      </c>
      <c r="G1547" s="9">
        <v>45332</v>
      </c>
      <c r="H1547" s="9">
        <v>45180</v>
      </c>
      <c r="I1547">
        <v>36</v>
      </c>
      <c r="J1547" t="s">
        <v>32</v>
      </c>
      <c r="K1547">
        <v>7</v>
      </c>
      <c r="L1547">
        <v>4</v>
      </c>
      <c r="M1547" s="11">
        <v>9797.2199999999993</v>
      </c>
      <c r="N1547" s="12">
        <v>11860.62</v>
      </c>
      <c r="O1547" s="12">
        <v>4745.67</v>
      </c>
    </row>
    <row r="1548" spans="1:15">
      <c r="A1548" t="s">
        <v>1722</v>
      </c>
      <c r="B1548" t="s">
        <v>671</v>
      </c>
      <c r="C1548" s="9">
        <v>32143</v>
      </c>
      <c r="D1548">
        <f ca="1">DATEDIF(C1499,TODAY(),"Y")</f>
        <v>6</v>
      </c>
      <c r="E1548" t="s">
        <v>17</v>
      </c>
      <c r="F1548" t="s">
        <v>29</v>
      </c>
      <c r="G1548" s="9">
        <v>44956</v>
      </c>
      <c r="H1548" s="9">
        <v>45201</v>
      </c>
      <c r="I1548">
        <v>21</v>
      </c>
      <c r="J1548" t="s">
        <v>32</v>
      </c>
      <c r="K1548">
        <v>14</v>
      </c>
      <c r="L1548">
        <v>6</v>
      </c>
      <c r="M1548" s="11">
        <v>28640.35</v>
      </c>
      <c r="N1548" s="12">
        <v>5428.54</v>
      </c>
      <c r="O1548" s="12">
        <v>14002.82</v>
      </c>
    </row>
    <row r="1549" spans="1:15">
      <c r="A1549" t="s">
        <v>1723</v>
      </c>
      <c r="B1549" t="s">
        <v>57</v>
      </c>
      <c r="C1549" s="9">
        <v>29586</v>
      </c>
      <c r="D1549">
        <v>45</v>
      </c>
      <c r="E1549" t="s">
        <v>17</v>
      </c>
      <c r="F1549" t="s">
        <v>25</v>
      </c>
      <c r="G1549" s="9">
        <v>45461</v>
      </c>
      <c r="H1549" s="9">
        <v>45261</v>
      </c>
      <c r="I1549">
        <v>15</v>
      </c>
      <c r="J1549" t="s">
        <v>32</v>
      </c>
      <c r="K1549">
        <v>0</v>
      </c>
      <c r="L1549">
        <v>6</v>
      </c>
      <c r="M1549" s="11">
        <v>14307.85</v>
      </c>
      <c r="N1549" s="12">
        <v>14119.37</v>
      </c>
      <c r="O1549" s="12">
        <v>14733.81</v>
      </c>
    </row>
    <row r="1550" spans="1:15">
      <c r="A1550" t="s">
        <v>1724</v>
      </c>
      <c r="B1550" t="s">
        <v>110</v>
      </c>
      <c r="C1550" s="9">
        <v>35795</v>
      </c>
      <c r="D1550">
        <v>28</v>
      </c>
      <c r="E1550" t="s">
        <v>21</v>
      </c>
      <c r="F1550" t="s">
        <v>25</v>
      </c>
      <c r="G1550" s="9">
        <v>45443</v>
      </c>
      <c r="H1550" s="9">
        <v>45531</v>
      </c>
      <c r="I1550">
        <v>35</v>
      </c>
      <c r="J1550" t="s">
        <v>32</v>
      </c>
      <c r="K1550">
        <v>12</v>
      </c>
      <c r="L1550">
        <v>1</v>
      </c>
      <c r="M1550" s="11">
        <v>201.94</v>
      </c>
      <c r="N1550" s="12">
        <v>10275.24</v>
      </c>
      <c r="O1550" s="12">
        <v>19172.71</v>
      </c>
    </row>
    <row r="1551" spans="1:15">
      <c r="A1551" t="s">
        <v>1725</v>
      </c>
      <c r="B1551" t="s">
        <v>41</v>
      </c>
      <c r="C1551" s="9">
        <v>23742</v>
      </c>
      <c r="D1551">
        <v>61</v>
      </c>
      <c r="E1551" t="s">
        <v>21</v>
      </c>
      <c r="F1551" t="s">
        <v>22</v>
      </c>
      <c r="G1551" s="9">
        <v>45501</v>
      </c>
      <c r="H1551" s="9">
        <v>44938</v>
      </c>
      <c r="I1551">
        <v>36</v>
      </c>
      <c r="J1551" t="s">
        <v>32</v>
      </c>
      <c r="K1551">
        <v>6</v>
      </c>
      <c r="L1551">
        <v>1</v>
      </c>
      <c r="M1551" s="11">
        <v>6261.58</v>
      </c>
      <c r="N1551" s="12">
        <v>1156.47</v>
      </c>
      <c r="O1551" s="12">
        <v>19601.05</v>
      </c>
    </row>
    <row r="1552" spans="1:15">
      <c r="A1552" t="s">
        <v>1726</v>
      </c>
      <c r="B1552" t="s">
        <v>97</v>
      </c>
      <c r="C1552" s="9">
        <v>12419</v>
      </c>
      <c r="D1552">
        <v>92</v>
      </c>
      <c r="E1552" t="s">
        <v>17</v>
      </c>
      <c r="F1552" t="s">
        <v>29</v>
      </c>
      <c r="G1552" s="9">
        <v>45147</v>
      </c>
      <c r="H1552" s="9">
        <v>45079</v>
      </c>
      <c r="I1552">
        <v>37</v>
      </c>
      <c r="J1552" t="s">
        <v>32</v>
      </c>
      <c r="K1552">
        <v>5</v>
      </c>
      <c r="L1552">
        <v>6</v>
      </c>
      <c r="M1552" s="11">
        <v>12639.77</v>
      </c>
      <c r="N1552" s="12">
        <v>1627.8</v>
      </c>
      <c r="O1552" s="12">
        <v>13236.98</v>
      </c>
    </row>
    <row r="1553" spans="1:15">
      <c r="A1553" t="s">
        <v>1727</v>
      </c>
      <c r="B1553" t="s">
        <v>774</v>
      </c>
      <c r="C1553" s="9">
        <v>23742</v>
      </c>
      <c r="D1553">
        <f ca="1">DATEDIF(C1504,TODAY(),"Y")</f>
        <v>47</v>
      </c>
      <c r="E1553" t="s">
        <v>17</v>
      </c>
      <c r="F1553" t="s">
        <v>18</v>
      </c>
      <c r="G1553" s="9">
        <v>45520</v>
      </c>
      <c r="H1553" s="9">
        <v>45116</v>
      </c>
      <c r="I1553">
        <v>2</v>
      </c>
      <c r="J1553" t="s">
        <v>32</v>
      </c>
      <c r="K1553">
        <v>0</v>
      </c>
      <c r="L1553">
        <v>4</v>
      </c>
      <c r="M1553" s="11">
        <v>20129.91</v>
      </c>
      <c r="N1553" s="12">
        <v>13362.16</v>
      </c>
      <c r="O1553" s="12">
        <v>7192.17</v>
      </c>
    </row>
    <row r="1554" spans="1:15">
      <c r="A1554" t="s">
        <v>1728</v>
      </c>
      <c r="B1554" t="s">
        <v>367</v>
      </c>
      <c r="C1554" s="9">
        <v>25568</v>
      </c>
      <c r="D1554">
        <v>56</v>
      </c>
      <c r="E1554" t="s">
        <v>17</v>
      </c>
      <c r="F1554" t="s">
        <v>29</v>
      </c>
      <c r="G1554" s="9">
        <v>45420</v>
      </c>
      <c r="H1554" s="9">
        <v>45603</v>
      </c>
      <c r="I1554">
        <v>14</v>
      </c>
      <c r="J1554" t="s">
        <v>32</v>
      </c>
      <c r="K1554">
        <v>1</v>
      </c>
      <c r="L1554">
        <v>1</v>
      </c>
      <c r="M1554" s="11">
        <v>16638.04</v>
      </c>
      <c r="N1554" s="12">
        <v>12143.38</v>
      </c>
      <c r="O1554" s="12">
        <v>9005.58</v>
      </c>
    </row>
    <row r="1555" spans="1:15">
      <c r="A1555" t="s">
        <v>1729</v>
      </c>
      <c r="B1555" t="s">
        <v>151</v>
      </c>
      <c r="C1555" s="9">
        <v>40544</v>
      </c>
      <c r="D1555">
        <v>15</v>
      </c>
      <c r="E1555" t="s">
        <v>21</v>
      </c>
      <c r="F1555" t="s">
        <v>22</v>
      </c>
      <c r="G1555" s="9">
        <v>45179</v>
      </c>
      <c r="H1555" s="9">
        <v>45565</v>
      </c>
      <c r="I1555">
        <v>23</v>
      </c>
      <c r="J1555" t="s">
        <v>35</v>
      </c>
      <c r="K1555">
        <v>2</v>
      </c>
      <c r="L1555">
        <v>0</v>
      </c>
      <c r="M1555" s="11">
        <v>25422.23</v>
      </c>
      <c r="N1555" s="12">
        <v>4951.41</v>
      </c>
      <c r="O1555" s="12">
        <v>8729.2800000000007</v>
      </c>
    </row>
    <row r="1556" spans="1:15">
      <c r="A1556" t="s">
        <v>1730</v>
      </c>
      <c r="B1556" t="s">
        <v>341</v>
      </c>
      <c r="C1556" s="9">
        <f>DATE(2026-D1516,1,1)</f>
        <v>41275</v>
      </c>
      <c r="D1556">
        <f ca="1">DATEDIF(C1507,TODAY(),"Y")</f>
        <v>86</v>
      </c>
      <c r="E1556" t="s">
        <v>5185</v>
      </c>
      <c r="F1556" t="s">
        <v>49</v>
      </c>
      <c r="G1556" s="9">
        <v>45490</v>
      </c>
      <c r="H1556" s="9">
        <v>45138</v>
      </c>
      <c r="I1556">
        <v>19</v>
      </c>
      <c r="J1556" t="s">
        <v>32</v>
      </c>
      <c r="K1556">
        <v>0</v>
      </c>
      <c r="L1556">
        <v>8</v>
      </c>
      <c r="M1556" s="11">
        <v>24767.22</v>
      </c>
      <c r="N1556" s="12">
        <v>7823.94</v>
      </c>
      <c r="O1556" s="12">
        <v>7686.3</v>
      </c>
    </row>
    <row r="1557" spans="1:15">
      <c r="A1557" t="s">
        <v>1731</v>
      </c>
      <c r="B1557" t="s">
        <v>69</v>
      </c>
      <c r="C1557" s="9">
        <v>42735</v>
      </c>
      <c r="D1557">
        <v>9</v>
      </c>
      <c r="E1557" t="s">
        <v>17</v>
      </c>
      <c r="F1557" t="s">
        <v>18</v>
      </c>
      <c r="G1557" s="9">
        <v>45247</v>
      </c>
      <c r="H1557" s="9">
        <v>45024</v>
      </c>
      <c r="I1557">
        <v>36</v>
      </c>
      <c r="J1557" t="s">
        <v>32</v>
      </c>
      <c r="K1557">
        <v>1</v>
      </c>
      <c r="L1557">
        <v>7</v>
      </c>
      <c r="M1557" s="11">
        <v>17510.53</v>
      </c>
      <c r="N1557" s="12">
        <v>12791.23</v>
      </c>
      <c r="O1557" s="12">
        <v>6698.73</v>
      </c>
    </row>
    <row r="1558" spans="1:15">
      <c r="A1558" t="s">
        <v>1732</v>
      </c>
      <c r="B1558" t="s">
        <v>654</v>
      </c>
      <c r="C1558" s="9">
        <v>35430</v>
      </c>
      <c r="D1558">
        <v>29</v>
      </c>
      <c r="E1558" t="s">
        <v>21</v>
      </c>
      <c r="F1558" t="s">
        <v>5184</v>
      </c>
      <c r="G1558" s="9">
        <v>44965</v>
      </c>
      <c r="H1558" s="9">
        <v>45748</v>
      </c>
      <c r="I1558">
        <v>15</v>
      </c>
      <c r="J1558" t="s">
        <v>35</v>
      </c>
      <c r="K1558">
        <v>12</v>
      </c>
      <c r="L1558">
        <v>1</v>
      </c>
      <c r="M1558" s="11">
        <v>16925.11</v>
      </c>
      <c r="N1558" s="12">
        <v>1551.47</v>
      </c>
      <c r="O1558" s="12">
        <v>3274.8</v>
      </c>
    </row>
    <row r="1559" spans="1:15">
      <c r="A1559" t="s">
        <v>1733</v>
      </c>
      <c r="B1559" t="s">
        <v>53</v>
      </c>
      <c r="C1559" s="9">
        <v>37256</v>
      </c>
      <c r="D1559">
        <v>24</v>
      </c>
      <c r="E1559" t="s">
        <v>17</v>
      </c>
      <c r="F1559" t="s">
        <v>29</v>
      </c>
      <c r="G1559" s="9">
        <v>45391</v>
      </c>
      <c r="H1559" s="9">
        <v>45266</v>
      </c>
      <c r="I1559">
        <v>35</v>
      </c>
      <c r="J1559" t="s">
        <v>32</v>
      </c>
      <c r="K1559">
        <v>13</v>
      </c>
      <c r="L1559">
        <v>1</v>
      </c>
      <c r="M1559" s="11">
        <v>7984.02</v>
      </c>
      <c r="N1559" s="12">
        <v>2072.09</v>
      </c>
      <c r="O1559" s="12">
        <v>7259.8</v>
      </c>
    </row>
    <row r="1560" spans="1:15">
      <c r="A1560" t="s">
        <v>1734</v>
      </c>
      <c r="B1560" t="s">
        <v>155</v>
      </c>
      <c r="C1560" s="9">
        <v>15707</v>
      </c>
      <c r="D1560">
        <v>83</v>
      </c>
      <c r="E1560" t="s">
        <v>21</v>
      </c>
      <c r="F1560" t="s">
        <v>49</v>
      </c>
      <c r="G1560" s="9">
        <v>45337</v>
      </c>
      <c r="H1560" s="9">
        <v>44974</v>
      </c>
      <c r="I1560">
        <v>25</v>
      </c>
      <c r="J1560" t="s">
        <v>32</v>
      </c>
      <c r="K1560">
        <v>0</v>
      </c>
      <c r="L1560">
        <v>2</v>
      </c>
      <c r="M1560" s="11">
        <v>28716.13</v>
      </c>
      <c r="N1560" s="12">
        <v>10732.9</v>
      </c>
      <c r="O1560" s="12">
        <v>19381.52</v>
      </c>
    </row>
    <row r="1561" spans="1:15">
      <c r="A1561" t="s">
        <v>1735</v>
      </c>
      <c r="B1561" t="s">
        <v>326</v>
      </c>
      <c r="C1561" s="9">
        <v>44561</v>
      </c>
      <c r="D1561">
        <v>4</v>
      </c>
      <c r="E1561" t="s">
        <v>21</v>
      </c>
      <c r="F1561" t="s">
        <v>22</v>
      </c>
      <c r="G1561" s="9">
        <v>45338</v>
      </c>
      <c r="H1561" s="9">
        <v>45747</v>
      </c>
      <c r="I1561">
        <v>18</v>
      </c>
      <c r="J1561" t="s">
        <v>26</v>
      </c>
      <c r="K1561">
        <v>12</v>
      </c>
      <c r="L1561">
        <v>3</v>
      </c>
      <c r="M1561" s="11">
        <v>0</v>
      </c>
      <c r="N1561" s="12">
        <v>1233.08</v>
      </c>
      <c r="O1561" s="12">
        <v>17631.34</v>
      </c>
    </row>
    <row r="1562" spans="1:15">
      <c r="A1562" t="s">
        <v>1736</v>
      </c>
      <c r="B1562" t="s">
        <v>20</v>
      </c>
      <c r="C1562" s="9">
        <v>22646</v>
      </c>
      <c r="D1562">
        <v>64</v>
      </c>
      <c r="E1562" t="s">
        <v>21</v>
      </c>
      <c r="F1562" t="s">
        <v>49</v>
      </c>
      <c r="G1562" s="9">
        <v>45418</v>
      </c>
      <c r="H1562" s="9">
        <v>45663</v>
      </c>
      <c r="I1562">
        <v>35</v>
      </c>
      <c r="J1562" t="s">
        <v>26</v>
      </c>
      <c r="K1562">
        <v>7</v>
      </c>
      <c r="L1562">
        <v>8</v>
      </c>
      <c r="M1562" s="11">
        <v>11609.42</v>
      </c>
      <c r="N1562" s="12">
        <v>5288.5</v>
      </c>
      <c r="O1562" s="12">
        <v>12308.27</v>
      </c>
    </row>
    <row r="1563" spans="1:15">
      <c r="A1563" t="s">
        <v>1737</v>
      </c>
      <c r="B1563" t="s">
        <v>153</v>
      </c>
      <c r="C1563" s="9">
        <v>12054</v>
      </c>
      <c r="D1563">
        <v>93</v>
      </c>
      <c r="E1563" t="s">
        <v>21</v>
      </c>
      <c r="F1563" t="s">
        <v>18</v>
      </c>
      <c r="G1563" s="9">
        <v>45364</v>
      </c>
      <c r="H1563" s="9">
        <v>44984</v>
      </c>
      <c r="I1563">
        <v>30</v>
      </c>
      <c r="J1563" t="s">
        <v>26</v>
      </c>
      <c r="K1563">
        <v>2</v>
      </c>
      <c r="L1563">
        <v>5</v>
      </c>
      <c r="M1563" s="11">
        <v>19655.490000000002</v>
      </c>
      <c r="N1563" s="12">
        <v>3777.12</v>
      </c>
      <c r="O1563" s="12">
        <v>3775.4</v>
      </c>
    </row>
    <row r="1564" spans="1:15">
      <c r="A1564" t="s">
        <v>1738</v>
      </c>
      <c r="B1564" t="s">
        <v>392</v>
      </c>
      <c r="C1564" s="9">
        <v>28490</v>
      </c>
      <c r="D1564">
        <v>48</v>
      </c>
      <c r="E1564" t="s">
        <v>21</v>
      </c>
      <c r="F1564" t="s">
        <v>22</v>
      </c>
      <c r="G1564" s="9">
        <v>45405</v>
      </c>
      <c r="H1564" s="9">
        <v>45002</v>
      </c>
      <c r="I1564">
        <v>27</v>
      </c>
      <c r="J1564" t="s">
        <v>35</v>
      </c>
      <c r="K1564">
        <v>14</v>
      </c>
      <c r="L1564">
        <v>2</v>
      </c>
      <c r="M1564" s="11">
        <v>28342.720000000001</v>
      </c>
      <c r="N1564" s="12">
        <v>11404.29</v>
      </c>
      <c r="O1564" s="12">
        <v>17561.16</v>
      </c>
    </row>
    <row r="1565" spans="1:15">
      <c r="A1565" t="s">
        <v>1739</v>
      </c>
      <c r="B1565" t="s">
        <v>57</v>
      </c>
      <c r="C1565" s="9">
        <v>45292</v>
      </c>
      <c r="D1565">
        <v>2</v>
      </c>
      <c r="E1565" t="s">
        <v>17</v>
      </c>
      <c r="F1565" t="s">
        <v>22</v>
      </c>
      <c r="G1565" s="9">
        <v>44998</v>
      </c>
      <c r="H1565" s="9">
        <v>45181</v>
      </c>
      <c r="I1565">
        <v>39</v>
      </c>
      <c r="J1565" t="s">
        <v>32</v>
      </c>
      <c r="K1565">
        <v>1</v>
      </c>
      <c r="L1565">
        <v>7</v>
      </c>
      <c r="M1565" s="11">
        <v>14796.66</v>
      </c>
      <c r="N1565" s="12">
        <v>36.72</v>
      </c>
      <c r="O1565" s="12">
        <v>6168.51</v>
      </c>
    </row>
    <row r="1566" spans="1:15">
      <c r="A1566" t="s">
        <v>1740</v>
      </c>
      <c r="B1566" t="s">
        <v>133</v>
      </c>
      <c r="C1566" s="9">
        <v>29951</v>
      </c>
      <c r="D1566">
        <v>44</v>
      </c>
      <c r="E1566" t="s">
        <v>21</v>
      </c>
      <c r="F1566" t="s">
        <v>22</v>
      </c>
      <c r="G1566" s="9">
        <v>45508</v>
      </c>
      <c r="H1566" s="9">
        <v>45590</v>
      </c>
      <c r="I1566">
        <v>5</v>
      </c>
      <c r="J1566" t="s">
        <v>35</v>
      </c>
      <c r="K1566">
        <v>6</v>
      </c>
      <c r="L1566">
        <v>5</v>
      </c>
      <c r="M1566" s="11">
        <v>26825.54</v>
      </c>
      <c r="N1566" s="12">
        <v>1730.77</v>
      </c>
      <c r="O1566" s="12">
        <v>10868.87</v>
      </c>
    </row>
    <row r="1567" spans="1:15">
      <c r="A1567" t="s">
        <v>1741</v>
      </c>
      <c r="B1567" t="s">
        <v>115</v>
      </c>
      <c r="C1567" s="9">
        <v>41274</v>
      </c>
      <c r="D1567">
        <v>13</v>
      </c>
      <c r="E1567" t="s">
        <v>17</v>
      </c>
      <c r="F1567" t="s">
        <v>74</v>
      </c>
      <c r="G1567" s="9">
        <v>45146</v>
      </c>
      <c r="H1567" s="9">
        <v>45498</v>
      </c>
      <c r="I1567">
        <v>27</v>
      </c>
      <c r="J1567" t="s">
        <v>35</v>
      </c>
      <c r="K1567">
        <v>2</v>
      </c>
      <c r="L1567">
        <v>7</v>
      </c>
      <c r="M1567" s="11">
        <v>2696.39</v>
      </c>
      <c r="N1567" s="12">
        <v>1485.11</v>
      </c>
      <c r="O1567" s="12">
        <v>18227.080000000002</v>
      </c>
    </row>
    <row r="1568" spans="1:15">
      <c r="A1568" t="s">
        <v>1742</v>
      </c>
      <c r="B1568" t="s">
        <v>350</v>
      </c>
      <c r="C1568" s="9">
        <v>35430</v>
      </c>
      <c r="D1568">
        <v>29</v>
      </c>
      <c r="E1568" t="s">
        <v>21</v>
      </c>
      <c r="F1568" t="s">
        <v>22</v>
      </c>
      <c r="G1568" s="9">
        <v>44930</v>
      </c>
      <c r="H1568" s="9">
        <v>45764</v>
      </c>
      <c r="I1568">
        <v>36</v>
      </c>
      <c r="J1568" t="s">
        <v>32</v>
      </c>
      <c r="K1568">
        <v>14</v>
      </c>
      <c r="L1568">
        <v>9</v>
      </c>
      <c r="M1568" s="11">
        <v>15713.32</v>
      </c>
      <c r="N1568" s="12">
        <v>4771.16</v>
      </c>
      <c r="O1568" s="12">
        <v>6627.27</v>
      </c>
    </row>
    <row r="1569" spans="1:15">
      <c r="A1569" t="s">
        <v>1743</v>
      </c>
      <c r="B1569" t="s">
        <v>207</v>
      </c>
      <c r="C1569" s="9">
        <v>21551</v>
      </c>
      <c r="D1569">
        <v>67</v>
      </c>
      <c r="E1569" t="s">
        <v>21</v>
      </c>
      <c r="F1569" t="s">
        <v>74</v>
      </c>
      <c r="G1569" s="9">
        <v>45216</v>
      </c>
      <c r="H1569" s="9">
        <v>45525</v>
      </c>
      <c r="I1569">
        <v>6</v>
      </c>
      <c r="J1569" t="s">
        <v>32</v>
      </c>
      <c r="K1569">
        <v>12</v>
      </c>
      <c r="L1569">
        <v>1</v>
      </c>
      <c r="M1569" s="11">
        <v>9139.5400000000009</v>
      </c>
      <c r="N1569" s="12">
        <v>3487.19</v>
      </c>
      <c r="O1569" s="12">
        <v>18258.189999999999</v>
      </c>
    </row>
    <row r="1570" spans="1:15">
      <c r="A1570" t="s">
        <v>1744</v>
      </c>
      <c r="B1570" t="s">
        <v>63</v>
      </c>
      <c r="C1570" s="9">
        <v>39813</v>
      </c>
      <c r="D1570">
        <v>17</v>
      </c>
      <c r="E1570" t="s">
        <v>17</v>
      </c>
      <c r="F1570" t="s">
        <v>49</v>
      </c>
      <c r="G1570" s="9">
        <v>45306</v>
      </c>
      <c r="H1570" s="9">
        <v>45097</v>
      </c>
      <c r="I1570">
        <v>30</v>
      </c>
      <c r="J1570" t="s">
        <v>32</v>
      </c>
      <c r="K1570">
        <v>8</v>
      </c>
      <c r="L1570">
        <v>7</v>
      </c>
      <c r="M1570" s="11">
        <v>23768.75</v>
      </c>
      <c r="N1570" s="12">
        <v>3424.24</v>
      </c>
      <c r="O1570" s="12">
        <v>4626.08</v>
      </c>
    </row>
    <row r="1571" spans="1:15">
      <c r="A1571" t="s">
        <v>1745</v>
      </c>
      <c r="B1571" t="s">
        <v>387</v>
      </c>
      <c r="C1571" s="9">
        <v>23742</v>
      </c>
      <c r="D1571">
        <v>61</v>
      </c>
      <c r="E1571" t="s">
        <v>17</v>
      </c>
      <c r="F1571" t="s">
        <v>5184</v>
      </c>
      <c r="G1571" s="9">
        <v>45281</v>
      </c>
      <c r="H1571" s="9">
        <v>45073</v>
      </c>
      <c r="I1571">
        <v>26</v>
      </c>
      <c r="J1571" t="s">
        <v>32</v>
      </c>
      <c r="K1571">
        <v>9</v>
      </c>
      <c r="L1571">
        <v>4</v>
      </c>
      <c r="M1571" s="11">
        <v>13072.34</v>
      </c>
      <c r="N1571" s="12">
        <v>5555.9</v>
      </c>
      <c r="O1571" s="12">
        <v>18566.93</v>
      </c>
    </row>
    <row r="1572" spans="1:15">
      <c r="A1572" t="s">
        <v>1746</v>
      </c>
      <c r="B1572" t="s">
        <v>65</v>
      </c>
      <c r="C1572" s="9">
        <v>32873</v>
      </c>
      <c r="D1572">
        <v>36</v>
      </c>
      <c r="E1572" t="s">
        <v>17</v>
      </c>
      <c r="F1572" t="s">
        <v>74</v>
      </c>
      <c r="G1572" s="9">
        <v>45006</v>
      </c>
      <c r="H1572" s="9">
        <v>45766</v>
      </c>
      <c r="I1572">
        <v>28</v>
      </c>
      <c r="J1572" t="s">
        <v>32</v>
      </c>
      <c r="K1572">
        <v>9</v>
      </c>
      <c r="L1572">
        <v>9</v>
      </c>
      <c r="M1572" s="11">
        <v>13995.2</v>
      </c>
      <c r="N1572" s="12">
        <v>3210.73</v>
      </c>
      <c r="O1572" s="12">
        <v>7109.18</v>
      </c>
    </row>
    <row r="1573" spans="1:15">
      <c r="A1573" t="s">
        <v>1747</v>
      </c>
      <c r="B1573" t="s">
        <v>63</v>
      </c>
      <c r="C1573" s="9">
        <v>37256</v>
      </c>
      <c r="D1573">
        <v>24</v>
      </c>
      <c r="E1573" t="s">
        <v>5185</v>
      </c>
      <c r="F1573" t="s">
        <v>49</v>
      </c>
      <c r="G1573" s="9">
        <v>44992</v>
      </c>
      <c r="H1573" s="9">
        <v>44960</v>
      </c>
      <c r="I1573">
        <v>0</v>
      </c>
      <c r="J1573" t="s">
        <v>26</v>
      </c>
      <c r="K1573">
        <v>6</v>
      </c>
      <c r="L1573">
        <v>3</v>
      </c>
      <c r="M1573" s="11">
        <v>1475.85</v>
      </c>
      <c r="N1573" s="12">
        <v>1593.21</v>
      </c>
      <c r="O1573" s="12">
        <v>7429.48</v>
      </c>
    </row>
    <row r="1574" spans="1:15">
      <c r="A1574" t="s">
        <v>1748</v>
      </c>
      <c r="B1574" t="s">
        <v>31</v>
      </c>
      <c r="C1574" s="9">
        <v>28856</v>
      </c>
      <c r="D1574">
        <v>47</v>
      </c>
      <c r="E1574" t="s">
        <v>21</v>
      </c>
      <c r="F1574" t="s">
        <v>74</v>
      </c>
      <c r="G1574" s="9">
        <v>45062</v>
      </c>
      <c r="H1574" s="9">
        <v>45442</v>
      </c>
      <c r="I1574">
        <v>35</v>
      </c>
      <c r="J1574" t="s">
        <v>32</v>
      </c>
      <c r="K1574">
        <v>6</v>
      </c>
      <c r="L1574">
        <v>2</v>
      </c>
      <c r="M1574" s="11">
        <v>12859.31</v>
      </c>
      <c r="N1574" s="12">
        <v>8748.77</v>
      </c>
      <c r="O1574" s="12">
        <v>11015.46</v>
      </c>
    </row>
    <row r="1575" spans="1:15">
      <c r="A1575" t="s">
        <v>1749</v>
      </c>
      <c r="B1575" t="s">
        <v>664</v>
      </c>
      <c r="C1575" s="9">
        <v>22646</v>
      </c>
      <c r="D1575">
        <v>64</v>
      </c>
      <c r="E1575" t="s">
        <v>21</v>
      </c>
      <c r="F1575" t="s">
        <v>49</v>
      </c>
      <c r="G1575" s="9">
        <v>45325</v>
      </c>
      <c r="H1575" s="9">
        <v>45723</v>
      </c>
      <c r="I1575">
        <v>8</v>
      </c>
      <c r="J1575" t="s">
        <v>35</v>
      </c>
      <c r="K1575">
        <v>14</v>
      </c>
      <c r="L1575">
        <v>8</v>
      </c>
      <c r="M1575" s="11">
        <v>1965.28</v>
      </c>
      <c r="N1575" s="12">
        <v>14276.07</v>
      </c>
      <c r="O1575" s="12">
        <v>6875.23</v>
      </c>
    </row>
    <row r="1576" spans="1:15">
      <c r="A1576" t="s">
        <v>1750</v>
      </c>
      <c r="B1576" t="s">
        <v>176</v>
      </c>
      <c r="C1576" s="9">
        <v>27029</v>
      </c>
      <c r="D1576">
        <v>52</v>
      </c>
      <c r="E1576" t="s">
        <v>17</v>
      </c>
      <c r="F1576" t="s">
        <v>49</v>
      </c>
      <c r="G1576" s="9">
        <v>45629</v>
      </c>
      <c r="H1576" s="9">
        <v>45184</v>
      </c>
      <c r="I1576">
        <v>2</v>
      </c>
      <c r="J1576" t="s">
        <v>26</v>
      </c>
      <c r="K1576">
        <v>7</v>
      </c>
      <c r="L1576">
        <v>9</v>
      </c>
      <c r="M1576" s="11">
        <v>8636.64</v>
      </c>
      <c r="N1576" s="12">
        <v>9107.4699999999993</v>
      </c>
      <c r="O1576" s="12">
        <v>8944.65</v>
      </c>
    </row>
    <row r="1577" spans="1:15">
      <c r="A1577" t="s">
        <v>1751</v>
      </c>
      <c r="B1577" t="s">
        <v>252</v>
      </c>
      <c r="C1577" s="9">
        <v>17533</v>
      </c>
      <c r="D1577">
        <v>78</v>
      </c>
      <c r="E1577" t="s">
        <v>5185</v>
      </c>
      <c r="F1577" t="s">
        <v>5184</v>
      </c>
      <c r="G1577" s="9">
        <v>45273</v>
      </c>
      <c r="H1577" s="9">
        <v>45053</v>
      </c>
      <c r="I1577">
        <v>28</v>
      </c>
      <c r="J1577" t="s">
        <v>35</v>
      </c>
      <c r="K1577">
        <v>12</v>
      </c>
      <c r="L1577">
        <v>6</v>
      </c>
      <c r="M1577" s="11">
        <v>3369.88</v>
      </c>
      <c r="N1577" s="12">
        <v>11355.31</v>
      </c>
      <c r="O1577" s="12">
        <v>9976.61</v>
      </c>
    </row>
    <row r="1578" spans="1:15">
      <c r="A1578" t="s">
        <v>1752</v>
      </c>
      <c r="B1578" t="s">
        <v>654</v>
      </c>
      <c r="C1578" s="9">
        <v>19724</v>
      </c>
      <c r="D1578">
        <v>72</v>
      </c>
      <c r="E1578" t="s">
        <v>17</v>
      </c>
      <c r="F1578" t="s">
        <v>22</v>
      </c>
      <c r="G1578" s="9">
        <v>44985</v>
      </c>
      <c r="H1578" s="9">
        <v>45040</v>
      </c>
      <c r="I1578">
        <v>17</v>
      </c>
      <c r="J1578" t="s">
        <v>32</v>
      </c>
      <c r="K1578">
        <v>10</v>
      </c>
      <c r="L1578">
        <v>6</v>
      </c>
      <c r="M1578" s="11">
        <v>9701.67</v>
      </c>
      <c r="N1578" s="12">
        <v>14582.65</v>
      </c>
      <c r="O1578" s="12">
        <v>9769.49</v>
      </c>
    </row>
    <row r="1579" spans="1:15">
      <c r="A1579" t="s">
        <v>1753</v>
      </c>
      <c r="B1579" t="s">
        <v>170</v>
      </c>
      <c r="C1579" s="9">
        <v>40909</v>
      </c>
      <c r="D1579">
        <f ca="1">DATEDIF(C1530,TODAY(),"Y")</f>
        <v>3</v>
      </c>
      <c r="E1579" t="s">
        <v>17</v>
      </c>
      <c r="F1579" t="s">
        <v>5184</v>
      </c>
      <c r="G1579" s="9">
        <v>45445</v>
      </c>
      <c r="H1579" s="9">
        <v>45742</v>
      </c>
      <c r="I1579">
        <v>1</v>
      </c>
      <c r="J1579" t="s">
        <v>32</v>
      </c>
      <c r="K1579">
        <v>14</v>
      </c>
      <c r="L1579">
        <v>5</v>
      </c>
      <c r="M1579" s="11">
        <v>6435.34</v>
      </c>
      <c r="N1579" s="12">
        <v>2297.44</v>
      </c>
      <c r="O1579" s="12">
        <v>19218.3</v>
      </c>
    </row>
    <row r="1580" spans="1:15">
      <c r="A1580" t="s">
        <v>1754</v>
      </c>
      <c r="B1580" t="s">
        <v>172</v>
      </c>
      <c r="C1580" s="9">
        <v>28490</v>
      </c>
      <c r="D1580">
        <v>48</v>
      </c>
      <c r="E1580" t="s">
        <v>17</v>
      </c>
      <c r="F1580" t="s">
        <v>5184</v>
      </c>
      <c r="G1580" s="9">
        <v>45640</v>
      </c>
      <c r="H1580" s="9">
        <v>45732</v>
      </c>
      <c r="I1580">
        <v>5</v>
      </c>
      <c r="J1580" t="s">
        <v>26</v>
      </c>
      <c r="K1580">
        <v>8</v>
      </c>
      <c r="L1580">
        <v>8</v>
      </c>
      <c r="M1580" s="11">
        <v>8197.99</v>
      </c>
      <c r="N1580" s="12">
        <v>6897.15</v>
      </c>
      <c r="O1580" s="12">
        <v>5563.95</v>
      </c>
    </row>
    <row r="1581" spans="1:15">
      <c r="A1581" t="s">
        <v>1755</v>
      </c>
      <c r="B1581" t="s">
        <v>189</v>
      </c>
      <c r="C1581" s="9">
        <v>14246</v>
      </c>
      <c r="D1581">
        <v>87</v>
      </c>
      <c r="E1581" t="s">
        <v>21</v>
      </c>
      <c r="F1581" t="s">
        <v>22</v>
      </c>
      <c r="G1581" s="9">
        <v>45163</v>
      </c>
      <c r="H1581" s="9">
        <v>45269</v>
      </c>
      <c r="I1581">
        <v>39</v>
      </c>
      <c r="J1581" t="s">
        <v>32</v>
      </c>
      <c r="K1581">
        <v>5</v>
      </c>
      <c r="L1581">
        <v>2</v>
      </c>
      <c r="M1581" s="11">
        <v>4025.77</v>
      </c>
      <c r="N1581" s="12">
        <v>8727.7099999999991</v>
      </c>
      <c r="O1581" s="12">
        <v>5620.05</v>
      </c>
    </row>
    <row r="1582" spans="1:15">
      <c r="A1582" t="s">
        <v>1756</v>
      </c>
      <c r="B1582" t="s">
        <v>278</v>
      </c>
      <c r="C1582" s="9">
        <v>21551</v>
      </c>
      <c r="D1582">
        <v>67</v>
      </c>
      <c r="E1582" t="s">
        <v>17</v>
      </c>
      <c r="F1582" t="s">
        <v>49</v>
      </c>
      <c r="G1582" s="9">
        <v>45005</v>
      </c>
      <c r="H1582" s="9">
        <v>44975</v>
      </c>
      <c r="I1582">
        <v>32</v>
      </c>
      <c r="J1582" t="s">
        <v>26</v>
      </c>
      <c r="K1582">
        <v>14</v>
      </c>
      <c r="L1582">
        <v>0</v>
      </c>
      <c r="M1582" s="11">
        <v>12908.03</v>
      </c>
      <c r="N1582" s="12">
        <v>4831.6899999999996</v>
      </c>
      <c r="O1582" s="12">
        <v>16742.23</v>
      </c>
    </row>
    <row r="1583" spans="1:15">
      <c r="A1583" t="s">
        <v>1757</v>
      </c>
      <c r="B1583" t="s">
        <v>155</v>
      </c>
      <c r="C1583" s="9">
        <v>42005</v>
      </c>
      <c r="D1583">
        <v>11</v>
      </c>
      <c r="E1583" t="s">
        <v>17</v>
      </c>
      <c r="F1583" t="s">
        <v>22</v>
      </c>
      <c r="G1583" s="9">
        <v>45484</v>
      </c>
      <c r="H1583" s="9">
        <v>45291</v>
      </c>
      <c r="I1583">
        <v>10</v>
      </c>
      <c r="J1583" t="s">
        <v>26</v>
      </c>
      <c r="K1583">
        <v>2</v>
      </c>
      <c r="L1583">
        <v>6</v>
      </c>
      <c r="M1583" s="11">
        <v>14676.08</v>
      </c>
      <c r="N1583" s="12">
        <v>9196.94</v>
      </c>
      <c r="O1583" s="12">
        <v>7779.38</v>
      </c>
    </row>
    <row r="1584" spans="1:15">
      <c r="A1584" t="s">
        <v>1758</v>
      </c>
      <c r="B1584" t="s">
        <v>226</v>
      </c>
      <c r="C1584" s="9">
        <v>24838</v>
      </c>
      <c r="D1584">
        <v>58</v>
      </c>
      <c r="E1584" t="s">
        <v>17</v>
      </c>
      <c r="F1584" t="s">
        <v>49</v>
      </c>
      <c r="G1584" s="9">
        <v>45598</v>
      </c>
      <c r="H1584" s="9">
        <v>45714</v>
      </c>
      <c r="I1584">
        <v>2</v>
      </c>
      <c r="J1584" t="s">
        <v>26</v>
      </c>
      <c r="K1584">
        <v>10</v>
      </c>
      <c r="L1584">
        <v>8</v>
      </c>
      <c r="M1584" s="11">
        <v>25017.75</v>
      </c>
      <c r="N1584" s="12">
        <v>9357.31</v>
      </c>
      <c r="O1584" s="12">
        <v>1371.26</v>
      </c>
    </row>
    <row r="1585" spans="1:15">
      <c r="A1585" t="s">
        <v>1759</v>
      </c>
      <c r="B1585" t="s">
        <v>117</v>
      </c>
      <c r="C1585" s="9">
        <v>32873</v>
      </c>
      <c r="D1585">
        <v>36</v>
      </c>
      <c r="E1585" t="s">
        <v>21</v>
      </c>
      <c r="F1585" t="s">
        <v>22</v>
      </c>
      <c r="G1585" s="9">
        <v>45041</v>
      </c>
      <c r="H1585" s="9">
        <v>45325</v>
      </c>
      <c r="I1585">
        <v>37</v>
      </c>
      <c r="J1585" t="s">
        <v>32</v>
      </c>
      <c r="K1585">
        <v>10</v>
      </c>
      <c r="L1585">
        <v>5</v>
      </c>
      <c r="M1585" s="11">
        <v>15934.17</v>
      </c>
      <c r="N1585" s="12">
        <v>12633.44</v>
      </c>
      <c r="O1585" s="12">
        <v>9573.2000000000007</v>
      </c>
    </row>
    <row r="1586" spans="1:15">
      <c r="A1586" t="s">
        <v>1760</v>
      </c>
      <c r="B1586" t="s">
        <v>367</v>
      </c>
      <c r="C1586" s="9">
        <v>24107</v>
      </c>
      <c r="D1586">
        <v>60</v>
      </c>
      <c r="E1586" t="s">
        <v>21</v>
      </c>
      <c r="F1586" t="s">
        <v>25</v>
      </c>
      <c r="G1586" s="9">
        <v>45388</v>
      </c>
      <c r="H1586" s="9">
        <v>45122</v>
      </c>
      <c r="I1586">
        <v>16</v>
      </c>
      <c r="J1586" t="s">
        <v>26</v>
      </c>
      <c r="K1586">
        <v>12</v>
      </c>
      <c r="L1586">
        <v>9</v>
      </c>
      <c r="M1586" s="11">
        <v>6477.1</v>
      </c>
      <c r="N1586" s="12">
        <v>12487.73</v>
      </c>
      <c r="O1586" s="12">
        <v>10959.6</v>
      </c>
    </row>
    <row r="1587" spans="1:15">
      <c r="A1587" t="s">
        <v>1761</v>
      </c>
      <c r="B1587" t="s">
        <v>578</v>
      </c>
      <c r="C1587" s="9">
        <v>30682</v>
      </c>
      <c r="D1587">
        <v>42</v>
      </c>
      <c r="E1587" t="s">
        <v>21</v>
      </c>
      <c r="F1587" t="s">
        <v>74</v>
      </c>
      <c r="G1587" s="9">
        <v>45552</v>
      </c>
      <c r="H1587" s="9">
        <v>45778</v>
      </c>
      <c r="I1587">
        <v>15</v>
      </c>
      <c r="J1587" t="s">
        <v>26</v>
      </c>
      <c r="K1587">
        <v>0</v>
      </c>
      <c r="L1587">
        <v>1</v>
      </c>
      <c r="M1587" s="11">
        <v>21944.82</v>
      </c>
      <c r="N1587" s="12">
        <v>2137.83</v>
      </c>
      <c r="O1587" s="12">
        <v>12315.62</v>
      </c>
    </row>
    <row r="1588" spans="1:15">
      <c r="A1588" t="s">
        <v>1762</v>
      </c>
      <c r="B1588" t="s">
        <v>145</v>
      </c>
      <c r="C1588" s="9">
        <v>20820</v>
      </c>
      <c r="D1588">
        <v>69</v>
      </c>
      <c r="E1588" t="s">
        <v>21</v>
      </c>
      <c r="F1588" t="s">
        <v>5184</v>
      </c>
      <c r="G1588" s="9">
        <v>45052</v>
      </c>
      <c r="H1588" s="9">
        <v>45664</v>
      </c>
      <c r="I1588">
        <v>30</v>
      </c>
      <c r="J1588" t="s">
        <v>32</v>
      </c>
      <c r="K1588">
        <v>4</v>
      </c>
      <c r="L1588">
        <v>7</v>
      </c>
      <c r="M1588" s="11">
        <v>8566.0300000000007</v>
      </c>
      <c r="N1588" s="12">
        <v>2533.38</v>
      </c>
      <c r="O1588" s="12">
        <v>4625.37</v>
      </c>
    </row>
    <row r="1589" spans="1:15">
      <c r="A1589" t="s">
        <v>1763</v>
      </c>
      <c r="B1589" t="s">
        <v>155</v>
      </c>
      <c r="C1589" s="9">
        <v>32143</v>
      </c>
      <c r="D1589">
        <v>38</v>
      </c>
      <c r="E1589" t="s">
        <v>17</v>
      </c>
      <c r="F1589" t="s">
        <v>49</v>
      </c>
      <c r="G1589" s="9">
        <v>45528</v>
      </c>
      <c r="H1589" s="9">
        <v>45652</v>
      </c>
      <c r="I1589">
        <v>1</v>
      </c>
      <c r="J1589" t="s">
        <v>35</v>
      </c>
      <c r="K1589">
        <v>13</v>
      </c>
      <c r="L1589">
        <v>8</v>
      </c>
      <c r="M1589" s="11">
        <v>22570.09</v>
      </c>
      <c r="N1589" s="12">
        <v>3335.58</v>
      </c>
      <c r="O1589" s="12">
        <v>19462.509999999998</v>
      </c>
    </row>
    <row r="1590" spans="1:15">
      <c r="A1590" t="s">
        <v>1764</v>
      </c>
      <c r="B1590" t="s">
        <v>187</v>
      </c>
      <c r="C1590" s="9">
        <v>25934</v>
      </c>
      <c r="D1590">
        <v>55</v>
      </c>
      <c r="E1590" t="s">
        <v>21</v>
      </c>
      <c r="F1590" t="s">
        <v>29</v>
      </c>
      <c r="G1590" s="9">
        <v>45499</v>
      </c>
      <c r="H1590" s="9">
        <v>45248</v>
      </c>
      <c r="I1590">
        <v>15</v>
      </c>
      <c r="J1590" t="s">
        <v>32</v>
      </c>
      <c r="K1590">
        <v>2</v>
      </c>
      <c r="L1590">
        <v>9</v>
      </c>
      <c r="M1590" s="11">
        <v>11308.5</v>
      </c>
      <c r="N1590" s="12">
        <v>3918.45</v>
      </c>
      <c r="O1590" s="12">
        <v>14714.07</v>
      </c>
    </row>
    <row r="1591" spans="1:15">
      <c r="A1591" t="s">
        <v>1765</v>
      </c>
      <c r="B1591" t="s">
        <v>143</v>
      </c>
      <c r="C1591" s="9">
        <v>23377</v>
      </c>
      <c r="D1591">
        <v>62</v>
      </c>
      <c r="E1591" t="s">
        <v>21</v>
      </c>
      <c r="F1591" t="s">
        <v>22</v>
      </c>
      <c r="G1591" s="9">
        <v>45426</v>
      </c>
      <c r="H1591" s="9">
        <v>45721</v>
      </c>
      <c r="I1591">
        <v>21</v>
      </c>
      <c r="J1591" t="s">
        <v>32</v>
      </c>
      <c r="K1591">
        <v>13</v>
      </c>
      <c r="L1591">
        <v>7</v>
      </c>
      <c r="M1591" s="11">
        <v>15167.09</v>
      </c>
      <c r="N1591" s="12">
        <v>8467.4</v>
      </c>
      <c r="O1591" s="12">
        <v>14374.83</v>
      </c>
    </row>
    <row r="1592" spans="1:15">
      <c r="A1592" t="s">
        <v>1766</v>
      </c>
      <c r="B1592" t="s">
        <v>46</v>
      </c>
      <c r="C1592" s="9">
        <v>29586</v>
      </c>
      <c r="D1592">
        <v>45</v>
      </c>
      <c r="E1592" t="s">
        <v>21</v>
      </c>
      <c r="F1592" t="s">
        <v>22</v>
      </c>
      <c r="G1592" s="9">
        <v>45028</v>
      </c>
      <c r="H1592" s="9">
        <v>45065</v>
      </c>
      <c r="I1592">
        <v>26</v>
      </c>
      <c r="J1592" t="s">
        <v>32</v>
      </c>
      <c r="K1592">
        <v>13</v>
      </c>
      <c r="L1592">
        <v>8</v>
      </c>
      <c r="M1592" s="11">
        <v>14864.54</v>
      </c>
      <c r="N1592" s="12">
        <v>4912.3599999999997</v>
      </c>
      <c r="O1592" s="12">
        <v>17444.740000000002</v>
      </c>
    </row>
    <row r="1593" spans="1:15">
      <c r="A1593" t="s">
        <v>1767</v>
      </c>
      <c r="B1593" t="s">
        <v>524</v>
      </c>
      <c r="C1593" s="9">
        <v>14246</v>
      </c>
      <c r="D1593">
        <v>87</v>
      </c>
      <c r="E1593" t="s">
        <v>17</v>
      </c>
      <c r="F1593" t="s">
        <v>18</v>
      </c>
      <c r="G1593" s="9">
        <v>45552</v>
      </c>
      <c r="H1593" s="9">
        <v>45282</v>
      </c>
      <c r="I1593">
        <v>28</v>
      </c>
      <c r="J1593" t="s">
        <v>26</v>
      </c>
      <c r="K1593">
        <v>4</v>
      </c>
      <c r="L1593">
        <v>0</v>
      </c>
      <c r="M1593" s="11">
        <v>28646.89</v>
      </c>
      <c r="N1593" s="12">
        <v>14294.44</v>
      </c>
      <c r="O1593" s="12">
        <v>425.16</v>
      </c>
    </row>
    <row r="1594" spans="1:15">
      <c r="A1594" t="s">
        <v>1768</v>
      </c>
      <c r="B1594" t="s">
        <v>115</v>
      </c>
      <c r="C1594" s="9">
        <v>42370</v>
      </c>
      <c r="D1594">
        <v>10</v>
      </c>
      <c r="E1594" t="s">
        <v>17</v>
      </c>
      <c r="F1594" t="s">
        <v>29</v>
      </c>
      <c r="G1594" s="9">
        <v>45100</v>
      </c>
      <c r="H1594" s="9">
        <v>45772</v>
      </c>
      <c r="I1594">
        <v>25</v>
      </c>
      <c r="J1594" t="s">
        <v>32</v>
      </c>
      <c r="K1594">
        <v>14</v>
      </c>
      <c r="L1594">
        <v>2</v>
      </c>
      <c r="M1594" s="11">
        <v>4186.79</v>
      </c>
      <c r="N1594" s="12">
        <v>1774.52</v>
      </c>
      <c r="O1594" s="12">
        <v>12224.16</v>
      </c>
    </row>
    <row r="1595" spans="1:15">
      <c r="A1595" t="s">
        <v>1769</v>
      </c>
      <c r="B1595" t="s">
        <v>264</v>
      </c>
      <c r="C1595" s="9">
        <v>23742</v>
      </c>
      <c r="D1595">
        <v>61</v>
      </c>
      <c r="E1595" t="s">
        <v>21</v>
      </c>
      <c r="F1595" t="s">
        <v>29</v>
      </c>
      <c r="G1595" s="9">
        <v>45378</v>
      </c>
      <c r="H1595" s="9">
        <v>44997</v>
      </c>
      <c r="I1595">
        <v>6</v>
      </c>
      <c r="J1595" t="s">
        <v>32</v>
      </c>
      <c r="K1595">
        <v>6</v>
      </c>
      <c r="L1595">
        <v>2</v>
      </c>
      <c r="M1595" s="11">
        <v>28125.95</v>
      </c>
      <c r="N1595" s="12">
        <v>3697.27</v>
      </c>
      <c r="O1595" s="12">
        <v>16338.52</v>
      </c>
    </row>
    <row r="1596" spans="1:15">
      <c r="A1596" t="s">
        <v>1770</v>
      </c>
      <c r="B1596" t="s">
        <v>194</v>
      </c>
      <c r="C1596" s="9">
        <v>18263</v>
      </c>
      <c r="D1596">
        <v>76</v>
      </c>
      <c r="E1596" t="s">
        <v>21</v>
      </c>
      <c r="F1596" t="s">
        <v>5184</v>
      </c>
      <c r="G1596" s="9">
        <v>45018</v>
      </c>
      <c r="H1596" s="9">
        <v>45738</v>
      </c>
      <c r="I1596">
        <v>23</v>
      </c>
      <c r="J1596" t="s">
        <v>32</v>
      </c>
      <c r="K1596">
        <v>1</v>
      </c>
      <c r="L1596">
        <v>8</v>
      </c>
      <c r="M1596" s="11">
        <v>16640.650000000001</v>
      </c>
      <c r="N1596" s="12">
        <v>13024.76</v>
      </c>
      <c r="O1596" s="12">
        <v>590.91</v>
      </c>
    </row>
    <row r="1597" spans="1:15">
      <c r="A1597" t="s">
        <v>1771</v>
      </c>
      <c r="B1597" t="s">
        <v>223</v>
      </c>
      <c r="C1597" s="9">
        <v>37256</v>
      </c>
      <c r="D1597">
        <v>24</v>
      </c>
      <c r="E1597" t="s">
        <v>21</v>
      </c>
      <c r="F1597" t="s">
        <v>25</v>
      </c>
      <c r="G1597" s="9">
        <v>45621</v>
      </c>
      <c r="H1597" s="9">
        <v>45509</v>
      </c>
      <c r="I1597">
        <v>1</v>
      </c>
      <c r="J1597" t="s">
        <v>32</v>
      </c>
      <c r="K1597">
        <v>1</v>
      </c>
      <c r="L1597">
        <v>2</v>
      </c>
      <c r="M1597" s="11">
        <v>29807.5</v>
      </c>
      <c r="N1597" s="12">
        <v>8764.9699999999993</v>
      </c>
      <c r="O1597" s="12">
        <v>15098.53</v>
      </c>
    </row>
    <row r="1598" spans="1:15">
      <c r="A1598" t="s">
        <v>1772</v>
      </c>
      <c r="B1598" t="s">
        <v>286</v>
      </c>
      <c r="C1598" s="9">
        <v>20455</v>
      </c>
      <c r="D1598">
        <v>70</v>
      </c>
      <c r="E1598" t="s">
        <v>17</v>
      </c>
      <c r="F1598" t="s">
        <v>74</v>
      </c>
      <c r="G1598" s="9">
        <v>45311</v>
      </c>
      <c r="H1598" s="9">
        <v>45410</v>
      </c>
      <c r="I1598">
        <v>3</v>
      </c>
      <c r="J1598" t="s">
        <v>26</v>
      </c>
      <c r="K1598">
        <v>3</v>
      </c>
      <c r="L1598">
        <v>9</v>
      </c>
      <c r="M1598" s="11">
        <v>16980.72</v>
      </c>
      <c r="N1598" s="12">
        <v>8211.43</v>
      </c>
      <c r="O1598" s="12">
        <v>19792.91</v>
      </c>
    </row>
    <row r="1599" spans="1:15">
      <c r="A1599" t="s">
        <v>1773</v>
      </c>
      <c r="B1599" t="s">
        <v>328</v>
      </c>
      <c r="C1599" s="9">
        <v>27395</v>
      </c>
      <c r="D1599">
        <v>51</v>
      </c>
      <c r="E1599" t="s">
        <v>21</v>
      </c>
      <c r="F1599" t="s">
        <v>25</v>
      </c>
      <c r="G1599" s="9">
        <v>45131</v>
      </c>
      <c r="H1599" s="9">
        <v>45647</v>
      </c>
      <c r="I1599">
        <v>26</v>
      </c>
      <c r="J1599" t="s">
        <v>32</v>
      </c>
      <c r="K1599">
        <v>14</v>
      </c>
      <c r="L1599">
        <v>0</v>
      </c>
      <c r="M1599" s="11">
        <v>19519.47</v>
      </c>
      <c r="N1599" s="12">
        <v>8915.18</v>
      </c>
      <c r="O1599" s="12">
        <v>11827.55</v>
      </c>
    </row>
    <row r="1600" spans="1:15">
      <c r="A1600" t="s">
        <v>1774</v>
      </c>
      <c r="B1600" t="s">
        <v>166</v>
      </c>
      <c r="C1600" s="9">
        <v>44927</v>
      </c>
      <c r="D1600">
        <v>3</v>
      </c>
      <c r="E1600" t="s">
        <v>17</v>
      </c>
      <c r="F1600" t="s">
        <v>74</v>
      </c>
      <c r="G1600" s="9">
        <v>45289</v>
      </c>
      <c r="H1600" s="9">
        <v>45639</v>
      </c>
      <c r="I1600">
        <v>23</v>
      </c>
      <c r="J1600" t="s">
        <v>32</v>
      </c>
      <c r="K1600">
        <v>10</v>
      </c>
      <c r="L1600">
        <v>2</v>
      </c>
      <c r="M1600" s="11">
        <v>22362.01</v>
      </c>
      <c r="N1600" s="12">
        <v>3783.97</v>
      </c>
      <c r="O1600" s="12">
        <v>8436.32</v>
      </c>
    </row>
    <row r="1601" spans="1:15">
      <c r="A1601" t="s">
        <v>1775</v>
      </c>
      <c r="B1601" t="s">
        <v>119</v>
      </c>
      <c r="C1601" s="9">
        <v>24838</v>
      </c>
      <c r="D1601">
        <v>58</v>
      </c>
      <c r="E1601" t="s">
        <v>21</v>
      </c>
      <c r="F1601" t="s">
        <v>49</v>
      </c>
      <c r="G1601" s="9">
        <v>45633</v>
      </c>
      <c r="H1601" s="9">
        <v>44986</v>
      </c>
      <c r="I1601">
        <v>25</v>
      </c>
      <c r="J1601" t="s">
        <v>26</v>
      </c>
      <c r="K1601">
        <v>13</v>
      </c>
      <c r="L1601">
        <v>1</v>
      </c>
      <c r="M1601" s="11">
        <v>24564.57</v>
      </c>
      <c r="N1601" s="12">
        <v>11421.71</v>
      </c>
      <c r="O1601" s="12">
        <v>9017.5300000000007</v>
      </c>
    </row>
    <row r="1602" spans="1:15">
      <c r="A1602" t="s">
        <v>1776</v>
      </c>
      <c r="B1602" t="s">
        <v>151</v>
      </c>
      <c r="C1602" s="9">
        <v>20090</v>
      </c>
      <c r="D1602">
        <v>71</v>
      </c>
      <c r="E1602" t="s">
        <v>21</v>
      </c>
      <c r="F1602" t="s">
        <v>5184</v>
      </c>
      <c r="G1602" s="9">
        <v>45424</v>
      </c>
      <c r="H1602" s="9">
        <v>45698</v>
      </c>
      <c r="I1602">
        <v>4</v>
      </c>
      <c r="J1602" t="s">
        <v>32</v>
      </c>
      <c r="K1602">
        <v>1</v>
      </c>
      <c r="L1602">
        <v>8</v>
      </c>
      <c r="M1602" s="11">
        <v>14065.69</v>
      </c>
      <c r="N1602" s="12">
        <v>7447.98</v>
      </c>
      <c r="O1602" s="12">
        <v>13557.56</v>
      </c>
    </row>
    <row r="1603" spans="1:15">
      <c r="A1603" t="s">
        <v>1777</v>
      </c>
      <c r="B1603" t="s">
        <v>356</v>
      </c>
      <c r="C1603" s="9">
        <v>39083</v>
      </c>
      <c r="D1603">
        <v>19</v>
      </c>
      <c r="E1603" t="s">
        <v>17</v>
      </c>
      <c r="F1603" t="s">
        <v>25</v>
      </c>
      <c r="G1603" s="9">
        <v>45463</v>
      </c>
      <c r="H1603" s="9">
        <v>45316</v>
      </c>
      <c r="I1603">
        <v>31</v>
      </c>
      <c r="J1603" t="s">
        <v>32</v>
      </c>
      <c r="K1603">
        <v>4</v>
      </c>
      <c r="L1603">
        <v>0</v>
      </c>
      <c r="M1603" s="11">
        <v>20197.11</v>
      </c>
      <c r="N1603" s="12">
        <v>638.94000000000005</v>
      </c>
      <c r="O1603" s="12">
        <v>11356.11</v>
      </c>
    </row>
    <row r="1604" spans="1:15">
      <c r="A1604" t="s">
        <v>1778</v>
      </c>
      <c r="B1604" t="s">
        <v>170</v>
      </c>
      <c r="C1604" s="9">
        <f>DATE(2026-D1564,1,1)</f>
        <v>28491</v>
      </c>
      <c r="D1604">
        <v>92</v>
      </c>
      <c r="E1604" t="s">
        <v>21</v>
      </c>
      <c r="F1604" t="s">
        <v>18</v>
      </c>
      <c r="G1604" s="9">
        <v>45160</v>
      </c>
      <c r="H1604" s="9">
        <v>45780</v>
      </c>
      <c r="I1604">
        <v>7</v>
      </c>
      <c r="J1604" t="s">
        <v>26</v>
      </c>
      <c r="K1604">
        <v>13</v>
      </c>
      <c r="L1604">
        <v>1</v>
      </c>
      <c r="M1604" s="11">
        <v>18253.93</v>
      </c>
      <c r="N1604" s="12">
        <v>2657.37</v>
      </c>
      <c r="O1604" s="12">
        <v>15730.16</v>
      </c>
    </row>
    <row r="1605" spans="1:15">
      <c r="A1605" t="s">
        <v>1779</v>
      </c>
      <c r="B1605" t="s">
        <v>159</v>
      </c>
      <c r="C1605" s="9">
        <v>23377</v>
      </c>
      <c r="D1605">
        <v>62</v>
      </c>
      <c r="E1605" t="s">
        <v>17</v>
      </c>
      <c r="F1605" t="s">
        <v>74</v>
      </c>
      <c r="G1605" s="9">
        <v>44942</v>
      </c>
      <c r="H1605" s="9">
        <v>45278</v>
      </c>
      <c r="I1605">
        <v>38</v>
      </c>
      <c r="J1605" t="s">
        <v>32</v>
      </c>
      <c r="K1605">
        <v>1</v>
      </c>
      <c r="L1605">
        <v>0</v>
      </c>
      <c r="M1605" s="11">
        <v>11916.15</v>
      </c>
      <c r="N1605" s="12">
        <v>12249.36</v>
      </c>
      <c r="O1605" s="12">
        <v>8374.91</v>
      </c>
    </row>
    <row r="1606" spans="1:15">
      <c r="A1606" t="s">
        <v>1780</v>
      </c>
      <c r="B1606" t="s">
        <v>28</v>
      </c>
      <c r="C1606" s="9">
        <v>26664</v>
      </c>
      <c r="D1606">
        <v>53</v>
      </c>
      <c r="E1606" t="s">
        <v>21</v>
      </c>
      <c r="F1606" t="s">
        <v>25</v>
      </c>
      <c r="G1606" s="9">
        <v>45067</v>
      </c>
      <c r="H1606" s="9">
        <v>45773</v>
      </c>
      <c r="I1606">
        <v>37</v>
      </c>
      <c r="J1606" t="s">
        <v>26</v>
      </c>
      <c r="K1606">
        <v>1</v>
      </c>
      <c r="L1606">
        <v>8</v>
      </c>
      <c r="M1606" s="11">
        <v>24534.33</v>
      </c>
      <c r="N1606" s="12">
        <v>5175.67</v>
      </c>
      <c r="O1606" s="12">
        <v>8288.23</v>
      </c>
    </row>
    <row r="1607" spans="1:15">
      <c r="A1607" t="s">
        <v>1781</v>
      </c>
      <c r="B1607" t="s">
        <v>119</v>
      </c>
      <c r="C1607" s="9">
        <v>19359</v>
      </c>
      <c r="D1607">
        <v>73</v>
      </c>
      <c r="E1607" t="s">
        <v>17</v>
      </c>
      <c r="F1607" t="s">
        <v>5184</v>
      </c>
      <c r="G1607" s="9">
        <v>45546</v>
      </c>
      <c r="H1607" s="9">
        <v>45796</v>
      </c>
      <c r="I1607">
        <v>19</v>
      </c>
      <c r="J1607" t="s">
        <v>32</v>
      </c>
      <c r="K1607">
        <v>7</v>
      </c>
      <c r="L1607">
        <v>6</v>
      </c>
      <c r="M1607" s="11">
        <v>5369.68</v>
      </c>
      <c r="N1607" s="12">
        <v>11601.66</v>
      </c>
      <c r="O1607" s="12">
        <v>14893.9</v>
      </c>
    </row>
    <row r="1608" spans="1:15">
      <c r="A1608" t="s">
        <v>1782</v>
      </c>
      <c r="B1608" t="s">
        <v>105</v>
      </c>
      <c r="C1608" s="9">
        <v>25568</v>
      </c>
      <c r="D1608">
        <v>56</v>
      </c>
      <c r="E1608" t="s">
        <v>17</v>
      </c>
      <c r="F1608" t="s">
        <v>18</v>
      </c>
      <c r="G1608" s="9">
        <v>45346</v>
      </c>
      <c r="H1608" s="9">
        <v>45266</v>
      </c>
      <c r="I1608">
        <v>24</v>
      </c>
      <c r="J1608" t="s">
        <v>32</v>
      </c>
      <c r="K1608">
        <v>3</v>
      </c>
      <c r="L1608">
        <v>0</v>
      </c>
      <c r="M1608" s="11">
        <v>4597.49</v>
      </c>
      <c r="N1608" s="12">
        <v>9950.65</v>
      </c>
      <c r="O1608" s="12">
        <v>12874.93</v>
      </c>
    </row>
    <row r="1609" spans="1:15">
      <c r="A1609" t="s">
        <v>1783</v>
      </c>
      <c r="B1609" t="s">
        <v>427</v>
      </c>
      <c r="C1609" s="9">
        <v>13515</v>
      </c>
      <c r="D1609">
        <v>89</v>
      </c>
      <c r="E1609" t="s">
        <v>17</v>
      </c>
      <c r="F1609" t="s">
        <v>5184</v>
      </c>
      <c r="G1609" s="9">
        <v>45382</v>
      </c>
      <c r="H1609" s="9">
        <v>45604</v>
      </c>
      <c r="I1609">
        <v>36</v>
      </c>
      <c r="J1609" t="s">
        <v>35</v>
      </c>
      <c r="K1609">
        <v>11</v>
      </c>
      <c r="L1609">
        <v>9</v>
      </c>
      <c r="M1609" s="11">
        <v>0</v>
      </c>
      <c r="N1609" s="12">
        <v>4521.8999999999996</v>
      </c>
      <c r="O1609" s="12">
        <v>15539.77</v>
      </c>
    </row>
    <row r="1610" spans="1:15">
      <c r="A1610" t="s">
        <v>1784</v>
      </c>
      <c r="B1610" t="s">
        <v>59</v>
      </c>
      <c r="C1610" s="9">
        <v>31412</v>
      </c>
      <c r="D1610">
        <v>40</v>
      </c>
      <c r="E1610" t="s">
        <v>21</v>
      </c>
      <c r="F1610" t="s">
        <v>29</v>
      </c>
      <c r="G1610" s="9">
        <v>45226</v>
      </c>
      <c r="H1610" s="9">
        <v>45684</v>
      </c>
      <c r="I1610">
        <v>19</v>
      </c>
      <c r="J1610" t="s">
        <v>32</v>
      </c>
      <c r="K1610">
        <v>13</v>
      </c>
      <c r="L1610">
        <v>5</v>
      </c>
      <c r="M1610" s="11">
        <v>18943.3</v>
      </c>
      <c r="N1610" s="12">
        <v>1905.53</v>
      </c>
      <c r="O1610" s="12">
        <v>17731.990000000002</v>
      </c>
    </row>
    <row r="1611" spans="1:15">
      <c r="A1611" t="s">
        <v>1785</v>
      </c>
      <c r="B1611" t="s">
        <v>87</v>
      </c>
      <c r="C1611" s="9">
        <v>45292</v>
      </c>
      <c r="D1611">
        <v>2</v>
      </c>
      <c r="E1611" t="s">
        <v>21</v>
      </c>
      <c r="F1611" t="s">
        <v>22</v>
      </c>
      <c r="G1611" s="9">
        <v>45265</v>
      </c>
      <c r="H1611" s="9">
        <v>45523</v>
      </c>
      <c r="I1611">
        <v>16</v>
      </c>
      <c r="J1611" t="s">
        <v>32</v>
      </c>
      <c r="K1611">
        <v>14</v>
      </c>
      <c r="L1611">
        <v>4</v>
      </c>
      <c r="M1611" s="11">
        <v>9188.64</v>
      </c>
      <c r="N1611" s="12">
        <v>12104.18</v>
      </c>
      <c r="O1611" s="12">
        <v>5194.46</v>
      </c>
    </row>
    <row r="1612" spans="1:15">
      <c r="A1612" t="s">
        <v>1786</v>
      </c>
      <c r="B1612" t="s">
        <v>201</v>
      </c>
      <c r="C1612" s="9">
        <v>44196</v>
      </c>
      <c r="D1612">
        <v>5</v>
      </c>
      <c r="E1612" t="s">
        <v>21</v>
      </c>
      <c r="F1612" t="s">
        <v>49</v>
      </c>
      <c r="G1612" s="9">
        <v>45229</v>
      </c>
      <c r="H1612" s="9">
        <v>45363</v>
      </c>
      <c r="I1612">
        <v>33</v>
      </c>
      <c r="J1612" t="s">
        <v>32</v>
      </c>
      <c r="K1612">
        <v>11</v>
      </c>
      <c r="L1612">
        <v>9</v>
      </c>
      <c r="M1612" s="11">
        <v>18871.46</v>
      </c>
      <c r="N1612" s="12">
        <v>9646.31</v>
      </c>
      <c r="O1612" s="12">
        <v>6232.22</v>
      </c>
    </row>
    <row r="1613" spans="1:15">
      <c r="A1613" t="s">
        <v>1787</v>
      </c>
      <c r="B1613" t="s">
        <v>84</v>
      </c>
      <c r="C1613" s="9">
        <v>44561</v>
      </c>
      <c r="D1613">
        <v>4</v>
      </c>
      <c r="E1613" t="s">
        <v>17</v>
      </c>
      <c r="F1613" t="s">
        <v>5184</v>
      </c>
      <c r="G1613" s="9">
        <v>45518</v>
      </c>
      <c r="H1613" s="9">
        <v>45377</v>
      </c>
      <c r="I1613">
        <v>6</v>
      </c>
      <c r="J1613" t="s">
        <v>35</v>
      </c>
      <c r="K1613">
        <v>0</v>
      </c>
      <c r="L1613">
        <v>4</v>
      </c>
      <c r="M1613" s="11">
        <v>23004.74</v>
      </c>
      <c r="N1613" s="12">
        <v>4511.96</v>
      </c>
      <c r="O1613" s="12">
        <v>10491.71</v>
      </c>
    </row>
    <row r="1614" spans="1:15">
      <c r="A1614" t="s">
        <v>1788</v>
      </c>
      <c r="B1614" t="s">
        <v>84</v>
      </c>
      <c r="C1614" s="9">
        <v>44561</v>
      </c>
      <c r="D1614">
        <v>4</v>
      </c>
      <c r="E1614" t="s">
        <v>17</v>
      </c>
      <c r="F1614" t="s">
        <v>49</v>
      </c>
      <c r="G1614" s="9">
        <v>45002</v>
      </c>
      <c r="H1614" s="9">
        <v>45304</v>
      </c>
      <c r="I1614">
        <v>16</v>
      </c>
      <c r="J1614" t="s">
        <v>26</v>
      </c>
      <c r="K1614">
        <v>0</v>
      </c>
      <c r="L1614">
        <v>3</v>
      </c>
      <c r="M1614" s="11">
        <v>6117.47</v>
      </c>
      <c r="N1614" s="12">
        <v>7849.12</v>
      </c>
      <c r="O1614" s="12">
        <v>18602.099999999999</v>
      </c>
    </row>
    <row r="1615" spans="1:15">
      <c r="A1615" t="s">
        <v>1789</v>
      </c>
      <c r="B1615" t="s">
        <v>95</v>
      </c>
      <c r="C1615" s="9">
        <v>26664</v>
      </c>
      <c r="D1615">
        <v>53</v>
      </c>
      <c r="E1615" t="s">
        <v>21</v>
      </c>
      <c r="F1615" t="s">
        <v>5184</v>
      </c>
      <c r="G1615" s="9">
        <v>45550</v>
      </c>
      <c r="H1615" s="9">
        <v>45318</v>
      </c>
      <c r="I1615">
        <v>1</v>
      </c>
      <c r="J1615" t="s">
        <v>35</v>
      </c>
      <c r="K1615">
        <v>9</v>
      </c>
      <c r="L1615">
        <v>2</v>
      </c>
      <c r="M1615" s="11">
        <v>17232.52</v>
      </c>
      <c r="N1615" s="12">
        <v>9178.5499999999993</v>
      </c>
      <c r="O1615" s="12">
        <v>16677.23</v>
      </c>
    </row>
    <row r="1616" spans="1:15">
      <c r="A1616" t="s">
        <v>1790</v>
      </c>
      <c r="B1616" t="s">
        <v>223</v>
      </c>
      <c r="C1616" s="9">
        <v>29221</v>
      </c>
      <c r="D1616">
        <v>46</v>
      </c>
      <c r="E1616" t="s">
        <v>21</v>
      </c>
      <c r="F1616" t="s">
        <v>29</v>
      </c>
      <c r="G1616" s="9">
        <v>45242</v>
      </c>
      <c r="H1616" s="9">
        <v>45408</v>
      </c>
      <c r="I1616">
        <v>25</v>
      </c>
      <c r="J1616" t="s">
        <v>35</v>
      </c>
      <c r="K1616">
        <v>12</v>
      </c>
      <c r="L1616">
        <v>7</v>
      </c>
      <c r="M1616" s="11">
        <v>24652.31</v>
      </c>
      <c r="N1616" s="12">
        <v>31.78</v>
      </c>
      <c r="O1616" s="12">
        <v>9315.76</v>
      </c>
    </row>
    <row r="1617" spans="1:15">
      <c r="A1617" t="s">
        <v>1791</v>
      </c>
      <c r="B1617" t="s">
        <v>59</v>
      </c>
      <c r="C1617" s="9">
        <v>14611</v>
      </c>
      <c r="D1617">
        <v>86</v>
      </c>
      <c r="E1617" t="s">
        <v>17</v>
      </c>
      <c r="F1617" t="s">
        <v>5184</v>
      </c>
      <c r="G1617" s="9">
        <v>45426</v>
      </c>
      <c r="H1617" s="9">
        <v>45748</v>
      </c>
      <c r="I1617">
        <v>36</v>
      </c>
      <c r="J1617" t="s">
        <v>26</v>
      </c>
      <c r="K1617">
        <v>7</v>
      </c>
      <c r="L1617">
        <v>6</v>
      </c>
      <c r="M1617" s="11">
        <v>12042.78</v>
      </c>
      <c r="N1617" s="12">
        <v>10057.700000000001</v>
      </c>
      <c r="O1617" s="12">
        <v>11419.69</v>
      </c>
    </row>
    <row r="1618" spans="1:15">
      <c r="A1618" t="s">
        <v>1792</v>
      </c>
      <c r="B1618" t="s">
        <v>379</v>
      </c>
      <c r="C1618" s="9">
        <v>28490</v>
      </c>
      <c r="D1618">
        <v>48</v>
      </c>
      <c r="E1618" t="s">
        <v>21</v>
      </c>
      <c r="F1618" t="s">
        <v>5184</v>
      </c>
      <c r="G1618" s="9">
        <v>45001</v>
      </c>
      <c r="H1618" s="9">
        <v>45041</v>
      </c>
      <c r="I1618">
        <v>19</v>
      </c>
      <c r="J1618" t="s">
        <v>35</v>
      </c>
      <c r="K1618">
        <v>10</v>
      </c>
      <c r="L1618">
        <v>4</v>
      </c>
      <c r="M1618" s="11">
        <v>0</v>
      </c>
      <c r="N1618" s="12">
        <v>9841.17</v>
      </c>
      <c r="O1618" s="12">
        <v>14217.43</v>
      </c>
    </row>
    <row r="1619" spans="1:15">
      <c r="A1619" t="s">
        <v>1793</v>
      </c>
      <c r="B1619" t="s">
        <v>108</v>
      </c>
      <c r="C1619" s="9">
        <v>43100</v>
      </c>
      <c r="D1619">
        <v>8</v>
      </c>
      <c r="E1619" t="s">
        <v>21</v>
      </c>
      <c r="F1619" t="s">
        <v>25</v>
      </c>
      <c r="G1619" s="9">
        <v>45652</v>
      </c>
      <c r="H1619" s="9">
        <v>45673</v>
      </c>
      <c r="I1619">
        <v>3</v>
      </c>
      <c r="J1619" t="s">
        <v>32</v>
      </c>
      <c r="K1619">
        <v>14</v>
      </c>
      <c r="L1619">
        <v>8</v>
      </c>
      <c r="M1619" s="11">
        <v>1895.34</v>
      </c>
      <c r="N1619" s="12">
        <v>1238.68</v>
      </c>
      <c r="O1619" s="12">
        <v>10405.870000000001</v>
      </c>
    </row>
    <row r="1620" spans="1:15">
      <c r="A1620" t="s">
        <v>1794</v>
      </c>
      <c r="B1620" t="s">
        <v>469</v>
      </c>
      <c r="C1620" s="9">
        <v>39083</v>
      </c>
      <c r="D1620">
        <v>19</v>
      </c>
      <c r="E1620" t="s">
        <v>21</v>
      </c>
      <c r="F1620" t="s">
        <v>22</v>
      </c>
      <c r="G1620" s="9">
        <v>45292</v>
      </c>
      <c r="H1620" s="9">
        <v>45701</v>
      </c>
      <c r="I1620">
        <v>4</v>
      </c>
      <c r="J1620" t="s">
        <v>32</v>
      </c>
      <c r="K1620">
        <v>1</v>
      </c>
      <c r="L1620">
        <v>6</v>
      </c>
      <c r="M1620" s="11">
        <v>24829.3</v>
      </c>
      <c r="N1620" s="12">
        <v>11816.3</v>
      </c>
      <c r="O1620" s="12">
        <v>1878.82</v>
      </c>
    </row>
    <row r="1621" spans="1:15">
      <c r="A1621" t="s">
        <v>1795</v>
      </c>
      <c r="B1621" t="s">
        <v>71</v>
      </c>
      <c r="C1621" s="9">
        <v>24107</v>
      </c>
      <c r="D1621">
        <v>60</v>
      </c>
      <c r="E1621" t="s">
        <v>17</v>
      </c>
      <c r="F1621" t="s">
        <v>29</v>
      </c>
      <c r="G1621" s="9">
        <v>45472</v>
      </c>
      <c r="H1621" s="9">
        <v>45099</v>
      </c>
      <c r="I1621">
        <v>3</v>
      </c>
      <c r="J1621" t="s">
        <v>35</v>
      </c>
      <c r="K1621">
        <v>8</v>
      </c>
      <c r="L1621">
        <v>9</v>
      </c>
      <c r="M1621" s="11">
        <v>0</v>
      </c>
      <c r="N1621" s="12">
        <v>12376.33</v>
      </c>
      <c r="O1621" s="12">
        <v>6990.01</v>
      </c>
    </row>
    <row r="1622" spans="1:15">
      <c r="A1622" t="s">
        <v>1796</v>
      </c>
      <c r="B1622" t="s">
        <v>103</v>
      </c>
      <c r="C1622" s="9">
        <v>33604</v>
      </c>
      <c r="D1622">
        <v>34</v>
      </c>
      <c r="E1622" t="s">
        <v>17</v>
      </c>
      <c r="F1622" t="s">
        <v>18</v>
      </c>
      <c r="G1622" s="9">
        <v>45579</v>
      </c>
      <c r="H1622" s="9">
        <v>44945</v>
      </c>
      <c r="I1622">
        <v>30</v>
      </c>
      <c r="J1622" t="s">
        <v>32</v>
      </c>
      <c r="K1622">
        <v>1</v>
      </c>
      <c r="L1622">
        <v>1</v>
      </c>
      <c r="M1622" s="11">
        <v>13415.76</v>
      </c>
      <c r="N1622" s="12">
        <v>4352.4399999999996</v>
      </c>
      <c r="O1622" s="12">
        <v>857.01</v>
      </c>
    </row>
    <row r="1623" spans="1:15">
      <c r="A1623" t="s">
        <v>1797</v>
      </c>
      <c r="B1623" t="s">
        <v>135</v>
      </c>
      <c r="C1623" s="9">
        <v>28125</v>
      </c>
      <c r="D1623">
        <v>49</v>
      </c>
      <c r="E1623" t="s">
        <v>5185</v>
      </c>
      <c r="F1623" t="s">
        <v>22</v>
      </c>
      <c r="G1623" s="9">
        <v>45604</v>
      </c>
      <c r="H1623" s="9">
        <v>45162</v>
      </c>
      <c r="I1623">
        <v>11</v>
      </c>
      <c r="J1623" t="s">
        <v>32</v>
      </c>
      <c r="K1623">
        <v>10</v>
      </c>
      <c r="L1623">
        <v>6</v>
      </c>
      <c r="M1623" s="11">
        <v>3137.08</v>
      </c>
      <c r="N1623" s="12">
        <v>2433.19</v>
      </c>
      <c r="O1623" s="12">
        <v>13364.29</v>
      </c>
    </row>
    <row r="1624" spans="1:15">
      <c r="A1624" t="s">
        <v>1798</v>
      </c>
      <c r="B1624" t="s">
        <v>211</v>
      </c>
      <c r="C1624" s="9">
        <v>16437</v>
      </c>
      <c r="D1624">
        <v>81</v>
      </c>
      <c r="E1624" t="s">
        <v>21</v>
      </c>
      <c r="F1624" t="s">
        <v>74</v>
      </c>
      <c r="G1624" s="9">
        <v>45322</v>
      </c>
      <c r="H1624" s="9">
        <v>45237</v>
      </c>
      <c r="I1624">
        <v>2</v>
      </c>
      <c r="J1624" t="s">
        <v>26</v>
      </c>
      <c r="K1624">
        <v>11</v>
      </c>
      <c r="L1624">
        <v>6</v>
      </c>
      <c r="M1624" s="11">
        <v>19642.16</v>
      </c>
      <c r="N1624" s="12">
        <v>10297.219999999999</v>
      </c>
      <c r="O1624" s="12">
        <v>6676.19</v>
      </c>
    </row>
    <row r="1625" spans="1:15">
      <c r="A1625" t="s">
        <v>1799</v>
      </c>
      <c r="B1625" t="s">
        <v>89</v>
      </c>
      <c r="C1625" s="9">
        <v>23742</v>
      </c>
      <c r="D1625">
        <v>61</v>
      </c>
      <c r="E1625" t="s">
        <v>17</v>
      </c>
      <c r="F1625" t="s">
        <v>25</v>
      </c>
      <c r="G1625" s="9">
        <v>45157</v>
      </c>
      <c r="H1625" s="9">
        <v>45822</v>
      </c>
      <c r="I1625">
        <v>22</v>
      </c>
      <c r="J1625" t="s">
        <v>35</v>
      </c>
      <c r="K1625">
        <v>11</v>
      </c>
      <c r="L1625">
        <v>3</v>
      </c>
      <c r="M1625" s="11">
        <v>16975.89</v>
      </c>
      <c r="N1625" s="12">
        <v>1850.25</v>
      </c>
      <c r="O1625" s="12">
        <v>14741.09</v>
      </c>
    </row>
    <row r="1626" spans="1:15">
      <c r="A1626" t="s">
        <v>1800</v>
      </c>
      <c r="B1626" t="s">
        <v>244</v>
      </c>
      <c r="C1626" s="9">
        <f>DATE(2026-D1586,1,1)</f>
        <v>24108</v>
      </c>
      <c r="D1626">
        <v>16</v>
      </c>
      <c r="E1626" t="s">
        <v>17</v>
      </c>
      <c r="F1626" t="s">
        <v>22</v>
      </c>
      <c r="G1626" s="9">
        <v>44954</v>
      </c>
      <c r="H1626" s="9">
        <v>45596</v>
      </c>
      <c r="I1626">
        <v>3</v>
      </c>
      <c r="J1626" t="s">
        <v>26</v>
      </c>
      <c r="K1626">
        <v>8</v>
      </c>
      <c r="L1626">
        <v>7</v>
      </c>
      <c r="M1626" s="11">
        <v>27544.14</v>
      </c>
      <c r="N1626" s="12">
        <v>12870.64</v>
      </c>
      <c r="O1626" s="12">
        <v>8537.17</v>
      </c>
    </row>
    <row r="1627" spans="1:15">
      <c r="A1627" t="s">
        <v>1801</v>
      </c>
      <c r="B1627" t="s">
        <v>105</v>
      </c>
      <c r="C1627" s="9">
        <v>14246</v>
      </c>
      <c r="D1627">
        <v>87</v>
      </c>
      <c r="E1627" t="s">
        <v>21</v>
      </c>
      <c r="F1627" t="s">
        <v>74</v>
      </c>
      <c r="G1627" s="9">
        <v>45401</v>
      </c>
      <c r="H1627" s="9">
        <v>45650</v>
      </c>
      <c r="I1627">
        <v>25</v>
      </c>
      <c r="J1627" t="s">
        <v>26</v>
      </c>
      <c r="K1627">
        <v>9</v>
      </c>
      <c r="L1627">
        <v>3</v>
      </c>
      <c r="M1627" s="11">
        <v>8034.16</v>
      </c>
      <c r="N1627" s="12">
        <v>7201.94</v>
      </c>
      <c r="O1627" s="12">
        <v>816.33</v>
      </c>
    </row>
    <row r="1628" spans="1:15">
      <c r="A1628" t="s">
        <v>1802</v>
      </c>
      <c r="B1628" t="s">
        <v>166</v>
      </c>
      <c r="C1628" s="9">
        <v>45292</v>
      </c>
      <c r="D1628">
        <v>2</v>
      </c>
      <c r="E1628" t="s">
        <v>17</v>
      </c>
      <c r="F1628" t="s">
        <v>29</v>
      </c>
      <c r="G1628" s="9">
        <v>45221</v>
      </c>
      <c r="H1628" s="9">
        <v>45208</v>
      </c>
      <c r="I1628">
        <v>15</v>
      </c>
      <c r="J1628" t="s">
        <v>32</v>
      </c>
      <c r="K1628">
        <v>5</v>
      </c>
      <c r="L1628">
        <v>6</v>
      </c>
      <c r="M1628" s="11">
        <v>485.96</v>
      </c>
      <c r="N1628" s="12">
        <v>13647.13</v>
      </c>
      <c r="O1628" s="12">
        <v>7530.28</v>
      </c>
    </row>
    <row r="1629" spans="1:15">
      <c r="A1629" t="s">
        <v>1803</v>
      </c>
      <c r="B1629" t="s">
        <v>196</v>
      </c>
      <c r="C1629" s="9">
        <v>34700</v>
      </c>
      <c r="D1629">
        <v>31</v>
      </c>
      <c r="E1629" t="s">
        <v>21</v>
      </c>
      <c r="F1629" t="s">
        <v>5184</v>
      </c>
      <c r="G1629" s="9">
        <v>45353</v>
      </c>
      <c r="H1629" s="9">
        <v>45758</v>
      </c>
      <c r="I1629">
        <v>24</v>
      </c>
      <c r="J1629" t="s">
        <v>32</v>
      </c>
      <c r="K1629">
        <v>12</v>
      </c>
      <c r="L1629">
        <v>3</v>
      </c>
      <c r="M1629" s="11">
        <v>7269.56</v>
      </c>
      <c r="N1629" s="12">
        <v>9632.5400000000009</v>
      </c>
      <c r="O1629" s="12">
        <v>4295.76</v>
      </c>
    </row>
    <row r="1630" spans="1:15">
      <c r="A1630" t="s">
        <v>1804</v>
      </c>
      <c r="B1630" t="s">
        <v>108</v>
      </c>
      <c r="C1630" s="9">
        <v>41639</v>
      </c>
      <c r="D1630">
        <v>12</v>
      </c>
      <c r="E1630" t="s">
        <v>21</v>
      </c>
      <c r="F1630" t="s">
        <v>49</v>
      </c>
      <c r="G1630" s="9">
        <v>45017</v>
      </c>
      <c r="H1630" s="9">
        <v>45123</v>
      </c>
      <c r="I1630">
        <v>1</v>
      </c>
      <c r="J1630" t="s">
        <v>32</v>
      </c>
      <c r="K1630">
        <v>1</v>
      </c>
      <c r="L1630">
        <v>7</v>
      </c>
      <c r="M1630" s="11">
        <v>12551.16</v>
      </c>
      <c r="N1630" s="12">
        <v>4276.38</v>
      </c>
      <c r="O1630" s="12">
        <v>4207.24</v>
      </c>
    </row>
    <row r="1631" spans="1:15">
      <c r="A1631" t="s">
        <v>1805</v>
      </c>
      <c r="B1631" t="s">
        <v>226</v>
      </c>
      <c r="C1631" s="9">
        <v>13880</v>
      </c>
      <c r="D1631">
        <v>88</v>
      </c>
      <c r="E1631" t="s">
        <v>21</v>
      </c>
      <c r="F1631" t="s">
        <v>22</v>
      </c>
      <c r="G1631" s="9">
        <v>45041</v>
      </c>
      <c r="H1631" s="9">
        <v>45042</v>
      </c>
      <c r="I1631">
        <v>37</v>
      </c>
      <c r="J1631" t="s">
        <v>26</v>
      </c>
      <c r="K1631">
        <v>0</v>
      </c>
      <c r="L1631">
        <v>2</v>
      </c>
      <c r="M1631" s="11">
        <v>4241.0600000000004</v>
      </c>
      <c r="N1631" s="12">
        <v>7020.57</v>
      </c>
      <c r="O1631" s="12">
        <v>7489.96</v>
      </c>
    </row>
    <row r="1632" spans="1:15">
      <c r="A1632" t="s">
        <v>1806</v>
      </c>
      <c r="B1632" t="s">
        <v>422</v>
      </c>
      <c r="C1632" s="9">
        <v>19724</v>
      </c>
      <c r="D1632">
        <v>72</v>
      </c>
      <c r="E1632" t="s">
        <v>21</v>
      </c>
      <c r="F1632" t="s">
        <v>22</v>
      </c>
      <c r="G1632" s="9">
        <v>45085</v>
      </c>
      <c r="H1632" s="9">
        <v>45324</v>
      </c>
      <c r="I1632">
        <v>18</v>
      </c>
      <c r="J1632" t="s">
        <v>35</v>
      </c>
      <c r="K1632">
        <v>12</v>
      </c>
      <c r="L1632">
        <v>1</v>
      </c>
      <c r="M1632" s="11">
        <v>29381.919999999998</v>
      </c>
      <c r="N1632" s="12">
        <v>7940.21</v>
      </c>
      <c r="O1632" s="12">
        <v>19564.36</v>
      </c>
    </row>
    <row r="1633" spans="1:15">
      <c r="A1633" t="s">
        <v>1807</v>
      </c>
      <c r="B1633" t="s">
        <v>129</v>
      </c>
      <c r="C1633" s="9">
        <v>21551</v>
      </c>
      <c r="D1633">
        <v>67</v>
      </c>
      <c r="E1633" t="s">
        <v>17</v>
      </c>
      <c r="F1633" t="s">
        <v>74</v>
      </c>
      <c r="G1633" s="9">
        <v>45184</v>
      </c>
      <c r="H1633" s="9">
        <v>45599</v>
      </c>
      <c r="I1633">
        <v>20</v>
      </c>
      <c r="J1633" t="s">
        <v>32</v>
      </c>
      <c r="K1633">
        <v>4</v>
      </c>
      <c r="L1633">
        <v>9</v>
      </c>
      <c r="M1633" s="11">
        <v>6282.93</v>
      </c>
      <c r="N1633" s="12">
        <v>12227.38</v>
      </c>
      <c r="O1633" s="12">
        <v>19197.39</v>
      </c>
    </row>
    <row r="1634" spans="1:15">
      <c r="A1634" t="s">
        <v>1808</v>
      </c>
      <c r="B1634" t="s">
        <v>89</v>
      </c>
      <c r="C1634" s="9">
        <v>41274</v>
      </c>
      <c r="D1634">
        <v>13</v>
      </c>
      <c r="E1634" t="s">
        <v>21</v>
      </c>
      <c r="F1634" t="s">
        <v>74</v>
      </c>
      <c r="G1634" s="9">
        <v>45299</v>
      </c>
      <c r="H1634" s="9">
        <v>45594</v>
      </c>
      <c r="I1634">
        <v>1</v>
      </c>
      <c r="J1634" t="s">
        <v>32</v>
      </c>
      <c r="K1634">
        <v>7</v>
      </c>
      <c r="L1634">
        <v>5</v>
      </c>
      <c r="M1634" s="11">
        <v>20174.759999999998</v>
      </c>
      <c r="N1634" s="12">
        <v>12927.83</v>
      </c>
      <c r="O1634" s="12">
        <v>16049.43</v>
      </c>
    </row>
    <row r="1635" spans="1:15">
      <c r="A1635" t="s">
        <v>1809</v>
      </c>
      <c r="B1635" t="s">
        <v>240</v>
      </c>
      <c r="C1635" s="9">
        <v>42370</v>
      </c>
      <c r="D1635">
        <v>10</v>
      </c>
      <c r="E1635" t="s">
        <v>21</v>
      </c>
      <c r="F1635" t="s">
        <v>49</v>
      </c>
      <c r="G1635" s="9">
        <v>45016</v>
      </c>
      <c r="H1635" s="9">
        <v>45490</v>
      </c>
      <c r="I1635">
        <v>13</v>
      </c>
      <c r="J1635" t="s">
        <v>35</v>
      </c>
      <c r="K1635">
        <v>10</v>
      </c>
      <c r="L1635">
        <v>6</v>
      </c>
      <c r="M1635" s="11">
        <v>13350.44</v>
      </c>
      <c r="N1635" s="12">
        <v>10245.18</v>
      </c>
      <c r="O1635" s="12">
        <v>4833.8900000000003</v>
      </c>
    </row>
    <row r="1636" spans="1:15">
      <c r="A1636" t="s">
        <v>1810</v>
      </c>
      <c r="B1636" t="s">
        <v>93</v>
      </c>
      <c r="C1636" s="9">
        <v>25934</v>
      </c>
      <c r="D1636">
        <v>55</v>
      </c>
      <c r="E1636" t="s">
        <v>21</v>
      </c>
      <c r="F1636" t="s">
        <v>74</v>
      </c>
      <c r="G1636" s="9">
        <v>45224</v>
      </c>
      <c r="H1636" s="9">
        <v>45345</v>
      </c>
      <c r="I1636">
        <v>1</v>
      </c>
      <c r="J1636" t="s">
        <v>35</v>
      </c>
      <c r="K1636">
        <v>7</v>
      </c>
      <c r="L1636">
        <v>6</v>
      </c>
      <c r="M1636" s="11">
        <v>16432.009999999998</v>
      </c>
      <c r="N1636" s="12">
        <v>4412.97</v>
      </c>
      <c r="O1636" s="12">
        <v>15254.97</v>
      </c>
    </row>
    <row r="1637" spans="1:15">
      <c r="A1637" t="s">
        <v>1811</v>
      </c>
      <c r="B1637" t="s">
        <v>20</v>
      </c>
      <c r="C1637" s="9">
        <v>21916</v>
      </c>
      <c r="D1637">
        <v>66</v>
      </c>
      <c r="E1637" t="s">
        <v>17</v>
      </c>
      <c r="F1637" t="s">
        <v>74</v>
      </c>
      <c r="G1637" s="9">
        <v>44957</v>
      </c>
      <c r="H1637" s="9">
        <v>45211</v>
      </c>
      <c r="I1637">
        <v>31</v>
      </c>
      <c r="J1637" t="s">
        <v>32</v>
      </c>
      <c r="K1637">
        <v>10</v>
      </c>
      <c r="L1637">
        <v>5</v>
      </c>
      <c r="M1637" s="11">
        <v>27946.74</v>
      </c>
      <c r="N1637" s="12">
        <v>7928.53</v>
      </c>
      <c r="O1637" s="12">
        <v>208.81</v>
      </c>
    </row>
    <row r="1638" spans="1:15">
      <c r="A1638" t="s">
        <v>1812</v>
      </c>
      <c r="B1638" t="s">
        <v>302</v>
      </c>
      <c r="C1638" s="9">
        <v>12785</v>
      </c>
      <c r="D1638">
        <f ca="1">DATEDIF(C1589,TODAY(),"Y")</f>
        <v>38</v>
      </c>
      <c r="E1638" t="s">
        <v>17</v>
      </c>
      <c r="F1638" t="s">
        <v>22</v>
      </c>
      <c r="G1638" s="9">
        <v>45284</v>
      </c>
      <c r="H1638" s="9">
        <v>45512</v>
      </c>
      <c r="I1638">
        <v>2</v>
      </c>
      <c r="J1638" t="s">
        <v>26</v>
      </c>
      <c r="K1638">
        <v>6</v>
      </c>
      <c r="L1638">
        <v>7</v>
      </c>
      <c r="M1638" s="11">
        <v>15712.39</v>
      </c>
      <c r="N1638" s="12">
        <v>1959.33</v>
      </c>
      <c r="O1638" s="12">
        <v>1032.6199999999999</v>
      </c>
    </row>
    <row r="1639" spans="1:15">
      <c r="A1639" t="s">
        <v>1813</v>
      </c>
      <c r="B1639" t="s">
        <v>237</v>
      </c>
      <c r="C1639" s="9">
        <v>35795</v>
      </c>
      <c r="D1639">
        <v>28</v>
      </c>
      <c r="E1639" t="s">
        <v>17</v>
      </c>
      <c r="F1639" t="s">
        <v>49</v>
      </c>
      <c r="G1639" s="9">
        <v>45396</v>
      </c>
      <c r="H1639" s="9">
        <v>45255</v>
      </c>
      <c r="I1639">
        <v>31</v>
      </c>
      <c r="J1639" t="s">
        <v>32</v>
      </c>
      <c r="K1639">
        <v>12</v>
      </c>
      <c r="L1639">
        <v>5</v>
      </c>
      <c r="M1639" s="11">
        <v>8809.41</v>
      </c>
      <c r="N1639" s="12">
        <v>3451.64</v>
      </c>
      <c r="O1639" s="12">
        <v>16698.23</v>
      </c>
    </row>
    <row r="1640" spans="1:15">
      <c r="A1640" t="s">
        <v>1814</v>
      </c>
      <c r="B1640" t="s">
        <v>302</v>
      </c>
      <c r="C1640" s="9">
        <v>43100</v>
      </c>
      <c r="D1640">
        <v>8</v>
      </c>
      <c r="E1640" t="s">
        <v>17</v>
      </c>
      <c r="F1640" t="s">
        <v>49</v>
      </c>
      <c r="G1640" s="9">
        <v>45054</v>
      </c>
      <c r="H1640" s="9">
        <v>45268</v>
      </c>
      <c r="I1640">
        <v>19</v>
      </c>
      <c r="J1640" t="s">
        <v>32</v>
      </c>
      <c r="K1640">
        <v>1</v>
      </c>
      <c r="L1640">
        <v>5</v>
      </c>
      <c r="M1640" s="11">
        <v>6234.84</v>
      </c>
      <c r="N1640" s="12">
        <v>4545.88</v>
      </c>
      <c r="O1640" s="12">
        <v>11241.16</v>
      </c>
    </row>
    <row r="1641" spans="1:15">
      <c r="A1641" t="s">
        <v>1815</v>
      </c>
      <c r="B1641" t="s">
        <v>196</v>
      </c>
      <c r="C1641" s="9">
        <v>21916</v>
      </c>
      <c r="D1641">
        <v>66</v>
      </c>
      <c r="E1641" t="s">
        <v>21</v>
      </c>
      <c r="F1641" t="s">
        <v>5184</v>
      </c>
      <c r="G1641" s="9">
        <v>45196</v>
      </c>
      <c r="H1641" s="9">
        <v>45549</v>
      </c>
      <c r="I1641">
        <v>17</v>
      </c>
      <c r="J1641" t="s">
        <v>32</v>
      </c>
      <c r="K1641">
        <v>0</v>
      </c>
      <c r="L1641">
        <v>2</v>
      </c>
      <c r="M1641" s="11">
        <v>26705.78</v>
      </c>
      <c r="N1641" s="12">
        <v>1091.4000000000001</v>
      </c>
      <c r="O1641" s="12">
        <v>7403.48</v>
      </c>
    </row>
    <row r="1642" spans="1:15">
      <c r="A1642" t="s">
        <v>1816</v>
      </c>
      <c r="B1642" t="s">
        <v>37</v>
      </c>
      <c r="C1642" s="9">
        <v>37256</v>
      </c>
      <c r="D1642">
        <v>24</v>
      </c>
      <c r="E1642" t="s">
        <v>21</v>
      </c>
      <c r="F1642" t="s">
        <v>22</v>
      </c>
      <c r="G1642" s="9">
        <v>45424</v>
      </c>
      <c r="H1642" s="9">
        <v>45725</v>
      </c>
      <c r="I1642">
        <v>36</v>
      </c>
      <c r="J1642" t="s">
        <v>26</v>
      </c>
      <c r="K1642">
        <v>1</v>
      </c>
      <c r="L1642">
        <v>1</v>
      </c>
      <c r="M1642" s="11">
        <v>29595.11</v>
      </c>
      <c r="N1642" s="12">
        <v>13274.83</v>
      </c>
      <c r="O1642" s="12">
        <v>14783.21</v>
      </c>
    </row>
    <row r="1643" spans="1:15">
      <c r="A1643" t="s">
        <v>1817</v>
      </c>
      <c r="B1643" t="s">
        <v>44</v>
      </c>
      <c r="C1643" s="9">
        <v>18629</v>
      </c>
      <c r="D1643">
        <v>75</v>
      </c>
      <c r="E1643" t="s">
        <v>17</v>
      </c>
      <c r="F1643" t="s">
        <v>5184</v>
      </c>
      <c r="G1643" s="9">
        <v>45339</v>
      </c>
      <c r="H1643" s="9">
        <v>45148</v>
      </c>
      <c r="I1643">
        <v>10</v>
      </c>
      <c r="J1643" t="s">
        <v>35</v>
      </c>
      <c r="K1643">
        <v>9</v>
      </c>
      <c r="L1643">
        <v>6</v>
      </c>
      <c r="M1643" s="11">
        <v>7180.88</v>
      </c>
      <c r="N1643" s="12">
        <v>1839.66</v>
      </c>
      <c r="O1643" s="12">
        <v>2198.6999999999998</v>
      </c>
    </row>
    <row r="1644" spans="1:15">
      <c r="A1644" t="s">
        <v>1818</v>
      </c>
      <c r="B1644" t="s">
        <v>61</v>
      </c>
      <c r="C1644" s="9">
        <v>31047</v>
      </c>
      <c r="D1644">
        <v>41</v>
      </c>
      <c r="E1644" t="s">
        <v>21</v>
      </c>
      <c r="F1644" t="s">
        <v>29</v>
      </c>
      <c r="G1644" s="9">
        <v>45135</v>
      </c>
      <c r="H1644" s="9">
        <v>44936</v>
      </c>
      <c r="I1644">
        <v>31</v>
      </c>
      <c r="J1644" t="s">
        <v>35</v>
      </c>
      <c r="K1644">
        <v>9</v>
      </c>
      <c r="L1644">
        <v>5</v>
      </c>
      <c r="M1644" s="11">
        <v>21518.98</v>
      </c>
      <c r="N1644" s="12">
        <v>10452.58</v>
      </c>
      <c r="O1644" s="12">
        <v>5662.4</v>
      </c>
    </row>
    <row r="1645" spans="1:15">
      <c r="A1645" t="s">
        <v>1819</v>
      </c>
      <c r="B1645" t="s">
        <v>95</v>
      </c>
      <c r="C1645" s="9">
        <v>43100</v>
      </c>
      <c r="D1645">
        <v>8</v>
      </c>
      <c r="E1645" t="s">
        <v>21</v>
      </c>
      <c r="F1645" t="s">
        <v>29</v>
      </c>
      <c r="G1645" s="9">
        <v>45616</v>
      </c>
      <c r="H1645" s="9">
        <v>45009</v>
      </c>
      <c r="I1645">
        <v>3</v>
      </c>
      <c r="J1645" t="s">
        <v>35</v>
      </c>
      <c r="K1645">
        <v>7</v>
      </c>
      <c r="L1645">
        <v>0</v>
      </c>
      <c r="M1645" s="11">
        <v>14925.45</v>
      </c>
      <c r="N1645" s="12">
        <v>7584.93</v>
      </c>
      <c r="O1645" s="12">
        <v>14524.93</v>
      </c>
    </row>
    <row r="1646" spans="1:15">
      <c r="A1646" t="s">
        <v>1820</v>
      </c>
      <c r="B1646" t="s">
        <v>302</v>
      </c>
      <c r="C1646" s="9">
        <v>17533</v>
      </c>
      <c r="D1646">
        <v>78</v>
      </c>
      <c r="E1646" t="s">
        <v>17</v>
      </c>
      <c r="F1646" t="s">
        <v>22</v>
      </c>
      <c r="G1646" s="9">
        <v>45232</v>
      </c>
      <c r="H1646" s="9">
        <v>45759</v>
      </c>
      <c r="I1646">
        <v>26</v>
      </c>
      <c r="J1646" t="s">
        <v>26</v>
      </c>
      <c r="K1646">
        <v>11</v>
      </c>
      <c r="L1646">
        <v>1</v>
      </c>
      <c r="M1646" s="11">
        <v>0</v>
      </c>
      <c r="N1646" s="12">
        <v>12476.52</v>
      </c>
      <c r="O1646" s="12">
        <v>4064.09</v>
      </c>
    </row>
    <row r="1647" spans="1:15">
      <c r="A1647" t="s">
        <v>1821</v>
      </c>
      <c r="B1647" t="s">
        <v>422</v>
      </c>
      <c r="C1647" s="9">
        <v>31778</v>
      </c>
      <c r="D1647">
        <v>39</v>
      </c>
      <c r="E1647" t="s">
        <v>21</v>
      </c>
      <c r="F1647" t="s">
        <v>74</v>
      </c>
      <c r="G1647" s="9">
        <v>45117</v>
      </c>
      <c r="H1647" s="9">
        <v>45221</v>
      </c>
      <c r="I1647">
        <v>30</v>
      </c>
      <c r="J1647" t="s">
        <v>26</v>
      </c>
      <c r="K1647">
        <v>12</v>
      </c>
      <c r="L1647">
        <v>1</v>
      </c>
      <c r="M1647" s="11">
        <v>28908.54</v>
      </c>
      <c r="N1647" s="12">
        <v>11115.54</v>
      </c>
      <c r="O1647" s="12">
        <v>11972.92</v>
      </c>
    </row>
    <row r="1648" spans="1:15">
      <c r="A1648" t="s">
        <v>1822</v>
      </c>
      <c r="B1648" t="s">
        <v>240</v>
      </c>
      <c r="C1648" s="9">
        <v>37256</v>
      </c>
      <c r="D1648">
        <v>24</v>
      </c>
      <c r="E1648" t="s">
        <v>21</v>
      </c>
      <c r="F1648" t="s">
        <v>25</v>
      </c>
      <c r="G1648" s="9">
        <v>45283</v>
      </c>
      <c r="H1648" s="9">
        <v>45302</v>
      </c>
      <c r="I1648">
        <v>2</v>
      </c>
      <c r="J1648" t="s">
        <v>35</v>
      </c>
      <c r="K1648">
        <v>3</v>
      </c>
      <c r="L1648">
        <v>0</v>
      </c>
      <c r="M1648" s="11">
        <v>7920.65</v>
      </c>
      <c r="N1648" s="12">
        <v>11396.07</v>
      </c>
      <c r="O1648" s="12">
        <v>8898.0300000000007</v>
      </c>
    </row>
    <row r="1649" spans="1:15">
      <c r="A1649" t="s">
        <v>1823</v>
      </c>
      <c r="B1649" t="s">
        <v>479</v>
      </c>
      <c r="C1649" s="9">
        <v>44561</v>
      </c>
      <c r="D1649">
        <v>4</v>
      </c>
      <c r="E1649" t="s">
        <v>21</v>
      </c>
      <c r="F1649" t="s">
        <v>29</v>
      </c>
      <c r="G1649" s="9">
        <v>45383</v>
      </c>
      <c r="H1649" s="9">
        <v>45461</v>
      </c>
      <c r="I1649">
        <v>4</v>
      </c>
      <c r="J1649" t="s">
        <v>32</v>
      </c>
      <c r="K1649">
        <v>10</v>
      </c>
      <c r="L1649">
        <v>2</v>
      </c>
      <c r="M1649" s="11">
        <v>22068.35</v>
      </c>
      <c r="N1649" s="12">
        <v>6275.19</v>
      </c>
      <c r="O1649" s="12">
        <v>3967.51</v>
      </c>
    </row>
    <row r="1650" spans="1:15">
      <c r="A1650" t="s">
        <v>1824</v>
      </c>
      <c r="B1650" t="s">
        <v>166</v>
      </c>
      <c r="C1650" s="9">
        <v>42370</v>
      </c>
      <c r="D1650">
        <v>10</v>
      </c>
      <c r="E1650" t="s">
        <v>21</v>
      </c>
      <c r="F1650" t="s">
        <v>29</v>
      </c>
      <c r="G1650" s="9">
        <v>45375</v>
      </c>
      <c r="H1650" s="9">
        <v>45342</v>
      </c>
      <c r="I1650">
        <v>19</v>
      </c>
      <c r="J1650" t="s">
        <v>32</v>
      </c>
      <c r="K1650">
        <v>14</v>
      </c>
      <c r="L1650">
        <v>4</v>
      </c>
      <c r="M1650" s="11">
        <v>12857.38</v>
      </c>
      <c r="N1650" s="12">
        <v>12509.64</v>
      </c>
      <c r="O1650" s="12">
        <v>17756.490000000002</v>
      </c>
    </row>
    <row r="1651" spans="1:15">
      <c r="A1651" t="s">
        <v>1825</v>
      </c>
      <c r="B1651" t="s">
        <v>93</v>
      </c>
      <c r="C1651" s="9">
        <v>24838</v>
      </c>
      <c r="D1651">
        <v>58</v>
      </c>
      <c r="E1651" t="s">
        <v>17</v>
      </c>
      <c r="F1651" t="s">
        <v>22</v>
      </c>
      <c r="G1651" s="9">
        <v>44994</v>
      </c>
      <c r="H1651" s="9">
        <v>45026</v>
      </c>
      <c r="I1651">
        <v>29</v>
      </c>
      <c r="J1651" t="s">
        <v>35</v>
      </c>
      <c r="K1651">
        <v>1</v>
      </c>
      <c r="L1651">
        <v>3</v>
      </c>
      <c r="M1651" s="11">
        <v>19402.29</v>
      </c>
      <c r="N1651" s="12">
        <v>1421.13</v>
      </c>
      <c r="O1651" s="12">
        <v>8654.1</v>
      </c>
    </row>
    <row r="1652" spans="1:15">
      <c r="A1652" t="s">
        <v>1826</v>
      </c>
      <c r="B1652" t="s">
        <v>422</v>
      </c>
      <c r="C1652" s="9">
        <v>14246</v>
      </c>
      <c r="D1652">
        <v>87</v>
      </c>
      <c r="E1652" t="s">
        <v>17</v>
      </c>
      <c r="F1652" t="s">
        <v>5184</v>
      </c>
      <c r="G1652" s="9">
        <v>45393</v>
      </c>
      <c r="H1652" s="9">
        <v>45609</v>
      </c>
      <c r="I1652">
        <v>11</v>
      </c>
      <c r="J1652" t="s">
        <v>32</v>
      </c>
      <c r="K1652">
        <v>8</v>
      </c>
      <c r="L1652">
        <v>1</v>
      </c>
      <c r="M1652" s="11">
        <v>11902.88</v>
      </c>
      <c r="N1652" s="12">
        <v>6666.29</v>
      </c>
      <c r="O1652" s="12">
        <v>11936.68</v>
      </c>
    </row>
    <row r="1653" spans="1:15">
      <c r="A1653" t="s">
        <v>1827</v>
      </c>
      <c r="B1653" t="s">
        <v>55</v>
      </c>
      <c r="C1653" s="9">
        <v>17533</v>
      </c>
      <c r="D1653">
        <v>78</v>
      </c>
      <c r="E1653" t="s">
        <v>17</v>
      </c>
      <c r="F1653" t="s">
        <v>22</v>
      </c>
      <c r="G1653" s="9">
        <v>45286</v>
      </c>
      <c r="H1653" s="9">
        <v>45629</v>
      </c>
      <c r="I1653">
        <v>21</v>
      </c>
      <c r="J1653" t="s">
        <v>32</v>
      </c>
      <c r="K1653">
        <v>8</v>
      </c>
      <c r="L1653">
        <v>7</v>
      </c>
      <c r="M1653" s="11">
        <v>21104.25</v>
      </c>
      <c r="N1653" s="12">
        <v>14919.21</v>
      </c>
      <c r="O1653" s="12">
        <v>4986.0600000000004</v>
      </c>
    </row>
    <row r="1654" spans="1:15">
      <c r="A1654" t="s">
        <v>1828</v>
      </c>
      <c r="B1654" t="s">
        <v>615</v>
      </c>
      <c r="C1654" s="9">
        <v>32508</v>
      </c>
      <c r="D1654">
        <v>37</v>
      </c>
      <c r="E1654" t="s">
        <v>17</v>
      </c>
      <c r="F1654" t="s">
        <v>25</v>
      </c>
      <c r="G1654" s="9">
        <v>45313</v>
      </c>
      <c r="H1654" s="9">
        <v>45545</v>
      </c>
      <c r="I1654">
        <v>16</v>
      </c>
      <c r="J1654" t="s">
        <v>35</v>
      </c>
      <c r="K1654">
        <v>9</v>
      </c>
      <c r="L1654">
        <v>8</v>
      </c>
      <c r="M1654" s="11">
        <v>9793.7999999999993</v>
      </c>
      <c r="N1654" s="12">
        <v>14221.72</v>
      </c>
      <c r="O1654" s="12">
        <v>6870.78</v>
      </c>
    </row>
    <row r="1655" spans="1:15">
      <c r="A1655" t="s">
        <v>1829</v>
      </c>
      <c r="B1655" t="s">
        <v>215</v>
      </c>
      <c r="C1655" s="9">
        <v>20090</v>
      </c>
      <c r="D1655">
        <v>71</v>
      </c>
      <c r="E1655" t="s">
        <v>21</v>
      </c>
      <c r="F1655" t="s">
        <v>25</v>
      </c>
      <c r="G1655" s="9">
        <v>45054</v>
      </c>
      <c r="H1655" s="9">
        <v>45759</v>
      </c>
      <c r="I1655">
        <v>24</v>
      </c>
      <c r="J1655" t="s">
        <v>35</v>
      </c>
      <c r="K1655">
        <v>3</v>
      </c>
      <c r="L1655">
        <v>7</v>
      </c>
      <c r="M1655" s="11">
        <v>14394.83</v>
      </c>
      <c r="N1655" s="12">
        <v>1233.19</v>
      </c>
      <c r="O1655" s="12">
        <v>884.58</v>
      </c>
    </row>
    <row r="1656" spans="1:15">
      <c r="A1656" t="s">
        <v>1830</v>
      </c>
      <c r="B1656" t="s">
        <v>55</v>
      </c>
      <c r="C1656" s="9">
        <v>44561</v>
      </c>
      <c r="D1656">
        <v>4</v>
      </c>
      <c r="E1656" t="s">
        <v>21</v>
      </c>
      <c r="F1656" t="s">
        <v>49</v>
      </c>
      <c r="G1656" s="9">
        <v>45411</v>
      </c>
      <c r="H1656" s="9">
        <v>45704</v>
      </c>
      <c r="I1656">
        <v>20</v>
      </c>
      <c r="J1656" t="s">
        <v>26</v>
      </c>
      <c r="K1656">
        <v>12</v>
      </c>
      <c r="L1656">
        <v>6</v>
      </c>
      <c r="M1656" s="11">
        <v>0</v>
      </c>
      <c r="N1656" s="12">
        <v>8594.7800000000007</v>
      </c>
      <c r="O1656" s="12">
        <v>9612.61</v>
      </c>
    </row>
    <row r="1657" spans="1:15">
      <c r="A1657" t="s">
        <v>1831</v>
      </c>
      <c r="B1657" t="s">
        <v>139</v>
      </c>
      <c r="C1657" s="9">
        <v>28856</v>
      </c>
      <c r="D1657">
        <v>47</v>
      </c>
      <c r="E1657" t="s">
        <v>21</v>
      </c>
      <c r="F1657" t="s">
        <v>22</v>
      </c>
      <c r="G1657" s="9">
        <v>45170</v>
      </c>
      <c r="H1657" s="9">
        <v>45309</v>
      </c>
      <c r="I1657">
        <v>18</v>
      </c>
      <c r="J1657" t="s">
        <v>32</v>
      </c>
      <c r="K1657">
        <v>9</v>
      </c>
      <c r="L1657">
        <v>9</v>
      </c>
      <c r="M1657" s="11">
        <v>802.56</v>
      </c>
      <c r="N1657" s="12">
        <v>4734.76</v>
      </c>
      <c r="O1657" s="12">
        <v>6831.41</v>
      </c>
    </row>
    <row r="1658" spans="1:15">
      <c r="A1658" t="s">
        <v>1832</v>
      </c>
      <c r="B1658" t="s">
        <v>89</v>
      </c>
      <c r="C1658" s="9">
        <f>DATE(2026-D1618,1,1)</f>
        <v>28491</v>
      </c>
      <c r="D1658">
        <v>89</v>
      </c>
      <c r="E1658" t="s">
        <v>21</v>
      </c>
      <c r="F1658" t="s">
        <v>29</v>
      </c>
      <c r="G1658" s="9">
        <v>44945</v>
      </c>
      <c r="H1658" s="9">
        <v>45790</v>
      </c>
      <c r="I1658">
        <v>26</v>
      </c>
      <c r="J1658" t="s">
        <v>32</v>
      </c>
      <c r="K1658">
        <v>13</v>
      </c>
      <c r="L1658">
        <v>1</v>
      </c>
      <c r="M1658" s="11">
        <v>9506.73</v>
      </c>
      <c r="N1658" s="12">
        <v>10927.09</v>
      </c>
      <c r="O1658" s="12">
        <v>6521.02</v>
      </c>
    </row>
    <row r="1659" spans="1:15">
      <c r="A1659" t="s">
        <v>1833</v>
      </c>
      <c r="B1659" t="s">
        <v>207</v>
      </c>
      <c r="C1659" s="9">
        <v>39813</v>
      </c>
      <c r="D1659">
        <v>17</v>
      </c>
      <c r="E1659" t="s">
        <v>5185</v>
      </c>
      <c r="F1659" t="s">
        <v>5184</v>
      </c>
      <c r="G1659" s="9">
        <v>45322</v>
      </c>
      <c r="H1659" s="9">
        <v>45431</v>
      </c>
      <c r="I1659">
        <v>2</v>
      </c>
      <c r="J1659" t="s">
        <v>35</v>
      </c>
      <c r="K1659">
        <v>10</v>
      </c>
      <c r="L1659">
        <v>5</v>
      </c>
      <c r="M1659" s="11">
        <v>16158.63</v>
      </c>
      <c r="N1659" s="12">
        <v>11036.81</v>
      </c>
      <c r="O1659" s="12">
        <v>17787.86</v>
      </c>
    </row>
    <row r="1660" spans="1:15">
      <c r="A1660" t="s">
        <v>1834</v>
      </c>
      <c r="B1660" t="s">
        <v>39</v>
      </c>
      <c r="C1660" s="9">
        <v>20820</v>
      </c>
      <c r="D1660">
        <v>69</v>
      </c>
      <c r="E1660" t="s">
        <v>17</v>
      </c>
      <c r="F1660" t="s">
        <v>5184</v>
      </c>
      <c r="G1660" s="9">
        <v>45593</v>
      </c>
      <c r="H1660" s="9">
        <v>45374</v>
      </c>
      <c r="I1660">
        <v>28</v>
      </c>
      <c r="J1660" t="s">
        <v>32</v>
      </c>
      <c r="K1660">
        <v>1</v>
      </c>
      <c r="L1660">
        <v>3</v>
      </c>
      <c r="M1660" s="11">
        <v>1761.12</v>
      </c>
      <c r="N1660" s="12">
        <v>1.4</v>
      </c>
      <c r="O1660" s="12">
        <v>14047.78</v>
      </c>
    </row>
    <row r="1661" spans="1:15">
      <c r="A1661" t="s">
        <v>1835</v>
      </c>
      <c r="B1661" t="s">
        <v>487</v>
      </c>
      <c r="C1661" s="9">
        <f>DATE(2026-D1621,1,1)</f>
        <v>24108</v>
      </c>
      <c r="D1661">
        <v>36</v>
      </c>
      <c r="E1661" t="s">
        <v>21</v>
      </c>
      <c r="F1661" t="s">
        <v>18</v>
      </c>
      <c r="G1661" s="9">
        <v>45155</v>
      </c>
      <c r="H1661" s="9">
        <v>45607</v>
      </c>
      <c r="I1661">
        <v>24</v>
      </c>
      <c r="J1661" t="s">
        <v>35</v>
      </c>
      <c r="K1661">
        <v>7</v>
      </c>
      <c r="L1661">
        <v>4</v>
      </c>
      <c r="M1661" s="11">
        <v>20946.28</v>
      </c>
      <c r="N1661" s="12">
        <v>12687.29</v>
      </c>
      <c r="O1661" s="12">
        <v>9091.52</v>
      </c>
    </row>
    <row r="1662" spans="1:15">
      <c r="A1662" t="s">
        <v>1836</v>
      </c>
      <c r="B1662" t="s">
        <v>514</v>
      </c>
      <c r="C1662" s="9">
        <v>24473</v>
      </c>
      <c r="D1662">
        <v>59</v>
      </c>
      <c r="E1662" t="s">
        <v>21</v>
      </c>
      <c r="F1662" t="s">
        <v>18</v>
      </c>
      <c r="G1662" s="9">
        <v>45294</v>
      </c>
      <c r="H1662" s="9">
        <v>45271</v>
      </c>
      <c r="I1662">
        <v>33</v>
      </c>
      <c r="J1662" t="s">
        <v>26</v>
      </c>
      <c r="K1662">
        <v>11</v>
      </c>
      <c r="L1662">
        <v>8</v>
      </c>
      <c r="M1662" s="11">
        <v>24305.25</v>
      </c>
      <c r="N1662" s="12">
        <v>3353.74</v>
      </c>
      <c r="O1662" s="12">
        <v>3826.56</v>
      </c>
    </row>
    <row r="1663" spans="1:15">
      <c r="A1663" t="s">
        <v>1837</v>
      </c>
      <c r="B1663" t="s">
        <v>24</v>
      </c>
      <c r="C1663" s="9">
        <v>28856</v>
      </c>
      <c r="D1663">
        <v>47</v>
      </c>
      <c r="E1663" t="s">
        <v>21</v>
      </c>
      <c r="F1663" t="s">
        <v>74</v>
      </c>
      <c r="G1663" s="9">
        <v>44984</v>
      </c>
      <c r="H1663" s="9">
        <v>45352</v>
      </c>
      <c r="I1663">
        <v>24</v>
      </c>
      <c r="J1663" t="s">
        <v>32</v>
      </c>
      <c r="K1663">
        <v>1</v>
      </c>
      <c r="L1663">
        <v>8</v>
      </c>
      <c r="M1663" s="11">
        <v>4481.4799999999996</v>
      </c>
      <c r="N1663" s="12">
        <v>14488.6</v>
      </c>
      <c r="O1663" s="12">
        <v>19462.349999999999</v>
      </c>
    </row>
    <row r="1664" spans="1:15">
      <c r="A1664" t="s">
        <v>1838</v>
      </c>
      <c r="B1664" t="s">
        <v>615</v>
      </c>
      <c r="C1664" s="9">
        <v>18263</v>
      </c>
      <c r="D1664">
        <v>76</v>
      </c>
      <c r="E1664" t="s">
        <v>21</v>
      </c>
      <c r="F1664" t="s">
        <v>29</v>
      </c>
      <c r="G1664" s="9">
        <v>45207</v>
      </c>
      <c r="H1664" s="9">
        <v>45552</v>
      </c>
      <c r="I1664">
        <v>12</v>
      </c>
      <c r="J1664" t="s">
        <v>32</v>
      </c>
      <c r="K1664">
        <v>1</v>
      </c>
      <c r="L1664">
        <v>3</v>
      </c>
      <c r="M1664" s="11">
        <v>21870.62</v>
      </c>
      <c r="N1664" s="12">
        <v>13581.47</v>
      </c>
      <c r="O1664" s="12">
        <v>1402.78</v>
      </c>
    </row>
    <row r="1665" spans="1:15">
      <c r="A1665" t="s">
        <v>1839</v>
      </c>
      <c r="B1665" t="s">
        <v>336</v>
      </c>
      <c r="C1665" s="9">
        <v>36161</v>
      </c>
      <c r="D1665">
        <v>27</v>
      </c>
      <c r="E1665" t="s">
        <v>21</v>
      </c>
      <c r="F1665" t="s">
        <v>18</v>
      </c>
      <c r="G1665" s="9">
        <v>45483</v>
      </c>
      <c r="H1665" s="9">
        <v>45767</v>
      </c>
      <c r="I1665">
        <v>22</v>
      </c>
      <c r="J1665" t="s">
        <v>32</v>
      </c>
      <c r="K1665">
        <v>1</v>
      </c>
      <c r="L1665">
        <v>7</v>
      </c>
      <c r="M1665" s="11">
        <v>19209.099999999999</v>
      </c>
      <c r="N1665" s="12">
        <v>2859.89</v>
      </c>
      <c r="O1665" s="12">
        <v>2635.73</v>
      </c>
    </row>
    <row r="1666" spans="1:15">
      <c r="A1666" t="s">
        <v>1840</v>
      </c>
      <c r="B1666" t="s">
        <v>89</v>
      </c>
      <c r="C1666" s="9">
        <v>21185</v>
      </c>
      <c r="D1666">
        <v>68</v>
      </c>
      <c r="E1666" t="s">
        <v>17</v>
      </c>
      <c r="F1666" t="s">
        <v>5184</v>
      </c>
      <c r="G1666" s="9">
        <v>45028</v>
      </c>
      <c r="H1666" s="9">
        <v>45233</v>
      </c>
      <c r="I1666">
        <v>12</v>
      </c>
      <c r="J1666" t="s">
        <v>26</v>
      </c>
      <c r="K1666">
        <v>4</v>
      </c>
      <c r="L1666">
        <v>4</v>
      </c>
      <c r="M1666" s="11">
        <v>12031.79</v>
      </c>
      <c r="N1666" s="12">
        <v>9545.0300000000007</v>
      </c>
      <c r="O1666" s="12">
        <v>5333.46</v>
      </c>
    </row>
    <row r="1667" spans="1:15">
      <c r="A1667" t="s">
        <v>1841</v>
      </c>
      <c r="B1667" t="s">
        <v>237</v>
      </c>
      <c r="C1667" s="9">
        <v>18263</v>
      </c>
      <c r="D1667">
        <v>76</v>
      </c>
      <c r="E1667" t="s">
        <v>17</v>
      </c>
      <c r="F1667" t="s">
        <v>29</v>
      </c>
      <c r="G1667" s="9">
        <v>44974</v>
      </c>
      <c r="H1667" s="9">
        <v>45075</v>
      </c>
      <c r="I1667">
        <v>37</v>
      </c>
      <c r="J1667" t="s">
        <v>32</v>
      </c>
      <c r="K1667">
        <v>9</v>
      </c>
      <c r="L1667">
        <v>8</v>
      </c>
      <c r="M1667" s="11">
        <v>4532.1400000000003</v>
      </c>
      <c r="N1667" s="12">
        <v>4445.2700000000004</v>
      </c>
      <c r="O1667" s="12">
        <v>19086.02</v>
      </c>
    </row>
    <row r="1668" spans="1:15">
      <c r="A1668" t="s">
        <v>1842</v>
      </c>
      <c r="B1668" t="s">
        <v>289</v>
      </c>
      <c r="C1668" s="9">
        <v>16802</v>
      </c>
      <c r="D1668">
        <v>80</v>
      </c>
      <c r="E1668" t="s">
        <v>17</v>
      </c>
      <c r="F1668" t="s">
        <v>22</v>
      </c>
      <c r="G1668" s="9">
        <v>45488</v>
      </c>
      <c r="H1668" s="9">
        <v>45776</v>
      </c>
      <c r="I1668">
        <v>16</v>
      </c>
      <c r="J1668" t="s">
        <v>35</v>
      </c>
      <c r="K1668">
        <v>12</v>
      </c>
      <c r="L1668">
        <v>1</v>
      </c>
      <c r="M1668" s="11">
        <v>28623.79</v>
      </c>
      <c r="N1668" s="12">
        <v>1544.76</v>
      </c>
      <c r="O1668" s="12">
        <v>5505.53</v>
      </c>
    </row>
    <row r="1669" spans="1:15">
      <c r="A1669" t="s">
        <v>1843</v>
      </c>
      <c r="B1669" t="s">
        <v>348</v>
      </c>
      <c r="C1669" s="9">
        <v>31778</v>
      </c>
      <c r="D1669">
        <v>39</v>
      </c>
      <c r="E1669" t="s">
        <v>21</v>
      </c>
      <c r="F1669" t="s">
        <v>29</v>
      </c>
      <c r="G1669" s="9">
        <v>45519</v>
      </c>
      <c r="H1669" s="9">
        <v>45659</v>
      </c>
      <c r="I1669">
        <v>8</v>
      </c>
      <c r="J1669" t="s">
        <v>26</v>
      </c>
      <c r="K1669">
        <v>0</v>
      </c>
      <c r="L1669">
        <v>3</v>
      </c>
      <c r="M1669" s="11">
        <v>13652.33</v>
      </c>
      <c r="N1669" s="12">
        <v>13110.03</v>
      </c>
      <c r="O1669" s="12">
        <v>9777.67</v>
      </c>
    </row>
    <row r="1670" spans="1:15">
      <c r="A1670" t="s">
        <v>1844</v>
      </c>
      <c r="B1670" t="s">
        <v>372</v>
      </c>
      <c r="C1670" s="9">
        <v>29951</v>
      </c>
      <c r="D1670">
        <v>44</v>
      </c>
      <c r="E1670" t="s">
        <v>21</v>
      </c>
      <c r="F1670" t="s">
        <v>18</v>
      </c>
      <c r="G1670" s="9">
        <v>44985</v>
      </c>
      <c r="H1670" s="9">
        <v>45381</v>
      </c>
      <c r="I1670">
        <v>38</v>
      </c>
      <c r="J1670" t="s">
        <v>26</v>
      </c>
      <c r="K1670">
        <v>12</v>
      </c>
      <c r="L1670">
        <v>2</v>
      </c>
      <c r="M1670" s="11">
        <v>5101.13</v>
      </c>
      <c r="N1670" s="12">
        <v>2712.4</v>
      </c>
      <c r="O1670" s="12">
        <v>15199.41</v>
      </c>
    </row>
    <row r="1671" spans="1:15">
      <c r="A1671" t="s">
        <v>1845</v>
      </c>
      <c r="B1671" t="s">
        <v>168</v>
      </c>
      <c r="C1671" s="9">
        <v>23742</v>
      </c>
      <c r="D1671">
        <v>61</v>
      </c>
      <c r="E1671" t="s">
        <v>17</v>
      </c>
      <c r="F1671" t="s">
        <v>5184</v>
      </c>
      <c r="G1671" s="9">
        <v>45087</v>
      </c>
      <c r="H1671" s="9">
        <v>44960</v>
      </c>
      <c r="I1671">
        <v>30</v>
      </c>
      <c r="J1671" t="s">
        <v>32</v>
      </c>
      <c r="K1671">
        <v>14</v>
      </c>
      <c r="L1671">
        <v>6</v>
      </c>
      <c r="M1671" s="11">
        <v>21404.01</v>
      </c>
      <c r="N1671" s="12">
        <v>6314.51</v>
      </c>
      <c r="O1671" s="12">
        <v>18576.63</v>
      </c>
    </row>
    <row r="1672" spans="1:15">
      <c r="A1672" t="s">
        <v>1846</v>
      </c>
      <c r="B1672" t="s">
        <v>103</v>
      </c>
      <c r="C1672" s="9">
        <v>12419</v>
      </c>
      <c r="D1672">
        <v>92</v>
      </c>
      <c r="E1672" t="s">
        <v>17</v>
      </c>
      <c r="F1672" t="s">
        <v>29</v>
      </c>
      <c r="G1672" s="9">
        <v>45029</v>
      </c>
      <c r="H1672" s="9">
        <v>45659</v>
      </c>
      <c r="I1672">
        <v>38</v>
      </c>
      <c r="J1672" t="s">
        <v>32</v>
      </c>
      <c r="K1672">
        <v>1</v>
      </c>
      <c r="L1672">
        <v>1</v>
      </c>
      <c r="M1672" s="11">
        <v>18040.89</v>
      </c>
      <c r="N1672" s="12">
        <v>13862.84</v>
      </c>
      <c r="O1672" s="12">
        <v>12062.31</v>
      </c>
    </row>
    <row r="1673" spans="1:15">
      <c r="A1673" t="s">
        <v>1847</v>
      </c>
      <c r="B1673" t="s">
        <v>209</v>
      </c>
      <c r="C1673" s="9">
        <v>25203</v>
      </c>
      <c r="D1673">
        <v>57</v>
      </c>
      <c r="E1673" t="s">
        <v>17</v>
      </c>
      <c r="F1673" t="s">
        <v>25</v>
      </c>
      <c r="G1673" s="9">
        <v>45338</v>
      </c>
      <c r="H1673" s="9">
        <v>45428</v>
      </c>
      <c r="I1673">
        <v>20</v>
      </c>
      <c r="J1673" t="s">
        <v>26</v>
      </c>
      <c r="K1673">
        <v>6</v>
      </c>
      <c r="L1673">
        <v>2</v>
      </c>
      <c r="M1673" s="11">
        <v>24394.04</v>
      </c>
      <c r="N1673" s="12">
        <v>1130.32</v>
      </c>
      <c r="O1673" s="12">
        <v>7623.98</v>
      </c>
    </row>
    <row r="1674" spans="1:15">
      <c r="A1674" t="s">
        <v>1848</v>
      </c>
      <c r="B1674" t="s">
        <v>166</v>
      </c>
      <c r="C1674" s="9">
        <v>21916</v>
      </c>
      <c r="D1674">
        <v>66</v>
      </c>
      <c r="E1674" t="s">
        <v>17</v>
      </c>
      <c r="F1674" t="s">
        <v>74</v>
      </c>
      <c r="G1674" s="9">
        <v>45109</v>
      </c>
      <c r="H1674" s="9">
        <v>45246</v>
      </c>
      <c r="I1674">
        <v>9</v>
      </c>
      <c r="J1674" t="s">
        <v>32</v>
      </c>
      <c r="K1674">
        <v>9</v>
      </c>
      <c r="L1674">
        <v>8</v>
      </c>
      <c r="M1674" s="11">
        <v>29880.95</v>
      </c>
      <c r="N1674" s="12">
        <v>8258.77</v>
      </c>
      <c r="O1674" s="12">
        <v>19708.72</v>
      </c>
    </row>
    <row r="1675" spans="1:15">
      <c r="A1675" t="s">
        <v>1849</v>
      </c>
      <c r="B1675" t="s">
        <v>578</v>
      </c>
      <c r="C1675" s="9">
        <v>25934</v>
      </c>
      <c r="D1675">
        <v>55</v>
      </c>
      <c r="E1675" t="s">
        <v>17</v>
      </c>
      <c r="F1675" t="s">
        <v>49</v>
      </c>
      <c r="G1675" s="9">
        <v>45343</v>
      </c>
      <c r="H1675" s="9">
        <v>45624</v>
      </c>
      <c r="I1675">
        <v>1</v>
      </c>
      <c r="J1675" t="s">
        <v>32</v>
      </c>
      <c r="K1675">
        <v>14</v>
      </c>
      <c r="L1675">
        <v>7</v>
      </c>
      <c r="M1675" s="11">
        <v>868.45</v>
      </c>
      <c r="N1675" s="12">
        <v>8582.17</v>
      </c>
      <c r="O1675" s="12">
        <v>425.87</v>
      </c>
    </row>
    <row r="1676" spans="1:15">
      <c r="A1676" t="s">
        <v>1850</v>
      </c>
      <c r="B1676" t="s">
        <v>153</v>
      </c>
      <c r="C1676" s="9">
        <v>31778</v>
      </c>
      <c r="D1676">
        <v>39</v>
      </c>
      <c r="E1676" t="s">
        <v>17</v>
      </c>
      <c r="F1676" t="s">
        <v>5184</v>
      </c>
      <c r="G1676" s="9">
        <v>45042</v>
      </c>
      <c r="H1676" s="9">
        <v>45120</v>
      </c>
      <c r="I1676">
        <v>18</v>
      </c>
      <c r="J1676" t="s">
        <v>26</v>
      </c>
      <c r="K1676">
        <v>8</v>
      </c>
      <c r="L1676">
        <v>1</v>
      </c>
      <c r="M1676" s="11">
        <v>22049.13</v>
      </c>
      <c r="N1676" s="12">
        <v>11446</v>
      </c>
      <c r="O1676" s="12">
        <v>16626.68</v>
      </c>
    </row>
    <row r="1677" spans="1:15">
      <c r="A1677" t="s">
        <v>1851</v>
      </c>
      <c r="B1677" t="s">
        <v>469</v>
      </c>
      <c r="C1677" s="9">
        <v>31778</v>
      </c>
      <c r="D1677">
        <v>39</v>
      </c>
      <c r="E1677" t="s">
        <v>21</v>
      </c>
      <c r="F1677" t="s">
        <v>18</v>
      </c>
      <c r="G1677" s="9">
        <v>45325</v>
      </c>
      <c r="H1677" s="9">
        <v>45800</v>
      </c>
      <c r="I1677">
        <v>11</v>
      </c>
      <c r="J1677" t="s">
        <v>32</v>
      </c>
      <c r="K1677">
        <v>13</v>
      </c>
      <c r="L1677">
        <v>5</v>
      </c>
      <c r="M1677" s="11">
        <v>29668.49</v>
      </c>
      <c r="N1677" s="12">
        <v>12406.96</v>
      </c>
      <c r="O1677" s="12">
        <v>5476.34</v>
      </c>
    </row>
    <row r="1678" spans="1:15">
      <c r="A1678" t="s">
        <v>1852</v>
      </c>
      <c r="B1678" t="s">
        <v>149</v>
      </c>
      <c r="C1678" s="9">
        <v>13150</v>
      </c>
      <c r="D1678">
        <v>90</v>
      </c>
      <c r="E1678" t="s">
        <v>17</v>
      </c>
      <c r="F1678" t="s">
        <v>22</v>
      </c>
      <c r="G1678" s="9">
        <v>45602</v>
      </c>
      <c r="H1678" s="9">
        <v>45107</v>
      </c>
      <c r="I1678">
        <v>31</v>
      </c>
      <c r="J1678" t="s">
        <v>35</v>
      </c>
      <c r="K1678">
        <v>7</v>
      </c>
      <c r="L1678">
        <v>2</v>
      </c>
      <c r="M1678" s="11">
        <v>15916.06</v>
      </c>
      <c r="N1678" s="12">
        <v>6362.16</v>
      </c>
      <c r="O1678" s="12">
        <v>16330.78</v>
      </c>
    </row>
    <row r="1679" spans="1:15">
      <c r="A1679" t="s">
        <v>1853</v>
      </c>
      <c r="B1679" t="s">
        <v>57</v>
      </c>
      <c r="C1679" s="9">
        <v>18263</v>
      </c>
      <c r="D1679">
        <v>76</v>
      </c>
      <c r="E1679" t="s">
        <v>21</v>
      </c>
      <c r="F1679" t="s">
        <v>49</v>
      </c>
      <c r="G1679" s="9">
        <v>45581</v>
      </c>
      <c r="H1679" s="9">
        <v>45794</v>
      </c>
      <c r="I1679">
        <v>12</v>
      </c>
      <c r="J1679" t="s">
        <v>35</v>
      </c>
      <c r="K1679">
        <v>8</v>
      </c>
      <c r="L1679">
        <v>5</v>
      </c>
      <c r="M1679" s="11">
        <v>21328.91</v>
      </c>
      <c r="N1679" s="12">
        <v>11155.25</v>
      </c>
      <c r="O1679" s="12">
        <v>3159.55</v>
      </c>
    </row>
    <row r="1680" spans="1:15">
      <c r="A1680" t="s">
        <v>1854</v>
      </c>
      <c r="B1680" t="s">
        <v>196</v>
      </c>
      <c r="C1680" s="9">
        <v>34334</v>
      </c>
      <c r="D1680">
        <v>32</v>
      </c>
      <c r="E1680" t="s">
        <v>21</v>
      </c>
      <c r="F1680" t="s">
        <v>74</v>
      </c>
      <c r="G1680" s="9">
        <v>45363</v>
      </c>
      <c r="H1680" s="9">
        <v>45445</v>
      </c>
      <c r="I1680">
        <v>18</v>
      </c>
      <c r="J1680" t="s">
        <v>35</v>
      </c>
      <c r="K1680">
        <v>11</v>
      </c>
      <c r="L1680">
        <v>4</v>
      </c>
      <c r="M1680" s="11">
        <v>12953.87</v>
      </c>
      <c r="N1680" s="12">
        <v>13656.59</v>
      </c>
      <c r="O1680" s="12">
        <v>6871.05</v>
      </c>
    </row>
    <row r="1681" spans="1:15">
      <c r="A1681" t="s">
        <v>1855</v>
      </c>
      <c r="B1681" t="s">
        <v>39</v>
      </c>
      <c r="C1681" s="9">
        <v>44196</v>
      </c>
      <c r="D1681">
        <v>5</v>
      </c>
      <c r="E1681" t="s">
        <v>17</v>
      </c>
      <c r="F1681" t="s">
        <v>5184</v>
      </c>
      <c r="G1681" s="9">
        <v>45244</v>
      </c>
      <c r="H1681" s="9">
        <v>45318</v>
      </c>
      <c r="I1681">
        <v>20</v>
      </c>
      <c r="J1681" t="s">
        <v>32</v>
      </c>
      <c r="K1681">
        <v>10</v>
      </c>
      <c r="L1681">
        <v>9</v>
      </c>
      <c r="M1681" s="11">
        <v>10381.6</v>
      </c>
      <c r="N1681" s="12">
        <v>13293.99</v>
      </c>
      <c r="O1681" s="12">
        <v>1025.02</v>
      </c>
    </row>
    <row r="1682" spans="1:15">
      <c r="A1682" t="s">
        <v>1856</v>
      </c>
      <c r="B1682" t="s">
        <v>341</v>
      </c>
      <c r="C1682" s="9">
        <v>14246</v>
      </c>
      <c r="D1682">
        <v>87</v>
      </c>
      <c r="E1682" t="s">
        <v>21</v>
      </c>
      <c r="F1682" t="s">
        <v>5184</v>
      </c>
      <c r="G1682" s="9">
        <v>45532</v>
      </c>
      <c r="H1682" s="9">
        <v>45448</v>
      </c>
      <c r="I1682">
        <v>18</v>
      </c>
      <c r="J1682" t="s">
        <v>32</v>
      </c>
      <c r="K1682">
        <v>1</v>
      </c>
      <c r="L1682">
        <v>3</v>
      </c>
      <c r="M1682" s="11">
        <v>20741.97</v>
      </c>
      <c r="N1682" s="12">
        <v>7527.29</v>
      </c>
      <c r="O1682" s="12">
        <v>3912.41</v>
      </c>
    </row>
    <row r="1683" spans="1:15">
      <c r="A1683" t="s">
        <v>1857</v>
      </c>
      <c r="B1683" t="s">
        <v>39</v>
      </c>
      <c r="C1683" s="9">
        <v>39448</v>
      </c>
      <c r="D1683">
        <v>18</v>
      </c>
      <c r="E1683" t="s">
        <v>21</v>
      </c>
      <c r="F1683" t="s">
        <v>25</v>
      </c>
      <c r="G1683" s="9">
        <v>45176</v>
      </c>
      <c r="H1683" s="9">
        <v>45284</v>
      </c>
      <c r="I1683">
        <v>11</v>
      </c>
      <c r="J1683" t="s">
        <v>32</v>
      </c>
      <c r="K1683">
        <v>1</v>
      </c>
      <c r="L1683">
        <v>6</v>
      </c>
      <c r="M1683" s="11">
        <v>29636.73</v>
      </c>
      <c r="N1683" s="12">
        <v>9105.44</v>
      </c>
      <c r="O1683" s="12">
        <v>12016.13</v>
      </c>
    </row>
    <row r="1684" spans="1:15">
      <c r="A1684" t="s">
        <v>1858</v>
      </c>
      <c r="B1684" t="s">
        <v>20</v>
      </c>
      <c r="C1684" s="9">
        <f>DATE(2026-D1644,1,1)</f>
        <v>31048</v>
      </c>
      <c r="D1684">
        <v>79</v>
      </c>
      <c r="E1684" t="s">
        <v>21</v>
      </c>
      <c r="F1684" t="s">
        <v>25</v>
      </c>
      <c r="G1684" s="9">
        <v>45373</v>
      </c>
      <c r="H1684" s="9">
        <v>45500</v>
      </c>
      <c r="I1684">
        <v>18</v>
      </c>
      <c r="J1684" t="s">
        <v>35</v>
      </c>
      <c r="K1684">
        <v>12</v>
      </c>
      <c r="L1684">
        <v>9</v>
      </c>
      <c r="M1684" s="11">
        <v>2295.83</v>
      </c>
      <c r="N1684" s="12">
        <v>10092.129999999999</v>
      </c>
      <c r="O1684" s="12">
        <v>15206.19</v>
      </c>
    </row>
    <row r="1685" spans="1:15">
      <c r="A1685" t="s">
        <v>1859</v>
      </c>
      <c r="B1685" t="s">
        <v>211</v>
      </c>
      <c r="C1685" s="9">
        <v>31778</v>
      </c>
      <c r="D1685">
        <v>39</v>
      </c>
      <c r="E1685" t="s">
        <v>21</v>
      </c>
      <c r="F1685" t="s">
        <v>25</v>
      </c>
      <c r="G1685" s="9">
        <v>45423</v>
      </c>
      <c r="H1685" s="9">
        <v>45391</v>
      </c>
      <c r="I1685">
        <v>9</v>
      </c>
      <c r="J1685" t="s">
        <v>32</v>
      </c>
      <c r="K1685">
        <v>3</v>
      </c>
      <c r="L1685">
        <v>6</v>
      </c>
      <c r="M1685" s="11">
        <v>12374.71</v>
      </c>
      <c r="N1685" s="12">
        <v>12286.63</v>
      </c>
      <c r="O1685" s="12">
        <v>18215.66</v>
      </c>
    </row>
    <row r="1686" spans="1:15">
      <c r="A1686" t="s">
        <v>1860</v>
      </c>
      <c r="B1686" t="s">
        <v>44</v>
      </c>
      <c r="C1686" s="9">
        <v>12785</v>
      </c>
      <c r="D1686">
        <v>91</v>
      </c>
      <c r="E1686" t="s">
        <v>21</v>
      </c>
      <c r="F1686" t="s">
        <v>25</v>
      </c>
      <c r="G1686" s="9">
        <v>45269</v>
      </c>
      <c r="H1686" s="9">
        <v>45602</v>
      </c>
      <c r="I1686">
        <v>39</v>
      </c>
      <c r="J1686" t="s">
        <v>26</v>
      </c>
      <c r="K1686">
        <v>14</v>
      </c>
      <c r="L1686">
        <v>3</v>
      </c>
      <c r="M1686" s="11">
        <v>28188.87</v>
      </c>
      <c r="N1686" s="12">
        <v>7616</v>
      </c>
      <c r="O1686" s="12">
        <v>2305.6799999999998</v>
      </c>
    </row>
    <row r="1687" spans="1:15">
      <c r="A1687" t="s">
        <v>1861</v>
      </c>
      <c r="B1687" t="s">
        <v>306</v>
      </c>
      <c r="C1687" s="9">
        <v>24838</v>
      </c>
      <c r="D1687">
        <v>58</v>
      </c>
      <c r="E1687" t="s">
        <v>21</v>
      </c>
      <c r="F1687" t="s">
        <v>18</v>
      </c>
      <c r="G1687" s="9">
        <v>45353</v>
      </c>
      <c r="H1687" s="9">
        <v>45026</v>
      </c>
      <c r="I1687">
        <v>2</v>
      </c>
      <c r="J1687" t="s">
        <v>26</v>
      </c>
      <c r="K1687">
        <v>5</v>
      </c>
      <c r="L1687">
        <v>2</v>
      </c>
      <c r="M1687" s="11">
        <v>2940.35</v>
      </c>
      <c r="N1687" s="12">
        <v>1678.5</v>
      </c>
      <c r="O1687" s="12">
        <v>2725.51</v>
      </c>
    </row>
    <row r="1688" spans="1:15">
      <c r="A1688" t="s">
        <v>1862</v>
      </c>
      <c r="B1688" t="s">
        <v>84</v>
      </c>
      <c r="C1688" s="9">
        <v>24838</v>
      </c>
      <c r="D1688">
        <v>58</v>
      </c>
      <c r="E1688" t="s">
        <v>21</v>
      </c>
      <c r="F1688" t="s">
        <v>5184</v>
      </c>
      <c r="G1688" s="9">
        <v>45166</v>
      </c>
      <c r="H1688" s="9">
        <v>45075</v>
      </c>
      <c r="I1688">
        <v>1</v>
      </c>
      <c r="J1688" t="s">
        <v>35</v>
      </c>
      <c r="K1688">
        <v>8</v>
      </c>
      <c r="L1688">
        <v>3</v>
      </c>
      <c r="M1688" s="11">
        <v>19353.47</v>
      </c>
      <c r="N1688" s="12">
        <v>5779.53</v>
      </c>
      <c r="O1688" s="12">
        <v>18769.39</v>
      </c>
    </row>
    <row r="1689" spans="1:15">
      <c r="A1689" t="s">
        <v>1863</v>
      </c>
      <c r="B1689" t="s">
        <v>131</v>
      </c>
      <c r="C1689" s="9">
        <v>28856</v>
      </c>
      <c r="D1689">
        <v>47</v>
      </c>
      <c r="E1689" t="s">
        <v>21</v>
      </c>
      <c r="F1689" t="s">
        <v>18</v>
      </c>
      <c r="G1689" s="9">
        <v>44985</v>
      </c>
      <c r="H1689" s="9">
        <v>45497</v>
      </c>
      <c r="I1689">
        <v>19</v>
      </c>
      <c r="J1689" t="s">
        <v>32</v>
      </c>
      <c r="K1689">
        <v>2</v>
      </c>
      <c r="L1689">
        <v>1</v>
      </c>
      <c r="M1689" s="11">
        <v>12620.03</v>
      </c>
      <c r="N1689" s="12">
        <v>10803.03</v>
      </c>
      <c r="O1689" s="12">
        <v>15296.09</v>
      </c>
    </row>
    <row r="1690" spans="1:15">
      <c r="A1690" t="s">
        <v>1864</v>
      </c>
      <c r="B1690" t="s">
        <v>174</v>
      </c>
      <c r="C1690" s="9">
        <v>31412</v>
      </c>
      <c r="D1690">
        <v>40</v>
      </c>
      <c r="E1690" t="s">
        <v>5185</v>
      </c>
      <c r="F1690" t="s">
        <v>29</v>
      </c>
      <c r="G1690" s="9">
        <v>45453</v>
      </c>
      <c r="H1690" s="9">
        <v>45654</v>
      </c>
      <c r="I1690">
        <v>3</v>
      </c>
      <c r="J1690" t="s">
        <v>32</v>
      </c>
      <c r="K1690">
        <v>4</v>
      </c>
      <c r="L1690">
        <v>3</v>
      </c>
      <c r="M1690" s="11">
        <v>10995.22</v>
      </c>
      <c r="N1690" s="12">
        <v>9356.98</v>
      </c>
      <c r="O1690" s="12">
        <v>10749</v>
      </c>
    </row>
    <row r="1691" spans="1:15">
      <c r="A1691" t="s">
        <v>1865</v>
      </c>
      <c r="B1691" t="s">
        <v>286</v>
      </c>
      <c r="C1691" s="9">
        <v>41639</v>
      </c>
      <c r="D1691">
        <f ca="1">DATEDIF(C1642,TODAY(),"Y")</f>
        <v>24</v>
      </c>
      <c r="E1691" t="s">
        <v>21</v>
      </c>
      <c r="F1691" t="s">
        <v>22</v>
      </c>
      <c r="G1691" s="9">
        <v>45129</v>
      </c>
      <c r="H1691" s="9">
        <v>45243</v>
      </c>
      <c r="I1691">
        <v>1</v>
      </c>
      <c r="J1691" t="s">
        <v>32</v>
      </c>
      <c r="K1691">
        <v>1</v>
      </c>
      <c r="L1691">
        <v>3</v>
      </c>
      <c r="M1691" s="11">
        <v>5887.91</v>
      </c>
      <c r="N1691" s="12">
        <v>11302.38</v>
      </c>
      <c r="O1691" s="12">
        <v>9482.18</v>
      </c>
    </row>
    <row r="1692" spans="1:15">
      <c r="A1692" t="s">
        <v>1866</v>
      </c>
      <c r="B1692" t="s">
        <v>446</v>
      </c>
      <c r="C1692" s="9">
        <v>29951</v>
      </c>
      <c r="D1692">
        <v>44</v>
      </c>
      <c r="E1692" t="s">
        <v>21</v>
      </c>
      <c r="F1692" t="s">
        <v>29</v>
      </c>
      <c r="G1692" s="9">
        <v>45392</v>
      </c>
      <c r="H1692" s="9">
        <v>45109</v>
      </c>
      <c r="I1692">
        <v>26</v>
      </c>
      <c r="J1692" t="s">
        <v>26</v>
      </c>
      <c r="K1692">
        <v>2</v>
      </c>
      <c r="L1692">
        <v>4</v>
      </c>
      <c r="M1692" s="11">
        <v>4878.2</v>
      </c>
      <c r="N1692" s="12">
        <v>7499.31</v>
      </c>
      <c r="O1692" s="12">
        <v>3070.09</v>
      </c>
    </row>
    <row r="1693" spans="1:15">
      <c r="A1693" t="s">
        <v>1867</v>
      </c>
      <c r="B1693" t="s">
        <v>176</v>
      </c>
      <c r="C1693" s="9">
        <v>13880</v>
      </c>
      <c r="D1693">
        <v>88</v>
      </c>
      <c r="E1693" t="s">
        <v>17</v>
      </c>
      <c r="F1693" t="s">
        <v>22</v>
      </c>
      <c r="G1693" s="9">
        <v>45222</v>
      </c>
      <c r="H1693" s="9">
        <v>45474</v>
      </c>
      <c r="I1693">
        <v>33</v>
      </c>
      <c r="J1693" t="s">
        <v>32</v>
      </c>
      <c r="K1693">
        <v>6</v>
      </c>
      <c r="L1693">
        <v>0</v>
      </c>
      <c r="M1693" s="11">
        <v>15246.74</v>
      </c>
      <c r="N1693" s="12">
        <v>2616.0700000000002</v>
      </c>
      <c r="O1693" s="12">
        <v>7523.96</v>
      </c>
    </row>
    <row r="1694" spans="1:15">
      <c r="A1694" t="s">
        <v>1868</v>
      </c>
      <c r="B1694" t="s">
        <v>189</v>
      </c>
      <c r="C1694" s="9">
        <v>27029</v>
      </c>
      <c r="D1694">
        <v>52</v>
      </c>
      <c r="E1694" t="s">
        <v>17</v>
      </c>
      <c r="F1694" t="s">
        <v>74</v>
      </c>
      <c r="G1694" s="9">
        <v>45213</v>
      </c>
      <c r="H1694" s="9">
        <v>45230</v>
      </c>
      <c r="I1694">
        <v>4</v>
      </c>
      <c r="J1694" t="s">
        <v>26</v>
      </c>
      <c r="K1694">
        <v>3</v>
      </c>
      <c r="L1694">
        <v>1</v>
      </c>
      <c r="M1694" s="11">
        <v>11011.84</v>
      </c>
      <c r="N1694" s="12">
        <v>1728.11</v>
      </c>
      <c r="O1694" s="12">
        <v>7389.36</v>
      </c>
    </row>
    <row r="1695" spans="1:15">
      <c r="A1695" t="s">
        <v>1869</v>
      </c>
      <c r="B1695" t="s">
        <v>286</v>
      </c>
      <c r="C1695" s="9">
        <v>31047</v>
      </c>
      <c r="D1695">
        <v>41</v>
      </c>
      <c r="E1695" t="s">
        <v>17</v>
      </c>
      <c r="F1695" t="s">
        <v>29</v>
      </c>
      <c r="G1695" s="9">
        <v>44999</v>
      </c>
      <c r="H1695" s="9">
        <v>45485</v>
      </c>
      <c r="I1695">
        <v>13</v>
      </c>
      <c r="J1695" t="s">
        <v>26</v>
      </c>
      <c r="K1695">
        <v>6</v>
      </c>
      <c r="L1695">
        <v>7</v>
      </c>
      <c r="M1695" s="11">
        <v>14492.1</v>
      </c>
      <c r="N1695" s="12">
        <v>7218.93</v>
      </c>
      <c r="O1695" s="12">
        <v>12931.76</v>
      </c>
    </row>
    <row r="1696" spans="1:15">
      <c r="A1696" t="s">
        <v>1870</v>
      </c>
      <c r="B1696" t="s">
        <v>139</v>
      </c>
      <c r="C1696" s="9">
        <v>23377</v>
      </c>
      <c r="D1696">
        <v>62</v>
      </c>
      <c r="E1696" t="s">
        <v>21</v>
      </c>
      <c r="F1696" t="s">
        <v>74</v>
      </c>
      <c r="G1696" s="9">
        <v>45652</v>
      </c>
      <c r="H1696" s="9">
        <v>45526</v>
      </c>
      <c r="I1696">
        <v>30</v>
      </c>
      <c r="J1696" t="s">
        <v>32</v>
      </c>
      <c r="K1696">
        <v>10</v>
      </c>
      <c r="L1696">
        <v>7</v>
      </c>
      <c r="M1696" s="11">
        <v>5476.09</v>
      </c>
      <c r="N1696" s="12">
        <v>3085.87</v>
      </c>
      <c r="O1696" s="12">
        <v>11937.99</v>
      </c>
    </row>
    <row r="1697" spans="1:15">
      <c r="A1697" t="s">
        <v>1871</v>
      </c>
      <c r="B1697" t="s">
        <v>105</v>
      </c>
      <c r="C1697" s="9">
        <v>36526</v>
      </c>
      <c r="D1697">
        <v>26</v>
      </c>
      <c r="E1697" t="s">
        <v>17</v>
      </c>
      <c r="F1697" t="s">
        <v>74</v>
      </c>
      <c r="G1697" s="9">
        <v>45449</v>
      </c>
      <c r="H1697" s="9">
        <v>44931</v>
      </c>
      <c r="I1697">
        <v>30</v>
      </c>
      <c r="J1697" t="s">
        <v>32</v>
      </c>
      <c r="K1697">
        <v>14</v>
      </c>
      <c r="L1697">
        <v>7</v>
      </c>
      <c r="M1697" s="11">
        <v>10181.15</v>
      </c>
      <c r="N1697" s="12">
        <v>14734</v>
      </c>
      <c r="O1697" s="12">
        <v>1100.19</v>
      </c>
    </row>
    <row r="1698" spans="1:15">
      <c r="A1698" t="s">
        <v>1872</v>
      </c>
      <c r="B1698" t="s">
        <v>479</v>
      </c>
      <c r="C1698" s="9">
        <v>32508</v>
      </c>
      <c r="D1698">
        <v>37</v>
      </c>
      <c r="E1698" t="s">
        <v>17</v>
      </c>
      <c r="F1698" t="s">
        <v>74</v>
      </c>
      <c r="G1698" s="9">
        <v>45263</v>
      </c>
      <c r="H1698" s="9">
        <v>45705</v>
      </c>
      <c r="I1698">
        <v>11</v>
      </c>
      <c r="J1698" t="s">
        <v>26</v>
      </c>
      <c r="K1698">
        <v>1</v>
      </c>
      <c r="L1698">
        <v>4</v>
      </c>
      <c r="M1698" s="11">
        <v>29890.74</v>
      </c>
      <c r="N1698" s="12">
        <v>2981.29</v>
      </c>
      <c r="O1698" s="12">
        <v>16954.45</v>
      </c>
    </row>
    <row r="1699" spans="1:15">
      <c r="A1699" t="s">
        <v>1873</v>
      </c>
      <c r="B1699" t="s">
        <v>306</v>
      </c>
      <c r="C1699" s="9">
        <v>24473</v>
      </c>
      <c r="D1699">
        <v>59</v>
      </c>
      <c r="E1699" t="s">
        <v>17</v>
      </c>
      <c r="F1699" t="s">
        <v>25</v>
      </c>
      <c r="G1699" s="9">
        <v>45244</v>
      </c>
      <c r="H1699" s="9">
        <v>45034</v>
      </c>
      <c r="I1699">
        <v>9</v>
      </c>
      <c r="J1699" t="s">
        <v>32</v>
      </c>
      <c r="K1699">
        <v>11</v>
      </c>
      <c r="L1699">
        <v>7</v>
      </c>
      <c r="M1699" s="11">
        <v>10726.16</v>
      </c>
      <c r="N1699" s="12">
        <v>8501.76</v>
      </c>
      <c r="O1699" s="12">
        <v>18744.71</v>
      </c>
    </row>
    <row r="1700" spans="1:15">
      <c r="A1700" t="s">
        <v>1874</v>
      </c>
      <c r="B1700" t="s">
        <v>232</v>
      </c>
      <c r="C1700" s="9">
        <v>43831</v>
      </c>
      <c r="D1700">
        <v>6</v>
      </c>
      <c r="E1700" t="s">
        <v>17</v>
      </c>
      <c r="F1700" t="s">
        <v>49</v>
      </c>
      <c r="G1700" s="9">
        <v>45129</v>
      </c>
      <c r="H1700" s="9">
        <v>45002</v>
      </c>
      <c r="I1700">
        <v>3</v>
      </c>
      <c r="J1700" t="s">
        <v>26</v>
      </c>
      <c r="K1700">
        <v>8</v>
      </c>
      <c r="L1700">
        <v>8</v>
      </c>
      <c r="M1700" s="11">
        <v>12087.63</v>
      </c>
      <c r="N1700" s="12">
        <v>26.52</v>
      </c>
      <c r="O1700" s="12">
        <v>15582.19</v>
      </c>
    </row>
    <row r="1701" spans="1:15">
      <c r="A1701" t="s">
        <v>1875</v>
      </c>
      <c r="B1701" t="s">
        <v>89</v>
      </c>
      <c r="C1701" s="9">
        <v>44561</v>
      </c>
      <c r="D1701">
        <v>4</v>
      </c>
      <c r="E1701" t="s">
        <v>17</v>
      </c>
      <c r="F1701" t="s">
        <v>49</v>
      </c>
      <c r="G1701" s="9">
        <v>45157</v>
      </c>
      <c r="H1701" s="9">
        <v>44967</v>
      </c>
      <c r="I1701">
        <v>9</v>
      </c>
      <c r="J1701" t="s">
        <v>35</v>
      </c>
      <c r="K1701">
        <v>7</v>
      </c>
      <c r="L1701">
        <v>3</v>
      </c>
      <c r="M1701" s="11">
        <v>106.22</v>
      </c>
      <c r="N1701" s="12">
        <v>3804.68</v>
      </c>
      <c r="O1701" s="12">
        <v>3485.53</v>
      </c>
    </row>
    <row r="1702" spans="1:15">
      <c r="A1702" t="s">
        <v>1876</v>
      </c>
      <c r="B1702" t="s">
        <v>619</v>
      </c>
      <c r="C1702" s="9">
        <v>29951</v>
      </c>
      <c r="D1702">
        <v>44</v>
      </c>
      <c r="E1702" t="s">
        <v>17</v>
      </c>
      <c r="F1702" t="s">
        <v>18</v>
      </c>
      <c r="G1702" s="9">
        <v>45489</v>
      </c>
      <c r="H1702" s="9">
        <v>45566</v>
      </c>
      <c r="I1702">
        <v>28</v>
      </c>
      <c r="J1702" t="s">
        <v>32</v>
      </c>
      <c r="K1702">
        <v>2</v>
      </c>
      <c r="L1702">
        <v>3</v>
      </c>
      <c r="M1702" s="11">
        <v>11115.19</v>
      </c>
      <c r="N1702" s="12">
        <v>3887.08</v>
      </c>
      <c r="O1702" s="12">
        <v>3360.58</v>
      </c>
    </row>
    <row r="1703" spans="1:15">
      <c r="A1703" t="s">
        <v>1877</v>
      </c>
      <c r="B1703" t="s">
        <v>137</v>
      </c>
      <c r="C1703" s="9">
        <v>25203</v>
      </c>
      <c r="D1703">
        <v>57</v>
      </c>
      <c r="E1703" t="s">
        <v>17</v>
      </c>
      <c r="F1703" t="s">
        <v>74</v>
      </c>
      <c r="G1703" s="9">
        <v>44983</v>
      </c>
      <c r="H1703" s="9">
        <v>45622</v>
      </c>
      <c r="I1703">
        <v>9</v>
      </c>
      <c r="J1703" t="s">
        <v>35</v>
      </c>
      <c r="K1703">
        <v>7</v>
      </c>
      <c r="L1703">
        <v>6</v>
      </c>
      <c r="M1703" s="11">
        <v>22783.439999999999</v>
      </c>
      <c r="N1703" s="12">
        <v>11069.81</v>
      </c>
      <c r="O1703" s="12">
        <v>14494.85</v>
      </c>
    </row>
    <row r="1704" spans="1:15">
      <c r="A1704" t="s">
        <v>1878</v>
      </c>
      <c r="B1704" t="s">
        <v>103</v>
      </c>
      <c r="C1704" s="9">
        <v>35065</v>
      </c>
      <c r="D1704">
        <v>30</v>
      </c>
      <c r="E1704" t="s">
        <v>21</v>
      </c>
      <c r="F1704" t="s">
        <v>25</v>
      </c>
      <c r="G1704" s="9">
        <v>45570</v>
      </c>
      <c r="H1704" s="9">
        <v>45046</v>
      </c>
      <c r="I1704">
        <v>7</v>
      </c>
      <c r="J1704" t="s">
        <v>26</v>
      </c>
      <c r="K1704">
        <v>14</v>
      </c>
      <c r="L1704">
        <v>4</v>
      </c>
      <c r="M1704" s="11">
        <v>15225.7</v>
      </c>
      <c r="N1704" s="12">
        <v>7434.39</v>
      </c>
      <c r="O1704" s="12">
        <v>8761.44</v>
      </c>
    </row>
    <row r="1705" spans="1:15">
      <c r="A1705" t="s">
        <v>1879</v>
      </c>
      <c r="B1705" t="s">
        <v>671</v>
      </c>
      <c r="C1705" s="9">
        <v>37987</v>
      </c>
      <c r="D1705">
        <v>22</v>
      </c>
      <c r="E1705" t="s">
        <v>17</v>
      </c>
      <c r="F1705" t="s">
        <v>29</v>
      </c>
      <c r="G1705" s="9">
        <v>45346</v>
      </c>
      <c r="H1705" s="9">
        <v>45000</v>
      </c>
      <c r="I1705">
        <v>37</v>
      </c>
      <c r="J1705" t="s">
        <v>32</v>
      </c>
      <c r="K1705">
        <v>6</v>
      </c>
      <c r="L1705">
        <v>9</v>
      </c>
      <c r="M1705" s="11">
        <v>19539.89</v>
      </c>
      <c r="N1705" s="12">
        <v>181.38</v>
      </c>
      <c r="O1705" s="12">
        <v>15553.96</v>
      </c>
    </row>
    <row r="1706" spans="1:15">
      <c r="A1706" t="s">
        <v>1880</v>
      </c>
      <c r="B1706" t="s">
        <v>309</v>
      </c>
      <c r="C1706" s="9">
        <v>31047</v>
      </c>
      <c r="D1706">
        <v>41</v>
      </c>
      <c r="E1706" t="s">
        <v>17</v>
      </c>
      <c r="F1706" t="s">
        <v>29</v>
      </c>
      <c r="G1706" s="9">
        <v>45206</v>
      </c>
      <c r="H1706" s="9">
        <v>45479</v>
      </c>
      <c r="I1706">
        <v>24</v>
      </c>
      <c r="J1706" t="s">
        <v>32</v>
      </c>
      <c r="K1706">
        <v>6</v>
      </c>
      <c r="L1706">
        <v>0</v>
      </c>
      <c r="M1706" s="11">
        <v>16474.84</v>
      </c>
      <c r="N1706" s="12">
        <v>5687.56</v>
      </c>
      <c r="O1706" s="12">
        <v>1417.13</v>
      </c>
    </row>
    <row r="1707" spans="1:15">
      <c r="A1707" t="s">
        <v>1881</v>
      </c>
      <c r="B1707" t="s">
        <v>444</v>
      </c>
      <c r="C1707" s="9">
        <v>42735</v>
      </c>
      <c r="D1707">
        <v>9</v>
      </c>
      <c r="E1707" t="s">
        <v>21</v>
      </c>
      <c r="F1707" t="s">
        <v>18</v>
      </c>
      <c r="G1707" s="9">
        <v>45231</v>
      </c>
      <c r="H1707" s="9">
        <v>45131</v>
      </c>
      <c r="I1707">
        <v>4</v>
      </c>
      <c r="J1707" t="s">
        <v>32</v>
      </c>
      <c r="K1707">
        <v>11</v>
      </c>
      <c r="L1707">
        <v>7</v>
      </c>
      <c r="M1707" s="11">
        <v>2717.48</v>
      </c>
      <c r="N1707" s="12">
        <v>9671.7199999999993</v>
      </c>
      <c r="O1707" s="12">
        <v>14300.37</v>
      </c>
    </row>
    <row r="1708" spans="1:15">
      <c r="A1708" t="s">
        <v>1882</v>
      </c>
      <c r="B1708" t="s">
        <v>44</v>
      </c>
      <c r="C1708" s="9">
        <v>34700</v>
      </c>
      <c r="D1708">
        <v>31</v>
      </c>
      <c r="E1708" t="s">
        <v>5185</v>
      </c>
      <c r="F1708" t="s">
        <v>18</v>
      </c>
      <c r="G1708" s="9">
        <v>45392</v>
      </c>
      <c r="H1708" s="9">
        <v>45023</v>
      </c>
      <c r="I1708">
        <v>33</v>
      </c>
      <c r="J1708" t="s">
        <v>32</v>
      </c>
      <c r="K1708">
        <v>10</v>
      </c>
      <c r="L1708">
        <v>3</v>
      </c>
      <c r="M1708" s="11">
        <v>9630.4</v>
      </c>
      <c r="N1708" s="12">
        <v>9550.6</v>
      </c>
      <c r="O1708" s="12">
        <v>8424.33</v>
      </c>
    </row>
    <row r="1709" spans="1:15">
      <c r="A1709" t="s">
        <v>1883</v>
      </c>
      <c r="B1709" t="s">
        <v>306</v>
      </c>
      <c r="C1709" s="9">
        <v>27029</v>
      </c>
      <c r="D1709">
        <v>52</v>
      </c>
      <c r="E1709" t="s">
        <v>21</v>
      </c>
      <c r="F1709" t="s">
        <v>74</v>
      </c>
      <c r="G1709" s="9">
        <v>45100</v>
      </c>
      <c r="H1709" s="9">
        <v>45206</v>
      </c>
      <c r="I1709">
        <v>30</v>
      </c>
      <c r="J1709" t="s">
        <v>35</v>
      </c>
      <c r="K1709">
        <v>0</v>
      </c>
      <c r="L1709">
        <v>7</v>
      </c>
      <c r="M1709" s="11">
        <v>20674.11</v>
      </c>
      <c r="N1709" s="12">
        <v>808.33</v>
      </c>
      <c r="O1709" s="12">
        <v>522.79999999999995</v>
      </c>
    </row>
    <row r="1710" spans="1:15">
      <c r="A1710" t="s">
        <v>1884</v>
      </c>
      <c r="B1710" t="s">
        <v>159</v>
      </c>
      <c r="C1710" s="9">
        <v>35430</v>
      </c>
      <c r="D1710">
        <v>29</v>
      </c>
      <c r="E1710" t="s">
        <v>21</v>
      </c>
      <c r="F1710" t="s">
        <v>74</v>
      </c>
      <c r="G1710" s="9">
        <v>45192</v>
      </c>
      <c r="H1710" s="9">
        <v>45070</v>
      </c>
      <c r="I1710">
        <v>24</v>
      </c>
      <c r="J1710" t="s">
        <v>35</v>
      </c>
      <c r="K1710">
        <v>13</v>
      </c>
      <c r="L1710">
        <v>1</v>
      </c>
      <c r="M1710" s="11">
        <v>16212.14</v>
      </c>
      <c r="N1710" s="12">
        <v>13933.69</v>
      </c>
      <c r="O1710" s="12">
        <v>10857.67</v>
      </c>
    </row>
    <row r="1711" spans="1:15">
      <c r="A1711" t="s">
        <v>1885</v>
      </c>
      <c r="B1711" t="s">
        <v>244</v>
      </c>
      <c r="C1711" s="9">
        <v>32143</v>
      </c>
      <c r="D1711">
        <v>38</v>
      </c>
      <c r="E1711" t="s">
        <v>17</v>
      </c>
      <c r="F1711" t="s">
        <v>29</v>
      </c>
      <c r="G1711" s="9">
        <v>45173</v>
      </c>
      <c r="H1711" s="9">
        <v>45042</v>
      </c>
      <c r="I1711">
        <v>5</v>
      </c>
      <c r="J1711" t="s">
        <v>32</v>
      </c>
      <c r="K1711">
        <v>13</v>
      </c>
      <c r="L1711">
        <v>3</v>
      </c>
      <c r="M1711" s="11">
        <v>20086.310000000001</v>
      </c>
      <c r="N1711" s="12">
        <v>3704.87</v>
      </c>
      <c r="O1711" s="12">
        <v>13950.62</v>
      </c>
    </row>
    <row r="1712" spans="1:15">
      <c r="A1712" t="s">
        <v>1886</v>
      </c>
      <c r="B1712" t="s">
        <v>309</v>
      </c>
      <c r="C1712" s="9">
        <v>35065</v>
      </c>
      <c r="D1712">
        <v>30</v>
      </c>
      <c r="E1712" t="s">
        <v>21</v>
      </c>
      <c r="F1712" t="s">
        <v>29</v>
      </c>
      <c r="G1712" s="9">
        <v>45004</v>
      </c>
      <c r="H1712" s="9">
        <v>45403</v>
      </c>
      <c r="I1712">
        <v>2</v>
      </c>
      <c r="J1712" t="s">
        <v>32</v>
      </c>
      <c r="K1712">
        <v>12</v>
      </c>
      <c r="L1712">
        <v>1</v>
      </c>
      <c r="M1712" s="11">
        <v>10485.5</v>
      </c>
      <c r="N1712" s="12">
        <v>13372.89</v>
      </c>
      <c r="O1712" s="12">
        <v>10517.61</v>
      </c>
    </row>
    <row r="1713" spans="1:15">
      <c r="A1713" t="s">
        <v>1887</v>
      </c>
      <c r="B1713" t="s">
        <v>129</v>
      </c>
      <c r="C1713" s="9">
        <v>16437</v>
      </c>
      <c r="D1713">
        <v>81</v>
      </c>
      <c r="E1713" t="s">
        <v>21</v>
      </c>
      <c r="F1713" t="s">
        <v>29</v>
      </c>
      <c r="G1713" s="9">
        <v>45573</v>
      </c>
      <c r="H1713" s="9">
        <v>45811</v>
      </c>
      <c r="I1713">
        <v>5</v>
      </c>
      <c r="J1713" t="s">
        <v>32</v>
      </c>
      <c r="K1713">
        <v>1</v>
      </c>
      <c r="L1713">
        <v>4</v>
      </c>
      <c r="M1713" s="11">
        <v>5407.52</v>
      </c>
      <c r="N1713" s="12">
        <v>3201.22</v>
      </c>
      <c r="O1713" s="12">
        <v>2369.89</v>
      </c>
    </row>
    <row r="1714" spans="1:15">
      <c r="A1714" t="s">
        <v>1888</v>
      </c>
      <c r="B1714" t="s">
        <v>619</v>
      </c>
      <c r="C1714" s="9">
        <f>DATE(2026-D1674,1,1)</f>
        <v>21916</v>
      </c>
      <c r="D1714">
        <v>1</v>
      </c>
      <c r="E1714" t="s">
        <v>21</v>
      </c>
      <c r="F1714" t="s">
        <v>29</v>
      </c>
      <c r="G1714" s="9">
        <v>45578</v>
      </c>
      <c r="H1714" s="9">
        <v>45060</v>
      </c>
      <c r="I1714">
        <v>37</v>
      </c>
      <c r="J1714" t="s">
        <v>35</v>
      </c>
      <c r="K1714">
        <v>8</v>
      </c>
      <c r="L1714">
        <v>9</v>
      </c>
      <c r="M1714" s="11">
        <v>24809.33</v>
      </c>
      <c r="N1714" s="12">
        <v>8517.75</v>
      </c>
      <c r="O1714" s="12">
        <v>16299.77</v>
      </c>
    </row>
    <row r="1715" spans="1:15">
      <c r="A1715" t="s">
        <v>1889</v>
      </c>
      <c r="B1715" t="s">
        <v>237</v>
      </c>
      <c r="C1715" s="9">
        <v>17898</v>
      </c>
      <c r="D1715">
        <f ca="1">DATEDIF(C1666,TODAY(),"Y")</f>
        <v>68</v>
      </c>
      <c r="E1715" t="s">
        <v>21</v>
      </c>
      <c r="F1715" t="s">
        <v>49</v>
      </c>
      <c r="G1715" s="9">
        <v>45179</v>
      </c>
      <c r="H1715" s="9">
        <v>45095</v>
      </c>
      <c r="I1715">
        <v>18</v>
      </c>
      <c r="J1715" t="s">
        <v>26</v>
      </c>
      <c r="K1715">
        <v>7</v>
      </c>
      <c r="L1715">
        <v>9</v>
      </c>
      <c r="M1715" s="11">
        <v>10977.19</v>
      </c>
      <c r="N1715" s="12">
        <v>6091.2</v>
      </c>
      <c r="O1715" s="12">
        <v>6273.41</v>
      </c>
    </row>
    <row r="1716" spans="1:15">
      <c r="A1716" t="s">
        <v>1890</v>
      </c>
      <c r="B1716" t="s">
        <v>39</v>
      </c>
      <c r="C1716" s="9">
        <v>18263</v>
      </c>
      <c r="D1716">
        <v>76</v>
      </c>
      <c r="E1716" t="s">
        <v>21</v>
      </c>
      <c r="F1716" t="s">
        <v>74</v>
      </c>
      <c r="G1716" s="9">
        <v>45401</v>
      </c>
      <c r="H1716" s="9">
        <v>45172</v>
      </c>
      <c r="I1716">
        <v>21</v>
      </c>
      <c r="J1716" t="s">
        <v>32</v>
      </c>
      <c r="K1716">
        <v>1</v>
      </c>
      <c r="L1716">
        <v>7</v>
      </c>
      <c r="M1716" s="11">
        <v>19477.84</v>
      </c>
      <c r="N1716" s="12">
        <v>8720.24</v>
      </c>
      <c r="O1716" s="12">
        <v>18421.34</v>
      </c>
    </row>
    <row r="1717" spans="1:15">
      <c r="A1717" t="s">
        <v>1891</v>
      </c>
      <c r="B1717" t="s">
        <v>502</v>
      </c>
      <c r="C1717" s="9">
        <v>12419</v>
      </c>
      <c r="D1717">
        <v>92</v>
      </c>
      <c r="E1717" t="s">
        <v>21</v>
      </c>
      <c r="F1717" t="s">
        <v>74</v>
      </c>
      <c r="G1717" s="9">
        <v>45102</v>
      </c>
      <c r="H1717" s="9">
        <v>45204</v>
      </c>
      <c r="I1717">
        <v>4</v>
      </c>
      <c r="J1717" t="s">
        <v>32</v>
      </c>
      <c r="K1717">
        <v>12</v>
      </c>
      <c r="L1717">
        <v>6</v>
      </c>
      <c r="M1717" s="11">
        <v>11128.01</v>
      </c>
      <c r="N1717" s="12">
        <v>7467.94</v>
      </c>
      <c r="O1717" s="12">
        <v>18128.2</v>
      </c>
    </row>
    <row r="1718" spans="1:15">
      <c r="A1718" t="s">
        <v>1892</v>
      </c>
      <c r="B1718" t="s">
        <v>157</v>
      </c>
      <c r="C1718" s="9">
        <v>42005</v>
      </c>
      <c r="D1718">
        <v>11</v>
      </c>
      <c r="E1718" t="s">
        <v>21</v>
      </c>
      <c r="F1718" t="s">
        <v>29</v>
      </c>
      <c r="G1718" s="9">
        <v>45347</v>
      </c>
      <c r="H1718" s="9">
        <v>45186</v>
      </c>
      <c r="I1718">
        <v>16</v>
      </c>
      <c r="J1718" t="s">
        <v>26</v>
      </c>
      <c r="K1718">
        <v>12</v>
      </c>
      <c r="L1718">
        <v>4</v>
      </c>
      <c r="M1718" s="11">
        <v>0</v>
      </c>
      <c r="N1718" s="12">
        <v>30.71</v>
      </c>
      <c r="O1718" s="12">
        <v>3927.29</v>
      </c>
    </row>
    <row r="1719" spans="1:15">
      <c r="A1719" t="s">
        <v>1893</v>
      </c>
      <c r="B1719" t="s">
        <v>427</v>
      </c>
      <c r="C1719" s="9">
        <v>32143</v>
      </c>
      <c r="D1719">
        <v>38</v>
      </c>
      <c r="E1719" t="s">
        <v>5185</v>
      </c>
      <c r="F1719" t="s">
        <v>25</v>
      </c>
      <c r="G1719" s="9">
        <v>45498</v>
      </c>
      <c r="H1719" s="9">
        <v>44973</v>
      </c>
      <c r="I1719">
        <v>28</v>
      </c>
      <c r="J1719" t="s">
        <v>35</v>
      </c>
      <c r="K1719">
        <v>6</v>
      </c>
      <c r="L1719">
        <v>6</v>
      </c>
      <c r="M1719" s="11">
        <v>29754.15</v>
      </c>
      <c r="N1719" s="12">
        <v>5269.99</v>
      </c>
      <c r="O1719" s="12">
        <v>9474.94</v>
      </c>
    </row>
    <row r="1720" spans="1:15">
      <c r="A1720" t="s">
        <v>1894</v>
      </c>
      <c r="B1720" t="s">
        <v>139</v>
      </c>
      <c r="C1720" s="9">
        <v>22281</v>
      </c>
      <c r="D1720">
        <v>65</v>
      </c>
      <c r="E1720" t="s">
        <v>5185</v>
      </c>
      <c r="F1720" t="s">
        <v>29</v>
      </c>
      <c r="G1720" s="9">
        <v>45387</v>
      </c>
      <c r="H1720" s="9">
        <v>45273</v>
      </c>
      <c r="I1720">
        <v>33</v>
      </c>
      <c r="J1720" t="s">
        <v>32</v>
      </c>
      <c r="K1720">
        <v>3</v>
      </c>
      <c r="L1720">
        <v>4</v>
      </c>
      <c r="M1720" s="11">
        <v>19292.330000000002</v>
      </c>
      <c r="N1720" s="12">
        <v>168.26</v>
      </c>
      <c r="O1720" s="12">
        <v>2661.05</v>
      </c>
    </row>
    <row r="1721" spans="1:15">
      <c r="A1721" t="s">
        <v>1895</v>
      </c>
      <c r="B1721" t="s">
        <v>664</v>
      </c>
      <c r="C1721" s="9">
        <v>41639</v>
      </c>
      <c r="D1721">
        <v>12</v>
      </c>
      <c r="E1721" t="s">
        <v>21</v>
      </c>
      <c r="F1721" t="s">
        <v>22</v>
      </c>
      <c r="G1721" s="9">
        <v>45180</v>
      </c>
      <c r="H1721" s="9">
        <v>45774</v>
      </c>
      <c r="I1721">
        <v>24</v>
      </c>
      <c r="J1721" t="s">
        <v>32</v>
      </c>
      <c r="K1721">
        <v>12</v>
      </c>
      <c r="L1721">
        <v>6</v>
      </c>
      <c r="M1721" s="11">
        <v>17865.61</v>
      </c>
      <c r="N1721" s="12">
        <v>10250.5</v>
      </c>
      <c r="O1721" s="12">
        <v>13522.71</v>
      </c>
    </row>
    <row r="1722" spans="1:15">
      <c r="A1722" t="s">
        <v>1896</v>
      </c>
      <c r="B1722" t="s">
        <v>100</v>
      </c>
      <c r="C1722" s="9">
        <v>29586</v>
      </c>
      <c r="D1722">
        <v>45</v>
      </c>
      <c r="E1722" t="s">
        <v>17</v>
      </c>
      <c r="F1722" t="s">
        <v>5184</v>
      </c>
      <c r="G1722" s="9">
        <v>45446</v>
      </c>
      <c r="H1722" s="9">
        <v>45822</v>
      </c>
      <c r="I1722">
        <v>26</v>
      </c>
      <c r="J1722" t="s">
        <v>35</v>
      </c>
      <c r="K1722">
        <v>5</v>
      </c>
      <c r="L1722">
        <v>3</v>
      </c>
      <c r="M1722" s="11">
        <v>25145.22</v>
      </c>
      <c r="N1722" s="12">
        <v>12802.44</v>
      </c>
      <c r="O1722" s="12">
        <v>17023.53</v>
      </c>
    </row>
    <row r="1723" spans="1:15">
      <c r="A1723" t="s">
        <v>1897</v>
      </c>
      <c r="B1723" t="s">
        <v>28</v>
      </c>
      <c r="C1723" s="9">
        <f>DATE(2026-D1683,1,1)</f>
        <v>39448</v>
      </c>
      <c r="D1723">
        <v>26</v>
      </c>
      <c r="E1723" t="s">
        <v>21</v>
      </c>
      <c r="F1723" t="s">
        <v>5184</v>
      </c>
      <c r="G1723" s="9">
        <v>45033</v>
      </c>
      <c r="H1723" s="9">
        <v>45164</v>
      </c>
      <c r="I1723">
        <v>20</v>
      </c>
      <c r="J1723" t="s">
        <v>32</v>
      </c>
      <c r="K1723">
        <v>2</v>
      </c>
      <c r="L1723">
        <v>3</v>
      </c>
      <c r="M1723" s="11">
        <v>15245.07</v>
      </c>
      <c r="N1723" s="12">
        <v>5770.72</v>
      </c>
      <c r="O1723" s="12">
        <v>12932.3</v>
      </c>
    </row>
    <row r="1724" spans="1:15">
      <c r="A1724" t="s">
        <v>1898</v>
      </c>
      <c r="B1724" t="s">
        <v>242</v>
      </c>
      <c r="C1724" s="9">
        <v>40178</v>
      </c>
      <c r="D1724">
        <v>16</v>
      </c>
      <c r="E1724" t="s">
        <v>21</v>
      </c>
      <c r="F1724" t="s">
        <v>18</v>
      </c>
      <c r="G1724" s="9">
        <v>45097</v>
      </c>
      <c r="H1724" s="9">
        <v>44980</v>
      </c>
      <c r="I1724">
        <v>17</v>
      </c>
      <c r="J1724" t="s">
        <v>32</v>
      </c>
      <c r="K1724">
        <v>6</v>
      </c>
      <c r="L1724">
        <v>9</v>
      </c>
      <c r="M1724" s="11">
        <v>26019.93</v>
      </c>
      <c r="N1724" s="12">
        <v>7872.03</v>
      </c>
      <c r="O1724" s="12">
        <v>5135.54</v>
      </c>
    </row>
    <row r="1725" spans="1:15">
      <c r="A1725" t="s">
        <v>1899</v>
      </c>
      <c r="B1725" t="s">
        <v>302</v>
      </c>
      <c r="C1725" s="9">
        <v>11689</v>
      </c>
      <c r="D1725">
        <v>94</v>
      </c>
      <c r="E1725" t="s">
        <v>21</v>
      </c>
      <c r="F1725" t="s">
        <v>22</v>
      </c>
      <c r="G1725" s="9">
        <v>44984</v>
      </c>
      <c r="H1725" s="9">
        <v>45075</v>
      </c>
      <c r="I1725">
        <v>3</v>
      </c>
      <c r="J1725" t="s">
        <v>32</v>
      </c>
      <c r="K1725">
        <v>2</v>
      </c>
      <c r="L1725">
        <v>3</v>
      </c>
      <c r="M1725" s="11">
        <v>12094.62</v>
      </c>
      <c r="N1725" s="12">
        <v>987.56</v>
      </c>
      <c r="O1725" s="12">
        <v>1433.93</v>
      </c>
    </row>
    <row r="1726" spans="1:15">
      <c r="A1726" t="s">
        <v>1900</v>
      </c>
      <c r="B1726" t="s">
        <v>664</v>
      </c>
      <c r="C1726" s="9">
        <v>24473</v>
      </c>
      <c r="D1726">
        <v>59</v>
      </c>
      <c r="E1726" t="s">
        <v>5185</v>
      </c>
      <c r="F1726" t="s">
        <v>25</v>
      </c>
      <c r="G1726" s="9">
        <v>45263</v>
      </c>
      <c r="H1726" s="9">
        <v>45626</v>
      </c>
      <c r="I1726">
        <v>9</v>
      </c>
      <c r="J1726" t="s">
        <v>35</v>
      </c>
      <c r="K1726">
        <v>3</v>
      </c>
      <c r="L1726">
        <v>7</v>
      </c>
      <c r="M1726" s="11">
        <v>472.86</v>
      </c>
      <c r="N1726" s="12">
        <v>5777.96</v>
      </c>
      <c r="O1726" s="12">
        <v>1292.1400000000001</v>
      </c>
    </row>
    <row r="1727" spans="1:15">
      <c r="A1727" t="s">
        <v>1901</v>
      </c>
      <c r="B1727" t="s">
        <v>252</v>
      </c>
      <c r="C1727" s="9">
        <v>23012</v>
      </c>
      <c r="D1727">
        <v>63</v>
      </c>
      <c r="E1727" t="s">
        <v>17</v>
      </c>
      <c r="F1727" t="s">
        <v>18</v>
      </c>
      <c r="G1727" s="9">
        <v>45268</v>
      </c>
      <c r="H1727" s="9">
        <v>45460</v>
      </c>
      <c r="I1727">
        <v>9</v>
      </c>
      <c r="J1727" t="s">
        <v>35</v>
      </c>
      <c r="K1727">
        <v>12</v>
      </c>
      <c r="L1727">
        <v>0</v>
      </c>
      <c r="M1727" s="11">
        <v>27761.01</v>
      </c>
      <c r="N1727" s="12">
        <v>2082.91</v>
      </c>
      <c r="O1727" s="12">
        <v>12179.65</v>
      </c>
    </row>
    <row r="1728" spans="1:15">
      <c r="A1728" t="s">
        <v>1902</v>
      </c>
      <c r="B1728" t="s">
        <v>422</v>
      </c>
      <c r="C1728" s="9">
        <v>14246</v>
      </c>
      <c r="D1728">
        <v>87</v>
      </c>
      <c r="E1728" t="s">
        <v>21</v>
      </c>
      <c r="F1728" t="s">
        <v>5184</v>
      </c>
      <c r="G1728" s="9">
        <v>45216</v>
      </c>
      <c r="H1728" s="9">
        <v>45017</v>
      </c>
      <c r="I1728">
        <v>0</v>
      </c>
      <c r="J1728" t="s">
        <v>26</v>
      </c>
      <c r="K1728">
        <v>1</v>
      </c>
      <c r="L1728">
        <v>9</v>
      </c>
      <c r="M1728" s="11">
        <v>21506.62</v>
      </c>
      <c r="N1728" s="12">
        <v>970.53</v>
      </c>
      <c r="O1728" s="12">
        <v>19061.900000000001</v>
      </c>
    </row>
    <row r="1729" spans="1:15">
      <c r="A1729" t="s">
        <v>1903</v>
      </c>
      <c r="B1729" t="s">
        <v>332</v>
      </c>
      <c r="C1729" s="9">
        <f>DATE(2026-D1689,1,1)</f>
        <v>28856</v>
      </c>
      <c r="D1729">
        <v>34</v>
      </c>
      <c r="E1729" t="s">
        <v>21</v>
      </c>
      <c r="F1729" t="s">
        <v>25</v>
      </c>
      <c r="G1729" s="9">
        <v>45010</v>
      </c>
      <c r="H1729" s="9">
        <v>45160</v>
      </c>
      <c r="I1729">
        <v>39</v>
      </c>
      <c r="J1729" t="s">
        <v>35</v>
      </c>
      <c r="K1729">
        <v>8</v>
      </c>
      <c r="L1729">
        <v>4</v>
      </c>
      <c r="M1729" s="11">
        <v>15078.4</v>
      </c>
      <c r="N1729" s="12">
        <v>2580.5</v>
      </c>
      <c r="O1729" s="12">
        <v>13875.09</v>
      </c>
    </row>
    <row r="1730" spans="1:15">
      <c r="A1730" t="s">
        <v>1904</v>
      </c>
      <c r="B1730" t="s">
        <v>149</v>
      </c>
      <c r="C1730" s="9">
        <v>20820</v>
      </c>
      <c r="D1730">
        <v>69</v>
      </c>
      <c r="E1730" t="s">
        <v>21</v>
      </c>
      <c r="F1730" t="s">
        <v>18</v>
      </c>
      <c r="G1730" s="9">
        <v>45043</v>
      </c>
      <c r="H1730" s="9">
        <v>45654</v>
      </c>
      <c r="I1730">
        <v>36</v>
      </c>
      <c r="J1730" t="s">
        <v>35</v>
      </c>
      <c r="K1730">
        <v>6</v>
      </c>
      <c r="L1730">
        <v>9</v>
      </c>
      <c r="M1730" s="11">
        <v>28319.26</v>
      </c>
      <c r="N1730" s="12">
        <v>13062.66</v>
      </c>
      <c r="O1730" s="12">
        <v>14585.59</v>
      </c>
    </row>
    <row r="1731" spans="1:15">
      <c r="A1731" t="s">
        <v>1905</v>
      </c>
      <c r="B1731" t="s">
        <v>237</v>
      </c>
      <c r="C1731" s="9">
        <v>16072</v>
      </c>
      <c r="D1731">
        <v>82</v>
      </c>
      <c r="E1731" t="s">
        <v>17</v>
      </c>
      <c r="F1731" t="s">
        <v>29</v>
      </c>
      <c r="G1731" s="9">
        <v>45638</v>
      </c>
      <c r="H1731" s="9">
        <v>45808</v>
      </c>
      <c r="I1731">
        <v>32</v>
      </c>
      <c r="J1731" t="s">
        <v>32</v>
      </c>
      <c r="K1731">
        <v>5</v>
      </c>
      <c r="L1731">
        <v>1</v>
      </c>
      <c r="M1731" s="11">
        <v>26546.43</v>
      </c>
      <c r="N1731" s="12">
        <v>14733.07</v>
      </c>
      <c r="O1731" s="12">
        <v>6518.94</v>
      </c>
    </row>
    <row r="1732" spans="1:15">
      <c r="A1732" t="s">
        <v>1906</v>
      </c>
      <c r="B1732" t="s">
        <v>275</v>
      </c>
      <c r="C1732" s="9">
        <v>35430</v>
      </c>
      <c r="D1732">
        <f ca="1">DATEDIF(C1683,TODAY(),"Y")</f>
        <v>18</v>
      </c>
      <c r="E1732" t="s">
        <v>17</v>
      </c>
      <c r="F1732" t="s">
        <v>29</v>
      </c>
      <c r="G1732" s="9">
        <v>45460</v>
      </c>
      <c r="H1732" s="9">
        <v>44978</v>
      </c>
      <c r="I1732">
        <v>16</v>
      </c>
      <c r="J1732" t="s">
        <v>26</v>
      </c>
      <c r="K1732">
        <v>9</v>
      </c>
      <c r="L1732">
        <v>9</v>
      </c>
      <c r="M1732" s="11">
        <v>2806.99</v>
      </c>
      <c r="N1732" s="12">
        <v>13188.21</v>
      </c>
      <c r="O1732" s="12">
        <v>11679.37</v>
      </c>
    </row>
    <row r="1733" spans="1:15">
      <c r="A1733" t="s">
        <v>1907</v>
      </c>
      <c r="B1733" t="s">
        <v>211</v>
      </c>
      <c r="C1733" s="9">
        <v>20455</v>
      </c>
      <c r="D1733">
        <v>70</v>
      </c>
      <c r="E1733" t="s">
        <v>21</v>
      </c>
      <c r="F1733" t="s">
        <v>25</v>
      </c>
      <c r="G1733" s="9">
        <v>45145</v>
      </c>
      <c r="H1733" s="9">
        <v>45592</v>
      </c>
      <c r="I1733">
        <v>1</v>
      </c>
      <c r="J1733" t="s">
        <v>32</v>
      </c>
      <c r="K1733">
        <v>3</v>
      </c>
      <c r="L1733">
        <v>3</v>
      </c>
      <c r="M1733" s="11">
        <v>18544.12</v>
      </c>
      <c r="N1733" s="12">
        <v>14545.06</v>
      </c>
      <c r="O1733" s="12">
        <v>6263.66</v>
      </c>
    </row>
    <row r="1734" spans="1:15">
      <c r="A1734" t="s">
        <v>1908</v>
      </c>
      <c r="B1734" t="s">
        <v>155</v>
      </c>
      <c r="C1734" s="9">
        <v>19359</v>
      </c>
      <c r="D1734">
        <v>73</v>
      </c>
      <c r="E1734" t="s">
        <v>17</v>
      </c>
      <c r="F1734" t="s">
        <v>18</v>
      </c>
      <c r="G1734" s="9">
        <v>45028</v>
      </c>
      <c r="H1734" s="9">
        <v>45763</v>
      </c>
      <c r="I1734">
        <v>28</v>
      </c>
      <c r="J1734" t="s">
        <v>35</v>
      </c>
      <c r="K1734">
        <v>14</v>
      </c>
      <c r="L1734">
        <v>4</v>
      </c>
      <c r="M1734" s="11">
        <v>15912.18</v>
      </c>
      <c r="N1734" s="12">
        <v>10962.1</v>
      </c>
      <c r="O1734" s="12">
        <v>18023.48</v>
      </c>
    </row>
    <row r="1735" spans="1:15">
      <c r="A1735" t="s">
        <v>1909</v>
      </c>
      <c r="B1735" t="s">
        <v>600</v>
      </c>
      <c r="C1735" s="9">
        <v>23377</v>
      </c>
      <c r="D1735">
        <v>62</v>
      </c>
      <c r="E1735" t="s">
        <v>21</v>
      </c>
      <c r="F1735" t="s">
        <v>49</v>
      </c>
      <c r="G1735" s="9">
        <v>45583</v>
      </c>
      <c r="H1735" s="9">
        <v>45555</v>
      </c>
      <c r="I1735">
        <v>39</v>
      </c>
      <c r="J1735" t="s">
        <v>26</v>
      </c>
      <c r="K1735">
        <v>4</v>
      </c>
      <c r="L1735">
        <v>7</v>
      </c>
      <c r="M1735" s="11">
        <v>23182.45</v>
      </c>
      <c r="N1735" s="12">
        <v>2395.58</v>
      </c>
      <c r="O1735" s="12">
        <v>2563.5300000000002</v>
      </c>
    </row>
    <row r="1736" spans="1:15">
      <c r="A1736" t="s">
        <v>1910</v>
      </c>
      <c r="B1736" t="s">
        <v>57</v>
      </c>
      <c r="C1736" s="9">
        <v>36161</v>
      </c>
      <c r="D1736">
        <v>27</v>
      </c>
      <c r="E1736" t="s">
        <v>17</v>
      </c>
      <c r="F1736" t="s">
        <v>25</v>
      </c>
      <c r="G1736" s="9">
        <v>45382</v>
      </c>
      <c r="H1736" s="9">
        <v>45321</v>
      </c>
      <c r="I1736">
        <v>35</v>
      </c>
      <c r="J1736" t="s">
        <v>32</v>
      </c>
      <c r="K1736">
        <v>1</v>
      </c>
      <c r="L1736">
        <v>1</v>
      </c>
      <c r="M1736" s="11">
        <v>8673.42</v>
      </c>
      <c r="N1736" s="12">
        <v>8447.56</v>
      </c>
      <c r="O1736" s="12">
        <v>12603.69</v>
      </c>
    </row>
    <row r="1737" spans="1:15">
      <c r="A1737" t="s">
        <v>1911</v>
      </c>
      <c r="B1737" t="s">
        <v>73</v>
      </c>
      <c r="C1737" s="9">
        <v>24473</v>
      </c>
      <c r="D1737">
        <v>59</v>
      </c>
      <c r="E1737" t="s">
        <v>17</v>
      </c>
      <c r="F1737" t="s">
        <v>25</v>
      </c>
      <c r="G1737" s="9">
        <v>45585</v>
      </c>
      <c r="H1737" s="9">
        <v>45141</v>
      </c>
      <c r="I1737">
        <v>30</v>
      </c>
      <c r="J1737" t="s">
        <v>26</v>
      </c>
      <c r="K1737">
        <v>6</v>
      </c>
      <c r="L1737">
        <v>1</v>
      </c>
      <c r="M1737" s="11">
        <v>252.47</v>
      </c>
      <c r="N1737" s="12">
        <v>10973.94</v>
      </c>
      <c r="O1737" s="12">
        <v>14589.98</v>
      </c>
    </row>
    <row r="1738" spans="1:15">
      <c r="A1738" t="s">
        <v>1912</v>
      </c>
      <c r="B1738" t="s">
        <v>181</v>
      </c>
      <c r="C1738" s="9">
        <v>17533</v>
      </c>
      <c r="D1738">
        <v>78</v>
      </c>
      <c r="E1738" t="s">
        <v>21</v>
      </c>
      <c r="F1738" t="s">
        <v>22</v>
      </c>
      <c r="G1738" s="9">
        <v>45452</v>
      </c>
      <c r="H1738" s="9">
        <v>45378</v>
      </c>
      <c r="I1738">
        <v>3</v>
      </c>
      <c r="J1738" t="s">
        <v>35</v>
      </c>
      <c r="K1738">
        <v>7</v>
      </c>
      <c r="L1738">
        <v>1</v>
      </c>
      <c r="M1738" s="11">
        <v>5154.6899999999996</v>
      </c>
      <c r="N1738" s="12">
        <v>7701.94</v>
      </c>
      <c r="O1738" s="12">
        <v>13939.65</v>
      </c>
    </row>
    <row r="1739" spans="1:15">
      <c r="A1739" t="s">
        <v>1913</v>
      </c>
      <c r="B1739" t="s">
        <v>80</v>
      </c>
      <c r="C1739" s="9">
        <v>12054</v>
      </c>
      <c r="D1739">
        <v>93</v>
      </c>
      <c r="E1739" t="s">
        <v>17</v>
      </c>
      <c r="F1739" t="s">
        <v>74</v>
      </c>
      <c r="G1739" s="9">
        <v>45192</v>
      </c>
      <c r="H1739" s="9">
        <v>45266</v>
      </c>
      <c r="I1739">
        <v>5</v>
      </c>
      <c r="J1739" t="s">
        <v>26</v>
      </c>
      <c r="K1739">
        <v>9</v>
      </c>
      <c r="L1739">
        <v>7</v>
      </c>
      <c r="M1739" s="11">
        <v>5933.69</v>
      </c>
      <c r="N1739" s="12">
        <v>8320.01</v>
      </c>
      <c r="O1739" s="12">
        <v>5072.07</v>
      </c>
    </row>
    <row r="1740" spans="1:15">
      <c r="A1740" t="s">
        <v>1914</v>
      </c>
      <c r="B1740" t="s">
        <v>84</v>
      </c>
      <c r="C1740" s="9">
        <v>32873</v>
      </c>
      <c r="D1740">
        <v>36</v>
      </c>
      <c r="E1740" t="s">
        <v>17</v>
      </c>
      <c r="F1740" t="s">
        <v>25</v>
      </c>
      <c r="G1740" s="9">
        <v>45213</v>
      </c>
      <c r="H1740" s="9">
        <v>45278</v>
      </c>
      <c r="I1740">
        <v>25</v>
      </c>
      <c r="J1740" t="s">
        <v>26</v>
      </c>
      <c r="K1740">
        <v>14</v>
      </c>
      <c r="L1740">
        <v>2</v>
      </c>
      <c r="M1740" s="11">
        <v>0</v>
      </c>
      <c r="N1740" s="12">
        <v>8792.85</v>
      </c>
      <c r="O1740" s="12">
        <v>9669.24</v>
      </c>
    </row>
    <row r="1741" spans="1:15">
      <c r="A1741" t="s">
        <v>1915</v>
      </c>
      <c r="B1741" t="s">
        <v>69</v>
      </c>
      <c r="C1741" s="9">
        <v>12419</v>
      </c>
      <c r="D1741">
        <v>92</v>
      </c>
      <c r="E1741" t="s">
        <v>21</v>
      </c>
      <c r="F1741" t="s">
        <v>49</v>
      </c>
      <c r="G1741" s="9">
        <v>45067</v>
      </c>
      <c r="H1741" s="9">
        <v>45576</v>
      </c>
      <c r="I1741">
        <v>12</v>
      </c>
      <c r="J1741" t="s">
        <v>26</v>
      </c>
      <c r="K1741">
        <v>3</v>
      </c>
      <c r="L1741">
        <v>4</v>
      </c>
      <c r="M1741" s="11">
        <v>10796.98</v>
      </c>
      <c r="N1741" s="12">
        <v>7002.7</v>
      </c>
      <c r="O1741" s="12">
        <v>13233.27</v>
      </c>
    </row>
    <row r="1742" spans="1:15">
      <c r="A1742" t="s">
        <v>1916</v>
      </c>
      <c r="B1742" t="s">
        <v>71</v>
      </c>
      <c r="C1742" s="9">
        <v>38352</v>
      </c>
      <c r="D1742">
        <v>21</v>
      </c>
      <c r="E1742" t="s">
        <v>21</v>
      </c>
      <c r="F1742" t="s">
        <v>29</v>
      </c>
      <c r="G1742" s="9">
        <v>45332</v>
      </c>
      <c r="H1742" s="9">
        <v>45212</v>
      </c>
      <c r="I1742">
        <v>28</v>
      </c>
      <c r="J1742" t="s">
        <v>35</v>
      </c>
      <c r="K1742">
        <v>8</v>
      </c>
      <c r="L1742">
        <v>1</v>
      </c>
      <c r="M1742" s="11">
        <v>0</v>
      </c>
      <c r="N1742" s="12">
        <v>4358.83</v>
      </c>
      <c r="O1742" s="12">
        <v>18611.96</v>
      </c>
    </row>
    <row r="1743" spans="1:15">
      <c r="A1743" t="s">
        <v>1917</v>
      </c>
      <c r="B1743" t="s">
        <v>412</v>
      </c>
      <c r="C1743" s="9">
        <v>21551</v>
      </c>
      <c r="D1743">
        <v>67</v>
      </c>
      <c r="E1743" t="s">
        <v>17</v>
      </c>
      <c r="F1743" t="s">
        <v>18</v>
      </c>
      <c r="G1743" s="9">
        <v>45219</v>
      </c>
      <c r="H1743" s="9">
        <v>45805</v>
      </c>
      <c r="I1743">
        <v>5</v>
      </c>
      <c r="J1743" t="s">
        <v>35</v>
      </c>
      <c r="K1743">
        <v>5</v>
      </c>
      <c r="L1743">
        <v>5</v>
      </c>
      <c r="M1743" s="11">
        <v>1764.47</v>
      </c>
      <c r="N1743" s="12">
        <v>9555.3799999999992</v>
      </c>
      <c r="O1743" s="12">
        <v>9943.17</v>
      </c>
    </row>
    <row r="1744" spans="1:15">
      <c r="A1744" t="s">
        <v>1918</v>
      </c>
      <c r="B1744" t="s">
        <v>95</v>
      </c>
      <c r="C1744" s="9">
        <v>39083</v>
      </c>
      <c r="D1744">
        <v>19</v>
      </c>
      <c r="E1744" t="s">
        <v>21</v>
      </c>
      <c r="F1744" t="s">
        <v>74</v>
      </c>
      <c r="G1744" s="9">
        <v>44957</v>
      </c>
      <c r="H1744" s="9">
        <v>45510</v>
      </c>
      <c r="I1744">
        <v>3</v>
      </c>
      <c r="J1744" t="s">
        <v>26</v>
      </c>
      <c r="K1744">
        <v>8</v>
      </c>
      <c r="L1744">
        <v>9</v>
      </c>
      <c r="M1744" s="11">
        <v>14339.69</v>
      </c>
      <c r="N1744" s="12">
        <v>802.63</v>
      </c>
      <c r="O1744" s="12">
        <v>5940.23</v>
      </c>
    </row>
    <row r="1745" spans="1:15">
      <c r="A1745" t="s">
        <v>1919</v>
      </c>
      <c r="B1745" t="s">
        <v>204</v>
      </c>
      <c r="C1745" s="9">
        <v>21551</v>
      </c>
      <c r="D1745">
        <v>67</v>
      </c>
      <c r="E1745" t="s">
        <v>21</v>
      </c>
      <c r="F1745" t="s">
        <v>18</v>
      </c>
      <c r="G1745" s="9">
        <v>45097</v>
      </c>
      <c r="H1745" s="9">
        <v>45172</v>
      </c>
      <c r="I1745">
        <v>26</v>
      </c>
      <c r="J1745" t="s">
        <v>32</v>
      </c>
      <c r="K1745">
        <v>11</v>
      </c>
      <c r="L1745">
        <v>5</v>
      </c>
      <c r="M1745" s="11">
        <v>14708.63</v>
      </c>
      <c r="N1745" s="12">
        <v>2563.91</v>
      </c>
      <c r="O1745" s="12">
        <v>7669.07</v>
      </c>
    </row>
    <row r="1746" spans="1:15">
      <c r="A1746" t="s">
        <v>1920</v>
      </c>
      <c r="B1746" t="s">
        <v>444</v>
      </c>
      <c r="C1746" s="9">
        <v>13150</v>
      </c>
      <c r="D1746">
        <v>90</v>
      </c>
      <c r="E1746" t="s">
        <v>21</v>
      </c>
      <c r="F1746" t="s">
        <v>29</v>
      </c>
      <c r="G1746" s="9">
        <v>45281</v>
      </c>
      <c r="H1746" s="9">
        <v>45477</v>
      </c>
      <c r="I1746">
        <v>31</v>
      </c>
      <c r="J1746" t="s">
        <v>32</v>
      </c>
      <c r="K1746">
        <v>2</v>
      </c>
      <c r="L1746">
        <v>1</v>
      </c>
      <c r="M1746" s="11">
        <v>18284.03</v>
      </c>
      <c r="N1746" s="12">
        <v>13878.92</v>
      </c>
      <c r="O1746" s="12">
        <v>10780.51</v>
      </c>
    </row>
    <row r="1747" spans="1:15">
      <c r="A1747" t="s">
        <v>1921</v>
      </c>
      <c r="B1747" t="s">
        <v>204</v>
      </c>
      <c r="C1747" s="9">
        <v>23012</v>
      </c>
      <c r="D1747">
        <v>63</v>
      </c>
      <c r="E1747" t="s">
        <v>17</v>
      </c>
      <c r="F1747" t="s">
        <v>25</v>
      </c>
      <c r="G1747" s="9">
        <v>45131</v>
      </c>
      <c r="H1747" s="9">
        <v>45655</v>
      </c>
      <c r="I1747">
        <v>4</v>
      </c>
      <c r="J1747" t="s">
        <v>35</v>
      </c>
      <c r="K1747">
        <v>13</v>
      </c>
      <c r="L1747">
        <v>3</v>
      </c>
      <c r="M1747" s="11">
        <v>8971.7000000000007</v>
      </c>
      <c r="N1747" s="12">
        <v>7332.24</v>
      </c>
      <c r="O1747" s="12">
        <v>19524.810000000001</v>
      </c>
    </row>
    <row r="1748" spans="1:15">
      <c r="A1748" t="s">
        <v>1922</v>
      </c>
      <c r="B1748" t="s">
        <v>176</v>
      </c>
      <c r="C1748" s="9">
        <v>40178</v>
      </c>
      <c r="D1748">
        <v>16</v>
      </c>
      <c r="E1748" t="s">
        <v>17</v>
      </c>
      <c r="F1748" t="s">
        <v>22</v>
      </c>
      <c r="G1748" s="9">
        <v>45404</v>
      </c>
      <c r="H1748" s="9">
        <v>45566</v>
      </c>
      <c r="I1748">
        <v>37</v>
      </c>
      <c r="J1748" t="s">
        <v>32</v>
      </c>
      <c r="K1748">
        <v>4</v>
      </c>
      <c r="L1748">
        <v>1</v>
      </c>
      <c r="M1748" s="11">
        <v>7423.56</v>
      </c>
      <c r="N1748" s="12">
        <v>12325.26</v>
      </c>
      <c r="O1748" s="12">
        <v>12529.47</v>
      </c>
    </row>
    <row r="1749" spans="1:15">
      <c r="A1749" t="s">
        <v>1923</v>
      </c>
      <c r="B1749" t="s">
        <v>240</v>
      </c>
      <c r="C1749" s="9">
        <v>42005</v>
      </c>
      <c r="D1749">
        <v>11</v>
      </c>
      <c r="E1749" t="s">
        <v>17</v>
      </c>
      <c r="F1749" t="s">
        <v>49</v>
      </c>
      <c r="G1749" s="9">
        <v>45217</v>
      </c>
      <c r="H1749" s="9">
        <v>45511</v>
      </c>
      <c r="I1749">
        <v>7</v>
      </c>
      <c r="J1749" t="s">
        <v>32</v>
      </c>
      <c r="K1749">
        <v>0</v>
      </c>
      <c r="L1749">
        <v>9</v>
      </c>
      <c r="M1749" s="11">
        <v>14258.49</v>
      </c>
      <c r="N1749" s="12">
        <v>10898.11</v>
      </c>
      <c r="O1749" s="12">
        <v>3010.2</v>
      </c>
    </row>
    <row r="1750" spans="1:15">
      <c r="A1750" t="s">
        <v>1924</v>
      </c>
      <c r="B1750" t="s">
        <v>112</v>
      </c>
      <c r="C1750" s="9">
        <v>38352</v>
      </c>
      <c r="D1750">
        <v>21</v>
      </c>
      <c r="E1750" t="s">
        <v>17</v>
      </c>
      <c r="F1750" t="s">
        <v>74</v>
      </c>
      <c r="G1750" s="9">
        <v>45037</v>
      </c>
      <c r="H1750" s="9">
        <v>45153</v>
      </c>
      <c r="I1750">
        <v>10</v>
      </c>
      <c r="J1750" t="s">
        <v>26</v>
      </c>
      <c r="K1750">
        <v>2</v>
      </c>
      <c r="L1750">
        <v>3</v>
      </c>
      <c r="M1750" s="11">
        <v>19618.04</v>
      </c>
      <c r="N1750" s="12">
        <v>4810.6400000000003</v>
      </c>
      <c r="O1750" s="12">
        <v>16847.2</v>
      </c>
    </row>
    <row r="1751" spans="1:15">
      <c r="A1751" t="s">
        <v>1925</v>
      </c>
      <c r="B1751" t="s">
        <v>34</v>
      </c>
      <c r="C1751" s="9">
        <v>40178</v>
      </c>
      <c r="D1751">
        <v>16</v>
      </c>
      <c r="E1751" t="s">
        <v>21</v>
      </c>
      <c r="F1751" t="s">
        <v>49</v>
      </c>
      <c r="G1751" s="9">
        <v>44994</v>
      </c>
      <c r="H1751" s="9">
        <v>45754</v>
      </c>
      <c r="I1751">
        <v>19</v>
      </c>
      <c r="J1751" t="s">
        <v>32</v>
      </c>
      <c r="K1751">
        <v>3</v>
      </c>
      <c r="L1751">
        <v>6</v>
      </c>
      <c r="M1751" s="11">
        <v>860.06</v>
      </c>
      <c r="N1751" s="12">
        <v>12054.74</v>
      </c>
      <c r="O1751" s="12">
        <v>3547.09</v>
      </c>
    </row>
    <row r="1752" spans="1:15">
      <c r="A1752" t="s">
        <v>1926</v>
      </c>
      <c r="B1752" t="s">
        <v>229</v>
      </c>
      <c r="C1752" s="9">
        <v>42735</v>
      </c>
      <c r="D1752">
        <v>9</v>
      </c>
      <c r="E1752" t="s">
        <v>17</v>
      </c>
      <c r="F1752" t="s">
        <v>5184</v>
      </c>
      <c r="G1752" s="9">
        <v>45621</v>
      </c>
      <c r="H1752" s="9">
        <v>45368</v>
      </c>
      <c r="I1752">
        <v>18</v>
      </c>
      <c r="J1752" t="s">
        <v>35</v>
      </c>
      <c r="K1752">
        <v>12</v>
      </c>
      <c r="L1752">
        <v>4</v>
      </c>
      <c r="M1752" s="11">
        <v>8454.25</v>
      </c>
      <c r="N1752" s="12">
        <v>1369.84</v>
      </c>
      <c r="O1752" s="12">
        <v>678.8</v>
      </c>
    </row>
    <row r="1753" spans="1:15">
      <c r="A1753" t="s">
        <v>1927</v>
      </c>
      <c r="B1753" t="s">
        <v>246</v>
      </c>
      <c r="C1753" s="9">
        <f>DATE(2026-D1713,1,1)</f>
        <v>16438</v>
      </c>
      <c r="D1753">
        <v>64</v>
      </c>
      <c r="E1753" t="s">
        <v>17</v>
      </c>
      <c r="F1753" t="s">
        <v>49</v>
      </c>
      <c r="G1753" s="9">
        <v>45299</v>
      </c>
      <c r="H1753" s="9">
        <v>45401</v>
      </c>
      <c r="I1753">
        <v>2</v>
      </c>
      <c r="J1753" t="s">
        <v>32</v>
      </c>
      <c r="K1753">
        <v>7</v>
      </c>
      <c r="L1753">
        <v>9</v>
      </c>
      <c r="M1753" s="11">
        <v>23512.959999999999</v>
      </c>
      <c r="N1753" s="12">
        <v>13124.67</v>
      </c>
      <c r="O1753" s="12">
        <v>1914.22</v>
      </c>
    </row>
    <row r="1754" spans="1:15">
      <c r="A1754" t="s">
        <v>1928</v>
      </c>
      <c r="B1754" t="s">
        <v>174</v>
      </c>
      <c r="C1754" s="9">
        <v>38352</v>
      </c>
      <c r="D1754">
        <v>21</v>
      </c>
      <c r="E1754" t="s">
        <v>21</v>
      </c>
      <c r="F1754" t="s">
        <v>49</v>
      </c>
      <c r="G1754" s="9">
        <v>45122</v>
      </c>
      <c r="H1754" s="9">
        <v>45371</v>
      </c>
      <c r="I1754">
        <v>38</v>
      </c>
      <c r="J1754" t="s">
        <v>32</v>
      </c>
      <c r="K1754">
        <v>11</v>
      </c>
      <c r="L1754">
        <v>3</v>
      </c>
      <c r="M1754" s="11">
        <v>14267.78</v>
      </c>
      <c r="N1754" s="12">
        <v>10208.4</v>
      </c>
      <c r="O1754" s="12">
        <v>15701.05</v>
      </c>
    </row>
    <row r="1755" spans="1:15">
      <c r="A1755" t="s">
        <v>1929</v>
      </c>
      <c r="B1755" t="s">
        <v>539</v>
      </c>
      <c r="C1755" s="9">
        <v>13515</v>
      </c>
      <c r="D1755">
        <v>89</v>
      </c>
      <c r="E1755" t="s">
        <v>21</v>
      </c>
      <c r="F1755" t="s">
        <v>49</v>
      </c>
      <c r="G1755" s="9">
        <v>45052</v>
      </c>
      <c r="H1755" s="9">
        <v>45723</v>
      </c>
      <c r="I1755">
        <v>39</v>
      </c>
      <c r="J1755" t="s">
        <v>35</v>
      </c>
      <c r="K1755">
        <v>7</v>
      </c>
      <c r="L1755">
        <v>9</v>
      </c>
      <c r="M1755" s="11">
        <v>28530.69</v>
      </c>
      <c r="N1755" s="12">
        <v>13906.08</v>
      </c>
      <c r="O1755" s="12">
        <v>18028.099999999999</v>
      </c>
    </row>
    <row r="1756" spans="1:15">
      <c r="A1756" t="s">
        <v>1930</v>
      </c>
      <c r="B1756" t="s">
        <v>28</v>
      </c>
      <c r="C1756" s="9">
        <v>16437</v>
      </c>
      <c r="D1756">
        <v>81</v>
      </c>
      <c r="E1756" t="s">
        <v>21</v>
      </c>
      <c r="F1756" t="s">
        <v>29</v>
      </c>
      <c r="G1756" s="9">
        <v>45613</v>
      </c>
      <c r="H1756" s="9">
        <v>45339</v>
      </c>
      <c r="I1756">
        <v>1</v>
      </c>
      <c r="J1756" t="s">
        <v>35</v>
      </c>
      <c r="K1756">
        <v>6</v>
      </c>
      <c r="L1756">
        <v>9</v>
      </c>
      <c r="M1756" s="11">
        <v>25960.02</v>
      </c>
      <c r="N1756" s="12">
        <v>13432.66</v>
      </c>
      <c r="O1756" s="12">
        <v>5290.89</v>
      </c>
    </row>
    <row r="1757" spans="1:15">
      <c r="A1757" t="s">
        <v>1931</v>
      </c>
      <c r="B1757" t="s">
        <v>31</v>
      </c>
      <c r="C1757" s="9">
        <v>28125</v>
      </c>
      <c r="D1757">
        <v>49</v>
      </c>
      <c r="E1757" t="s">
        <v>17</v>
      </c>
      <c r="F1757" t="s">
        <v>49</v>
      </c>
      <c r="G1757" s="9">
        <v>45188</v>
      </c>
      <c r="H1757" s="9">
        <v>45741</v>
      </c>
      <c r="I1757">
        <v>26</v>
      </c>
      <c r="J1757" t="s">
        <v>26</v>
      </c>
      <c r="K1757">
        <v>11</v>
      </c>
      <c r="L1757">
        <v>2</v>
      </c>
      <c r="M1757" s="11">
        <v>9990.32</v>
      </c>
      <c r="N1757" s="12">
        <v>5703.93</v>
      </c>
      <c r="O1757" s="12">
        <v>9912.01</v>
      </c>
    </row>
    <row r="1758" spans="1:15">
      <c r="A1758" t="s">
        <v>1932</v>
      </c>
      <c r="B1758" t="s">
        <v>73</v>
      </c>
      <c r="C1758" s="9">
        <v>41274</v>
      </c>
      <c r="D1758">
        <v>13</v>
      </c>
      <c r="E1758" t="s">
        <v>17</v>
      </c>
      <c r="F1758" t="s">
        <v>22</v>
      </c>
      <c r="G1758" s="9">
        <v>45081</v>
      </c>
      <c r="H1758" s="9">
        <v>45173</v>
      </c>
      <c r="I1758">
        <v>8</v>
      </c>
      <c r="J1758" t="s">
        <v>32</v>
      </c>
      <c r="K1758">
        <v>13</v>
      </c>
      <c r="L1758">
        <v>5</v>
      </c>
      <c r="M1758" s="11">
        <v>21651.27</v>
      </c>
      <c r="N1758" s="12">
        <v>12852.49</v>
      </c>
      <c r="O1758" s="12">
        <v>11904.18</v>
      </c>
    </row>
    <row r="1759" spans="1:15">
      <c r="A1759" t="s">
        <v>1933</v>
      </c>
      <c r="B1759" t="s">
        <v>343</v>
      </c>
      <c r="C1759" s="9">
        <v>23012</v>
      </c>
      <c r="D1759">
        <v>63</v>
      </c>
      <c r="E1759" t="s">
        <v>17</v>
      </c>
      <c r="F1759" t="s">
        <v>49</v>
      </c>
      <c r="G1759" s="9">
        <v>45507</v>
      </c>
      <c r="H1759" s="9">
        <v>45510</v>
      </c>
      <c r="I1759">
        <v>34</v>
      </c>
      <c r="J1759" t="s">
        <v>32</v>
      </c>
      <c r="K1759">
        <v>10</v>
      </c>
      <c r="L1759">
        <v>1</v>
      </c>
      <c r="M1759" s="11">
        <v>7866.41</v>
      </c>
      <c r="N1759" s="12">
        <v>8445.24</v>
      </c>
      <c r="O1759" s="12">
        <v>8315.68</v>
      </c>
    </row>
    <row r="1760" spans="1:15">
      <c r="A1760" t="s">
        <v>1934</v>
      </c>
      <c r="B1760" t="s">
        <v>125</v>
      </c>
      <c r="C1760" s="9">
        <v>29221</v>
      </c>
      <c r="D1760">
        <v>46</v>
      </c>
      <c r="E1760" t="s">
        <v>5185</v>
      </c>
      <c r="F1760" t="s">
        <v>29</v>
      </c>
      <c r="G1760" s="9">
        <v>45034</v>
      </c>
      <c r="H1760" s="9">
        <v>45634</v>
      </c>
      <c r="I1760">
        <v>4</v>
      </c>
      <c r="J1760" t="s">
        <v>26</v>
      </c>
      <c r="K1760">
        <v>12</v>
      </c>
      <c r="L1760">
        <v>3</v>
      </c>
      <c r="M1760" s="11">
        <v>4846.54</v>
      </c>
      <c r="N1760" s="12">
        <v>2356.71</v>
      </c>
      <c r="O1760" s="12">
        <v>1213.01</v>
      </c>
    </row>
    <row r="1761" spans="1:15">
      <c r="A1761" t="s">
        <v>1935</v>
      </c>
      <c r="B1761" t="s">
        <v>300</v>
      </c>
      <c r="C1761" s="9">
        <v>35795</v>
      </c>
      <c r="D1761">
        <v>28</v>
      </c>
      <c r="E1761" t="s">
        <v>21</v>
      </c>
      <c r="F1761" t="s">
        <v>18</v>
      </c>
      <c r="G1761" s="9">
        <v>45349</v>
      </c>
      <c r="H1761" s="9">
        <v>45427</v>
      </c>
      <c r="I1761">
        <v>32</v>
      </c>
      <c r="J1761" t="s">
        <v>32</v>
      </c>
      <c r="K1761">
        <v>2</v>
      </c>
      <c r="L1761">
        <v>7</v>
      </c>
      <c r="M1761" s="11">
        <v>26371.119999999999</v>
      </c>
      <c r="N1761" s="12">
        <v>12443.26</v>
      </c>
      <c r="O1761" s="12">
        <v>1038.72</v>
      </c>
    </row>
    <row r="1762" spans="1:15">
      <c r="A1762" t="s">
        <v>1936</v>
      </c>
      <c r="B1762" t="s">
        <v>34</v>
      </c>
      <c r="C1762" s="9">
        <v>18629</v>
      </c>
      <c r="D1762">
        <v>75</v>
      </c>
      <c r="E1762" t="s">
        <v>17</v>
      </c>
      <c r="F1762" t="s">
        <v>29</v>
      </c>
      <c r="G1762" s="9">
        <v>44961</v>
      </c>
      <c r="H1762" s="9">
        <v>45477</v>
      </c>
      <c r="I1762">
        <v>27</v>
      </c>
      <c r="J1762" t="s">
        <v>32</v>
      </c>
      <c r="K1762">
        <v>4</v>
      </c>
      <c r="L1762">
        <v>1</v>
      </c>
      <c r="M1762" s="11">
        <v>10182.6</v>
      </c>
      <c r="N1762" s="12">
        <v>13618.8</v>
      </c>
      <c r="O1762" s="12">
        <v>8751.02</v>
      </c>
    </row>
    <row r="1763" spans="1:15">
      <c r="A1763" t="s">
        <v>1937</v>
      </c>
      <c r="B1763" t="s">
        <v>73</v>
      </c>
      <c r="C1763" s="9">
        <v>33239</v>
      </c>
      <c r="D1763">
        <v>35</v>
      </c>
      <c r="E1763" t="s">
        <v>17</v>
      </c>
      <c r="F1763" t="s">
        <v>5184</v>
      </c>
      <c r="G1763" s="9">
        <v>44970</v>
      </c>
      <c r="H1763" s="9">
        <v>45044</v>
      </c>
      <c r="I1763">
        <v>13</v>
      </c>
      <c r="J1763" t="s">
        <v>35</v>
      </c>
      <c r="K1763">
        <v>5</v>
      </c>
      <c r="L1763">
        <v>8</v>
      </c>
      <c r="M1763" s="11">
        <v>5704.25</v>
      </c>
      <c r="N1763" s="12">
        <v>1268.21</v>
      </c>
      <c r="O1763" s="12">
        <v>15937.14</v>
      </c>
    </row>
    <row r="1764" spans="1:15">
      <c r="A1764" t="s">
        <v>1938</v>
      </c>
      <c r="B1764" t="s">
        <v>20</v>
      </c>
      <c r="C1764" s="9">
        <v>27395</v>
      </c>
      <c r="D1764">
        <v>51</v>
      </c>
      <c r="E1764" t="s">
        <v>21</v>
      </c>
      <c r="F1764" t="s">
        <v>5184</v>
      </c>
      <c r="G1764" s="9">
        <v>45581</v>
      </c>
      <c r="H1764" s="9">
        <v>45677</v>
      </c>
      <c r="I1764">
        <v>12</v>
      </c>
      <c r="J1764" t="s">
        <v>35</v>
      </c>
      <c r="K1764">
        <v>11</v>
      </c>
      <c r="L1764">
        <v>1</v>
      </c>
      <c r="M1764" s="11">
        <v>0</v>
      </c>
      <c r="N1764" s="12">
        <v>13958.29</v>
      </c>
      <c r="O1764" s="12">
        <v>1601.06</v>
      </c>
    </row>
    <row r="1765" spans="1:15">
      <c r="A1765" t="s">
        <v>1939</v>
      </c>
      <c r="B1765" t="s">
        <v>87</v>
      </c>
      <c r="C1765" s="9">
        <v>18629</v>
      </c>
      <c r="D1765">
        <v>75</v>
      </c>
      <c r="E1765" t="s">
        <v>5185</v>
      </c>
      <c r="F1765" t="s">
        <v>22</v>
      </c>
      <c r="G1765" s="9">
        <v>45649</v>
      </c>
      <c r="H1765" s="9">
        <v>45291</v>
      </c>
      <c r="I1765">
        <v>37</v>
      </c>
      <c r="J1765" t="s">
        <v>32</v>
      </c>
      <c r="K1765">
        <v>1</v>
      </c>
      <c r="L1765">
        <v>7</v>
      </c>
      <c r="M1765" s="11">
        <v>446.38</v>
      </c>
      <c r="N1765" s="12">
        <v>9018.9699999999993</v>
      </c>
      <c r="O1765" s="12">
        <v>4034.08</v>
      </c>
    </row>
    <row r="1766" spans="1:15">
      <c r="A1766" t="s">
        <v>1940</v>
      </c>
      <c r="B1766" t="s">
        <v>174</v>
      </c>
      <c r="C1766" s="9">
        <v>43831</v>
      </c>
      <c r="D1766">
        <v>6</v>
      </c>
      <c r="E1766" t="s">
        <v>21</v>
      </c>
      <c r="F1766" t="s">
        <v>22</v>
      </c>
      <c r="G1766" s="9">
        <v>45342</v>
      </c>
      <c r="H1766" s="9">
        <v>45131</v>
      </c>
      <c r="I1766">
        <v>17</v>
      </c>
      <c r="J1766" t="s">
        <v>26</v>
      </c>
      <c r="K1766">
        <v>11</v>
      </c>
      <c r="L1766">
        <v>7</v>
      </c>
      <c r="M1766" s="11">
        <v>10690.43</v>
      </c>
      <c r="N1766" s="12">
        <v>388.46</v>
      </c>
      <c r="O1766" s="12">
        <v>5322.33</v>
      </c>
    </row>
    <row r="1767" spans="1:15">
      <c r="A1767" t="s">
        <v>1941</v>
      </c>
      <c r="B1767" t="s">
        <v>174</v>
      </c>
      <c r="C1767" s="9">
        <v>35795</v>
      </c>
      <c r="D1767">
        <v>28</v>
      </c>
      <c r="E1767" t="s">
        <v>17</v>
      </c>
      <c r="F1767" t="s">
        <v>25</v>
      </c>
      <c r="G1767" s="9">
        <v>45211</v>
      </c>
      <c r="H1767" s="9">
        <v>45278</v>
      </c>
      <c r="I1767">
        <v>25</v>
      </c>
      <c r="J1767" t="s">
        <v>32</v>
      </c>
      <c r="K1767">
        <v>1</v>
      </c>
      <c r="L1767">
        <v>6</v>
      </c>
      <c r="M1767" s="11">
        <v>671.75</v>
      </c>
      <c r="N1767" s="12">
        <v>8126.92</v>
      </c>
      <c r="O1767" s="12">
        <v>11138.43</v>
      </c>
    </row>
    <row r="1768" spans="1:15">
      <c r="A1768" t="s">
        <v>1942</v>
      </c>
      <c r="B1768" t="s">
        <v>184</v>
      </c>
      <c r="C1768" s="9">
        <v>42370</v>
      </c>
      <c r="D1768">
        <v>10</v>
      </c>
      <c r="E1768" t="s">
        <v>17</v>
      </c>
      <c r="F1768" t="s">
        <v>29</v>
      </c>
      <c r="G1768" s="9">
        <v>45373</v>
      </c>
      <c r="H1768" s="9">
        <v>45246</v>
      </c>
      <c r="I1768">
        <v>34</v>
      </c>
      <c r="J1768" t="s">
        <v>32</v>
      </c>
      <c r="K1768">
        <v>2</v>
      </c>
      <c r="L1768">
        <v>9</v>
      </c>
      <c r="M1768" s="11">
        <v>14875.06</v>
      </c>
      <c r="N1768" s="12">
        <v>11951.24</v>
      </c>
      <c r="O1768" s="12">
        <v>768.24</v>
      </c>
    </row>
    <row r="1769" spans="1:15">
      <c r="A1769" t="s">
        <v>1943</v>
      </c>
      <c r="B1769" t="s">
        <v>55</v>
      </c>
      <c r="C1769" s="9">
        <v>34334</v>
      </c>
      <c r="D1769">
        <v>32</v>
      </c>
      <c r="E1769" t="s">
        <v>17</v>
      </c>
      <c r="F1769" t="s">
        <v>18</v>
      </c>
      <c r="G1769" s="9">
        <v>45444</v>
      </c>
      <c r="H1769" s="9">
        <v>45286</v>
      </c>
      <c r="I1769">
        <v>0</v>
      </c>
      <c r="J1769" t="s">
        <v>35</v>
      </c>
      <c r="K1769">
        <v>1</v>
      </c>
      <c r="L1769">
        <v>5</v>
      </c>
      <c r="M1769" s="11">
        <v>11735.85</v>
      </c>
      <c r="N1769" s="12">
        <v>7997.72</v>
      </c>
      <c r="O1769" s="12">
        <v>17186.86</v>
      </c>
    </row>
    <row r="1770" spans="1:15">
      <c r="A1770" t="s">
        <v>1944</v>
      </c>
      <c r="B1770" t="s">
        <v>115</v>
      </c>
      <c r="C1770" s="9">
        <v>44196</v>
      </c>
      <c r="D1770">
        <v>5</v>
      </c>
      <c r="E1770" t="s">
        <v>17</v>
      </c>
      <c r="F1770" t="s">
        <v>25</v>
      </c>
      <c r="G1770" s="9">
        <v>45656</v>
      </c>
      <c r="H1770" s="9">
        <v>45444</v>
      </c>
      <c r="I1770">
        <v>26</v>
      </c>
      <c r="J1770" t="s">
        <v>32</v>
      </c>
      <c r="K1770">
        <v>8</v>
      </c>
      <c r="L1770">
        <v>0</v>
      </c>
      <c r="M1770" s="11">
        <v>21480.400000000001</v>
      </c>
      <c r="N1770" s="12">
        <v>10608.69</v>
      </c>
      <c r="O1770" s="12">
        <v>9361.61</v>
      </c>
    </row>
    <row r="1771" spans="1:15">
      <c r="A1771" t="s">
        <v>1945</v>
      </c>
      <c r="B1771" t="s">
        <v>119</v>
      </c>
      <c r="C1771" s="9">
        <f t="shared" ref="C1771:C1772" si="7">DATE(2026-D1731,1,1)</f>
        <v>16072</v>
      </c>
      <c r="D1771">
        <v>78</v>
      </c>
      <c r="E1771" t="s">
        <v>21</v>
      </c>
      <c r="F1771" t="s">
        <v>25</v>
      </c>
      <c r="G1771" s="9">
        <v>44953</v>
      </c>
      <c r="H1771" s="9">
        <v>45416</v>
      </c>
      <c r="I1771">
        <v>34</v>
      </c>
      <c r="J1771" t="s">
        <v>26</v>
      </c>
      <c r="K1771">
        <v>2</v>
      </c>
      <c r="L1771">
        <v>1</v>
      </c>
      <c r="M1771" s="11">
        <v>28598.05</v>
      </c>
      <c r="N1771" s="12">
        <v>13193.74</v>
      </c>
      <c r="O1771" s="12">
        <v>9653.17</v>
      </c>
    </row>
    <row r="1772" spans="1:15">
      <c r="A1772" t="s">
        <v>1946</v>
      </c>
      <c r="B1772" t="s">
        <v>664</v>
      </c>
      <c r="C1772" s="9">
        <f t="shared" ca="1" si="7"/>
        <v>39448</v>
      </c>
      <c r="D1772">
        <v>31</v>
      </c>
      <c r="E1772" t="s">
        <v>17</v>
      </c>
      <c r="F1772" t="s">
        <v>74</v>
      </c>
      <c r="G1772" s="9">
        <v>45153</v>
      </c>
      <c r="H1772" s="9">
        <v>45596</v>
      </c>
      <c r="I1772">
        <v>6</v>
      </c>
      <c r="J1772" t="s">
        <v>35</v>
      </c>
      <c r="K1772">
        <v>11</v>
      </c>
      <c r="L1772">
        <v>6</v>
      </c>
      <c r="M1772" s="11">
        <v>0</v>
      </c>
      <c r="N1772" s="12">
        <v>13046.42</v>
      </c>
      <c r="O1772" s="12">
        <v>6463.03</v>
      </c>
    </row>
    <row r="1773" spans="1:15">
      <c r="A1773" t="s">
        <v>1947</v>
      </c>
      <c r="B1773" t="s">
        <v>194</v>
      </c>
      <c r="C1773" s="9">
        <v>27760</v>
      </c>
      <c r="D1773">
        <v>50</v>
      </c>
      <c r="E1773" t="s">
        <v>21</v>
      </c>
      <c r="F1773" t="s">
        <v>49</v>
      </c>
      <c r="G1773" s="9">
        <v>45351</v>
      </c>
      <c r="H1773" s="9">
        <v>45034</v>
      </c>
      <c r="I1773">
        <v>24</v>
      </c>
      <c r="J1773" t="s">
        <v>35</v>
      </c>
      <c r="K1773">
        <v>11</v>
      </c>
      <c r="L1773">
        <v>3</v>
      </c>
      <c r="M1773" s="11">
        <v>0</v>
      </c>
      <c r="N1773" s="12">
        <v>2683.05</v>
      </c>
      <c r="O1773" s="12">
        <v>4161.25</v>
      </c>
    </row>
    <row r="1774" spans="1:15">
      <c r="A1774" t="s">
        <v>1948</v>
      </c>
      <c r="B1774" t="s">
        <v>187</v>
      </c>
      <c r="C1774" s="9">
        <v>18994</v>
      </c>
      <c r="D1774">
        <v>74</v>
      </c>
      <c r="E1774" t="s">
        <v>17</v>
      </c>
      <c r="F1774" t="s">
        <v>25</v>
      </c>
      <c r="G1774" s="9">
        <v>45494</v>
      </c>
      <c r="H1774" s="9">
        <v>45667</v>
      </c>
      <c r="I1774">
        <v>29</v>
      </c>
      <c r="J1774" t="s">
        <v>26</v>
      </c>
      <c r="K1774">
        <v>7</v>
      </c>
      <c r="L1774">
        <v>8</v>
      </c>
      <c r="M1774" s="11">
        <v>26101.360000000001</v>
      </c>
      <c r="N1774" s="12">
        <v>6406.95</v>
      </c>
      <c r="O1774" s="12">
        <v>7209.75</v>
      </c>
    </row>
    <row r="1775" spans="1:15">
      <c r="A1775" t="s">
        <v>1949</v>
      </c>
      <c r="B1775" t="s">
        <v>286</v>
      </c>
      <c r="C1775" s="9">
        <v>25203</v>
      </c>
      <c r="D1775">
        <v>57</v>
      </c>
      <c r="E1775" t="s">
        <v>17</v>
      </c>
      <c r="F1775" t="s">
        <v>25</v>
      </c>
      <c r="G1775" s="9">
        <v>45294</v>
      </c>
      <c r="H1775" s="9">
        <v>45581</v>
      </c>
      <c r="I1775">
        <v>36</v>
      </c>
      <c r="J1775" t="s">
        <v>32</v>
      </c>
      <c r="K1775">
        <v>0</v>
      </c>
      <c r="L1775">
        <v>2</v>
      </c>
      <c r="M1775" s="11">
        <v>17938.46</v>
      </c>
      <c r="N1775" s="12">
        <v>1667.48</v>
      </c>
      <c r="O1775" s="12">
        <v>18259.34</v>
      </c>
    </row>
    <row r="1776" spans="1:15">
      <c r="A1776" t="s">
        <v>1950</v>
      </c>
      <c r="B1776" t="s">
        <v>24</v>
      </c>
      <c r="C1776" s="9">
        <v>14611</v>
      </c>
      <c r="D1776">
        <v>86</v>
      </c>
      <c r="E1776" t="s">
        <v>17</v>
      </c>
      <c r="F1776" t="s">
        <v>22</v>
      </c>
      <c r="G1776" s="9">
        <v>45236</v>
      </c>
      <c r="H1776" s="9">
        <v>45753</v>
      </c>
      <c r="I1776">
        <v>28</v>
      </c>
      <c r="J1776" t="s">
        <v>32</v>
      </c>
      <c r="K1776">
        <v>12</v>
      </c>
      <c r="L1776">
        <v>3</v>
      </c>
      <c r="M1776" s="11">
        <v>16381.28</v>
      </c>
      <c r="N1776" s="12">
        <v>8926.4699999999993</v>
      </c>
      <c r="O1776" s="12">
        <v>1794.04</v>
      </c>
    </row>
    <row r="1777" spans="1:15">
      <c r="A1777" t="s">
        <v>1951</v>
      </c>
      <c r="B1777" t="s">
        <v>514</v>
      </c>
      <c r="C1777" s="9">
        <v>36891</v>
      </c>
      <c r="D1777">
        <v>25</v>
      </c>
      <c r="E1777" t="s">
        <v>21</v>
      </c>
      <c r="F1777" t="s">
        <v>18</v>
      </c>
      <c r="G1777" s="9">
        <v>45031</v>
      </c>
      <c r="H1777" s="9">
        <v>45099</v>
      </c>
      <c r="I1777">
        <v>23</v>
      </c>
      <c r="J1777" t="s">
        <v>32</v>
      </c>
      <c r="K1777">
        <v>2</v>
      </c>
      <c r="L1777">
        <v>2</v>
      </c>
      <c r="M1777" s="11">
        <v>5251.53</v>
      </c>
      <c r="N1777" s="12">
        <v>14320.9</v>
      </c>
      <c r="O1777" s="12">
        <v>1120.6400000000001</v>
      </c>
    </row>
    <row r="1778" spans="1:15">
      <c r="A1778" t="s">
        <v>1952</v>
      </c>
      <c r="B1778" t="s">
        <v>356</v>
      </c>
      <c r="C1778" s="9">
        <f>DATE(2026-D1738,1,1)</f>
        <v>17533</v>
      </c>
      <c r="D1778">
        <v>45</v>
      </c>
      <c r="E1778" t="s">
        <v>17</v>
      </c>
      <c r="F1778" t="s">
        <v>25</v>
      </c>
      <c r="G1778" s="9">
        <v>44944</v>
      </c>
      <c r="H1778" s="9">
        <v>45585</v>
      </c>
      <c r="I1778">
        <v>37</v>
      </c>
      <c r="J1778" t="s">
        <v>35</v>
      </c>
      <c r="K1778">
        <v>5</v>
      </c>
      <c r="L1778">
        <v>6</v>
      </c>
      <c r="M1778" s="11">
        <v>738.04</v>
      </c>
      <c r="N1778" s="12">
        <v>2727.7</v>
      </c>
      <c r="O1778" s="12">
        <v>2200.4699999999998</v>
      </c>
    </row>
    <row r="1779" spans="1:15">
      <c r="A1779" t="s">
        <v>1953</v>
      </c>
      <c r="B1779" t="s">
        <v>1148</v>
      </c>
      <c r="C1779" s="9">
        <v>35795</v>
      </c>
      <c r="D1779">
        <v>28</v>
      </c>
      <c r="E1779" t="s">
        <v>17</v>
      </c>
      <c r="F1779" t="s">
        <v>5184</v>
      </c>
      <c r="G1779" s="9">
        <v>45131</v>
      </c>
      <c r="H1779" s="9">
        <v>45446</v>
      </c>
      <c r="I1779">
        <v>0</v>
      </c>
      <c r="J1779" t="s">
        <v>32</v>
      </c>
      <c r="K1779">
        <v>0</v>
      </c>
      <c r="L1779">
        <v>1</v>
      </c>
      <c r="M1779" s="11">
        <v>13572.85</v>
      </c>
      <c r="N1779" s="12">
        <v>6054.46</v>
      </c>
      <c r="O1779" s="12">
        <v>15517.25</v>
      </c>
    </row>
    <row r="1780" spans="1:15">
      <c r="A1780" t="s">
        <v>1954</v>
      </c>
      <c r="B1780" t="s">
        <v>28</v>
      </c>
      <c r="C1780" s="9">
        <v>44927</v>
      </c>
      <c r="D1780">
        <v>3</v>
      </c>
      <c r="E1780" t="s">
        <v>17</v>
      </c>
      <c r="F1780" t="s">
        <v>18</v>
      </c>
      <c r="G1780" s="9">
        <v>44969</v>
      </c>
      <c r="H1780" s="9">
        <v>45782</v>
      </c>
      <c r="I1780">
        <v>8</v>
      </c>
      <c r="J1780" t="s">
        <v>32</v>
      </c>
      <c r="K1780">
        <v>6</v>
      </c>
      <c r="L1780">
        <v>9</v>
      </c>
      <c r="M1780" s="11">
        <v>0</v>
      </c>
      <c r="N1780" s="12">
        <v>14310.4</v>
      </c>
      <c r="O1780" s="12">
        <v>873.17</v>
      </c>
    </row>
    <row r="1781" spans="1:15">
      <c r="A1781" t="s">
        <v>1955</v>
      </c>
      <c r="B1781" t="s">
        <v>412</v>
      </c>
      <c r="C1781" s="9">
        <v>16802</v>
      </c>
      <c r="D1781">
        <v>80</v>
      </c>
      <c r="E1781" t="s">
        <v>21</v>
      </c>
      <c r="F1781" t="s">
        <v>49</v>
      </c>
      <c r="G1781" s="9">
        <v>45015</v>
      </c>
      <c r="H1781" s="9">
        <v>45792</v>
      </c>
      <c r="I1781">
        <v>26</v>
      </c>
      <c r="J1781" t="s">
        <v>26</v>
      </c>
      <c r="K1781">
        <v>8</v>
      </c>
      <c r="L1781">
        <v>1</v>
      </c>
      <c r="M1781" s="11">
        <v>0</v>
      </c>
      <c r="N1781" s="12">
        <v>11251.77</v>
      </c>
      <c r="O1781" s="12">
        <v>6596.62</v>
      </c>
    </row>
    <row r="1782" spans="1:15">
      <c r="A1782" t="s">
        <v>1956</v>
      </c>
      <c r="B1782" t="s">
        <v>244</v>
      </c>
      <c r="C1782" s="9">
        <v>41639</v>
      </c>
      <c r="D1782">
        <v>12</v>
      </c>
      <c r="E1782" t="s">
        <v>21</v>
      </c>
      <c r="F1782" t="s">
        <v>5184</v>
      </c>
      <c r="G1782" s="9">
        <v>45512</v>
      </c>
      <c r="H1782" s="9">
        <v>45740</v>
      </c>
      <c r="I1782">
        <v>24</v>
      </c>
      <c r="J1782" t="s">
        <v>32</v>
      </c>
      <c r="K1782">
        <v>2</v>
      </c>
      <c r="L1782">
        <v>1</v>
      </c>
      <c r="M1782" s="11">
        <v>1311.6</v>
      </c>
      <c r="N1782" s="12">
        <v>1067.54</v>
      </c>
      <c r="O1782" s="12">
        <v>8439.67</v>
      </c>
    </row>
    <row r="1783" spans="1:15">
      <c r="A1783" t="s">
        <v>1957</v>
      </c>
      <c r="B1783" t="s">
        <v>422</v>
      </c>
      <c r="C1783" s="9">
        <v>32143</v>
      </c>
      <c r="D1783">
        <v>38</v>
      </c>
      <c r="E1783" t="s">
        <v>21</v>
      </c>
      <c r="F1783" t="s">
        <v>22</v>
      </c>
      <c r="G1783" s="9">
        <v>45083</v>
      </c>
      <c r="H1783" s="9">
        <v>45455</v>
      </c>
      <c r="I1783">
        <v>7</v>
      </c>
      <c r="J1783" t="s">
        <v>32</v>
      </c>
      <c r="K1783">
        <v>7</v>
      </c>
      <c r="L1783">
        <v>3</v>
      </c>
      <c r="M1783" s="11">
        <v>6090.45</v>
      </c>
      <c r="N1783" s="12">
        <v>6426.23</v>
      </c>
      <c r="O1783" s="12">
        <v>10092.93</v>
      </c>
    </row>
    <row r="1784" spans="1:15">
      <c r="A1784" t="s">
        <v>1958</v>
      </c>
      <c r="B1784" t="s">
        <v>145</v>
      </c>
      <c r="C1784" s="9">
        <v>40909</v>
      </c>
      <c r="D1784">
        <v>14</v>
      </c>
      <c r="E1784" t="s">
        <v>17</v>
      </c>
      <c r="F1784" t="s">
        <v>5184</v>
      </c>
      <c r="G1784" s="9">
        <v>45192</v>
      </c>
      <c r="H1784" s="9">
        <v>45247</v>
      </c>
      <c r="I1784">
        <v>32</v>
      </c>
      <c r="J1784" t="s">
        <v>35</v>
      </c>
      <c r="K1784">
        <v>12</v>
      </c>
      <c r="L1784">
        <v>7</v>
      </c>
      <c r="M1784" s="11">
        <v>1424.5</v>
      </c>
      <c r="N1784" s="12">
        <v>14818.29</v>
      </c>
      <c r="O1784" s="12">
        <v>35.700000000000003</v>
      </c>
    </row>
    <row r="1785" spans="1:15">
      <c r="A1785" t="s">
        <v>1959</v>
      </c>
      <c r="B1785" t="s">
        <v>91</v>
      </c>
      <c r="C1785" s="9">
        <v>35795</v>
      </c>
      <c r="D1785">
        <v>28</v>
      </c>
      <c r="E1785" t="s">
        <v>17</v>
      </c>
      <c r="F1785" t="s">
        <v>74</v>
      </c>
      <c r="G1785" s="9">
        <v>45060</v>
      </c>
      <c r="H1785" s="9">
        <v>44964</v>
      </c>
      <c r="I1785">
        <v>20</v>
      </c>
      <c r="J1785" t="s">
        <v>32</v>
      </c>
      <c r="K1785">
        <v>1</v>
      </c>
      <c r="L1785">
        <v>7</v>
      </c>
      <c r="M1785" s="11">
        <v>1212.22</v>
      </c>
      <c r="N1785" s="12">
        <v>6798.64</v>
      </c>
      <c r="O1785" s="12">
        <v>9683.98</v>
      </c>
    </row>
    <row r="1786" spans="1:15">
      <c r="A1786" t="s">
        <v>1960</v>
      </c>
      <c r="B1786" t="s">
        <v>41</v>
      </c>
      <c r="C1786" s="9">
        <f>DATE(2026-D1746,1,1)</f>
        <v>13150</v>
      </c>
      <c r="D1786">
        <v>28</v>
      </c>
      <c r="E1786" t="s">
        <v>5185</v>
      </c>
      <c r="F1786" t="s">
        <v>74</v>
      </c>
      <c r="G1786" s="9">
        <v>45390</v>
      </c>
      <c r="H1786" s="9">
        <v>45426</v>
      </c>
      <c r="I1786">
        <v>3</v>
      </c>
      <c r="J1786" t="s">
        <v>32</v>
      </c>
      <c r="K1786">
        <v>5</v>
      </c>
      <c r="L1786">
        <v>7</v>
      </c>
      <c r="M1786" s="11">
        <v>13047.07</v>
      </c>
      <c r="N1786" s="12">
        <v>9441.02</v>
      </c>
      <c r="O1786" s="12">
        <v>3817.98</v>
      </c>
    </row>
    <row r="1787" spans="1:15">
      <c r="A1787" t="s">
        <v>1961</v>
      </c>
      <c r="B1787" t="s">
        <v>207</v>
      </c>
      <c r="C1787" s="9">
        <v>18994</v>
      </c>
      <c r="D1787">
        <v>74</v>
      </c>
      <c r="E1787" t="s">
        <v>21</v>
      </c>
      <c r="F1787" t="s">
        <v>49</v>
      </c>
      <c r="G1787" s="9">
        <v>45527</v>
      </c>
      <c r="H1787" s="9">
        <v>45592</v>
      </c>
      <c r="I1787">
        <v>8</v>
      </c>
      <c r="J1787" t="s">
        <v>26</v>
      </c>
      <c r="K1787">
        <v>1</v>
      </c>
      <c r="L1787">
        <v>7</v>
      </c>
      <c r="M1787" s="11">
        <v>24212.45</v>
      </c>
      <c r="N1787" s="12">
        <v>10514.65</v>
      </c>
      <c r="O1787" s="12">
        <v>1867.33</v>
      </c>
    </row>
    <row r="1788" spans="1:15">
      <c r="A1788" t="s">
        <v>1962</v>
      </c>
      <c r="B1788" t="s">
        <v>194</v>
      </c>
      <c r="C1788" s="9">
        <v>34700</v>
      </c>
      <c r="D1788">
        <v>31</v>
      </c>
      <c r="E1788" t="s">
        <v>21</v>
      </c>
      <c r="F1788" t="s">
        <v>49</v>
      </c>
      <c r="G1788" s="9">
        <v>45058</v>
      </c>
      <c r="H1788" s="9">
        <v>45192</v>
      </c>
      <c r="I1788">
        <v>24</v>
      </c>
      <c r="J1788" t="s">
        <v>35</v>
      </c>
      <c r="K1788">
        <v>9</v>
      </c>
      <c r="L1788">
        <v>6</v>
      </c>
      <c r="M1788" s="11">
        <v>19751.64</v>
      </c>
      <c r="N1788" s="12">
        <v>9958.9699999999993</v>
      </c>
      <c r="O1788" s="12">
        <v>10619.26</v>
      </c>
    </row>
    <row r="1789" spans="1:15">
      <c r="A1789" t="s">
        <v>1963</v>
      </c>
      <c r="B1789" t="s">
        <v>332</v>
      </c>
      <c r="C1789" s="9">
        <v>45657</v>
      </c>
      <c r="D1789">
        <v>1</v>
      </c>
      <c r="E1789" t="s">
        <v>17</v>
      </c>
      <c r="F1789" t="s">
        <v>5184</v>
      </c>
      <c r="G1789" s="9">
        <v>44960</v>
      </c>
      <c r="H1789" s="9">
        <v>45622</v>
      </c>
      <c r="I1789">
        <v>28</v>
      </c>
      <c r="J1789" t="s">
        <v>26</v>
      </c>
      <c r="K1789">
        <v>8</v>
      </c>
      <c r="L1789">
        <v>5</v>
      </c>
      <c r="M1789" s="11">
        <v>20222.12</v>
      </c>
      <c r="N1789" s="12">
        <v>7780.78</v>
      </c>
      <c r="O1789" s="12">
        <v>14857.4</v>
      </c>
    </row>
    <row r="1790" spans="1:15">
      <c r="A1790" t="s">
        <v>1964</v>
      </c>
      <c r="B1790" t="s">
        <v>292</v>
      </c>
      <c r="C1790" s="9">
        <v>29221</v>
      </c>
      <c r="D1790">
        <v>46</v>
      </c>
      <c r="E1790" t="s">
        <v>17</v>
      </c>
      <c r="F1790" t="s">
        <v>22</v>
      </c>
      <c r="G1790" s="9">
        <v>45009</v>
      </c>
      <c r="H1790" s="9">
        <v>45595</v>
      </c>
      <c r="I1790">
        <v>27</v>
      </c>
      <c r="J1790" t="s">
        <v>32</v>
      </c>
      <c r="K1790">
        <v>9</v>
      </c>
      <c r="L1790">
        <v>6</v>
      </c>
      <c r="M1790" s="11">
        <v>7504.32</v>
      </c>
      <c r="N1790" s="12">
        <v>1991.94</v>
      </c>
      <c r="O1790" s="12">
        <v>18688.47</v>
      </c>
    </row>
    <row r="1791" spans="1:15">
      <c r="A1791" t="s">
        <v>1965</v>
      </c>
      <c r="B1791" t="s">
        <v>159</v>
      </c>
      <c r="C1791" s="9">
        <v>17898</v>
      </c>
      <c r="D1791">
        <v>77</v>
      </c>
      <c r="E1791" t="s">
        <v>17</v>
      </c>
      <c r="F1791" t="s">
        <v>22</v>
      </c>
      <c r="G1791" s="9">
        <v>45058</v>
      </c>
      <c r="H1791" s="9">
        <v>45576</v>
      </c>
      <c r="I1791">
        <v>0</v>
      </c>
      <c r="J1791" t="s">
        <v>32</v>
      </c>
      <c r="K1791">
        <v>7</v>
      </c>
      <c r="L1791">
        <v>4</v>
      </c>
      <c r="M1791" s="11">
        <v>161.32</v>
      </c>
      <c r="N1791" s="12">
        <v>10626.22</v>
      </c>
      <c r="O1791" s="12">
        <v>18244.46</v>
      </c>
    </row>
    <row r="1792" spans="1:15">
      <c r="A1792" t="s">
        <v>1966</v>
      </c>
      <c r="B1792" t="s">
        <v>578</v>
      </c>
      <c r="C1792" s="9">
        <v>15707</v>
      </c>
      <c r="D1792">
        <v>83</v>
      </c>
      <c r="E1792" t="s">
        <v>17</v>
      </c>
      <c r="F1792" t="s">
        <v>29</v>
      </c>
      <c r="G1792" s="9">
        <v>45354</v>
      </c>
      <c r="H1792" s="9">
        <v>45329</v>
      </c>
      <c r="I1792">
        <v>10</v>
      </c>
      <c r="J1792" t="s">
        <v>32</v>
      </c>
      <c r="K1792">
        <v>12</v>
      </c>
      <c r="L1792">
        <v>7</v>
      </c>
      <c r="M1792" s="11">
        <v>13244.72</v>
      </c>
      <c r="N1792" s="12">
        <v>13999.92</v>
      </c>
      <c r="O1792" s="12">
        <v>7919.83</v>
      </c>
    </row>
    <row r="1793" spans="1:15">
      <c r="A1793" t="s">
        <v>1967</v>
      </c>
      <c r="B1793" t="s">
        <v>172</v>
      </c>
      <c r="C1793" s="9">
        <v>38352</v>
      </c>
      <c r="D1793">
        <v>21</v>
      </c>
      <c r="E1793" t="s">
        <v>21</v>
      </c>
      <c r="F1793" t="s">
        <v>25</v>
      </c>
      <c r="G1793" s="9">
        <v>45130</v>
      </c>
      <c r="H1793" s="9">
        <v>45529</v>
      </c>
      <c r="I1793">
        <v>37</v>
      </c>
      <c r="J1793" t="s">
        <v>32</v>
      </c>
      <c r="K1793">
        <v>10</v>
      </c>
      <c r="L1793">
        <v>1</v>
      </c>
      <c r="M1793" s="11">
        <v>11002.29</v>
      </c>
      <c r="N1793" s="12">
        <v>14125.45</v>
      </c>
      <c r="O1793" s="12">
        <v>14051.56</v>
      </c>
    </row>
    <row r="1794" spans="1:15">
      <c r="A1794" t="s">
        <v>1968</v>
      </c>
      <c r="B1794" t="s">
        <v>226</v>
      </c>
      <c r="C1794" s="9">
        <v>18994</v>
      </c>
      <c r="D1794">
        <v>74</v>
      </c>
      <c r="E1794" t="s">
        <v>17</v>
      </c>
      <c r="F1794" t="s">
        <v>25</v>
      </c>
      <c r="G1794" s="9">
        <v>45262</v>
      </c>
      <c r="H1794" s="9">
        <v>45145</v>
      </c>
      <c r="I1794">
        <v>18</v>
      </c>
      <c r="J1794" t="s">
        <v>32</v>
      </c>
      <c r="K1794">
        <v>8</v>
      </c>
      <c r="L1794">
        <v>4</v>
      </c>
      <c r="M1794" s="11">
        <v>28390.67</v>
      </c>
      <c r="N1794" s="12">
        <v>8900.84</v>
      </c>
      <c r="O1794" s="12">
        <v>13881.97</v>
      </c>
    </row>
    <row r="1795" spans="1:15">
      <c r="A1795" t="s">
        <v>1969</v>
      </c>
      <c r="B1795" t="s">
        <v>356</v>
      </c>
      <c r="C1795" s="9">
        <v>36526</v>
      </c>
      <c r="D1795">
        <v>26</v>
      </c>
      <c r="E1795" t="s">
        <v>17</v>
      </c>
      <c r="F1795" t="s">
        <v>25</v>
      </c>
      <c r="G1795" s="9">
        <v>45423</v>
      </c>
      <c r="H1795" s="9">
        <v>45257</v>
      </c>
      <c r="I1795">
        <v>8</v>
      </c>
      <c r="J1795" t="s">
        <v>35</v>
      </c>
      <c r="K1795">
        <v>10</v>
      </c>
      <c r="L1795">
        <v>6</v>
      </c>
      <c r="M1795" s="11">
        <v>1696.6</v>
      </c>
      <c r="N1795" s="12">
        <v>7382.96</v>
      </c>
      <c r="O1795" s="12">
        <v>8183.32</v>
      </c>
    </row>
    <row r="1796" spans="1:15">
      <c r="A1796" t="s">
        <v>1970</v>
      </c>
      <c r="B1796" t="s">
        <v>392</v>
      </c>
      <c r="C1796" s="9">
        <v>21916</v>
      </c>
      <c r="D1796">
        <v>66</v>
      </c>
      <c r="E1796" t="s">
        <v>17</v>
      </c>
      <c r="F1796" t="s">
        <v>18</v>
      </c>
      <c r="G1796" s="9">
        <v>45368</v>
      </c>
      <c r="H1796" s="9">
        <v>45113</v>
      </c>
      <c r="I1796">
        <v>0</v>
      </c>
      <c r="J1796" t="s">
        <v>26</v>
      </c>
      <c r="K1796">
        <v>11</v>
      </c>
      <c r="L1796">
        <v>8</v>
      </c>
      <c r="M1796" s="11">
        <v>23180.79</v>
      </c>
      <c r="N1796" s="12">
        <v>5009.42</v>
      </c>
      <c r="O1796" s="12">
        <v>1874.03</v>
      </c>
    </row>
    <row r="1797" spans="1:15">
      <c r="A1797" t="s">
        <v>1971</v>
      </c>
      <c r="B1797" t="s">
        <v>145</v>
      </c>
      <c r="C1797" s="9">
        <v>16802</v>
      </c>
      <c r="D1797">
        <v>80</v>
      </c>
      <c r="E1797" t="s">
        <v>21</v>
      </c>
      <c r="F1797" t="s">
        <v>29</v>
      </c>
      <c r="G1797" s="9">
        <v>45184</v>
      </c>
      <c r="H1797" s="9">
        <v>45308</v>
      </c>
      <c r="I1797">
        <v>35</v>
      </c>
      <c r="J1797" t="s">
        <v>32</v>
      </c>
      <c r="K1797">
        <v>8</v>
      </c>
      <c r="L1797">
        <v>9</v>
      </c>
      <c r="M1797" s="11">
        <v>11255.19</v>
      </c>
      <c r="N1797" s="12">
        <v>1553.53</v>
      </c>
      <c r="O1797" s="12">
        <v>7578.38</v>
      </c>
    </row>
    <row r="1798" spans="1:15">
      <c r="A1798" t="s">
        <v>1972</v>
      </c>
      <c r="B1798" t="s">
        <v>306</v>
      </c>
      <c r="C1798" s="9">
        <v>25934</v>
      </c>
      <c r="D1798">
        <v>55</v>
      </c>
      <c r="E1798" t="s">
        <v>21</v>
      </c>
      <c r="F1798" t="s">
        <v>5184</v>
      </c>
      <c r="G1798" s="9">
        <v>45218</v>
      </c>
      <c r="H1798" s="9">
        <v>45136</v>
      </c>
      <c r="I1798">
        <v>28</v>
      </c>
      <c r="J1798" t="s">
        <v>32</v>
      </c>
      <c r="K1798">
        <v>10</v>
      </c>
      <c r="L1798">
        <v>0</v>
      </c>
      <c r="M1798" s="11">
        <v>24803.4</v>
      </c>
      <c r="N1798" s="12">
        <v>13246.77</v>
      </c>
      <c r="O1798" s="12">
        <v>19846.39</v>
      </c>
    </row>
    <row r="1799" spans="1:15">
      <c r="A1799" t="s">
        <v>1973</v>
      </c>
      <c r="B1799" t="s">
        <v>143</v>
      </c>
      <c r="C1799" s="9">
        <v>12785</v>
      </c>
      <c r="D1799">
        <v>91</v>
      </c>
      <c r="E1799" t="s">
        <v>21</v>
      </c>
      <c r="F1799" t="s">
        <v>25</v>
      </c>
      <c r="G1799" s="9">
        <v>45051</v>
      </c>
      <c r="H1799" s="9">
        <v>45490</v>
      </c>
      <c r="I1799">
        <v>21</v>
      </c>
      <c r="J1799" t="s">
        <v>35</v>
      </c>
      <c r="K1799">
        <v>1</v>
      </c>
      <c r="L1799">
        <v>8</v>
      </c>
      <c r="M1799" s="11">
        <v>14594.69</v>
      </c>
      <c r="N1799" s="12">
        <v>2055.8000000000002</v>
      </c>
      <c r="O1799" s="12">
        <v>11056.2</v>
      </c>
    </row>
    <row r="1800" spans="1:15">
      <c r="A1800" t="s">
        <v>1974</v>
      </c>
      <c r="B1800" t="s">
        <v>469</v>
      </c>
      <c r="C1800" s="9">
        <v>12419</v>
      </c>
      <c r="D1800">
        <v>92</v>
      </c>
      <c r="E1800" t="s">
        <v>17</v>
      </c>
      <c r="F1800" t="s">
        <v>18</v>
      </c>
      <c r="G1800" s="9">
        <v>45589</v>
      </c>
      <c r="H1800" s="9">
        <v>45215</v>
      </c>
      <c r="I1800">
        <v>39</v>
      </c>
      <c r="J1800" t="s">
        <v>32</v>
      </c>
      <c r="K1800">
        <v>1</v>
      </c>
      <c r="L1800">
        <v>2</v>
      </c>
      <c r="M1800" s="11">
        <v>24525.31</v>
      </c>
      <c r="N1800" s="12">
        <v>4319.1899999999996</v>
      </c>
      <c r="O1800" s="12">
        <v>6761.96</v>
      </c>
    </row>
    <row r="1801" spans="1:15">
      <c r="A1801" t="s">
        <v>1975</v>
      </c>
      <c r="B1801" t="s">
        <v>37</v>
      </c>
      <c r="C1801" s="9">
        <v>38717</v>
      </c>
      <c r="D1801">
        <v>20</v>
      </c>
      <c r="E1801" t="s">
        <v>21</v>
      </c>
      <c r="F1801" t="s">
        <v>18</v>
      </c>
      <c r="G1801" s="9">
        <v>45101</v>
      </c>
      <c r="H1801" s="9">
        <v>45015</v>
      </c>
      <c r="I1801">
        <v>9</v>
      </c>
      <c r="J1801" t="s">
        <v>32</v>
      </c>
      <c r="K1801">
        <v>10</v>
      </c>
      <c r="L1801">
        <v>0</v>
      </c>
      <c r="M1801" s="11">
        <v>13738.88</v>
      </c>
      <c r="N1801" s="12">
        <v>11105.98</v>
      </c>
      <c r="O1801" s="12">
        <v>14850.68</v>
      </c>
    </row>
    <row r="1802" spans="1:15">
      <c r="A1802" t="s">
        <v>1976</v>
      </c>
      <c r="B1802" t="s">
        <v>211</v>
      </c>
      <c r="C1802" s="9">
        <v>29221</v>
      </c>
      <c r="D1802">
        <v>46</v>
      </c>
      <c r="E1802" t="s">
        <v>21</v>
      </c>
      <c r="F1802" t="s">
        <v>74</v>
      </c>
      <c r="G1802" s="9">
        <v>45418</v>
      </c>
      <c r="H1802" s="9">
        <v>45063</v>
      </c>
      <c r="I1802">
        <v>24</v>
      </c>
      <c r="J1802" t="s">
        <v>32</v>
      </c>
      <c r="K1802">
        <v>5</v>
      </c>
      <c r="L1802">
        <v>6</v>
      </c>
      <c r="M1802" s="11">
        <v>11756.72</v>
      </c>
      <c r="N1802" s="12">
        <v>10571.46</v>
      </c>
      <c r="O1802" s="12">
        <v>13695.15</v>
      </c>
    </row>
    <row r="1803" spans="1:15">
      <c r="A1803" t="s">
        <v>1977</v>
      </c>
      <c r="B1803" t="s">
        <v>546</v>
      </c>
      <c r="C1803" s="9">
        <f>DATE(2026-D1763,1,1)</f>
        <v>33239</v>
      </c>
      <c r="D1803">
        <v>79</v>
      </c>
      <c r="E1803" t="s">
        <v>21</v>
      </c>
      <c r="F1803" t="s">
        <v>18</v>
      </c>
      <c r="G1803" s="9">
        <v>45006</v>
      </c>
      <c r="H1803" s="9">
        <v>45085</v>
      </c>
      <c r="I1803">
        <v>18</v>
      </c>
      <c r="J1803" t="s">
        <v>32</v>
      </c>
      <c r="K1803">
        <v>12</v>
      </c>
      <c r="L1803">
        <v>2</v>
      </c>
      <c r="M1803" s="11">
        <v>28893.11</v>
      </c>
      <c r="N1803" s="12">
        <v>10215.19</v>
      </c>
      <c r="O1803" s="12">
        <v>11533.88</v>
      </c>
    </row>
    <row r="1804" spans="1:15">
      <c r="A1804" t="s">
        <v>1978</v>
      </c>
      <c r="B1804" t="s">
        <v>55</v>
      </c>
      <c r="C1804" s="9">
        <v>24838</v>
      </c>
      <c r="D1804">
        <v>58</v>
      </c>
      <c r="E1804" t="s">
        <v>17</v>
      </c>
      <c r="F1804" t="s">
        <v>49</v>
      </c>
      <c r="G1804" s="9">
        <v>45545</v>
      </c>
      <c r="H1804" s="9">
        <v>45721</v>
      </c>
      <c r="I1804">
        <v>22</v>
      </c>
      <c r="J1804" t="s">
        <v>32</v>
      </c>
      <c r="K1804">
        <v>14</v>
      </c>
      <c r="L1804">
        <v>7</v>
      </c>
      <c r="M1804" s="11">
        <v>10750.17</v>
      </c>
      <c r="N1804" s="12">
        <v>11125.6</v>
      </c>
      <c r="O1804" s="12">
        <v>12712.4</v>
      </c>
    </row>
    <row r="1805" spans="1:15">
      <c r="A1805" t="s">
        <v>1979</v>
      </c>
      <c r="B1805" t="s">
        <v>356</v>
      </c>
      <c r="C1805" s="9">
        <v>15707</v>
      </c>
      <c r="D1805">
        <v>83</v>
      </c>
      <c r="E1805" t="s">
        <v>21</v>
      </c>
      <c r="F1805" t="s">
        <v>22</v>
      </c>
      <c r="G1805" s="9">
        <v>45231</v>
      </c>
      <c r="H1805" s="9">
        <v>45082</v>
      </c>
      <c r="I1805">
        <v>27</v>
      </c>
      <c r="J1805" t="s">
        <v>32</v>
      </c>
      <c r="K1805">
        <v>11</v>
      </c>
      <c r="L1805">
        <v>1</v>
      </c>
      <c r="M1805" s="11">
        <v>24061.65</v>
      </c>
      <c r="N1805" s="12">
        <v>8129.66</v>
      </c>
      <c r="O1805" s="12">
        <v>11657.25</v>
      </c>
    </row>
    <row r="1806" spans="1:15">
      <c r="A1806" t="s">
        <v>1980</v>
      </c>
      <c r="B1806" t="s">
        <v>194</v>
      </c>
      <c r="C1806" s="9">
        <v>44196</v>
      </c>
      <c r="D1806">
        <v>5</v>
      </c>
      <c r="E1806" t="s">
        <v>17</v>
      </c>
      <c r="F1806" t="s">
        <v>18</v>
      </c>
      <c r="G1806" s="9">
        <v>45436</v>
      </c>
      <c r="H1806" s="9">
        <v>45390</v>
      </c>
      <c r="I1806">
        <v>27</v>
      </c>
      <c r="J1806" t="s">
        <v>26</v>
      </c>
      <c r="K1806">
        <v>1</v>
      </c>
      <c r="L1806">
        <v>3</v>
      </c>
      <c r="M1806" s="11">
        <v>1544.49</v>
      </c>
      <c r="N1806" s="12">
        <v>2324.2600000000002</v>
      </c>
      <c r="O1806" s="12">
        <v>19121.169999999998</v>
      </c>
    </row>
    <row r="1807" spans="1:15">
      <c r="A1807" t="s">
        <v>1981</v>
      </c>
      <c r="B1807" t="s">
        <v>774</v>
      </c>
      <c r="C1807" s="9">
        <v>39448</v>
      </c>
      <c r="D1807">
        <v>18</v>
      </c>
      <c r="E1807" t="s">
        <v>21</v>
      </c>
      <c r="F1807" t="s">
        <v>49</v>
      </c>
      <c r="G1807" s="9">
        <v>45270</v>
      </c>
      <c r="H1807" s="9">
        <v>45147</v>
      </c>
      <c r="I1807">
        <v>7</v>
      </c>
      <c r="J1807" t="s">
        <v>26</v>
      </c>
      <c r="K1807">
        <v>13</v>
      </c>
      <c r="L1807">
        <v>1</v>
      </c>
      <c r="M1807" s="11">
        <v>1410.78</v>
      </c>
      <c r="N1807" s="12">
        <v>14975.37</v>
      </c>
      <c r="O1807" s="12">
        <v>10133.59</v>
      </c>
    </row>
    <row r="1808" spans="1:15">
      <c r="A1808" t="s">
        <v>1982</v>
      </c>
      <c r="B1808" t="s">
        <v>379</v>
      </c>
      <c r="C1808" s="9">
        <v>25568</v>
      </c>
      <c r="D1808">
        <v>56</v>
      </c>
      <c r="E1808" t="s">
        <v>21</v>
      </c>
      <c r="F1808" t="s">
        <v>49</v>
      </c>
      <c r="G1808" s="9">
        <v>45496</v>
      </c>
      <c r="H1808" s="9">
        <v>45386</v>
      </c>
      <c r="I1808">
        <v>0</v>
      </c>
      <c r="J1808" t="s">
        <v>26</v>
      </c>
      <c r="K1808">
        <v>3</v>
      </c>
      <c r="L1808">
        <v>3</v>
      </c>
      <c r="M1808" s="11">
        <v>12862.3</v>
      </c>
      <c r="N1808" s="12">
        <v>13382.09</v>
      </c>
      <c r="O1808" s="12">
        <v>11762.84</v>
      </c>
    </row>
    <row r="1809" spans="1:15">
      <c r="A1809" t="s">
        <v>1983</v>
      </c>
      <c r="B1809" t="s">
        <v>615</v>
      </c>
      <c r="C1809" s="9">
        <v>21185</v>
      </c>
      <c r="D1809">
        <v>68</v>
      </c>
      <c r="E1809" t="s">
        <v>17</v>
      </c>
      <c r="F1809" t="s">
        <v>74</v>
      </c>
      <c r="G1809" s="9">
        <v>45017</v>
      </c>
      <c r="H1809" s="9">
        <v>45094</v>
      </c>
      <c r="I1809">
        <v>10</v>
      </c>
      <c r="J1809" t="s">
        <v>32</v>
      </c>
      <c r="K1809">
        <v>4</v>
      </c>
      <c r="L1809">
        <v>0</v>
      </c>
      <c r="M1809" s="11">
        <v>17359.89</v>
      </c>
      <c r="N1809" s="12">
        <v>6467.28</v>
      </c>
      <c r="O1809" s="12">
        <v>9380.26</v>
      </c>
    </row>
    <row r="1810" spans="1:15">
      <c r="A1810" t="s">
        <v>1984</v>
      </c>
      <c r="B1810" t="s">
        <v>237</v>
      </c>
      <c r="C1810" s="9">
        <v>45292</v>
      </c>
      <c r="D1810">
        <v>2</v>
      </c>
      <c r="E1810" t="s">
        <v>21</v>
      </c>
      <c r="F1810" t="s">
        <v>5184</v>
      </c>
      <c r="G1810" s="9">
        <v>45573</v>
      </c>
      <c r="H1810" s="9">
        <v>45249</v>
      </c>
      <c r="I1810">
        <v>24</v>
      </c>
      <c r="J1810" t="s">
        <v>32</v>
      </c>
      <c r="K1810">
        <v>12</v>
      </c>
      <c r="L1810">
        <v>9</v>
      </c>
      <c r="M1810" s="11">
        <v>18060.259999999998</v>
      </c>
      <c r="N1810" s="12">
        <v>7954.89</v>
      </c>
      <c r="O1810" s="12">
        <v>11964.47</v>
      </c>
    </row>
    <row r="1811" spans="1:15">
      <c r="A1811" t="s">
        <v>1985</v>
      </c>
      <c r="B1811" t="s">
        <v>502</v>
      </c>
      <c r="C1811" s="9">
        <v>46022</v>
      </c>
      <c r="D1811">
        <v>0</v>
      </c>
      <c r="E1811" t="s">
        <v>21</v>
      </c>
      <c r="F1811" t="s">
        <v>74</v>
      </c>
      <c r="G1811" s="9">
        <v>45095</v>
      </c>
      <c r="H1811" s="9">
        <v>45618</v>
      </c>
      <c r="I1811">
        <v>15</v>
      </c>
      <c r="J1811" t="s">
        <v>35</v>
      </c>
      <c r="K1811">
        <v>1</v>
      </c>
      <c r="L1811">
        <v>4</v>
      </c>
      <c r="M1811" s="11">
        <v>609.78</v>
      </c>
      <c r="N1811" s="12">
        <v>5903.26</v>
      </c>
      <c r="O1811" s="12">
        <v>17805.62</v>
      </c>
    </row>
    <row r="1812" spans="1:15">
      <c r="A1812" t="s">
        <v>1986</v>
      </c>
      <c r="B1812" t="s">
        <v>524</v>
      </c>
      <c r="C1812" s="9">
        <v>25203</v>
      </c>
      <c r="D1812">
        <v>57</v>
      </c>
      <c r="E1812" t="s">
        <v>21</v>
      </c>
      <c r="F1812" t="s">
        <v>18</v>
      </c>
      <c r="G1812" s="9">
        <v>45260</v>
      </c>
      <c r="H1812" s="9">
        <v>45768</v>
      </c>
      <c r="I1812">
        <v>21</v>
      </c>
      <c r="J1812" t="s">
        <v>35</v>
      </c>
      <c r="K1812">
        <v>14</v>
      </c>
      <c r="L1812">
        <v>2</v>
      </c>
      <c r="M1812" s="11">
        <v>20750.57</v>
      </c>
      <c r="N1812" s="12">
        <v>9569.67</v>
      </c>
      <c r="O1812" s="12">
        <v>6729.07</v>
      </c>
    </row>
    <row r="1813" spans="1:15">
      <c r="A1813" t="s">
        <v>1987</v>
      </c>
      <c r="B1813" t="s">
        <v>97</v>
      </c>
      <c r="C1813" s="9">
        <v>32508</v>
      </c>
      <c r="D1813">
        <v>37</v>
      </c>
      <c r="E1813" t="s">
        <v>17</v>
      </c>
      <c r="F1813" t="s">
        <v>74</v>
      </c>
      <c r="G1813" s="9">
        <v>45560</v>
      </c>
      <c r="H1813" s="9">
        <v>45489</v>
      </c>
      <c r="I1813">
        <v>11</v>
      </c>
      <c r="J1813" t="s">
        <v>35</v>
      </c>
      <c r="K1813">
        <v>11</v>
      </c>
      <c r="L1813">
        <v>8</v>
      </c>
      <c r="M1813" s="11">
        <v>3462.74</v>
      </c>
      <c r="N1813" s="12">
        <v>10967.1</v>
      </c>
      <c r="O1813" s="12">
        <v>9867.65</v>
      </c>
    </row>
    <row r="1814" spans="1:15">
      <c r="A1814" t="s">
        <v>1988</v>
      </c>
      <c r="B1814" t="s">
        <v>129</v>
      </c>
      <c r="C1814" s="9">
        <v>40909</v>
      </c>
      <c r="D1814">
        <v>14</v>
      </c>
      <c r="E1814" t="s">
        <v>17</v>
      </c>
      <c r="F1814" t="s">
        <v>74</v>
      </c>
      <c r="G1814" s="9">
        <v>45162</v>
      </c>
      <c r="H1814" s="9">
        <v>45740</v>
      </c>
      <c r="I1814">
        <v>36</v>
      </c>
      <c r="J1814" t="s">
        <v>26</v>
      </c>
      <c r="K1814">
        <v>4</v>
      </c>
      <c r="L1814">
        <v>3</v>
      </c>
      <c r="M1814" s="11">
        <v>28638.02</v>
      </c>
      <c r="N1814" s="12">
        <v>3473.45</v>
      </c>
      <c r="O1814" s="12">
        <v>8917.08</v>
      </c>
    </row>
    <row r="1815" spans="1:15">
      <c r="A1815" t="s">
        <v>1989</v>
      </c>
      <c r="B1815" t="s">
        <v>546</v>
      </c>
      <c r="C1815" s="9">
        <v>33969</v>
      </c>
      <c r="D1815">
        <v>33</v>
      </c>
      <c r="E1815" t="s">
        <v>21</v>
      </c>
      <c r="F1815" t="s">
        <v>5184</v>
      </c>
      <c r="G1815" s="9">
        <v>45325</v>
      </c>
      <c r="H1815" s="9">
        <v>45439</v>
      </c>
      <c r="I1815">
        <v>1</v>
      </c>
      <c r="J1815" t="s">
        <v>26</v>
      </c>
      <c r="K1815">
        <v>2</v>
      </c>
      <c r="L1815">
        <v>5</v>
      </c>
      <c r="M1815" s="11">
        <v>9673.24</v>
      </c>
      <c r="N1815" s="12">
        <v>6491.95</v>
      </c>
      <c r="O1815" s="12">
        <v>7899.34</v>
      </c>
    </row>
    <row r="1816" spans="1:15">
      <c r="A1816" t="s">
        <v>1990</v>
      </c>
      <c r="B1816" t="s">
        <v>223</v>
      </c>
      <c r="C1816" s="9">
        <v>24107</v>
      </c>
      <c r="D1816">
        <v>60</v>
      </c>
      <c r="E1816" t="s">
        <v>21</v>
      </c>
      <c r="F1816" t="s">
        <v>22</v>
      </c>
      <c r="G1816" s="9">
        <v>45514</v>
      </c>
      <c r="H1816" s="9">
        <v>45014</v>
      </c>
      <c r="I1816">
        <v>13</v>
      </c>
      <c r="J1816" t="s">
        <v>26</v>
      </c>
      <c r="K1816">
        <v>4</v>
      </c>
      <c r="L1816">
        <v>8</v>
      </c>
      <c r="M1816" s="11">
        <v>7474.07</v>
      </c>
      <c r="N1816" s="12">
        <v>9603.52</v>
      </c>
      <c r="O1816" s="12">
        <v>16402.849999999999</v>
      </c>
    </row>
    <row r="1817" spans="1:15">
      <c r="A1817" t="s">
        <v>1991</v>
      </c>
      <c r="B1817" t="s">
        <v>600</v>
      </c>
      <c r="C1817" s="9">
        <v>33604</v>
      </c>
      <c r="D1817">
        <v>34</v>
      </c>
      <c r="E1817" t="s">
        <v>5185</v>
      </c>
      <c r="F1817" t="s">
        <v>25</v>
      </c>
      <c r="G1817" s="9">
        <v>45403</v>
      </c>
      <c r="H1817" s="9">
        <v>45472</v>
      </c>
      <c r="I1817">
        <v>7</v>
      </c>
      <c r="J1817" t="s">
        <v>32</v>
      </c>
      <c r="K1817">
        <v>4</v>
      </c>
      <c r="L1817">
        <v>1</v>
      </c>
      <c r="M1817" s="11">
        <v>8383.61</v>
      </c>
      <c r="N1817" s="12">
        <v>14820.3</v>
      </c>
      <c r="O1817" s="12">
        <v>4562.1000000000004</v>
      </c>
    </row>
    <row r="1818" spans="1:15">
      <c r="A1818" t="s">
        <v>1992</v>
      </c>
      <c r="B1818" t="s">
        <v>367</v>
      </c>
      <c r="C1818" s="9">
        <v>23012</v>
      </c>
      <c r="D1818">
        <v>63</v>
      </c>
      <c r="E1818" t="s">
        <v>17</v>
      </c>
      <c r="F1818" t="s">
        <v>18</v>
      </c>
      <c r="G1818" s="9">
        <v>45461</v>
      </c>
      <c r="H1818" s="9">
        <v>45202</v>
      </c>
      <c r="I1818">
        <v>34</v>
      </c>
      <c r="J1818" t="s">
        <v>26</v>
      </c>
      <c r="K1818">
        <v>14</v>
      </c>
      <c r="L1818">
        <v>6</v>
      </c>
      <c r="M1818" s="11">
        <v>28089.279999999999</v>
      </c>
      <c r="N1818" s="12">
        <v>4873.1099999999997</v>
      </c>
      <c r="O1818" s="12">
        <v>9948.35</v>
      </c>
    </row>
    <row r="1819" spans="1:15">
      <c r="A1819" t="s">
        <v>1993</v>
      </c>
      <c r="B1819" t="s">
        <v>108</v>
      </c>
      <c r="C1819" s="9">
        <v>37256</v>
      </c>
      <c r="D1819">
        <v>24</v>
      </c>
      <c r="E1819" t="s">
        <v>21</v>
      </c>
      <c r="F1819" t="s">
        <v>5184</v>
      </c>
      <c r="G1819" s="9">
        <v>45511</v>
      </c>
      <c r="H1819" s="9">
        <v>45068</v>
      </c>
      <c r="I1819">
        <v>24</v>
      </c>
      <c r="J1819" t="s">
        <v>32</v>
      </c>
      <c r="K1819">
        <v>2</v>
      </c>
      <c r="L1819">
        <v>2</v>
      </c>
      <c r="M1819" s="11">
        <v>14226.66</v>
      </c>
      <c r="N1819" s="12">
        <v>11175.01</v>
      </c>
      <c r="O1819" s="12">
        <v>18485.150000000001</v>
      </c>
    </row>
    <row r="1820" spans="1:15">
      <c r="A1820" t="s">
        <v>1994</v>
      </c>
      <c r="B1820" t="s">
        <v>123</v>
      </c>
      <c r="C1820" s="9">
        <v>37622</v>
      </c>
      <c r="D1820">
        <v>23</v>
      </c>
      <c r="E1820" t="s">
        <v>17</v>
      </c>
      <c r="F1820" t="s">
        <v>18</v>
      </c>
      <c r="G1820" s="9">
        <v>45014</v>
      </c>
      <c r="H1820" s="9">
        <v>45645</v>
      </c>
      <c r="I1820">
        <v>2</v>
      </c>
      <c r="J1820" t="s">
        <v>32</v>
      </c>
      <c r="K1820">
        <v>1</v>
      </c>
      <c r="L1820">
        <v>0</v>
      </c>
      <c r="M1820" s="11">
        <v>12757.73</v>
      </c>
      <c r="N1820" s="12">
        <v>5200.08</v>
      </c>
      <c r="O1820" s="12">
        <v>3141.22</v>
      </c>
    </row>
    <row r="1821" spans="1:15">
      <c r="A1821" t="s">
        <v>1995</v>
      </c>
      <c r="B1821" t="s">
        <v>39</v>
      </c>
      <c r="C1821" s="9">
        <v>42005</v>
      </c>
      <c r="D1821">
        <v>11</v>
      </c>
      <c r="E1821" t="s">
        <v>17</v>
      </c>
      <c r="F1821" t="s">
        <v>18</v>
      </c>
      <c r="G1821" s="9">
        <v>45541</v>
      </c>
      <c r="H1821" s="9">
        <v>45663</v>
      </c>
      <c r="I1821">
        <v>2</v>
      </c>
      <c r="J1821" t="s">
        <v>32</v>
      </c>
      <c r="K1821">
        <v>1</v>
      </c>
      <c r="L1821">
        <v>8</v>
      </c>
      <c r="M1821" s="11">
        <v>16759.900000000001</v>
      </c>
      <c r="N1821" s="12">
        <v>1385.1</v>
      </c>
      <c r="O1821" s="12">
        <v>6.65</v>
      </c>
    </row>
    <row r="1822" spans="1:15">
      <c r="A1822" t="s">
        <v>1996</v>
      </c>
      <c r="B1822" t="s">
        <v>181</v>
      </c>
      <c r="C1822" s="9">
        <v>39813</v>
      </c>
      <c r="D1822">
        <v>17</v>
      </c>
      <c r="E1822" t="s">
        <v>17</v>
      </c>
      <c r="F1822" t="s">
        <v>74</v>
      </c>
      <c r="G1822" s="9">
        <v>45532</v>
      </c>
      <c r="H1822" s="9">
        <v>45552</v>
      </c>
      <c r="I1822">
        <v>10</v>
      </c>
      <c r="J1822" t="s">
        <v>32</v>
      </c>
      <c r="K1822">
        <v>9</v>
      </c>
      <c r="L1822">
        <v>8</v>
      </c>
      <c r="M1822" s="11">
        <v>27888.240000000002</v>
      </c>
      <c r="N1822" s="12">
        <v>11552.19</v>
      </c>
      <c r="O1822" s="12">
        <v>5230.99</v>
      </c>
    </row>
    <row r="1823" spans="1:15">
      <c r="A1823" t="s">
        <v>1997</v>
      </c>
      <c r="B1823" t="s">
        <v>172</v>
      </c>
      <c r="C1823" s="9">
        <v>40909</v>
      </c>
      <c r="D1823">
        <v>14</v>
      </c>
      <c r="E1823" t="s">
        <v>21</v>
      </c>
      <c r="F1823" t="s">
        <v>22</v>
      </c>
      <c r="G1823" s="9">
        <v>45179</v>
      </c>
      <c r="H1823" s="9">
        <v>45717</v>
      </c>
      <c r="I1823">
        <v>0</v>
      </c>
      <c r="J1823" t="s">
        <v>35</v>
      </c>
      <c r="K1823">
        <v>8</v>
      </c>
      <c r="L1823">
        <v>3</v>
      </c>
      <c r="M1823" s="11">
        <v>8904.3700000000008</v>
      </c>
      <c r="N1823" s="12">
        <v>9739.6</v>
      </c>
      <c r="O1823" s="12">
        <v>18438.46</v>
      </c>
    </row>
    <row r="1824" spans="1:15">
      <c r="A1824" t="s">
        <v>1998</v>
      </c>
      <c r="B1824" t="s">
        <v>201</v>
      </c>
      <c r="C1824" s="9">
        <v>17168</v>
      </c>
      <c r="D1824">
        <v>79</v>
      </c>
      <c r="E1824" t="s">
        <v>21</v>
      </c>
      <c r="F1824" t="s">
        <v>74</v>
      </c>
      <c r="G1824" s="9">
        <v>45284</v>
      </c>
      <c r="H1824" s="9">
        <v>45280</v>
      </c>
      <c r="I1824">
        <v>14</v>
      </c>
      <c r="J1824" t="s">
        <v>32</v>
      </c>
      <c r="K1824">
        <v>5</v>
      </c>
      <c r="L1824">
        <v>8</v>
      </c>
      <c r="M1824" s="11">
        <v>5015.01</v>
      </c>
      <c r="N1824" s="12">
        <v>7715.1</v>
      </c>
      <c r="O1824" s="12">
        <v>1661.25</v>
      </c>
    </row>
    <row r="1825" spans="1:15">
      <c r="A1825" t="s">
        <v>1999</v>
      </c>
      <c r="B1825" t="s">
        <v>44</v>
      </c>
      <c r="C1825" s="9">
        <v>36526</v>
      </c>
      <c r="D1825">
        <v>26</v>
      </c>
      <c r="E1825" t="s">
        <v>21</v>
      </c>
      <c r="F1825" t="s">
        <v>49</v>
      </c>
      <c r="G1825" s="9">
        <v>44984</v>
      </c>
      <c r="H1825" s="9">
        <v>44932</v>
      </c>
      <c r="I1825">
        <v>16</v>
      </c>
      <c r="J1825" t="s">
        <v>35</v>
      </c>
      <c r="K1825">
        <v>0</v>
      </c>
      <c r="L1825">
        <v>6</v>
      </c>
      <c r="M1825" s="11">
        <v>17662.47</v>
      </c>
      <c r="N1825" s="12">
        <v>10125.540000000001</v>
      </c>
      <c r="O1825" s="12">
        <v>2655.2</v>
      </c>
    </row>
    <row r="1826" spans="1:15">
      <c r="A1826" t="s">
        <v>2000</v>
      </c>
      <c r="B1826" t="s">
        <v>292</v>
      </c>
      <c r="C1826" s="9">
        <v>20090</v>
      </c>
      <c r="D1826">
        <v>71</v>
      </c>
      <c r="E1826" t="s">
        <v>17</v>
      </c>
      <c r="F1826" t="s">
        <v>29</v>
      </c>
      <c r="G1826" s="9">
        <v>45325</v>
      </c>
      <c r="H1826" s="9">
        <v>45309</v>
      </c>
      <c r="I1826">
        <v>34</v>
      </c>
      <c r="J1826" t="s">
        <v>32</v>
      </c>
      <c r="K1826">
        <v>2</v>
      </c>
      <c r="L1826">
        <v>3</v>
      </c>
      <c r="M1826" s="11">
        <v>14496.08</v>
      </c>
      <c r="N1826" s="12">
        <v>13189.5</v>
      </c>
      <c r="O1826" s="12">
        <v>6338.83</v>
      </c>
    </row>
    <row r="1827" spans="1:15">
      <c r="A1827" t="s">
        <v>2001</v>
      </c>
      <c r="B1827" t="s">
        <v>97</v>
      </c>
      <c r="C1827" s="9">
        <v>24473</v>
      </c>
      <c r="D1827">
        <v>59</v>
      </c>
      <c r="E1827" t="s">
        <v>17</v>
      </c>
      <c r="F1827" t="s">
        <v>29</v>
      </c>
      <c r="G1827" s="9">
        <v>45447</v>
      </c>
      <c r="H1827" s="9">
        <v>45651</v>
      </c>
      <c r="I1827">
        <v>2</v>
      </c>
      <c r="J1827" t="s">
        <v>32</v>
      </c>
      <c r="K1827">
        <v>4</v>
      </c>
      <c r="L1827">
        <v>1</v>
      </c>
      <c r="M1827" s="11">
        <v>1390.03</v>
      </c>
      <c r="N1827" s="12">
        <v>11347.66</v>
      </c>
      <c r="O1827" s="12">
        <v>15371.04</v>
      </c>
    </row>
    <row r="1828" spans="1:15">
      <c r="A1828" t="s">
        <v>2002</v>
      </c>
      <c r="B1828" t="s">
        <v>252</v>
      </c>
      <c r="C1828" s="9">
        <v>29586</v>
      </c>
      <c r="D1828">
        <v>45</v>
      </c>
      <c r="E1828" t="s">
        <v>21</v>
      </c>
      <c r="F1828" t="s">
        <v>5184</v>
      </c>
      <c r="G1828" s="9">
        <v>45451</v>
      </c>
      <c r="H1828" s="9">
        <v>45695</v>
      </c>
      <c r="I1828">
        <v>39</v>
      </c>
      <c r="J1828" t="s">
        <v>26</v>
      </c>
      <c r="K1828">
        <v>3</v>
      </c>
      <c r="L1828">
        <v>4</v>
      </c>
      <c r="M1828" s="11">
        <v>15419.09</v>
      </c>
      <c r="N1828" s="12">
        <v>12867.26</v>
      </c>
      <c r="O1828" s="12">
        <v>15000.74</v>
      </c>
    </row>
    <row r="1829" spans="1:15">
      <c r="A1829" t="s">
        <v>2003</v>
      </c>
      <c r="B1829" t="s">
        <v>157</v>
      </c>
      <c r="C1829" s="9">
        <v>13880</v>
      </c>
      <c r="D1829">
        <v>88</v>
      </c>
      <c r="E1829" t="s">
        <v>17</v>
      </c>
      <c r="F1829" t="s">
        <v>29</v>
      </c>
      <c r="G1829" s="9">
        <v>45343</v>
      </c>
      <c r="H1829" s="9">
        <v>45261</v>
      </c>
      <c r="I1829">
        <v>21</v>
      </c>
      <c r="J1829" t="s">
        <v>35</v>
      </c>
      <c r="K1829">
        <v>12</v>
      </c>
      <c r="L1829">
        <v>7</v>
      </c>
      <c r="M1829" s="11">
        <v>16653.75</v>
      </c>
      <c r="N1829" s="12">
        <v>4350.28</v>
      </c>
      <c r="O1829" s="12">
        <v>1650.11</v>
      </c>
    </row>
    <row r="1830" spans="1:15">
      <c r="A1830" t="s">
        <v>2004</v>
      </c>
      <c r="B1830" t="s">
        <v>201</v>
      </c>
      <c r="C1830" s="9">
        <v>40178</v>
      </c>
      <c r="D1830">
        <v>16</v>
      </c>
      <c r="E1830" t="s">
        <v>17</v>
      </c>
      <c r="F1830" t="s">
        <v>5184</v>
      </c>
      <c r="G1830" s="9">
        <v>45319</v>
      </c>
      <c r="H1830" s="9">
        <v>45402</v>
      </c>
      <c r="I1830">
        <v>30</v>
      </c>
      <c r="J1830" t="s">
        <v>32</v>
      </c>
      <c r="K1830">
        <v>4</v>
      </c>
      <c r="L1830">
        <v>9</v>
      </c>
      <c r="M1830" s="11">
        <v>20671.59</v>
      </c>
      <c r="N1830" s="12">
        <v>12007.25</v>
      </c>
      <c r="O1830" s="12">
        <v>18670.23</v>
      </c>
    </row>
    <row r="1831" spans="1:15">
      <c r="A1831" t="s">
        <v>2005</v>
      </c>
      <c r="B1831" t="s">
        <v>192</v>
      </c>
      <c r="C1831" s="9">
        <v>12419</v>
      </c>
      <c r="D1831">
        <v>92</v>
      </c>
      <c r="E1831" t="s">
        <v>5185</v>
      </c>
      <c r="F1831" t="s">
        <v>25</v>
      </c>
      <c r="G1831" s="9">
        <v>45569</v>
      </c>
      <c r="H1831" s="9">
        <v>44957</v>
      </c>
      <c r="I1831">
        <v>18</v>
      </c>
      <c r="J1831" t="s">
        <v>35</v>
      </c>
      <c r="K1831">
        <v>3</v>
      </c>
      <c r="L1831">
        <v>9</v>
      </c>
      <c r="M1831" s="11">
        <v>29864.03</v>
      </c>
      <c r="N1831" s="12">
        <v>5400.14</v>
      </c>
      <c r="O1831" s="12">
        <v>4700.26</v>
      </c>
    </row>
    <row r="1832" spans="1:15">
      <c r="A1832" t="s">
        <v>2006</v>
      </c>
      <c r="B1832" t="s">
        <v>268</v>
      </c>
      <c r="C1832" s="9">
        <v>27029</v>
      </c>
      <c r="D1832">
        <v>52</v>
      </c>
      <c r="E1832" t="s">
        <v>17</v>
      </c>
      <c r="F1832" t="s">
        <v>74</v>
      </c>
      <c r="G1832" s="9">
        <v>45148</v>
      </c>
      <c r="H1832" s="9">
        <v>45274</v>
      </c>
      <c r="I1832">
        <v>0</v>
      </c>
      <c r="J1832" t="s">
        <v>26</v>
      </c>
      <c r="K1832">
        <v>7</v>
      </c>
      <c r="L1832">
        <v>5</v>
      </c>
      <c r="M1832" s="11">
        <v>12358.22</v>
      </c>
      <c r="N1832" s="12">
        <v>309.77999999999997</v>
      </c>
      <c r="O1832" s="12">
        <v>5540.8</v>
      </c>
    </row>
    <row r="1833" spans="1:15">
      <c r="A1833" t="s">
        <v>2007</v>
      </c>
      <c r="B1833" t="s">
        <v>328</v>
      </c>
      <c r="C1833" s="9">
        <v>43466</v>
      </c>
      <c r="D1833">
        <v>7</v>
      </c>
      <c r="E1833" t="s">
        <v>5185</v>
      </c>
      <c r="F1833" t="s">
        <v>49</v>
      </c>
      <c r="G1833" s="9">
        <v>45255</v>
      </c>
      <c r="H1833" s="9">
        <v>45521</v>
      </c>
      <c r="I1833">
        <v>1</v>
      </c>
      <c r="J1833" t="s">
        <v>32</v>
      </c>
      <c r="K1833">
        <v>9</v>
      </c>
      <c r="L1833">
        <v>4</v>
      </c>
      <c r="M1833" s="11">
        <v>15061.2</v>
      </c>
      <c r="N1833" s="12">
        <v>647.76</v>
      </c>
      <c r="O1833" s="12">
        <v>7667</v>
      </c>
    </row>
    <row r="1834" spans="1:15">
      <c r="A1834" t="s">
        <v>2008</v>
      </c>
      <c r="B1834" t="s">
        <v>292</v>
      </c>
      <c r="C1834" s="9">
        <v>17533</v>
      </c>
      <c r="D1834">
        <v>78</v>
      </c>
      <c r="E1834" t="s">
        <v>21</v>
      </c>
      <c r="F1834" t="s">
        <v>49</v>
      </c>
      <c r="G1834" s="9">
        <v>45298</v>
      </c>
      <c r="H1834" s="9">
        <v>45420</v>
      </c>
      <c r="I1834">
        <v>29</v>
      </c>
      <c r="J1834" t="s">
        <v>26</v>
      </c>
      <c r="K1834">
        <v>14</v>
      </c>
      <c r="L1834">
        <v>3</v>
      </c>
      <c r="M1834" s="11">
        <v>1787.57</v>
      </c>
      <c r="N1834" s="12">
        <v>10955.32</v>
      </c>
      <c r="O1834" s="12">
        <v>12653.3</v>
      </c>
    </row>
    <row r="1835" spans="1:15">
      <c r="A1835" t="s">
        <v>2009</v>
      </c>
      <c r="B1835" t="s">
        <v>176</v>
      </c>
      <c r="C1835" s="9">
        <v>36526</v>
      </c>
      <c r="D1835">
        <v>26</v>
      </c>
      <c r="E1835" t="s">
        <v>17</v>
      </c>
      <c r="F1835" t="s">
        <v>29</v>
      </c>
      <c r="G1835" s="9">
        <v>45437</v>
      </c>
      <c r="H1835" s="9">
        <v>45675</v>
      </c>
      <c r="I1835">
        <v>21</v>
      </c>
      <c r="J1835" t="s">
        <v>32</v>
      </c>
      <c r="K1835">
        <v>10</v>
      </c>
      <c r="L1835">
        <v>5</v>
      </c>
      <c r="M1835" s="11">
        <v>24863.439999999999</v>
      </c>
      <c r="N1835" s="12">
        <v>4078.64</v>
      </c>
      <c r="O1835" s="12">
        <v>10378.32</v>
      </c>
    </row>
    <row r="1836" spans="1:15">
      <c r="A1836" t="s">
        <v>2010</v>
      </c>
      <c r="B1836" t="s">
        <v>115</v>
      </c>
      <c r="C1836" s="9">
        <v>29586</v>
      </c>
      <c r="D1836">
        <v>45</v>
      </c>
      <c r="E1836" t="s">
        <v>17</v>
      </c>
      <c r="F1836" t="s">
        <v>22</v>
      </c>
      <c r="G1836" s="9">
        <v>45079</v>
      </c>
      <c r="H1836" s="9">
        <v>45422</v>
      </c>
      <c r="I1836">
        <v>32</v>
      </c>
      <c r="J1836" t="s">
        <v>26</v>
      </c>
      <c r="K1836">
        <v>11</v>
      </c>
      <c r="L1836">
        <v>2</v>
      </c>
      <c r="M1836" s="11">
        <v>2493.75</v>
      </c>
      <c r="N1836" s="12">
        <v>4613.76</v>
      </c>
      <c r="O1836" s="12">
        <v>18565.16</v>
      </c>
    </row>
    <row r="1837" spans="1:15">
      <c r="A1837" t="s">
        <v>2011</v>
      </c>
      <c r="B1837" t="s">
        <v>286</v>
      </c>
      <c r="C1837" s="9">
        <v>28125</v>
      </c>
      <c r="D1837">
        <v>49</v>
      </c>
      <c r="E1837" t="s">
        <v>21</v>
      </c>
      <c r="F1837" t="s">
        <v>25</v>
      </c>
      <c r="G1837" s="9">
        <v>45406</v>
      </c>
      <c r="H1837" s="9">
        <v>45783</v>
      </c>
      <c r="I1837">
        <v>15</v>
      </c>
      <c r="J1837" t="s">
        <v>26</v>
      </c>
      <c r="K1837">
        <v>14</v>
      </c>
      <c r="L1837">
        <v>1</v>
      </c>
      <c r="M1837" s="11">
        <v>27981.82</v>
      </c>
      <c r="N1837" s="12">
        <v>9338.67</v>
      </c>
      <c r="O1837" s="12">
        <v>11248.88</v>
      </c>
    </row>
    <row r="1838" spans="1:15">
      <c r="A1838" t="s">
        <v>2012</v>
      </c>
      <c r="B1838" t="s">
        <v>115</v>
      </c>
      <c r="C1838" s="9">
        <v>20455</v>
      </c>
      <c r="D1838">
        <v>70</v>
      </c>
      <c r="E1838" t="s">
        <v>21</v>
      </c>
      <c r="F1838" t="s">
        <v>5184</v>
      </c>
      <c r="G1838" s="9">
        <v>45509</v>
      </c>
      <c r="H1838" s="9">
        <v>45315</v>
      </c>
      <c r="I1838">
        <v>0</v>
      </c>
      <c r="J1838" t="s">
        <v>32</v>
      </c>
      <c r="K1838">
        <v>0</v>
      </c>
      <c r="L1838">
        <v>0</v>
      </c>
      <c r="M1838" s="11">
        <v>10129.26</v>
      </c>
      <c r="N1838" s="12">
        <v>11122.64</v>
      </c>
      <c r="O1838" s="12">
        <v>17126.439999999999</v>
      </c>
    </row>
    <row r="1839" spans="1:15">
      <c r="A1839" t="s">
        <v>2013</v>
      </c>
      <c r="B1839" t="s">
        <v>539</v>
      </c>
      <c r="C1839" s="9">
        <v>45292</v>
      </c>
      <c r="D1839">
        <v>2</v>
      </c>
      <c r="E1839" t="s">
        <v>5185</v>
      </c>
      <c r="F1839" t="s">
        <v>25</v>
      </c>
      <c r="G1839" s="9">
        <v>44946</v>
      </c>
      <c r="H1839" s="9">
        <v>45800</v>
      </c>
      <c r="I1839">
        <v>36</v>
      </c>
      <c r="J1839" t="s">
        <v>32</v>
      </c>
      <c r="K1839">
        <v>2</v>
      </c>
      <c r="L1839">
        <v>8</v>
      </c>
      <c r="M1839" s="11">
        <v>9796.27</v>
      </c>
      <c r="N1839" s="12">
        <v>8383.26</v>
      </c>
      <c r="O1839" s="12">
        <v>1471.9</v>
      </c>
    </row>
    <row r="1840" spans="1:15">
      <c r="A1840" t="s">
        <v>2014</v>
      </c>
      <c r="B1840" t="s">
        <v>578</v>
      </c>
      <c r="C1840" s="9">
        <v>12419</v>
      </c>
      <c r="D1840">
        <v>92</v>
      </c>
      <c r="E1840" t="s">
        <v>21</v>
      </c>
      <c r="F1840" t="s">
        <v>29</v>
      </c>
      <c r="G1840" s="9">
        <v>45519</v>
      </c>
      <c r="H1840" s="9">
        <v>45762</v>
      </c>
      <c r="I1840">
        <v>23</v>
      </c>
      <c r="J1840" t="s">
        <v>32</v>
      </c>
      <c r="K1840">
        <v>1</v>
      </c>
      <c r="L1840">
        <v>0</v>
      </c>
      <c r="M1840" s="11">
        <v>9522.57</v>
      </c>
      <c r="N1840" s="12">
        <v>10595.58</v>
      </c>
      <c r="O1840" s="12">
        <v>17103.63</v>
      </c>
    </row>
    <row r="1841" spans="1:15">
      <c r="A1841" t="s">
        <v>2015</v>
      </c>
      <c r="B1841" t="s">
        <v>63</v>
      </c>
      <c r="C1841" s="9">
        <v>23012</v>
      </c>
      <c r="D1841">
        <v>63</v>
      </c>
      <c r="E1841" t="s">
        <v>17</v>
      </c>
      <c r="F1841" t="s">
        <v>5184</v>
      </c>
      <c r="G1841" s="9">
        <v>45154</v>
      </c>
      <c r="H1841" s="9">
        <v>45180</v>
      </c>
      <c r="I1841">
        <v>21</v>
      </c>
      <c r="J1841" t="s">
        <v>32</v>
      </c>
      <c r="K1841">
        <v>10</v>
      </c>
      <c r="L1841">
        <v>3</v>
      </c>
      <c r="M1841" s="11">
        <v>28489.93</v>
      </c>
      <c r="N1841" s="12">
        <v>14115.79</v>
      </c>
      <c r="O1841" s="12">
        <v>3874.03</v>
      </c>
    </row>
    <row r="1842" spans="1:15">
      <c r="A1842" t="s">
        <v>2016</v>
      </c>
      <c r="B1842" t="s">
        <v>284</v>
      </c>
      <c r="C1842" s="9">
        <v>30317</v>
      </c>
      <c r="D1842">
        <v>43</v>
      </c>
      <c r="E1842" t="s">
        <v>21</v>
      </c>
      <c r="F1842" t="s">
        <v>5184</v>
      </c>
      <c r="G1842" s="9">
        <v>45272</v>
      </c>
      <c r="H1842" s="9">
        <v>45557</v>
      </c>
      <c r="I1842">
        <v>2</v>
      </c>
      <c r="J1842" t="s">
        <v>35</v>
      </c>
      <c r="K1842">
        <v>11</v>
      </c>
      <c r="L1842">
        <v>5</v>
      </c>
      <c r="M1842" s="11">
        <v>29393.29</v>
      </c>
      <c r="N1842" s="12">
        <v>12812.4</v>
      </c>
      <c r="O1842" s="12">
        <v>7187.35</v>
      </c>
    </row>
    <row r="1843" spans="1:15">
      <c r="A1843" t="s">
        <v>2017</v>
      </c>
      <c r="B1843" t="s">
        <v>539</v>
      </c>
      <c r="C1843" s="9">
        <v>27029</v>
      </c>
      <c r="D1843">
        <v>52</v>
      </c>
      <c r="E1843" t="s">
        <v>21</v>
      </c>
      <c r="F1843" t="s">
        <v>29</v>
      </c>
      <c r="G1843" s="9">
        <v>44945</v>
      </c>
      <c r="H1843" s="9">
        <v>44957</v>
      </c>
      <c r="I1843">
        <v>31</v>
      </c>
      <c r="J1843" t="s">
        <v>32</v>
      </c>
      <c r="K1843">
        <v>5</v>
      </c>
      <c r="L1843">
        <v>8</v>
      </c>
      <c r="M1843" s="11">
        <v>29183.83</v>
      </c>
      <c r="N1843" s="12">
        <v>3612.05</v>
      </c>
      <c r="O1843" s="12">
        <v>6329.72</v>
      </c>
    </row>
    <row r="1844" spans="1:15">
      <c r="A1844" t="s">
        <v>2018</v>
      </c>
      <c r="B1844" t="s">
        <v>332</v>
      </c>
      <c r="C1844" s="9">
        <f>DATE(2026-D1804,1,1)</f>
        <v>24838</v>
      </c>
      <c r="D1844">
        <v>23</v>
      </c>
      <c r="E1844" t="s">
        <v>21</v>
      </c>
      <c r="F1844" t="s">
        <v>74</v>
      </c>
      <c r="G1844" s="9">
        <v>45370</v>
      </c>
      <c r="H1844" s="9">
        <v>45550</v>
      </c>
      <c r="I1844">
        <v>9</v>
      </c>
      <c r="J1844" t="s">
        <v>35</v>
      </c>
      <c r="K1844">
        <v>1</v>
      </c>
      <c r="L1844">
        <v>3</v>
      </c>
      <c r="M1844" s="11">
        <v>20996.01</v>
      </c>
      <c r="N1844" s="12">
        <v>13601.87</v>
      </c>
      <c r="O1844" s="12">
        <v>6679.36</v>
      </c>
    </row>
    <row r="1845" spans="1:15">
      <c r="A1845" t="s">
        <v>2019</v>
      </c>
      <c r="B1845" t="s">
        <v>37</v>
      </c>
      <c r="C1845" s="9">
        <v>24473</v>
      </c>
      <c r="D1845">
        <v>59</v>
      </c>
      <c r="E1845" t="s">
        <v>21</v>
      </c>
      <c r="F1845" t="s">
        <v>22</v>
      </c>
      <c r="G1845" s="9">
        <v>45603</v>
      </c>
      <c r="H1845" s="9">
        <v>45693</v>
      </c>
      <c r="I1845">
        <v>14</v>
      </c>
      <c r="J1845" t="s">
        <v>32</v>
      </c>
      <c r="K1845">
        <v>4</v>
      </c>
      <c r="L1845">
        <v>6</v>
      </c>
      <c r="M1845" s="11">
        <v>2887.27</v>
      </c>
      <c r="N1845" s="12">
        <v>4458.96</v>
      </c>
      <c r="O1845" s="12">
        <v>18365.490000000002</v>
      </c>
    </row>
    <row r="1846" spans="1:15">
      <c r="A1846" t="s">
        <v>2020</v>
      </c>
      <c r="B1846" t="s">
        <v>387</v>
      </c>
      <c r="C1846" s="9">
        <v>45292</v>
      </c>
      <c r="D1846">
        <v>2</v>
      </c>
      <c r="E1846" t="s">
        <v>17</v>
      </c>
      <c r="F1846" t="s">
        <v>25</v>
      </c>
      <c r="G1846" s="9">
        <v>45294</v>
      </c>
      <c r="H1846" s="9">
        <v>45638</v>
      </c>
      <c r="I1846">
        <v>18</v>
      </c>
      <c r="J1846" t="s">
        <v>32</v>
      </c>
      <c r="K1846">
        <v>8</v>
      </c>
      <c r="L1846">
        <v>6</v>
      </c>
      <c r="M1846" s="11">
        <v>11284.05</v>
      </c>
      <c r="N1846" s="12">
        <v>9908.82</v>
      </c>
      <c r="O1846" s="12">
        <v>8776.0300000000007</v>
      </c>
    </row>
    <row r="1847" spans="1:15">
      <c r="A1847" t="s">
        <v>2021</v>
      </c>
      <c r="B1847" t="s">
        <v>65</v>
      </c>
      <c r="C1847" s="9">
        <v>39083</v>
      </c>
      <c r="D1847">
        <v>19</v>
      </c>
      <c r="E1847" t="s">
        <v>17</v>
      </c>
      <c r="F1847" t="s">
        <v>49</v>
      </c>
      <c r="G1847" s="9">
        <v>45545</v>
      </c>
      <c r="H1847" s="9">
        <v>45734</v>
      </c>
      <c r="I1847">
        <v>18</v>
      </c>
      <c r="J1847" t="s">
        <v>26</v>
      </c>
      <c r="K1847">
        <v>8</v>
      </c>
      <c r="L1847">
        <v>5</v>
      </c>
      <c r="M1847" s="11">
        <v>8323.93</v>
      </c>
      <c r="N1847" s="12">
        <v>13120.74</v>
      </c>
      <c r="O1847" s="12">
        <v>5286.16</v>
      </c>
    </row>
    <row r="1848" spans="1:15">
      <c r="A1848" t="s">
        <v>2022</v>
      </c>
      <c r="B1848" t="s">
        <v>97</v>
      </c>
      <c r="C1848" s="9">
        <v>29586</v>
      </c>
      <c r="D1848">
        <v>45</v>
      </c>
      <c r="E1848" t="s">
        <v>21</v>
      </c>
      <c r="F1848" t="s">
        <v>29</v>
      </c>
      <c r="G1848" s="9">
        <v>45652</v>
      </c>
      <c r="H1848" s="9">
        <v>45269</v>
      </c>
      <c r="I1848">
        <v>0</v>
      </c>
      <c r="J1848" t="s">
        <v>32</v>
      </c>
      <c r="K1848">
        <v>11</v>
      </c>
      <c r="L1848">
        <v>8</v>
      </c>
      <c r="M1848" s="11">
        <v>21105.88</v>
      </c>
      <c r="N1848" s="12">
        <v>9351.69</v>
      </c>
      <c r="O1848" s="12">
        <v>5817.48</v>
      </c>
    </row>
    <row r="1849" spans="1:15">
      <c r="A1849" t="s">
        <v>2023</v>
      </c>
      <c r="B1849" t="s">
        <v>273</v>
      </c>
      <c r="C1849" s="9">
        <v>40909</v>
      </c>
      <c r="D1849">
        <v>14</v>
      </c>
      <c r="E1849" t="s">
        <v>21</v>
      </c>
      <c r="F1849" t="s">
        <v>74</v>
      </c>
      <c r="G1849" s="9">
        <v>45073</v>
      </c>
      <c r="H1849" s="9">
        <v>45736</v>
      </c>
      <c r="I1849">
        <v>25</v>
      </c>
      <c r="J1849" t="s">
        <v>26</v>
      </c>
      <c r="K1849">
        <v>7</v>
      </c>
      <c r="L1849">
        <v>9</v>
      </c>
      <c r="M1849" s="11">
        <v>14525.96</v>
      </c>
      <c r="N1849" s="12">
        <v>12092.94</v>
      </c>
      <c r="O1849" s="12">
        <v>16047.06</v>
      </c>
    </row>
    <row r="1850" spans="1:15">
      <c r="A1850" t="s">
        <v>2024</v>
      </c>
      <c r="B1850" t="s">
        <v>446</v>
      </c>
      <c r="C1850" s="9">
        <v>37256</v>
      </c>
      <c r="D1850">
        <v>24</v>
      </c>
      <c r="E1850" t="s">
        <v>21</v>
      </c>
      <c r="F1850" t="s">
        <v>49</v>
      </c>
      <c r="G1850" s="9">
        <v>45619</v>
      </c>
      <c r="H1850" s="9">
        <v>45214</v>
      </c>
      <c r="I1850">
        <v>22</v>
      </c>
      <c r="J1850" t="s">
        <v>32</v>
      </c>
      <c r="K1850">
        <v>0</v>
      </c>
      <c r="L1850">
        <v>6</v>
      </c>
      <c r="M1850" s="11">
        <v>18303.29</v>
      </c>
      <c r="N1850" s="12">
        <v>13910.21</v>
      </c>
      <c r="O1850" s="12">
        <v>10736.2</v>
      </c>
    </row>
    <row r="1851" spans="1:15">
      <c r="A1851" t="s">
        <v>2025</v>
      </c>
      <c r="B1851" t="s">
        <v>596</v>
      </c>
      <c r="C1851" s="9">
        <v>12054</v>
      </c>
      <c r="D1851">
        <v>93</v>
      </c>
      <c r="E1851" t="s">
        <v>21</v>
      </c>
      <c r="F1851" t="s">
        <v>25</v>
      </c>
      <c r="G1851" s="9">
        <v>45430</v>
      </c>
      <c r="H1851" s="9">
        <v>45324</v>
      </c>
      <c r="I1851">
        <v>3</v>
      </c>
      <c r="J1851" t="s">
        <v>32</v>
      </c>
      <c r="K1851">
        <v>14</v>
      </c>
      <c r="L1851">
        <v>2</v>
      </c>
      <c r="M1851" s="11">
        <v>233.7</v>
      </c>
      <c r="N1851" s="12">
        <v>14504.06</v>
      </c>
      <c r="O1851" s="12">
        <v>8934.89</v>
      </c>
    </row>
    <row r="1852" spans="1:15">
      <c r="A1852" t="s">
        <v>2026</v>
      </c>
      <c r="B1852" t="s">
        <v>112</v>
      </c>
      <c r="C1852" s="9">
        <v>17898</v>
      </c>
      <c r="D1852">
        <v>77</v>
      </c>
      <c r="E1852" t="s">
        <v>17</v>
      </c>
      <c r="F1852" t="s">
        <v>29</v>
      </c>
      <c r="G1852" s="9">
        <v>45356</v>
      </c>
      <c r="H1852" s="9">
        <v>45436</v>
      </c>
      <c r="I1852">
        <v>39</v>
      </c>
      <c r="J1852" t="s">
        <v>26</v>
      </c>
      <c r="K1852">
        <v>1</v>
      </c>
      <c r="L1852">
        <v>5</v>
      </c>
      <c r="M1852" s="11">
        <v>23377.35</v>
      </c>
      <c r="N1852" s="12">
        <v>6159.49</v>
      </c>
      <c r="O1852" s="12">
        <v>18528.96</v>
      </c>
    </row>
    <row r="1853" spans="1:15">
      <c r="A1853" t="s">
        <v>2027</v>
      </c>
      <c r="B1853" t="s">
        <v>198</v>
      </c>
      <c r="C1853" s="9">
        <v>20455</v>
      </c>
      <c r="D1853">
        <v>70</v>
      </c>
      <c r="E1853" t="s">
        <v>21</v>
      </c>
      <c r="F1853" t="s">
        <v>5184</v>
      </c>
      <c r="G1853" s="9">
        <v>45366</v>
      </c>
      <c r="H1853" s="9">
        <v>45171</v>
      </c>
      <c r="I1853">
        <v>27</v>
      </c>
      <c r="J1853" t="s">
        <v>32</v>
      </c>
      <c r="K1853">
        <v>10</v>
      </c>
      <c r="L1853">
        <v>6</v>
      </c>
      <c r="M1853" s="11">
        <v>28537.58</v>
      </c>
      <c r="N1853" s="12">
        <v>14891.52</v>
      </c>
      <c r="O1853" s="12">
        <v>18593.150000000001</v>
      </c>
    </row>
    <row r="1854" spans="1:15">
      <c r="A1854" t="s">
        <v>2028</v>
      </c>
      <c r="B1854" t="s">
        <v>145</v>
      </c>
      <c r="C1854" s="9">
        <v>40178</v>
      </c>
      <c r="D1854">
        <v>16</v>
      </c>
      <c r="E1854" t="s">
        <v>21</v>
      </c>
      <c r="F1854" t="s">
        <v>22</v>
      </c>
      <c r="G1854" s="9">
        <v>45124</v>
      </c>
      <c r="H1854" s="9">
        <v>45148</v>
      </c>
      <c r="I1854">
        <v>29</v>
      </c>
      <c r="J1854" t="s">
        <v>35</v>
      </c>
      <c r="K1854">
        <v>13</v>
      </c>
      <c r="L1854">
        <v>6</v>
      </c>
      <c r="M1854" s="11">
        <v>19915.89</v>
      </c>
      <c r="N1854" s="12">
        <v>4075.22</v>
      </c>
      <c r="O1854" s="12">
        <v>15097.98</v>
      </c>
    </row>
    <row r="1855" spans="1:15">
      <c r="A1855" t="s">
        <v>2029</v>
      </c>
      <c r="B1855" t="s">
        <v>117</v>
      </c>
      <c r="C1855" s="9">
        <v>15707</v>
      </c>
      <c r="D1855">
        <v>83</v>
      </c>
      <c r="E1855" t="s">
        <v>17</v>
      </c>
      <c r="F1855" t="s">
        <v>29</v>
      </c>
      <c r="G1855" s="9">
        <v>45213</v>
      </c>
      <c r="H1855" s="9">
        <v>45083</v>
      </c>
      <c r="I1855">
        <v>19</v>
      </c>
      <c r="J1855" t="s">
        <v>32</v>
      </c>
      <c r="K1855">
        <v>9</v>
      </c>
      <c r="L1855">
        <v>5</v>
      </c>
      <c r="M1855" s="11">
        <v>25484.09</v>
      </c>
      <c r="N1855" s="12">
        <v>6932.8</v>
      </c>
      <c r="O1855" s="12">
        <v>10311.93</v>
      </c>
    </row>
    <row r="1856" spans="1:15">
      <c r="A1856" t="s">
        <v>2030</v>
      </c>
      <c r="B1856" t="s">
        <v>502</v>
      </c>
      <c r="C1856" s="9">
        <v>43100</v>
      </c>
      <c r="D1856">
        <v>8</v>
      </c>
      <c r="E1856" t="s">
        <v>21</v>
      </c>
      <c r="F1856" t="s">
        <v>22</v>
      </c>
      <c r="G1856" s="9">
        <v>45491</v>
      </c>
      <c r="H1856" s="9">
        <v>45310</v>
      </c>
      <c r="I1856">
        <v>35</v>
      </c>
      <c r="J1856" t="s">
        <v>26</v>
      </c>
      <c r="K1856">
        <v>9</v>
      </c>
      <c r="L1856">
        <v>2</v>
      </c>
      <c r="M1856" s="11">
        <v>14086.64</v>
      </c>
      <c r="N1856" s="12">
        <v>11410.58</v>
      </c>
      <c r="O1856" s="12">
        <v>2243.89</v>
      </c>
    </row>
    <row r="1857" spans="1:15">
      <c r="A1857" t="s">
        <v>2031</v>
      </c>
      <c r="B1857" t="s">
        <v>539</v>
      </c>
      <c r="C1857" s="9">
        <v>32508</v>
      </c>
      <c r="D1857">
        <v>37</v>
      </c>
      <c r="E1857" t="s">
        <v>21</v>
      </c>
      <c r="F1857" t="s">
        <v>74</v>
      </c>
      <c r="G1857" s="9">
        <v>45295</v>
      </c>
      <c r="H1857" s="9">
        <v>45675</v>
      </c>
      <c r="I1857">
        <v>11</v>
      </c>
      <c r="J1857" t="s">
        <v>26</v>
      </c>
      <c r="K1857">
        <v>9</v>
      </c>
      <c r="L1857">
        <v>5</v>
      </c>
      <c r="M1857" s="11">
        <v>116.35</v>
      </c>
      <c r="N1857" s="12">
        <v>14552.3</v>
      </c>
      <c r="O1857" s="12">
        <v>14129.79</v>
      </c>
    </row>
    <row r="1858" spans="1:15">
      <c r="A1858" t="s">
        <v>2032</v>
      </c>
      <c r="B1858" t="s">
        <v>168</v>
      </c>
      <c r="C1858" s="9">
        <v>28856</v>
      </c>
      <c r="D1858">
        <v>47</v>
      </c>
      <c r="E1858" t="s">
        <v>21</v>
      </c>
      <c r="F1858" t="s">
        <v>74</v>
      </c>
      <c r="G1858" s="9">
        <v>45166</v>
      </c>
      <c r="H1858" s="9">
        <v>45247</v>
      </c>
      <c r="I1858">
        <v>31</v>
      </c>
      <c r="J1858" t="s">
        <v>35</v>
      </c>
      <c r="K1858">
        <v>8</v>
      </c>
      <c r="L1858">
        <v>1</v>
      </c>
      <c r="M1858" s="11">
        <v>29709.31</v>
      </c>
      <c r="N1858" s="12">
        <v>794.12</v>
      </c>
      <c r="O1858" s="12">
        <v>16283.76</v>
      </c>
    </row>
    <row r="1859" spans="1:15">
      <c r="A1859" t="s">
        <v>2033</v>
      </c>
      <c r="B1859" t="s">
        <v>110</v>
      </c>
      <c r="C1859" s="9">
        <v>24473</v>
      </c>
      <c r="D1859">
        <f ca="1">DATEDIF(C1810,TODAY(),"Y")</f>
        <v>2</v>
      </c>
      <c r="E1859" t="s">
        <v>17</v>
      </c>
      <c r="F1859" t="s">
        <v>25</v>
      </c>
      <c r="G1859" s="9">
        <v>45213</v>
      </c>
      <c r="H1859" s="9">
        <v>45300</v>
      </c>
      <c r="I1859">
        <v>23</v>
      </c>
      <c r="J1859" t="s">
        <v>35</v>
      </c>
      <c r="K1859">
        <v>11</v>
      </c>
      <c r="L1859">
        <v>9</v>
      </c>
      <c r="M1859" s="11">
        <v>1294.3800000000001</v>
      </c>
      <c r="N1859" s="12">
        <v>14184.63</v>
      </c>
      <c r="O1859" s="12">
        <v>17026.04</v>
      </c>
    </row>
    <row r="1860" spans="1:15">
      <c r="A1860" t="s">
        <v>2034</v>
      </c>
      <c r="B1860" t="s">
        <v>1148</v>
      </c>
      <c r="C1860" s="9">
        <v>23377</v>
      </c>
      <c r="D1860">
        <v>62</v>
      </c>
      <c r="E1860" t="s">
        <v>17</v>
      </c>
      <c r="F1860" t="s">
        <v>22</v>
      </c>
      <c r="G1860" s="9">
        <v>45626</v>
      </c>
      <c r="H1860" s="9">
        <v>45458</v>
      </c>
      <c r="I1860">
        <v>37</v>
      </c>
      <c r="J1860" t="s">
        <v>35</v>
      </c>
      <c r="K1860">
        <v>1</v>
      </c>
      <c r="L1860">
        <v>0</v>
      </c>
      <c r="M1860" s="11">
        <v>5379.61</v>
      </c>
      <c r="N1860" s="12">
        <v>14980.13</v>
      </c>
      <c r="O1860" s="12">
        <v>11595.49</v>
      </c>
    </row>
    <row r="1861" spans="1:15">
      <c r="A1861" t="s">
        <v>2035</v>
      </c>
      <c r="B1861" t="s">
        <v>149</v>
      </c>
      <c r="C1861" s="9">
        <v>14976</v>
      </c>
      <c r="D1861">
        <v>85</v>
      </c>
      <c r="E1861" t="s">
        <v>17</v>
      </c>
      <c r="F1861" t="s">
        <v>29</v>
      </c>
      <c r="G1861" s="9">
        <v>45321</v>
      </c>
      <c r="H1861" s="9">
        <v>45142</v>
      </c>
      <c r="I1861">
        <v>10</v>
      </c>
      <c r="J1861" t="s">
        <v>26</v>
      </c>
      <c r="K1861">
        <v>4</v>
      </c>
      <c r="L1861">
        <v>7</v>
      </c>
      <c r="M1861" s="11">
        <v>1099.42</v>
      </c>
      <c r="N1861" s="12">
        <v>13643.69</v>
      </c>
      <c r="O1861" s="12">
        <v>12298.47</v>
      </c>
    </row>
    <row r="1862" spans="1:15">
      <c r="A1862" t="s">
        <v>2036</v>
      </c>
      <c r="B1862" t="s">
        <v>264</v>
      </c>
      <c r="C1862" s="9">
        <v>45657</v>
      </c>
      <c r="D1862">
        <v>1</v>
      </c>
      <c r="E1862" t="s">
        <v>21</v>
      </c>
      <c r="F1862" t="s">
        <v>74</v>
      </c>
      <c r="G1862" s="9">
        <v>45444</v>
      </c>
      <c r="H1862" s="9">
        <v>45294</v>
      </c>
      <c r="I1862">
        <v>27</v>
      </c>
      <c r="J1862" t="s">
        <v>32</v>
      </c>
      <c r="K1862">
        <v>13</v>
      </c>
      <c r="L1862">
        <v>2</v>
      </c>
      <c r="M1862" s="11">
        <v>18561.23</v>
      </c>
      <c r="N1862" s="12">
        <v>1625.76</v>
      </c>
      <c r="O1862" s="12">
        <v>14156.75</v>
      </c>
    </row>
    <row r="1863" spans="1:15">
      <c r="A1863" t="s">
        <v>2037</v>
      </c>
      <c r="B1863" t="s">
        <v>181</v>
      </c>
      <c r="C1863" s="9">
        <v>14246</v>
      </c>
      <c r="D1863">
        <v>87</v>
      </c>
      <c r="E1863" t="s">
        <v>21</v>
      </c>
      <c r="F1863" t="s">
        <v>29</v>
      </c>
      <c r="G1863" s="9">
        <v>45487</v>
      </c>
      <c r="H1863" s="9">
        <v>45041</v>
      </c>
      <c r="I1863">
        <v>16</v>
      </c>
      <c r="J1863" t="s">
        <v>32</v>
      </c>
      <c r="K1863">
        <v>11</v>
      </c>
      <c r="L1863">
        <v>7</v>
      </c>
      <c r="M1863" s="11">
        <v>17288.54</v>
      </c>
      <c r="N1863" s="12">
        <v>12610.5</v>
      </c>
      <c r="O1863" s="12">
        <v>17465.97</v>
      </c>
    </row>
    <row r="1864" spans="1:15">
      <c r="A1864" t="s">
        <v>2038</v>
      </c>
      <c r="B1864" t="s">
        <v>69</v>
      </c>
      <c r="C1864" s="9">
        <v>20090</v>
      </c>
      <c r="D1864">
        <v>71</v>
      </c>
      <c r="E1864" t="s">
        <v>17</v>
      </c>
      <c r="F1864" t="s">
        <v>25</v>
      </c>
      <c r="G1864" s="9">
        <v>45638</v>
      </c>
      <c r="H1864" s="9">
        <v>45127</v>
      </c>
      <c r="I1864">
        <v>39</v>
      </c>
      <c r="J1864" t="s">
        <v>35</v>
      </c>
      <c r="K1864">
        <v>5</v>
      </c>
      <c r="L1864">
        <v>2</v>
      </c>
      <c r="M1864" s="11">
        <v>5894.92</v>
      </c>
      <c r="N1864" s="12">
        <v>9596.43</v>
      </c>
      <c r="O1864" s="12">
        <v>813.02</v>
      </c>
    </row>
    <row r="1865" spans="1:15">
      <c r="A1865" t="s">
        <v>2039</v>
      </c>
      <c r="B1865" t="s">
        <v>284</v>
      </c>
      <c r="C1865" s="9">
        <v>42370</v>
      </c>
      <c r="D1865">
        <v>10</v>
      </c>
      <c r="E1865" t="s">
        <v>17</v>
      </c>
      <c r="F1865" t="s">
        <v>22</v>
      </c>
      <c r="G1865" s="9">
        <v>44986</v>
      </c>
      <c r="H1865" s="9">
        <v>44952</v>
      </c>
      <c r="I1865">
        <v>38</v>
      </c>
      <c r="J1865" t="s">
        <v>26</v>
      </c>
      <c r="K1865">
        <v>9</v>
      </c>
      <c r="L1865">
        <v>1</v>
      </c>
      <c r="M1865" s="11">
        <v>28677.919999999998</v>
      </c>
      <c r="N1865" s="12">
        <v>142.9</v>
      </c>
      <c r="O1865" s="12">
        <v>11220.76</v>
      </c>
    </row>
    <row r="1866" spans="1:15">
      <c r="A1866" t="s">
        <v>2040</v>
      </c>
      <c r="B1866" t="s">
        <v>41</v>
      </c>
      <c r="C1866" s="9">
        <v>23012</v>
      </c>
      <c r="D1866">
        <v>63</v>
      </c>
      <c r="E1866" t="s">
        <v>5185</v>
      </c>
      <c r="F1866" t="s">
        <v>29</v>
      </c>
      <c r="G1866" s="9">
        <v>45471</v>
      </c>
      <c r="H1866" s="9">
        <v>45048</v>
      </c>
      <c r="I1866">
        <v>36</v>
      </c>
      <c r="J1866" t="s">
        <v>32</v>
      </c>
      <c r="K1866">
        <v>6</v>
      </c>
      <c r="L1866">
        <v>7</v>
      </c>
      <c r="M1866" s="11">
        <v>27361.33</v>
      </c>
      <c r="N1866" s="12">
        <v>14765.64</v>
      </c>
      <c r="O1866" s="12">
        <v>7318.83</v>
      </c>
    </row>
    <row r="1867" spans="1:15">
      <c r="A1867" t="s">
        <v>2041</v>
      </c>
      <c r="B1867" t="s">
        <v>149</v>
      </c>
      <c r="C1867" s="9">
        <v>18263</v>
      </c>
      <c r="D1867">
        <v>76</v>
      </c>
      <c r="E1867" t="s">
        <v>21</v>
      </c>
      <c r="F1867" t="s">
        <v>49</v>
      </c>
      <c r="G1867" s="9">
        <v>45229</v>
      </c>
      <c r="H1867" s="9">
        <v>45669</v>
      </c>
      <c r="I1867">
        <v>0</v>
      </c>
      <c r="J1867" t="s">
        <v>35</v>
      </c>
      <c r="K1867">
        <v>2</v>
      </c>
      <c r="L1867">
        <v>2</v>
      </c>
      <c r="M1867" s="11">
        <v>8034.21</v>
      </c>
      <c r="N1867" s="12">
        <v>2257.86</v>
      </c>
      <c r="O1867" s="12">
        <v>16646.5</v>
      </c>
    </row>
    <row r="1868" spans="1:15">
      <c r="A1868" t="s">
        <v>2042</v>
      </c>
      <c r="B1868" t="s">
        <v>240</v>
      </c>
      <c r="C1868" s="9">
        <v>16802</v>
      </c>
      <c r="D1868">
        <v>80</v>
      </c>
      <c r="E1868" t="s">
        <v>21</v>
      </c>
      <c r="F1868" t="s">
        <v>29</v>
      </c>
      <c r="G1868" s="9">
        <v>45170</v>
      </c>
      <c r="H1868" s="9">
        <v>45538</v>
      </c>
      <c r="I1868">
        <v>28</v>
      </c>
      <c r="J1868" t="s">
        <v>32</v>
      </c>
      <c r="K1868">
        <v>14</v>
      </c>
      <c r="L1868">
        <v>7</v>
      </c>
      <c r="M1868" s="11">
        <v>19595.38</v>
      </c>
      <c r="N1868" s="12">
        <v>5952.32</v>
      </c>
      <c r="O1868" s="12">
        <v>2589.6</v>
      </c>
    </row>
    <row r="1869" spans="1:15">
      <c r="A1869" t="s">
        <v>2043</v>
      </c>
      <c r="B1869" t="s">
        <v>149</v>
      </c>
      <c r="C1869" s="9">
        <v>20090</v>
      </c>
      <c r="D1869">
        <v>71</v>
      </c>
      <c r="E1869" t="s">
        <v>17</v>
      </c>
      <c r="F1869" t="s">
        <v>18</v>
      </c>
      <c r="G1869" s="9">
        <v>45610</v>
      </c>
      <c r="H1869" s="9">
        <v>45785</v>
      </c>
      <c r="I1869">
        <v>9</v>
      </c>
      <c r="J1869" t="s">
        <v>32</v>
      </c>
      <c r="K1869">
        <v>6</v>
      </c>
      <c r="L1869">
        <v>1</v>
      </c>
      <c r="M1869" s="11">
        <v>25584.62</v>
      </c>
      <c r="N1869" s="12">
        <v>454.09</v>
      </c>
      <c r="O1869" s="12">
        <v>18185</v>
      </c>
    </row>
    <row r="1870" spans="1:15">
      <c r="A1870" t="s">
        <v>2044</v>
      </c>
      <c r="B1870" t="s">
        <v>300</v>
      </c>
      <c r="C1870" s="9">
        <v>38717</v>
      </c>
      <c r="D1870">
        <v>20</v>
      </c>
      <c r="E1870" t="s">
        <v>17</v>
      </c>
      <c r="F1870" t="s">
        <v>18</v>
      </c>
      <c r="G1870" s="9">
        <v>45133</v>
      </c>
      <c r="H1870" s="9">
        <v>44930</v>
      </c>
      <c r="I1870">
        <v>12</v>
      </c>
      <c r="J1870" t="s">
        <v>32</v>
      </c>
      <c r="K1870">
        <v>5</v>
      </c>
      <c r="L1870">
        <v>3</v>
      </c>
      <c r="M1870" s="11">
        <v>10473.84</v>
      </c>
      <c r="N1870" s="12">
        <v>4642.79</v>
      </c>
      <c r="O1870" s="12">
        <v>2392.5300000000002</v>
      </c>
    </row>
    <row r="1871" spans="1:15">
      <c r="A1871" t="s">
        <v>2045</v>
      </c>
      <c r="B1871" t="s">
        <v>502</v>
      </c>
      <c r="C1871" s="9">
        <v>39813</v>
      </c>
      <c r="D1871">
        <v>17</v>
      </c>
      <c r="E1871" t="s">
        <v>17</v>
      </c>
      <c r="F1871" t="s">
        <v>5184</v>
      </c>
      <c r="G1871" s="9">
        <v>45301</v>
      </c>
      <c r="H1871" s="9">
        <v>45825</v>
      </c>
      <c r="I1871">
        <v>35</v>
      </c>
      <c r="J1871" t="s">
        <v>26</v>
      </c>
      <c r="K1871">
        <v>9</v>
      </c>
      <c r="L1871">
        <v>8</v>
      </c>
      <c r="M1871" s="11">
        <v>7234.27</v>
      </c>
      <c r="N1871" s="12">
        <v>8524.89</v>
      </c>
      <c r="O1871" s="12">
        <v>1695.47</v>
      </c>
    </row>
    <row r="1872" spans="1:15">
      <c r="A1872" t="s">
        <v>2046</v>
      </c>
      <c r="B1872" t="s">
        <v>328</v>
      </c>
      <c r="C1872" s="9">
        <v>12054</v>
      </c>
      <c r="D1872">
        <v>93</v>
      </c>
      <c r="E1872" t="s">
        <v>17</v>
      </c>
      <c r="F1872" t="s">
        <v>25</v>
      </c>
      <c r="G1872" s="9">
        <v>45209</v>
      </c>
      <c r="H1872" s="9">
        <v>45700</v>
      </c>
      <c r="I1872">
        <v>37</v>
      </c>
      <c r="J1872" t="s">
        <v>26</v>
      </c>
      <c r="K1872">
        <v>6</v>
      </c>
      <c r="L1872">
        <v>0</v>
      </c>
      <c r="M1872" s="11">
        <v>7313.79</v>
      </c>
      <c r="N1872" s="12">
        <v>13962.8</v>
      </c>
      <c r="O1872" s="12">
        <v>6864.63</v>
      </c>
    </row>
    <row r="1873" spans="1:15">
      <c r="A1873" t="s">
        <v>2047</v>
      </c>
      <c r="B1873" t="s">
        <v>326</v>
      </c>
      <c r="C1873" s="9">
        <f>DATE(2026-D1833,1,1)</f>
        <v>43466</v>
      </c>
      <c r="D1873">
        <v>63</v>
      </c>
      <c r="E1873" t="s">
        <v>17</v>
      </c>
      <c r="F1873" t="s">
        <v>25</v>
      </c>
      <c r="G1873" s="9">
        <v>45404</v>
      </c>
      <c r="H1873" s="9">
        <v>45372</v>
      </c>
      <c r="I1873">
        <v>11</v>
      </c>
      <c r="J1873" t="s">
        <v>26</v>
      </c>
      <c r="K1873">
        <v>3</v>
      </c>
      <c r="L1873">
        <v>1</v>
      </c>
      <c r="M1873" s="11">
        <v>24523.919999999998</v>
      </c>
      <c r="N1873" s="12">
        <v>14855.47</v>
      </c>
      <c r="O1873" s="12">
        <v>19893.96</v>
      </c>
    </row>
    <row r="1874" spans="1:15">
      <c r="A1874" t="s">
        <v>2048</v>
      </c>
      <c r="B1874" t="s">
        <v>514</v>
      </c>
      <c r="C1874" s="9">
        <v>16437</v>
      </c>
      <c r="D1874">
        <v>81</v>
      </c>
      <c r="E1874" t="s">
        <v>17</v>
      </c>
      <c r="F1874" t="s">
        <v>25</v>
      </c>
      <c r="G1874" s="9">
        <v>44948</v>
      </c>
      <c r="H1874" s="9">
        <v>45181</v>
      </c>
      <c r="I1874">
        <v>32</v>
      </c>
      <c r="J1874" t="s">
        <v>32</v>
      </c>
      <c r="K1874">
        <v>8</v>
      </c>
      <c r="L1874">
        <v>1</v>
      </c>
      <c r="M1874" s="11">
        <v>13623.64</v>
      </c>
      <c r="N1874" s="12">
        <v>6350.37</v>
      </c>
      <c r="O1874" s="12">
        <v>12639.43</v>
      </c>
    </row>
    <row r="1875" spans="1:15">
      <c r="A1875" t="s">
        <v>2049</v>
      </c>
      <c r="B1875" t="s">
        <v>372</v>
      </c>
      <c r="C1875" s="9">
        <v>11689</v>
      </c>
      <c r="D1875">
        <v>94</v>
      </c>
      <c r="E1875" t="s">
        <v>17</v>
      </c>
      <c r="F1875" t="s">
        <v>49</v>
      </c>
      <c r="G1875" s="9">
        <v>45485</v>
      </c>
      <c r="H1875" s="9">
        <v>44947</v>
      </c>
      <c r="I1875">
        <v>13</v>
      </c>
      <c r="J1875" t="s">
        <v>32</v>
      </c>
      <c r="K1875">
        <v>5</v>
      </c>
      <c r="L1875">
        <v>8</v>
      </c>
      <c r="M1875" s="11">
        <v>21317.81</v>
      </c>
      <c r="N1875" s="12">
        <v>6422.76</v>
      </c>
      <c r="O1875" s="12">
        <v>431.42</v>
      </c>
    </row>
    <row r="1876" spans="1:15">
      <c r="A1876" t="s">
        <v>2050</v>
      </c>
      <c r="B1876" t="s">
        <v>147</v>
      </c>
      <c r="C1876" s="9">
        <v>32508</v>
      </c>
      <c r="D1876">
        <v>37</v>
      </c>
      <c r="E1876" t="s">
        <v>5185</v>
      </c>
      <c r="F1876" t="s">
        <v>22</v>
      </c>
      <c r="G1876" s="9">
        <v>45275</v>
      </c>
      <c r="H1876" s="9">
        <v>45131</v>
      </c>
      <c r="I1876">
        <v>21</v>
      </c>
      <c r="J1876" t="s">
        <v>35</v>
      </c>
      <c r="K1876">
        <v>14</v>
      </c>
      <c r="L1876">
        <v>9</v>
      </c>
      <c r="M1876" s="11">
        <v>19334.169999999998</v>
      </c>
      <c r="N1876" s="12">
        <v>2405.15</v>
      </c>
      <c r="O1876" s="12">
        <v>4910.22</v>
      </c>
    </row>
    <row r="1877" spans="1:15">
      <c r="A1877" t="s">
        <v>2051</v>
      </c>
      <c r="B1877" t="s">
        <v>244</v>
      </c>
      <c r="C1877" s="9">
        <v>34700</v>
      </c>
      <c r="D1877">
        <v>31</v>
      </c>
      <c r="E1877" t="s">
        <v>17</v>
      </c>
      <c r="F1877" t="s">
        <v>49</v>
      </c>
      <c r="G1877" s="9">
        <v>45415</v>
      </c>
      <c r="H1877" s="9">
        <v>45733</v>
      </c>
      <c r="I1877">
        <v>14</v>
      </c>
      <c r="J1877" t="s">
        <v>32</v>
      </c>
      <c r="K1877">
        <v>12</v>
      </c>
      <c r="L1877">
        <v>4</v>
      </c>
      <c r="M1877" s="11">
        <v>8839.8799999999992</v>
      </c>
      <c r="N1877" s="12">
        <v>7475.38</v>
      </c>
      <c r="O1877" s="12">
        <v>2898.22</v>
      </c>
    </row>
    <row r="1878" spans="1:15">
      <c r="A1878" t="s">
        <v>2052</v>
      </c>
      <c r="B1878" t="s">
        <v>31</v>
      </c>
      <c r="C1878" s="9">
        <v>42370</v>
      </c>
      <c r="D1878">
        <v>10</v>
      </c>
      <c r="E1878" t="s">
        <v>21</v>
      </c>
      <c r="F1878" t="s">
        <v>5184</v>
      </c>
      <c r="G1878" s="9">
        <v>45596</v>
      </c>
      <c r="H1878" s="9">
        <v>45284</v>
      </c>
      <c r="I1878">
        <v>15</v>
      </c>
      <c r="J1878" t="s">
        <v>35</v>
      </c>
      <c r="K1878">
        <v>14</v>
      </c>
      <c r="L1878">
        <v>3</v>
      </c>
      <c r="M1878" s="11">
        <v>5846.34</v>
      </c>
      <c r="N1878" s="12">
        <v>14101.22</v>
      </c>
      <c r="O1878" s="12">
        <v>79.81</v>
      </c>
    </row>
    <row r="1879" spans="1:15">
      <c r="A1879" t="s">
        <v>2053</v>
      </c>
      <c r="B1879" t="s">
        <v>226</v>
      </c>
      <c r="C1879" s="9">
        <v>29951</v>
      </c>
      <c r="D1879">
        <v>44</v>
      </c>
      <c r="E1879" t="s">
        <v>21</v>
      </c>
      <c r="F1879" t="s">
        <v>29</v>
      </c>
      <c r="G1879" s="9">
        <v>45184</v>
      </c>
      <c r="H1879" s="9">
        <v>45055</v>
      </c>
      <c r="I1879">
        <v>39</v>
      </c>
      <c r="J1879" t="s">
        <v>35</v>
      </c>
      <c r="K1879">
        <v>2</v>
      </c>
      <c r="L1879">
        <v>9</v>
      </c>
      <c r="M1879" s="11">
        <v>3336.46</v>
      </c>
      <c r="N1879" s="12">
        <v>2480.94</v>
      </c>
      <c r="O1879" s="12">
        <v>10250.31</v>
      </c>
    </row>
    <row r="1880" spans="1:15">
      <c r="A1880" t="s">
        <v>2054</v>
      </c>
      <c r="B1880" t="s">
        <v>123</v>
      </c>
      <c r="C1880" s="9">
        <v>13880</v>
      </c>
      <c r="D1880">
        <v>88</v>
      </c>
      <c r="E1880" t="s">
        <v>17</v>
      </c>
      <c r="F1880" t="s">
        <v>74</v>
      </c>
      <c r="G1880" s="9">
        <v>45581</v>
      </c>
      <c r="H1880" s="9">
        <v>45285</v>
      </c>
      <c r="I1880">
        <v>14</v>
      </c>
      <c r="J1880" t="s">
        <v>26</v>
      </c>
      <c r="K1880">
        <v>11</v>
      </c>
      <c r="L1880">
        <v>9</v>
      </c>
      <c r="M1880" s="11">
        <v>228.51</v>
      </c>
      <c r="N1880" s="12">
        <v>3997.1</v>
      </c>
      <c r="O1880" s="12">
        <v>7560.26</v>
      </c>
    </row>
    <row r="1881" spans="1:15">
      <c r="A1881" t="s">
        <v>2055</v>
      </c>
      <c r="B1881" t="s">
        <v>159</v>
      </c>
      <c r="C1881" s="9">
        <v>34334</v>
      </c>
      <c r="D1881">
        <v>32</v>
      </c>
      <c r="E1881" t="s">
        <v>21</v>
      </c>
      <c r="F1881" t="s">
        <v>22</v>
      </c>
      <c r="G1881" s="9">
        <v>44973</v>
      </c>
      <c r="H1881" s="9">
        <v>45219</v>
      </c>
      <c r="I1881">
        <v>13</v>
      </c>
      <c r="J1881" t="s">
        <v>35</v>
      </c>
      <c r="K1881">
        <v>1</v>
      </c>
      <c r="L1881">
        <v>3</v>
      </c>
      <c r="M1881" s="11">
        <v>1978.32</v>
      </c>
      <c r="N1881" s="12">
        <v>13369.77</v>
      </c>
      <c r="O1881" s="12">
        <v>12226.93</v>
      </c>
    </row>
    <row r="1882" spans="1:15">
      <c r="A1882" t="s">
        <v>2056</v>
      </c>
      <c r="B1882" t="s">
        <v>24</v>
      </c>
      <c r="C1882" s="9">
        <v>31412</v>
      </c>
      <c r="D1882">
        <v>40</v>
      </c>
      <c r="E1882" t="s">
        <v>17</v>
      </c>
      <c r="F1882" t="s">
        <v>18</v>
      </c>
      <c r="G1882" s="9">
        <v>44953</v>
      </c>
      <c r="H1882" s="9">
        <v>45101</v>
      </c>
      <c r="I1882">
        <v>18</v>
      </c>
      <c r="J1882" t="s">
        <v>35</v>
      </c>
      <c r="K1882">
        <v>1</v>
      </c>
      <c r="L1882">
        <v>6</v>
      </c>
      <c r="M1882" s="11">
        <v>7315.52</v>
      </c>
      <c r="N1882" s="12">
        <v>9396.4599999999991</v>
      </c>
      <c r="O1882" s="12">
        <v>4248.92</v>
      </c>
    </row>
    <row r="1883" spans="1:15">
      <c r="A1883" t="s">
        <v>2057</v>
      </c>
      <c r="B1883" t="s">
        <v>490</v>
      </c>
      <c r="C1883" s="9">
        <v>43466</v>
      </c>
      <c r="D1883">
        <v>7</v>
      </c>
      <c r="E1883" t="s">
        <v>21</v>
      </c>
      <c r="F1883" t="s">
        <v>18</v>
      </c>
      <c r="G1883" s="9">
        <v>44953</v>
      </c>
      <c r="H1883" s="9">
        <v>45660</v>
      </c>
      <c r="I1883">
        <v>21</v>
      </c>
      <c r="J1883" t="s">
        <v>32</v>
      </c>
      <c r="K1883">
        <v>10</v>
      </c>
      <c r="L1883">
        <v>2</v>
      </c>
      <c r="M1883" s="11">
        <v>0</v>
      </c>
      <c r="N1883" s="12">
        <v>4957.6099999999997</v>
      </c>
      <c r="O1883" s="12">
        <v>16604.169999999998</v>
      </c>
    </row>
    <row r="1884" spans="1:15">
      <c r="A1884" t="s">
        <v>2058</v>
      </c>
      <c r="B1884" t="s">
        <v>117</v>
      </c>
      <c r="C1884" s="9">
        <v>42370</v>
      </c>
      <c r="D1884">
        <v>10</v>
      </c>
      <c r="E1884" t="s">
        <v>21</v>
      </c>
      <c r="F1884" t="s">
        <v>5184</v>
      </c>
      <c r="G1884" s="9">
        <v>45323</v>
      </c>
      <c r="H1884" s="9">
        <v>45282</v>
      </c>
      <c r="I1884">
        <v>31</v>
      </c>
      <c r="J1884" t="s">
        <v>26</v>
      </c>
      <c r="K1884">
        <v>8</v>
      </c>
      <c r="L1884">
        <v>8</v>
      </c>
      <c r="M1884" s="11">
        <v>4225.03</v>
      </c>
      <c r="N1884" s="12">
        <v>12191.17</v>
      </c>
      <c r="O1884" s="12">
        <v>7601.58</v>
      </c>
    </row>
    <row r="1885" spans="1:15">
      <c r="A1885" t="s">
        <v>2059</v>
      </c>
      <c r="B1885" t="s">
        <v>681</v>
      </c>
      <c r="C1885" s="9">
        <v>14976</v>
      </c>
      <c r="D1885">
        <v>85</v>
      </c>
      <c r="E1885" t="s">
        <v>17</v>
      </c>
      <c r="F1885" t="s">
        <v>18</v>
      </c>
      <c r="G1885" s="9">
        <v>45071</v>
      </c>
      <c r="H1885" s="9">
        <v>45808</v>
      </c>
      <c r="I1885">
        <v>33</v>
      </c>
      <c r="J1885" t="s">
        <v>35</v>
      </c>
      <c r="K1885">
        <v>13</v>
      </c>
      <c r="L1885">
        <v>4</v>
      </c>
      <c r="M1885" s="11">
        <v>15463.56</v>
      </c>
      <c r="N1885" s="12">
        <v>1634.46</v>
      </c>
      <c r="O1885" s="12">
        <v>9606.3799999999992</v>
      </c>
    </row>
    <row r="1886" spans="1:15">
      <c r="A1886" t="s">
        <v>2060</v>
      </c>
      <c r="B1886" t="s">
        <v>539</v>
      </c>
      <c r="C1886" s="9">
        <v>27760</v>
      </c>
      <c r="D1886">
        <v>50</v>
      </c>
      <c r="E1886" t="s">
        <v>21</v>
      </c>
      <c r="F1886" t="s">
        <v>5184</v>
      </c>
      <c r="G1886" s="9">
        <v>45513</v>
      </c>
      <c r="H1886" s="9">
        <v>44964</v>
      </c>
      <c r="I1886">
        <v>24</v>
      </c>
      <c r="J1886" t="s">
        <v>35</v>
      </c>
      <c r="K1886">
        <v>7</v>
      </c>
      <c r="L1886">
        <v>8</v>
      </c>
      <c r="M1886" s="11">
        <v>6976.53</v>
      </c>
      <c r="N1886" s="12">
        <v>12875.27</v>
      </c>
      <c r="O1886" s="12">
        <v>14622.97</v>
      </c>
    </row>
    <row r="1887" spans="1:15">
      <c r="A1887" t="s">
        <v>2061</v>
      </c>
      <c r="B1887" t="s">
        <v>615</v>
      </c>
      <c r="C1887" s="9">
        <v>14246</v>
      </c>
      <c r="D1887">
        <v>87</v>
      </c>
      <c r="E1887" t="s">
        <v>21</v>
      </c>
      <c r="F1887" t="s">
        <v>29</v>
      </c>
      <c r="G1887" s="9">
        <v>45625</v>
      </c>
      <c r="H1887" s="9">
        <v>45237</v>
      </c>
      <c r="I1887">
        <v>36</v>
      </c>
      <c r="J1887" t="s">
        <v>35</v>
      </c>
      <c r="K1887">
        <v>13</v>
      </c>
      <c r="L1887">
        <v>0</v>
      </c>
      <c r="M1887" s="11">
        <v>15110.2</v>
      </c>
      <c r="N1887" s="12">
        <v>7770.02</v>
      </c>
      <c r="O1887" s="12">
        <v>3239.92</v>
      </c>
    </row>
    <row r="1888" spans="1:15">
      <c r="A1888" t="s">
        <v>2062</v>
      </c>
      <c r="B1888" t="s">
        <v>328</v>
      </c>
      <c r="C1888" s="9">
        <v>31412</v>
      </c>
      <c r="D1888">
        <v>40</v>
      </c>
      <c r="E1888" t="s">
        <v>21</v>
      </c>
      <c r="F1888" t="s">
        <v>29</v>
      </c>
      <c r="G1888" s="9">
        <v>45448</v>
      </c>
      <c r="H1888" s="9">
        <v>45588</v>
      </c>
      <c r="I1888">
        <v>14</v>
      </c>
      <c r="J1888" t="s">
        <v>32</v>
      </c>
      <c r="K1888">
        <v>9</v>
      </c>
      <c r="L1888">
        <v>9</v>
      </c>
      <c r="M1888" s="11">
        <v>22375.34</v>
      </c>
      <c r="N1888" s="12">
        <v>11354.02</v>
      </c>
      <c r="O1888" s="12">
        <v>5173.1000000000004</v>
      </c>
    </row>
    <row r="1889" spans="1:15">
      <c r="A1889" t="s">
        <v>2063</v>
      </c>
      <c r="B1889" t="s">
        <v>112</v>
      </c>
      <c r="C1889" s="9">
        <v>40178</v>
      </c>
      <c r="D1889">
        <v>16</v>
      </c>
      <c r="E1889" t="s">
        <v>17</v>
      </c>
      <c r="F1889" t="s">
        <v>25</v>
      </c>
      <c r="G1889" s="9">
        <v>45047</v>
      </c>
      <c r="H1889" s="9">
        <v>45531</v>
      </c>
      <c r="I1889">
        <v>22</v>
      </c>
      <c r="J1889" t="s">
        <v>32</v>
      </c>
      <c r="K1889">
        <v>2</v>
      </c>
      <c r="L1889">
        <v>7</v>
      </c>
      <c r="M1889" s="11">
        <v>7612.42</v>
      </c>
      <c r="N1889" s="12">
        <v>7775.87</v>
      </c>
      <c r="O1889" s="12">
        <v>3010.52</v>
      </c>
    </row>
    <row r="1890" spans="1:15">
      <c r="A1890" t="s">
        <v>2064</v>
      </c>
      <c r="B1890" t="s">
        <v>242</v>
      </c>
      <c r="C1890" s="9">
        <v>18629</v>
      </c>
      <c r="D1890">
        <v>75</v>
      </c>
      <c r="E1890" t="s">
        <v>21</v>
      </c>
      <c r="F1890" t="s">
        <v>74</v>
      </c>
      <c r="G1890" s="9">
        <v>45388</v>
      </c>
      <c r="H1890" s="9">
        <v>45509</v>
      </c>
      <c r="I1890">
        <v>35</v>
      </c>
      <c r="J1890" t="s">
        <v>26</v>
      </c>
      <c r="K1890">
        <v>12</v>
      </c>
      <c r="L1890">
        <v>1</v>
      </c>
      <c r="M1890" s="11">
        <v>10110.91</v>
      </c>
      <c r="N1890" s="12">
        <v>3694.09</v>
      </c>
      <c r="O1890" s="12">
        <v>15338.44</v>
      </c>
    </row>
    <row r="1891" spans="1:15">
      <c r="A1891" t="s">
        <v>2065</v>
      </c>
      <c r="B1891" t="s">
        <v>119</v>
      </c>
      <c r="C1891" s="9">
        <v>29586</v>
      </c>
      <c r="D1891">
        <v>45</v>
      </c>
      <c r="E1891" t="s">
        <v>17</v>
      </c>
      <c r="F1891" t="s">
        <v>25</v>
      </c>
      <c r="G1891" s="9">
        <v>45603</v>
      </c>
      <c r="H1891" s="9">
        <v>45011</v>
      </c>
      <c r="I1891">
        <v>39</v>
      </c>
      <c r="J1891" t="s">
        <v>32</v>
      </c>
      <c r="K1891">
        <v>3</v>
      </c>
      <c r="L1891">
        <v>7</v>
      </c>
      <c r="M1891" s="11">
        <v>21551.52</v>
      </c>
      <c r="N1891" s="12">
        <v>9612.73</v>
      </c>
      <c r="O1891" s="12">
        <v>1860.19</v>
      </c>
    </row>
    <row r="1892" spans="1:15">
      <c r="A1892" t="s">
        <v>2066</v>
      </c>
      <c r="B1892" t="s">
        <v>487</v>
      </c>
      <c r="C1892" s="9">
        <v>34700</v>
      </c>
      <c r="D1892">
        <v>31</v>
      </c>
      <c r="E1892" t="s">
        <v>21</v>
      </c>
      <c r="F1892" t="s">
        <v>29</v>
      </c>
      <c r="G1892" s="9">
        <v>45308</v>
      </c>
      <c r="H1892" s="9">
        <v>45437</v>
      </c>
      <c r="I1892">
        <v>18</v>
      </c>
      <c r="J1892" t="s">
        <v>26</v>
      </c>
      <c r="K1892">
        <v>13</v>
      </c>
      <c r="L1892">
        <v>3</v>
      </c>
      <c r="M1892" s="11">
        <v>16163.31</v>
      </c>
      <c r="N1892" s="12">
        <v>2321.87</v>
      </c>
      <c r="O1892" s="12">
        <v>9728.9599999999991</v>
      </c>
    </row>
    <row r="1893" spans="1:15">
      <c r="A1893" t="s">
        <v>2067</v>
      </c>
      <c r="B1893" t="s">
        <v>44</v>
      </c>
      <c r="C1893" s="9">
        <v>17533</v>
      </c>
      <c r="D1893">
        <v>78</v>
      </c>
      <c r="E1893" t="s">
        <v>17</v>
      </c>
      <c r="F1893" t="s">
        <v>49</v>
      </c>
      <c r="G1893" s="9">
        <v>45599</v>
      </c>
      <c r="H1893" s="9">
        <v>45371</v>
      </c>
      <c r="I1893">
        <v>1</v>
      </c>
      <c r="J1893" t="s">
        <v>32</v>
      </c>
      <c r="K1893">
        <v>1</v>
      </c>
      <c r="L1893">
        <v>1</v>
      </c>
      <c r="M1893" s="11">
        <v>2384.2800000000002</v>
      </c>
      <c r="N1893" s="12">
        <v>3448.06</v>
      </c>
      <c r="O1893" s="12">
        <v>14973.18</v>
      </c>
    </row>
    <row r="1894" spans="1:15">
      <c r="A1894" t="s">
        <v>2068</v>
      </c>
      <c r="B1894" t="s">
        <v>237</v>
      </c>
      <c r="C1894" s="9">
        <v>17168</v>
      </c>
      <c r="D1894">
        <v>79</v>
      </c>
      <c r="E1894" t="s">
        <v>21</v>
      </c>
      <c r="F1894" t="s">
        <v>25</v>
      </c>
      <c r="G1894" s="9">
        <v>45344</v>
      </c>
      <c r="H1894" s="9">
        <v>45347</v>
      </c>
      <c r="I1894">
        <v>22</v>
      </c>
      <c r="J1894" t="s">
        <v>26</v>
      </c>
      <c r="K1894">
        <v>10</v>
      </c>
      <c r="L1894">
        <v>1</v>
      </c>
      <c r="M1894" s="11">
        <v>22623.71</v>
      </c>
      <c r="N1894" s="12">
        <v>8239.89</v>
      </c>
      <c r="O1894" s="12">
        <v>10106.01</v>
      </c>
    </row>
    <row r="1895" spans="1:15">
      <c r="A1895" t="s">
        <v>2069</v>
      </c>
      <c r="B1895" t="s">
        <v>249</v>
      </c>
      <c r="C1895" s="9">
        <v>26664</v>
      </c>
      <c r="D1895">
        <v>53</v>
      </c>
      <c r="E1895" t="s">
        <v>21</v>
      </c>
      <c r="F1895" t="s">
        <v>22</v>
      </c>
      <c r="G1895" s="9">
        <v>45253</v>
      </c>
      <c r="H1895" s="9">
        <v>45132</v>
      </c>
      <c r="I1895">
        <v>27</v>
      </c>
      <c r="J1895" t="s">
        <v>32</v>
      </c>
      <c r="K1895">
        <v>9</v>
      </c>
      <c r="L1895">
        <v>5</v>
      </c>
      <c r="M1895" s="11">
        <v>0</v>
      </c>
      <c r="N1895" s="12">
        <v>5849.75</v>
      </c>
      <c r="O1895" s="12">
        <v>10124.41</v>
      </c>
    </row>
    <row r="1896" spans="1:15">
      <c r="A1896" t="s">
        <v>2070</v>
      </c>
      <c r="B1896" t="s">
        <v>127</v>
      </c>
      <c r="C1896" s="9">
        <v>14976</v>
      </c>
      <c r="D1896">
        <v>85</v>
      </c>
      <c r="E1896" t="s">
        <v>21</v>
      </c>
      <c r="F1896" t="s">
        <v>29</v>
      </c>
      <c r="G1896" s="9">
        <v>45317</v>
      </c>
      <c r="H1896" s="9">
        <v>45415</v>
      </c>
      <c r="I1896">
        <v>30</v>
      </c>
      <c r="J1896" t="s">
        <v>26</v>
      </c>
      <c r="K1896">
        <v>4</v>
      </c>
      <c r="L1896">
        <v>2</v>
      </c>
      <c r="M1896" s="11">
        <v>11244.26</v>
      </c>
      <c r="N1896" s="12">
        <v>11178.03</v>
      </c>
      <c r="O1896" s="12">
        <v>1179.8599999999999</v>
      </c>
    </row>
    <row r="1897" spans="1:15">
      <c r="A1897" t="s">
        <v>2071</v>
      </c>
      <c r="B1897" t="s">
        <v>211</v>
      </c>
      <c r="C1897" s="9">
        <v>12785</v>
      </c>
      <c r="D1897">
        <v>91</v>
      </c>
      <c r="E1897" t="s">
        <v>21</v>
      </c>
      <c r="F1897" t="s">
        <v>29</v>
      </c>
      <c r="G1897" s="9">
        <v>45223</v>
      </c>
      <c r="H1897" s="9">
        <v>45706</v>
      </c>
      <c r="I1897">
        <v>36</v>
      </c>
      <c r="J1897" t="s">
        <v>35</v>
      </c>
      <c r="K1897">
        <v>2</v>
      </c>
      <c r="L1897">
        <v>9</v>
      </c>
      <c r="M1897" s="11">
        <v>6977.9</v>
      </c>
      <c r="N1897" s="12">
        <v>8753.59</v>
      </c>
      <c r="O1897" s="12">
        <v>15635.51</v>
      </c>
    </row>
    <row r="1898" spans="1:15">
      <c r="A1898" t="s">
        <v>2072</v>
      </c>
      <c r="B1898" t="s">
        <v>147</v>
      </c>
      <c r="C1898" s="9">
        <v>39083</v>
      </c>
      <c r="D1898">
        <v>19</v>
      </c>
      <c r="E1898" t="s">
        <v>17</v>
      </c>
      <c r="F1898" t="s">
        <v>49</v>
      </c>
      <c r="G1898" s="9">
        <v>45556</v>
      </c>
      <c r="H1898" s="9">
        <v>45015</v>
      </c>
      <c r="I1898">
        <v>23</v>
      </c>
      <c r="J1898" t="s">
        <v>32</v>
      </c>
      <c r="K1898">
        <v>3</v>
      </c>
      <c r="L1898">
        <v>2</v>
      </c>
      <c r="M1898" s="11">
        <v>16072.39</v>
      </c>
      <c r="N1898" s="12">
        <v>5720.03</v>
      </c>
      <c r="O1898" s="12">
        <v>12040.55</v>
      </c>
    </row>
    <row r="1899" spans="1:15">
      <c r="A1899" t="s">
        <v>2073</v>
      </c>
      <c r="B1899" t="s">
        <v>615</v>
      </c>
      <c r="C1899" s="9">
        <v>34334</v>
      </c>
      <c r="D1899">
        <v>32</v>
      </c>
      <c r="E1899" t="s">
        <v>21</v>
      </c>
      <c r="F1899" t="s">
        <v>49</v>
      </c>
      <c r="G1899" s="9">
        <v>45010</v>
      </c>
      <c r="H1899" s="9">
        <v>45179</v>
      </c>
      <c r="I1899">
        <v>22</v>
      </c>
      <c r="J1899" t="s">
        <v>32</v>
      </c>
      <c r="K1899">
        <v>9</v>
      </c>
      <c r="L1899">
        <v>8</v>
      </c>
      <c r="M1899" s="11">
        <v>21086.93</v>
      </c>
      <c r="N1899" s="12">
        <v>4900.95</v>
      </c>
      <c r="O1899" s="12">
        <v>13317.01</v>
      </c>
    </row>
    <row r="1900" spans="1:15">
      <c r="A1900" t="s">
        <v>2074</v>
      </c>
      <c r="B1900" t="s">
        <v>59</v>
      </c>
      <c r="C1900" s="9">
        <v>19359</v>
      </c>
      <c r="D1900">
        <v>73</v>
      </c>
      <c r="E1900" t="s">
        <v>21</v>
      </c>
      <c r="F1900" t="s">
        <v>49</v>
      </c>
      <c r="G1900" s="9">
        <v>45072</v>
      </c>
      <c r="H1900" s="9">
        <v>45650</v>
      </c>
      <c r="I1900">
        <v>13</v>
      </c>
      <c r="J1900" t="s">
        <v>32</v>
      </c>
      <c r="K1900">
        <v>5</v>
      </c>
      <c r="L1900">
        <v>4</v>
      </c>
      <c r="M1900" s="11">
        <v>23998.1</v>
      </c>
      <c r="N1900" s="12">
        <v>13698.64</v>
      </c>
      <c r="O1900" s="12">
        <v>15292.57</v>
      </c>
    </row>
    <row r="1901" spans="1:15">
      <c r="A1901" t="s">
        <v>2075</v>
      </c>
      <c r="B1901" t="s">
        <v>59</v>
      </c>
      <c r="C1901" s="9">
        <v>31778</v>
      </c>
      <c r="D1901">
        <v>39</v>
      </c>
      <c r="E1901" t="s">
        <v>17</v>
      </c>
      <c r="F1901" t="s">
        <v>74</v>
      </c>
      <c r="G1901" s="9">
        <v>45097</v>
      </c>
      <c r="H1901" s="9">
        <v>45782</v>
      </c>
      <c r="I1901">
        <v>21</v>
      </c>
      <c r="J1901" t="s">
        <v>26</v>
      </c>
      <c r="K1901">
        <v>10</v>
      </c>
      <c r="L1901">
        <v>6</v>
      </c>
      <c r="M1901" s="11">
        <v>27624.73</v>
      </c>
      <c r="N1901" s="12">
        <v>601.24</v>
      </c>
      <c r="O1901" s="12">
        <v>11168.42</v>
      </c>
    </row>
    <row r="1902" spans="1:15">
      <c r="A1902" t="s">
        <v>2076</v>
      </c>
      <c r="B1902" t="s">
        <v>671</v>
      </c>
      <c r="C1902" s="9">
        <v>34700</v>
      </c>
      <c r="D1902">
        <v>31</v>
      </c>
      <c r="E1902" t="s">
        <v>21</v>
      </c>
      <c r="F1902" t="s">
        <v>22</v>
      </c>
      <c r="G1902" s="9">
        <v>45260</v>
      </c>
      <c r="H1902" s="9">
        <v>44958</v>
      </c>
      <c r="I1902">
        <v>2</v>
      </c>
      <c r="J1902" t="s">
        <v>26</v>
      </c>
      <c r="K1902">
        <v>5</v>
      </c>
      <c r="L1902">
        <v>4</v>
      </c>
      <c r="M1902" s="11">
        <v>10456.11</v>
      </c>
      <c r="N1902" s="12">
        <v>10365.469999999999</v>
      </c>
      <c r="O1902" s="12">
        <v>10123.32</v>
      </c>
    </row>
    <row r="1903" spans="1:15">
      <c r="A1903" t="s">
        <v>2077</v>
      </c>
      <c r="B1903" t="s">
        <v>292</v>
      </c>
      <c r="C1903" s="9">
        <f t="shared" ref="C1903:C1904" si="8">DATE(2026-D1863,1,1)</f>
        <v>14246</v>
      </c>
      <c r="D1903">
        <v>1</v>
      </c>
      <c r="E1903" t="s">
        <v>21</v>
      </c>
      <c r="F1903" t="s">
        <v>29</v>
      </c>
      <c r="G1903" s="9">
        <v>45350</v>
      </c>
      <c r="H1903" s="9">
        <v>45796</v>
      </c>
      <c r="I1903">
        <v>39</v>
      </c>
      <c r="J1903" t="s">
        <v>35</v>
      </c>
      <c r="K1903">
        <v>7</v>
      </c>
      <c r="L1903">
        <v>1</v>
      </c>
      <c r="M1903" s="11">
        <v>27944.73</v>
      </c>
      <c r="N1903" s="12">
        <v>5878.48</v>
      </c>
      <c r="O1903" s="12">
        <v>13229.62</v>
      </c>
    </row>
    <row r="1904" spans="1:15">
      <c r="A1904" t="s">
        <v>2078</v>
      </c>
      <c r="B1904" t="s">
        <v>153</v>
      </c>
      <c r="C1904" s="9">
        <f t="shared" si="8"/>
        <v>20090</v>
      </c>
      <c r="D1904">
        <v>32</v>
      </c>
      <c r="E1904" t="s">
        <v>17</v>
      </c>
      <c r="F1904" t="s">
        <v>49</v>
      </c>
      <c r="G1904" s="9">
        <v>45235</v>
      </c>
      <c r="H1904" s="9">
        <v>45348</v>
      </c>
      <c r="I1904">
        <v>36</v>
      </c>
      <c r="J1904" t="s">
        <v>32</v>
      </c>
      <c r="K1904">
        <v>0</v>
      </c>
      <c r="L1904">
        <v>7</v>
      </c>
      <c r="M1904" s="11">
        <v>18317.12</v>
      </c>
      <c r="N1904" s="12">
        <v>5660.37</v>
      </c>
      <c r="O1904" s="12">
        <v>17990.16</v>
      </c>
    </row>
    <row r="1905" spans="1:15">
      <c r="A1905" t="s">
        <v>2079</v>
      </c>
      <c r="B1905" t="s">
        <v>240</v>
      </c>
      <c r="C1905" s="9">
        <v>18263</v>
      </c>
      <c r="D1905">
        <v>76</v>
      </c>
      <c r="E1905" t="s">
        <v>17</v>
      </c>
      <c r="F1905" t="s">
        <v>74</v>
      </c>
      <c r="G1905" s="9">
        <v>45452</v>
      </c>
      <c r="H1905" s="9">
        <v>45755</v>
      </c>
      <c r="I1905">
        <v>10</v>
      </c>
      <c r="J1905" t="s">
        <v>35</v>
      </c>
      <c r="K1905">
        <v>12</v>
      </c>
      <c r="L1905">
        <v>8</v>
      </c>
      <c r="M1905" s="11">
        <v>11382.63</v>
      </c>
      <c r="N1905" s="12">
        <v>9778.15</v>
      </c>
      <c r="O1905" s="12">
        <v>12733.79</v>
      </c>
    </row>
    <row r="1906" spans="1:15">
      <c r="A1906" t="s">
        <v>2080</v>
      </c>
      <c r="B1906" t="s">
        <v>100</v>
      </c>
      <c r="C1906" s="9">
        <v>35430</v>
      </c>
      <c r="D1906">
        <v>29</v>
      </c>
      <c r="E1906" t="s">
        <v>21</v>
      </c>
      <c r="F1906" t="s">
        <v>18</v>
      </c>
      <c r="G1906" s="9">
        <v>45587</v>
      </c>
      <c r="H1906" s="9">
        <v>44988</v>
      </c>
      <c r="I1906">
        <v>27</v>
      </c>
      <c r="J1906" t="s">
        <v>32</v>
      </c>
      <c r="K1906">
        <v>2</v>
      </c>
      <c r="L1906">
        <v>1</v>
      </c>
      <c r="M1906" s="11">
        <v>26562.47</v>
      </c>
      <c r="N1906" s="12">
        <v>12756.97</v>
      </c>
      <c r="O1906" s="12">
        <v>15745.27</v>
      </c>
    </row>
    <row r="1907" spans="1:15">
      <c r="A1907" t="s">
        <v>2081</v>
      </c>
      <c r="B1907" t="s">
        <v>264</v>
      </c>
      <c r="C1907" s="9">
        <v>34334</v>
      </c>
      <c r="D1907">
        <v>32</v>
      </c>
      <c r="E1907" t="s">
        <v>21</v>
      </c>
      <c r="F1907" t="s">
        <v>22</v>
      </c>
      <c r="G1907" s="9">
        <v>45495</v>
      </c>
      <c r="H1907" s="9">
        <v>45506</v>
      </c>
      <c r="I1907">
        <v>4</v>
      </c>
      <c r="J1907" t="s">
        <v>32</v>
      </c>
      <c r="K1907">
        <v>13</v>
      </c>
      <c r="L1907">
        <v>1</v>
      </c>
      <c r="M1907" s="11">
        <v>17178.7</v>
      </c>
      <c r="N1907" s="12">
        <v>10866.18</v>
      </c>
      <c r="O1907" s="12">
        <v>9553.4599999999991</v>
      </c>
    </row>
    <row r="1908" spans="1:15">
      <c r="A1908" t="s">
        <v>2082</v>
      </c>
      <c r="B1908" t="s">
        <v>336</v>
      </c>
      <c r="C1908" s="9">
        <v>18263</v>
      </c>
      <c r="D1908">
        <v>76</v>
      </c>
      <c r="E1908" t="s">
        <v>5185</v>
      </c>
      <c r="F1908" t="s">
        <v>5184</v>
      </c>
      <c r="G1908" s="9">
        <v>45273</v>
      </c>
      <c r="H1908" s="9">
        <v>45153</v>
      </c>
      <c r="I1908">
        <v>14</v>
      </c>
      <c r="J1908" t="s">
        <v>26</v>
      </c>
      <c r="K1908">
        <v>6</v>
      </c>
      <c r="L1908">
        <v>3</v>
      </c>
      <c r="M1908" s="11">
        <v>13355.65</v>
      </c>
      <c r="N1908" s="12">
        <v>10051.67</v>
      </c>
      <c r="O1908" s="12">
        <v>11750.4</v>
      </c>
    </row>
    <row r="1909" spans="1:15">
      <c r="A1909" t="s">
        <v>2083</v>
      </c>
      <c r="B1909" t="s">
        <v>444</v>
      </c>
      <c r="C1909" s="9">
        <v>36891</v>
      </c>
      <c r="D1909">
        <f ca="1">DATEDIF(C1860,TODAY(),"Y")</f>
        <v>62</v>
      </c>
      <c r="E1909" t="s">
        <v>21</v>
      </c>
      <c r="F1909" t="s">
        <v>5184</v>
      </c>
      <c r="G1909" s="9">
        <v>45228</v>
      </c>
      <c r="H1909" s="9">
        <v>45262</v>
      </c>
      <c r="I1909">
        <v>24</v>
      </c>
      <c r="J1909" t="s">
        <v>35</v>
      </c>
      <c r="K1909">
        <v>14</v>
      </c>
      <c r="L1909">
        <v>7</v>
      </c>
      <c r="M1909" s="11">
        <v>149.19999999999999</v>
      </c>
      <c r="N1909" s="12">
        <v>7443.04</v>
      </c>
      <c r="O1909" s="12">
        <v>3521.01</v>
      </c>
    </row>
    <row r="1910" spans="1:15">
      <c r="A1910" t="s">
        <v>2084</v>
      </c>
      <c r="B1910" t="s">
        <v>196</v>
      </c>
      <c r="C1910" s="9">
        <v>38352</v>
      </c>
      <c r="D1910">
        <v>21</v>
      </c>
      <c r="E1910" t="s">
        <v>5185</v>
      </c>
      <c r="F1910" t="s">
        <v>18</v>
      </c>
      <c r="G1910" s="9">
        <v>45273</v>
      </c>
      <c r="H1910" s="9">
        <v>45766</v>
      </c>
      <c r="I1910">
        <v>32</v>
      </c>
      <c r="J1910" t="s">
        <v>26</v>
      </c>
      <c r="K1910">
        <v>2</v>
      </c>
      <c r="L1910">
        <v>4</v>
      </c>
      <c r="M1910" s="11">
        <v>21383.99</v>
      </c>
      <c r="N1910" s="12">
        <v>7037.68</v>
      </c>
      <c r="O1910" s="12">
        <v>9719.2099999999991</v>
      </c>
    </row>
    <row r="1911" spans="1:15">
      <c r="A1911" t="s">
        <v>2085</v>
      </c>
      <c r="B1911" t="s">
        <v>127</v>
      </c>
      <c r="C1911" s="9">
        <v>22281</v>
      </c>
      <c r="D1911">
        <v>65</v>
      </c>
      <c r="E1911" t="s">
        <v>21</v>
      </c>
      <c r="F1911" t="s">
        <v>18</v>
      </c>
      <c r="G1911" s="9">
        <v>45334</v>
      </c>
      <c r="H1911" s="9">
        <v>45506</v>
      </c>
      <c r="I1911">
        <v>2</v>
      </c>
      <c r="J1911" t="s">
        <v>26</v>
      </c>
      <c r="K1911">
        <v>10</v>
      </c>
      <c r="L1911">
        <v>4</v>
      </c>
      <c r="M1911" s="11">
        <v>1859.11</v>
      </c>
      <c r="N1911" s="12">
        <v>6910.73</v>
      </c>
      <c r="O1911" s="12">
        <v>2892.69</v>
      </c>
    </row>
    <row r="1912" spans="1:15">
      <c r="A1912" t="s">
        <v>2086</v>
      </c>
      <c r="B1912" t="s">
        <v>524</v>
      </c>
      <c r="C1912" s="9">
        <v>32508</v>
      </c>
      <c r="D1912">
        <v>37</v>
      </c>
      <c r="E1912" t="s">
        <v>17</v>
      </c>
      <c r="F1912" t="s">
        <v>29</v>
      </c>
      <c r="G1912" s="9">
        <v>45059</v>
      </c>
      <c r="H1912" s="9">
        <v>45567</v>
      </c>
      <c r="I1912">
        <v>39</v>
      </c>
      <c r="J1912" t="s">
        <v>32</v>
      </c>
      <c r="K1912">
        <v>14</v>
      </c>
      <c r="L1912">
        <v>6</v>
      </c>
      <c r="M1912" s="11">
        <v>8326.48</v>
      </c>
      <c r="N1912" s="12">
        <v>2181.71</v>
      </c>
      <c r="O1912" s="12">
        <v>9287.1299999999992</v>
      </c>
    </row>
    <row r="1913" spans="1:15">
      <c r="A1913" t="s">
        <v>2087</v>
      </c>
      <c r="B1913" t="s">
        <v>264</v>
      </c>
      <c r="C1913" s="9">
        <v>13515</v>
      </c>
      <c r="D1913">
        <v>89</v>
      </c>
      <c r="E1913" t="s">
        <v>21</v>
      </c>
      <c r="F1913" t="s">
        <v>74</v>
      </c>
      <c r="G1913" s="9">
        <v>45608</v>
      </c>
      <c r="H1913" s="9">
        <v>45038</v>
      </c>
      <c r="I1913">
        <v>2</v>
      </c>
      <c r="J1913" t="s">
        <v>32</v>
      </c>
      <c r="K1913">
        <v>1</v>
      </c>
      <c r="L1913">
        <v>3</v>
      </c>
      <c r="M1913" s="11">
        <v>28831.68</v>
      </c>
      <c r="N1913" s="12">
        <v>8392.5400000000009</v>
      </c>
      <c r="O1913" s="12">
        <v>1205.53</v>
      </c>
    </row>
    <row r="1914" spans="1:15">
      <c r="A1914" t="s">
        <v>2088</v>
      </c>
      <c r="B1914" t="s">
        <v>143</v>
      </c>
      <c r="C1914" s="9">
        <v>29586</v>
      </c>
      <c r="D1914">
        <v>45</v>
      </c>
      <c r="E1914" t="s">
        <v>17</v>
      </c>
      <c r="F1914" t="s">
        <v>74</v>
      </c>
      <c r="G1914" s="9">
        <v>45540</v>
      </c>
      <c r="H1914" s="9">
        <v>45418</v>
      </c>
      <c r="I1914">
        <v>21</v>
      </c>
      <c r="J1914" t="s">
        <v>32</v>
      </c>
      <c r="K1914">
        <v>12</v>
      </c>
      <c r="L1914">
        <v>8</v>
      </c>
      <c r="M1914" s="11">
        <v>4234</v>
      </c>
      <c r="N1914" s="12">
        <v>4731.96</v>
      </c>
      <c r="O1914" s="12">
        <v>11481.77</v>
      </c>
    </row>
    <row r="1915" spans="1:15">
      <c r="A1915" t="s">
        <v>2089</v>
      </c>
      <c r="B1915" t="s">
        <v>412</v>
      </c>
      <c r="C1915" s="9">
        <v>40909</v>
      </c>
      <c r="D1915">
        <v>14</v>
      </c>
      <c r="E1915" t="s">
        <v>21</v>
      </c>
      <c r="F1915" t="s">
        <v>18</v>
      </c>
      <c r="G1915" s="9">
        <v>45032</v>
      </c>
      <c r="H1915" s="9">
        <v>45199</v>
      </c>
      <c r="I1915">
        <v>4</v>
      </c>
      <c r="J1915" t="s">
        <v>32</v>
      </c>
      <c r="K1915">
        <v>8</v>
      </c>
      <c r="L1915">
        <v>3</v>
      </c>
      <c r="M1915" s="11">
        <v>0</v>
      </c>
      <c r="N1915" s="12">
        <v>9273.42</v>
      </c>
      <c r="O1915" s="12">
        <v>5663.38</v>
      </c>
    </row>
    <row r="1916" spans="1:15">
      <c r="A1916" t="s">
        <v>2090</v>
      </c>
      <c r="B1916" t="s">
        <v>254</v>
      </c>
      <c r="C1916" s="9">
        <v>30317</v>
      </c>
      <c r="D1916">
        <v>43</v>
      </c>
      <c r="E1916" t="s">
        <v>17</v>
      </c>
      <c r="F1916" t="s">
        <v>22</v>
      </c>
      <c r="G1916" s="9">
        <v>45097</v>
      </c>
      <c r="H1916" s="9">
        <v>45740</v>
      </c>
      <c r="I1916">
        <v>4</v>
      </c>
      <c r="J1916" t="s">
        <v>32</v>
      </c>
      <c r="K1916">
        <v>4</v>
      </c>
      <c r="L1916">
        <v>7</v>
      </c>
      <c r="M1916" s="11">
        <v>27936.35</v>
      </c>
      <c r="N1916" s="12">
        <v>8015.03</v>
      </c>
      <c r="O1916" s="12">
        <v>16817.04</v>
      </c>
    </row>
    <row r="1917" spans="1:15">
      <c r="A1917" t="s">
        <v>2091</v>
      </c>
      <c r="B1917" t="s">
        <v>278</v>
      </c>
      <c r="C1917" s="9">
        <v>28490</v>
      </c>
      <c r="D1917">
        <v>48</v>
      </c>
      <c r="E1917" t="s">
        <v>21</v>
      </c>
      <c r="F1917" t="s">
        <v>25</v>
      </c>
      <c r="G1917" s="9">
        <v>45566</v>
      </c>
      <c r="H1917" s="9">
        <v>44961</v>
      </c>
      <c r="I1917">
        <v>11</v>
      </c>
      <c r="J1917" t="s">
        <v>32</v>
      </c>
      <c r="K1917">
        <v>1</v>
      </c>
      <c r="L1917">
        <v>2</v>
      </c>
      <c r="M1917" s="11">
        <v>9799.36</v>
      </c>
      <c r="N1917" s="12">
        <v>14098.86</v>
      </c>
      <c r="O1917" s="12">
        <v>7462.9</v>
      </c>
    </row>
    <row r="1918" spans="1:15">
      <c r="A1918" t="s">
        <v>2092</v>
      </c>
      <c r="B1918" t="s">
        <v>84</v>
      </c>
      <c r="C1918" s="9">
        <v>18994</v>
      </c>
      <c r="D1918">
        <v>74</v>
      </c>
      <c r="E1918" t="s">
        <v>21</v>
      </c>
      <c r="F1918" t="s">
        <v>18</v>
      </c>
      <c r="G1918" s="9">
        <v>45176</v>
      </c>
      <c r="H1918" s="9">
        <v>45139</v>
      </c>
      <c r="I1918">
        <v>12</v>
      </c>
      <c r="J1918" t="s">
        <v>32</v>
      </c>
      <c r="K1918">
        <v>13</v>
      </c>
      <c r="L1918">
        <v>5</v>
      </c>
      <c r="M1918" s="11">
        <v>0</v>
      </c>
      <c r="N1918" s="12">
        <v>6523.95</v>
      </c>
      <c r="O1918" s="12">
        <v>18347.240000000002</v>
      </c>
    </row>
    <row r="1919" spans="1:15">
      <c r="A1919" t="s">
        <v>2093</v>
      </c>
      <c r="B1919" t="s">
        <v>53</v>
      </c>
      <c r="C1919" s="9">
        <v>24107</v>
      </c>
      <c r="D1919">
        <v>60</v>
      </c>
      <c r="E1919" t="s">
        <v>17</v>
      </c>
      <c r="F1919" t="s">
        <v>29</v>
      </c>
      <c r="G1919" s="9">
        <v>45470</v>
      </c>
      <c r="H1919" s="9">
        <v>45227</v>
      </c>
      <c r="I1919">
        <v>2</v>
      </c>
      <c r="J1919" t="s">
        <v>35</v>
      </c>
      <c r="K1919">
        <v>10</v>
      </c>
      <c r="L1919">
        <v>0</v>
      </c>
      <c r="M1919" s="11">
        <v>19262.61</v>
      </c>
      <c r="N1919" s="12">
        <v>9965.9599999999991</v>
      </c>
      <c r="O1919" s="12">
        <v>9405.0400000000009</v>
      </c>
    </row>
    <row r="1920" spans="1:15">
      <c r="A1920" t="s">
        <v>2094</v>
      </c>
      <c r="B1920" t="s">
        <v>223</v>
      </c>
      <c r="C1920" s="9">
        <v>21916</v>
      </c>
      <c r="D1920">
        <v>66</v>
      </c>
      <c r="E1920" t="s">
        <v>17</v>
      </c>
      <c r="F1920" t="s">
        <v>18</v>
      </c>
      <c r="G1920" s="9">
        <v>45654</v>
      </c>
      <c r="H1920" s="9">
        <v>45300</v>
      </c>
      <c r="I1920">
        <v>34</v>
      </c>
      <c r="J1920" t="s">
        <v>32</v>
      </c>
      <c r="K1920">
        <v>12</v>
      </c>
      <c r="L1920">
        <v>6</v>
      </c>
      <c r="M1920" s="11">
        <v>3506.4</v>
      </c>
      <c r="N1920" s="12">
        <v>8892.0400000000009</v>
      </c>
      <c r="O1920" s="12">
        <v>16962.349999999999</v>
      </c>
    </row>
    <row r="1921" spans="1:15">
      <c r="A1921" t="s">
        <v>2095</v>
      </c>
      <c r="B1921" t="s">
        <v>65</v>
      </c>
      <c r="C1921" s="9">
        <v>44196</v>
      </c>
      <c r="D1921">
        <v>5</v>
      </c>
      <c r="E1921" t="s">
        <v>17</v>
      </c>
      <c r="F1921" t="s">
        <v>22</v>
      </c>
      <c r="G1921" s="9">
        <v>45188</v>
      </c>
      <c r="H1921" s="9">
        <v>45052</v>
      </c>
      <c r="I1921">
        <v>1</v>
      </c>
      <c r="J1921" t="s">
        <v>35</v>
      </c>
      <c r="K1921">
        <v>10</v>
      </c>
      <c r="L1921">
        <v>6</v>
      </c>
      <c r="M1921" s="11">
        <v>29168.93</v>
      </c>
      <c r="N1921" s="12">
        <v>10265.92</v>
      </c>
      <c r="O1921" s="12">
        <v>5875.16</v>
      </c>
    </row>
    <row r="1922" spans="1:15">
      <c r="A1922" t="s">
        <v>2096</v>
      </c>
      <c r="B1922" t="s">
        <v>204</v>
      </c>
      <c r="C1922" s="9">
        <v>43100</v>
      </c>
      <c r="D1922">
        <v>8</v>
      </c>
      <c r="E1922" t="s">
        <v>21</v>
      </c>
      <c r="F1922" t="s">
        <v>22</v>
      </c>
      <c r="G1922" s="9">
        <v>45420</v>
      </c>
      <c r="H1922" s="9">
        <v>45030</v>
      </c>
      <c r="I1922">
        <v>27</v>
      </c>
      <c r="J1922" t="s">
        <v>32</v>
      </c>
      <c r="K1922">
        <v>0</v>
      </c>
      <c r="L1922">
        <v>1</v>
      </c>
      <c r="M1922" s="11">
        <v>7888.19</v>
      </c>
      <c r="N1922" s="12">
        <v>4004.62</v>
      </c>
      <c r="O1922" s="12">
        <v>8977.2000000000007</v>
      </c>
    </row>
    <row r="1923" spans="1:15">
      <c r="A1923" t="s">
        <v>2097</v>
      </c>
      <c r="B1923" t="s">
        <v>350</v>
      </c>
      <c r="C1923" s="9">
        <v>44196</v>
      </c>
      <c r="D1923">
        <v>5</v>
      </c>
      <c r="E1923" t="s">
        <v>17</v>
      </c>
      <c r="F1923" t="s">
        <v>18</v>
      </c>
      <c r="G1923" s="9">
        <v>45170</v>
      </c>
      <c r="H1923" s="9">
        <v>45645</v>
      </c>
      <c r="I1923">
        <v>17</v>
      </c>
      <c r="J1923" t="s">
        <v>35</v>
      </c>
      <c r="K1923">
        <v>7</v>
      </c>
      <c r="L1923">
        <v>4</v>
      </c>
      <c r="M1923" s="11">
        <v>23463.51</v>
      </c>
      <c r="N1923" s="12">
        <v>3858.73</v>
      </c>
      <c r="O1923" s="12">
        <v>12636.68</v>
      </c>
    </row>
    <row r="1924" spans="1:15">
      <c r="A1924" t="s">
        <v>2098</v>
      </c>
      <c r="B1924" t="s">
        <v>123</v>
      </c>
      <c r="C1924" s="9">
        <v>19724</v>
      </c>
      <c r="D1924">
        <v>72</v>
      </c>
      <c r="E1924" t="s">
        <v>21</v>
      </c>
      <c r="F1924" t="s">
        <v>74</v>
      </c>
      <c r="G1924" s="9">
        <v>45377</v>
      </c>
      <c r="H1924" s="9">
        <v>45047</v>
      </c>
      <c r="I1924">
        <v>23</v>
      </c>
      <c r="J1924" t="s">
        <v>26</v>
      </c>
      <c r="K1924">
        <v>1</v>
      </c>
      <c r="L1924">
        <v>3</v>
      </c>
      <c r="M1924" s="11">
        <v>8272.24</v>
      </c>
      <c r="N1924" s="12">
        <v>8395.17</v>
      </c>
      <c r="O1924" s="12">
        <v>5098.88</v>
      </c>
    </row>
    <row r="1925" spans="1:15">
      <c r="A1925" t="s">
        <v>2099</v>
      </c>
      <c r="B1925" t="s">
        <v>91</v>
      </c>
      <c r="C1925" s="9">
        <v>11689</v>
      </c>
      <c r="D1925">
        <v>94</v>
      </c>
      <c r="E1925" t="s">
        <v>5185</v>
      </c>
      <c r="F1925" t="s">
        <v>18</v>
      </c>
      <c r="G1925" s="9">
        <v>45216</v>
      </c>
      <c r="H1925" s="9">
        <v>45609</v>
      </c>
      <c r="I1925">
        <v>6</v>
      </c>
      <c r="J1925" t="s">
        <v>32</v>
      </c>
      <c r="K1925">
        <v>1</v>
      </c>
      <c r="L1925">
        <v>9</v>
      </c>
      <c r="M1925" s="11">
        <v>7898.86</v>
      </c>
      <c r="N1925" s="12">
        <v>12735.92</v>
      </c>
      <c r="O1925" s="12">
        <v>13112.3</v>
      </c>
    </row>
    <row r="1926" spans="1:15">
      <c r="A1926" t="s">
        <v>2100</v>
      </c>
      <c r="B1926" t="s">
        <v>192</v>
      </c>
      <c r="C1926" s="9">
        <v>34700</v>
      </c>
      <c r="D1926">
        <v>31</v>
      </c>
      <c r="E1926" t="s">
        <v>17</v>
      </c>
      <c r="F1926" t="s">
        <v>49</v>
      </c>
      <c r="G1926" s="9">
        <v>45189</v>
      </c>
      <c r="H1926" s="9">
        <v>45474</v>
      </c>
      <c r="I1926">
        <v>27</v>
      </c>
      <c r="J1926" t="s">
        <v>32</v>
      </c>
      <c r="K1926">
        <v>12</v>
      </c>
      <c r="L1926">
        <v>8</v>
      </c>
      <c r="M1926" s="11">
        <v>1254.1400000000001</v>
      </c>
      <c r="N1926" s="12">
        <v>10800.13</v>
      </c>
      <c r="O1926" s="12">
        <v>5700.91</v>
      </c>
    </row>
    <row r="1927" spans="1:15">
      <c r="A1927" t="s">
        <v>2101</v>
      </c>
      <c r="B1927" t="s">
        <v>159</v>
      </c>
      <c r="C1927" s="9">
        <v>31412</v>
      </c>
      <c r="D1927">
        <f ca="1">DATEDIF(C1878,TODAY(),"Y")</f>
        <v>10</v>
      </c>
      <c r="E1927" t="s">
        <v>21</v>
      </c>
      <c r="F1927" t="s">
        <v>49</v>
      </c>
      <c r="G1927" s="9">
        <v>45240</v>
      </c>
      <c r="H1927" s="9">
        <v>45821</v>
      </c>
      <c r="I1927">
        <v>19</v>
      </c>
      <c r="J1927" t="s">
        <v>35</v>
      </c>
      <c r="K1927">
        <v>10</v>
      </c>
      <c r="L1927">
        <v>1</v>
      </c>
      <c r="M1927" s="11">
        <v>0</v>
      </c>
      <c r="N1927" s="12">
        <v>7334.02</v>
      </c>
      <c r="O1927" s="12">
        <v>9634.2800000000007</v>
      </c>
    </row>
    <row r="1928" spans="1:15">
      <c r="A1928" t="s">
        <v>2102</v>
      </c>
      <c r="B1928" t="s">
        <v>95</v>
      </c>
      <c r="C1928" s="9">
        <v>18629</v>
      </c>
      <c r="D1928">
        <v>75</v>
      </c>
      <c r="E1928" t="s">
        <v>17</v>
      </c>
      <c r="F1928" t="s">
        <v>25</v>
      </c>
      <c r="G1928" s="9">
        <v>45011</v>
      </c>
      <c r="H1928" s="9">
        <v>45258</v>
      </c>
      <c r="I1928">
        <v>37</v>
      </c>
      <c r="J1928" t="s">
        <v>32</v>
      </c>
      <c r="K1928">
        <v>13</v>
      </c>
      <c r="L1928">
        <v>2</v>
      </c>
      <c r="M1928" s="11">
        <v>15420</v>
      </c>
      <c r="N1928" s="12">
        <v>3826.42</v>
      </c>
      <c r="O1928" s="12">
        <v>369.73</v>
      </c>
    </row>
    <row r="1929" spans="1:15">
      <c r="A1929" t="s">
        <v>2103</v>
      </c>
      <c r="B1929" t="s">
        <v>326</v>
      </c>
      <c r="C1929" s="9">
        <v>43466</v>
      </c>
      <c r="D1929">
        <v>7</v>
      </c>
      <c r="E1929" t="s">
        <v>17</v>
      </c>
      <c r="F1929" t="s">
        <v>29</v>
      </c>
      <c r="G1929" s="9">
        <v>45341</v>
      </c>
      <c r="H1929" s="9">
        <v>45685</v>
      </c>
      <c r="I1929">
        <v>38</v>
      </c>
      <c r="J1929" t="s">
        <v>35</v>
      </c>
      <c r="K1929">
        <v>13</v>
      </c>
      <c r="L1929">
        <v>0</v>
      </c>
      <c r="M1929" s="11">
        <v>17093.72</v>
      </c>
      <c r="N1929" s="12">
        <v>11390.21</v>
      </c>
      <c r="O1929" s="12">
        <v>1471.46</v>
      </c>
    </row>
    <row r="1930" spans="1:15">
      <c r="A1930" t="s">
        <v>2104</v>
      </c>
      <c r="B1930" t="s">
        <v>539</v>
      </c>
      <c r="C1930" s="9">
        <f>DATE(2026-D1890,1,1)</f>
        <v>18629</v>
      </c>
      <c r="D1930">
        <v>71</v>
      </c>
      <c r="E1930" t="s">
        <v>21</v>
      </c>
      <c r="F1930" t="s">
        <v>29</v>
      </c>
      <c r="G1930" s="9">
        <v>45255</v>
      </c>
      <c r="H1930" s="9">
        <v>45779</v>
      </c>
      <c r="I1930">
        <v>27</v>
      </c>
      <c r="J1930" t="s">
        <v>35</v>
      </c>
      <c r="K1930">
        <v>10</v>
      </c>
      <c r="L1930">
        <v>9</v>
      </c>
      <c r="M1930" s="11">
        <v>24383.23</v>
      </c>
      <c r="N1930" s="12">
        <v>13893.69</v>
      </c>
      <c r="O1930" s="12">
        <v>4464.7299999999996</v>
      </c>
    </row>
    <row r="1931" spans="1:15">
      <c r="A1931" t="s">
        <v>2105</v>
      </c>
      <c r="B1931" t="s">
        <v>170</v>
      </c>
      <c r="C1931" s="9">
        <v>28125</v>
      </c>
      <c r="D1931">
        <v>49</v>
      </c>
      <c r="E1931" t="s">
        <v>17</v>
      </c>
      <c r="F1931" t="s">
        <v>5184</v>
      </c>
      <c r="G1931" s="9">
        <v>44971</v>
      </c>
      <c r="H1931" s="9">
        <v>45236</v>
      </c>
      <c r="I1931">
        <v>17</v>
      </c>
      <c r="J1931" t="s">
        <v>32</v>
      </c>
      <c r="K1931">
        <v>11</v>
      </c>
      <c r="L1931">
        <v>4</v>
      </c>
      <c r="M1931" s="11">
        <v>1336.56</v>
      </c>
      <c r="N1931" s="12">
        <v>3195.3</v>
      </c>
      <c r="O1931" s="12">
        <v>16110.51</v>
      </c>
    </row>
    <row r="1932" spans="1:15">
      <c r="A1932" t="s">
        <v>2106</v>
      </c>
      <c r="B1932" t="s">
        <v>73</v>
      </c>
      <c r="C1932" s="9">
        <v>12785</v>
      </c>
      <c r="D1932">
        <v>91</v>
      </c>
      <c r="E1932" t="s">
        <v>21</v>
      </c>
      <c r="F1932" t="s">
        <v>74</v>
      </c>
      <c r="G1932" s="9">
        <v>45259</v>
      </c>
      <c r="H1932" s="9">
        <v>45497</v>
      </c>
      <c r="I1932">
        <v>25</v>
      </c>
      <c r="J1932" t="s">
        <v>32</v>
      </c>
      <c r="K1932">
        <v>11</v>
      </c>
      <c r="L1932">
        <v>2</v>
      </c>
      <c r="M1932" s="11">
        <v>10362.58</v>
      </c>
      <c r="N1932" s="12">
        <v>11986.41</v>
      </c>
      <c r="O1932" s="12">
        <v>13173.72</v>
      </c>
    </row>
    <row r="1933" spans="1:15">
      <c r="A1933" t="s">
        <v>2107</v>
      </c>
      <c r="B1933" t="s">
        <v>82</v>
      </c>
      <c r="C1933" s="9">
        <v>23742</v>
      </c>
      <c r="D1933">
        <v>61</v>
      </c>
      <c r="E1933" t="s">
        <v>17</v>
      </c>
      <c r="F1933" t="s">
        <v>29</v>
      </c>
      <c r="G1933" s="9">
        <v>45391</v>
      </c>
      <c r="H1933" s="9">
        <v>45339</v>
      </c>
      <c r="I1933">
        <v>4</v>
      </c>
      <c r="J1933" t="s">
        <v>35</v>
      </c>
      <c r="K1933">
        <v>7</v>
      </c>
      <c r="L1933">
        <v>3</v>
      </c>
      <c r="M1933" s="11">
        <v>0</v>
      </c>
      <c r="N1933" s="12">
        <v>2586.6799999999998</v>
      </c>
      <c r="O1933" s="12">
        <v>17858.310000000001</v>
      </c>
    </row>
    <row r="1934" spans="1:15">
      <c r="A1934" t="s">
        <v>2108</v>
      </c>
      <c r="B1934" t="s">
        <v>300</v>
      </c>
      <c r="C1934" s="9">
        <v>15707</v>
      </c>
      <c r="D1934">
        <v>83</v>
      </c>
      <c r="E1934" t="s">
        <v>21</v>
      </c>
      <c r="F1934" t="s">
        <v>25</v>
      </c>
      <c r="G1934" s="9">
        <v>45126</v>
      </c>
      <c r="H1934" s="9">
        <v>45326</v>
      </c>
      <c r="I1934">
        <v>1</v>
      </c>
      <c r="J1934" t="s">
        <v>26</v>
      </c>
      <c r="K1934">
        <v>3</v>
      </c>
      <c r="L1934">
        <v>3</v>
      </c>
      <c r="M1934" s="11">
        <v>10415.26</v>
      </c>
      <c r="N1934" s="12">
        <v>13511.74</v>
      </c>
      <c r="O1934" s="12">
        <v>18084.689999999999</v>
      </c>
    </row>
    <row r="1935" spans="1:15">
      <c r="A1935" t="s">
        <v>2109</v>
      </c>
      <c r="B1935" t="s">
        <v>237</v>
      </c>
      <c r="C1935" s="9">
        <v>23742</v>
      </c>
      <c r="D1935">
        <v>61</v>
      </c>
      <c r="E1935" t="s">
        <v>21</v>
      </c>
      <c r="F1935" t="s">
        <v>49</v>
      </c>
      <c r="G1935" s="9">
        <v>45127</v>
      </c>
      <c r="H1935" s="9">
        <v>45233</v>
      </c>
      <c r="I1935">
        <v>25</v>
      </c>
      <c r="J1935" t="s">
        <v>32</v>
      </c>
      <c r="K1935">
        <v>5</v>
      </c>
      <c r="L1935">
        <v>5</v>
      </c>
      <c r="M1935" s="11">
        <v>10306.35</v>
      </c>
      <c r="N1935" s="12">
        <v>9630.75</v>
      </c>
      <c r="O1935" s="12">
        <v>7430.9</v>
      </c>
    </row>
    <row r="1936" spans="1:15">
      <c r="A1936" t="s">
        <v>2110</v>
      </c>
      <c r="B1936" t="s">
        <v>444</v>
      </c>
      <c r="C1936" s="9">
        <v>43831</v>
      </c>
      <c r="D1936">
        <v>6</v>
      </c>
      <c r="E1936" t="s">
        <v>21</v>
      </c>
      <c r="F1936" t="s">
        <v>74</v>
      </c>
      <c r="G1936" s="9">
        <v>45255</v>
      </c>
      <c r="H1936" s="9">
        <v>45580</v>
      </c>
      <c r="I1936">
        <v>32</v>
      </c>
      <c r="J1936" t="s">
        <v>26</v>
      </c>
      <c r="K1936">
        <v>12</v>
      </c>
      <c r="L1936">
        <v>9</v>
      </c>
      <c r="M1936" s="11">
        <v>10305.530000000001</v>
      </c>
      <c r="N1936" s="12">
        <v>2715.15</v>
      </c>
      <c r="O1936" s="12">
        <v>7287.37</v>
      </c>
    </row>
    <row r="1937" spans="1:15">
      <c r="A1937" t="s">
        <v>2111</v>
      </c>
      <c r="B1937" t="s">
        <v>514</v>
      </c>
      <c r="C1937" s="9">
        <v>18994</v>
      </c>
      <c r="D1937">
        <v>74</v>
      </c>
      <c r="E1937" t="s">
        <v>17</v>
      </c>
      <c r="F1937" t="s">
        <v>22</v>
      </c>
      <c r="G1937" s="9">
        <v>45606</v>
      </c>
      <c r="H1937" s="9">
        <v>45550</v>
      </c>
      <c r="I1937">
        <v>30</v>
      </c>
      <c r="J1937" t="s">
        <v>35</v>
      </c>
      <c r="K1937">
        <v>14</v>
      </c>
      <c r="L1937">
        <v>6</v>
      </c>
      <c r="M1937" s="11">
        <v>8943.82</v>
      </c>
      <c r="N1937" s="12">
        <v>543.89</v>
      </c>
      <c r="O1937" s="12">
        <v>16698.439999999999</v>
      </c>
    </row>
    <row r="1938" spans="1:15">
      <c r="A1938" t="s">
        <v>2112</v>
      </c>
      <c r="B1938" t="s">
        <v>550</v>
      </c>
      <c r="C1938" s="9">
        <v>15707</v>
      </c>
      <c r="D1938">
        <v>83</v>
      </c>
      <c r="E1938" t="s">
        <v>17</v>
      </c>
      <c r="F1938" t="s">
        <v>49</v>
      </c>
      <c r="G1938" s="9">
        <v>45166</v>
      </c>
      <c r="H1938" s="9">
        <v>45090</v>
      </c>
      <c r="I1938">
        <v>4</v>
      </c>
      <c r="J1938" t="s">
        <v>35</v>
      </c>
      <c r="K1938">
        <v>0</v>
      </c>
      <c r="L1938">
        <v>6</v>
      </c>
      <c r="M1938" s="11">
        <v>22801.33</v>
      </c>
      <c r="N1938" s="12">
        <v>10419.24</v>
      </c>
      <c r="O1938" s="12">
        <v>8471.51</v>
      </c>
    </row>
    <row r="1939" spans="1:15">
      <c r="A1939" t="s">
        <v>2113</v>
      </c>
      <c r="B1939" t="s">
        <v>427</v>
      </c>
      <c r="C1939" s="9">
        <v>17168</v>
      </c>
      <c r="D1939">
        <v>79</v>
      </c>
      <c r="E1939" t="s">
        <v>5185</v>
      </c>
      <c r="F1939" t="s">
        <v>25</v>
      </c>
      <c r="G1939" s="9">
        <v>45628</v>
      </c>
      <c r="H1939" s="9">
        <v>45550</v>
      </c>
      <c r="I1939">
        <v>6</v>
      </c>
      <c r="J1939" t="s">
        <v>32</v>
      </c>
      <c r="K1939">
        <v>12</v>
      </c>
      <c r="L1939">
        <v>7</v>
      </c>
      <c r="M1939" s="11">
        <v>20536.04</v>
      </c>
      <c r="N1939" s="12">
        <v>9091.5300000000007</v>
      </c>
      <c r="O1939" s="12">
        <v>17129.75</v>
      </c>
    </row>
    <row r="1940" spans="1:15">
      <c r="A1940" t="s">
        <v>2114</v>
      </c>
      <c r="B1940" t="s">
        <v>278</v>
      </c>
      <c r="C1940" s="9">
        <v>44927</v>
      </c>
      <c r="D1940">
        <v>3</v>
      </c>
      <c r="E1940" t="s">
        <v>21</v>
      </c>
      <c r="F1940" t="s">
        <v>74</v>
      </c>
      <c r="G1940" s="9">
        <v>45509</v>
      </c>
      <c r="H1940" s="9">
        <v>45591</v>
      </c>
      <c r="I1940">
        <v>31</v>
      </c>
      <c r="J1940" t="s">
        <v>32</v>
      </c>
      <c r="K1940">
        <v>1</v>
      </c>
      <c r="L1940">
        <v>2</v>
      </c>
      <c r="M1940" s="11">
        <v>9914.81</v>
      </c>
      <c r="N1940" s="12">
        <v>9169.77</v>
      </c>
      <c r="O1940" s="12">
        <v>10069.19</v>
      </c>
    </row>
    <row r="1941" spans="1:15">
      <c r="A1941" t="s">
        <v>2115</v>
      </c>
      <c r="B1941" t="s">
        <v>211</v>
      </c>
      <c r="C1941" s="9">
        <v>44196</v>
      </c>
      <c r="D1941">
        <v>5</v>
      </c>
      <c r="E1941" t="s">
        <v>21</v>
      </c>
      <c r="F1941" t="s">
        <v>18</v>
      </c>
      <c r="G1941" s="9">
        <v>45583</v>
      </c>
      <c r="H1941" s="9">
        <v>45815</v>
      </c>
      <c r="I1941">
        <v>36</v>
      </c>
      <c r="J1941" t="s">
        <v>26</v>
      </c>
      <c r="K1941">
        <v>4</v>
      </c>
      <c r="L1941">
        <v>4</v>
      </c>
      <c r="M1941" s="11">
        <v>3967.89</v>
      </c>
      <c r="N1941" s="12">
        <v>7233.93</v>
      </c>
      <c r="O1941" s="12">
        <v>8436.73</v>
      </c>
    </row>
    <row r="1942" spans="1:15">
      <c r="A1942" t="s">
        <v>2116</v>
      </c>
      <c r="B1942" t="s">
        <v>619</v>
      </c>
      <c r="C1942" s="9">
        <v>25203</v>
      </c>
      <c r="D1942">
        <v>57</v>
      </c>
      <c r="E1942" t="s">
        <v>17</v>
      </c>
      <c r="F1942" t="s">
        <v>29</v>
      </c>
      <c r="G1942" s="9">
        <v>45285</v>
      </c>
      <c r="H1942" s="9">
        <v>44992</v>
      </c>
      <c r="I1942">
        <v>39</v>
      </c>
      <c r="J1942" t="s">
        <v>32</v>
      </c>
      <c r="K1942">
        <v>11</v>
      </c>
      <c r="L1942">
        <v>9</v>
      </c>
      <c r="M1942" s="11">
        <v>15307.55</v>
      </c>
      <c r="N1942" s="12">
        <v>9216.65</v>
      </c>
      <c r="O1942" s="12">
        <v>5509.3</v>
      </c>
    </row>
    <row r="1943" spans="1:15">
      <c r="A1943" t="s">
        <v>2117</v>
      </c>
      <c r="B1943" t="s">
        <v>97</v>
      </c>
      <c r="C1943" s="9">
        <v>38352</v>
      </c>
      <c r="D1943">
        <v>21</v>
      </c>
      <c r="E1943" t="s">
        <v>17</v>
      </c>
      <c r="F1943" t="s">
        <v>25</v>
      </c>
      <c r="G1943" s="9">
        <v>45647</v>
      </c>
      <c r="H1943" s="9">
        <v>45545</v>
      </c>
      <c r="I1943">
        <v>31</v>
      </c>
      <c r="J1943" t="s">
        <v>26</v>
      </c>
      <c r="K1943">
        <v>3</v>
      </c>
      <c r="L1943">
        <v>5</v>
      </c>
      <c r="M1943" s="11">
        <v>27524.85</v>
      </c>
      <c r="N1943" s="12">
        <v>13098.35</v>
      </c>
      <c r="O1943" s="12">
        <v>2442.39</v>
      </c>
    </row>
    <row r="1944" spans="1:15">
      <c r="A1944" t="s">
        <v>2118</v>
      </c>
      <c r="B1944" t="s">
        <v>34</v>
      </c>
      <c r="C1944" s="9">
        <v>36891</v>
      </c>
      <c r="D1944">
        <v>25</v>
      </c>
      <c r="E1944" t="s">
        <v>21</v>
      </c>
      <c r="F1944" t="s">
        <v>74</v>
      </c>
      <c r="G1944" s="9">
        <v>45286</v>
      </c>
      <c r="H1944" s="9">
        <v>45143</v>
      </c>
      <c r="I1944">
        <v>10</v>
      </c>
      <c r="J1944" t="s">
        <v>32</v>
      </c>
      <c r="K1944">
        <v>8</v>
      </c>
      <c r="L1944">
        <v>5</v>
      </c>
      <c r="M1944" s="11">
        <v>3268.56</v>
      </c>
      <c r="N1944" s="12">
        <v>14280.02</v>
      </c>
      <c r="O1944" s="12">
        <v>10470.64</v>
      </c>
    </row>
    <row r="1945" spans="1:15">
      <c r="A1945" t="s">
        <v>2119</v>
      </c>
      <c r="B1945" t="s">
        <v>73</v>
      </c>
      <c r="C1945" s="9">
        <v>45292</v>
      </c>
      <c r="D1945">
        <v>2</v>
      </c>
      <c r="E1945" t="s">
        <v>21</v>
      </c>
      <c r="F1945" t="s">
        <v>49</v>
      </c>
      <c r="G1945" s="9">
        <v>45304</v>
      </c>
      <c r="H1945" s="9">
        <v>45530</v>
      </c>
      <c r="I1945">
        <v>26</v>
      </c>
      <c r="J1945" t="s">
        <v>32</v>
      </c>
      <c r="K1945">
        <v>14</v>
      </c>
      <c r="L1945">
        <v>7</v>
      </c>
      <c r="M1945" s="11">
        <v>22467.41</v>
      </c>
      <c r="N1945" s="12">
        <v>5167.62</v>
      </c>
      <c r="O1945" s="12">
        <v>6437.02</v>
      </c>
    </row>
    <row r="1946" spans="1:15">
      <c r="A1946" t="s">
        <v>2120</v>
      </c>
      <c r="B1946" t="s">
        <v>157</v>
      </c>
      <c r="C1946" s="9">
        <v>31412</v>
      </c>
      <c r="D1946">
        <v>40</v>
      </c>
      <c r="E1946" t="s">
        <v>17</v>
      </c>
      <c r="F1946" t="s">
        <v>74</v>
      </c>
      <c r="G1946" s="9">
        <v>45311</v>
      </c>
      <c r="H1946" s="9">
        <v>44953</v>
      </c>
      <c r="I1946">
        <v>32</v>
      </c>
      <c r="J1946" t="s">
        <v>26</v>
      </c>
      <c r="K1946">
        <v>4</v>
      </c>
      <c r="L1946">
        <v>4</v>
      </c>
      <c r="M1946" s="11">
        <v>17781.060000000001</v>
      </c>
      <c r="N1946" s="12">
        <v>7318.08</v>
      </c>
      <c r="O1946" s="12">
        <v>4913.75</v>
      </c>
    </row>
    <row r="1947" spans="1:15">
      <c r="A1947" t="s">
        <v>2121</v>
      </c>
      <c r="B1947" t="s">
        <v>129</v>
      </c>
      <c r="C1947" s="9">
        <v>24473</v>
      </c>
      <c r="D1947">
        <v>59</v>
      </c>
      <c r="E1947" t="s">
        <v>21</v>
      </c>
      <c r="F1947" t="s">
        <v>18</v>
      </c>
      <c r="G1947" s="9">
        <v>45646</v>
      </c>
      <c r="H1947" s="9">
        <v>45596</v>
      </c>
      <c r="I1947">
        <v>7</v>
      </c>
      <c r="J1947" t="s">
        <v>32</v>
      </c>
      <c r="K1947">
        <v>0</v>
      </c>
      <c r="L1947">
        <v>4</v>
      </c>
      <c r="M1947" s="11">
        <v>17452</v>
      </c>
      <c r="N1947" s="12">
        <v>4095.42</v>
      </c>
      <c r="O1947" s="12">
        <v>3310.17</v>
      </c>
    </row>
    <row r="1948" spans="1:15">
      <c r="A1948" t="s">
        <v>2122</v>
      </c>
      <c r="B1948" t="s">
        <v>103</v>
      </c>
      <c r="C1948" s="9">
        <v>41274</v>
      </c>
      <c r="D1948">
        <v>13</v>
      </c>
      <c r="E1948" t="s">
        <v>17</v>
      </c>
      <c r="F1948" t="s">
        <v>25</v>
      </c>
      <c r="G1948" s="9">
        <v>45391</v>
      </c>
      <c r="H1948" s="9">
        <v>45511</v>
      </c>
      <c r="I1948">
        <v>27</v>
      </c>
      <c r="J1948" t="s">
        <v>32</v>
      </c>
      <c r="K1948">
        <v>5</v>
      </c>
      <c r="L1948">
        <v>0</v>
      </c>
      <c r="M1948" s="11">
        <v>28007.040000000001</v>
      </c>
      <c r="N1948" s="12">
        <v>6173.78</v>
      </c>
      <c r="O1948" s="12">
        <v>7711.3</v>
      </c>
    </row>
    <row r="1949" spans="1:15">
      <c r="A1949" t="s">
        <v>2123</v>
      </c>
      <c r="B1949" t="s">
        <v>356</v>
      </c>
      <c r="C1949" s="9">
        <v>18994</v>
      </c>
      <c r="D1949">
        <v>74</v>
      </c>
      <c r="E1949" t="s">
        <v>17</v>
      </c>
      <c r="F1949" t="s">
        <v>74</v>
      </c>
      <c r="G1949" s="9">
        <v>45148</v>
      </c>
      <c r="H1949" s="9">
        <v>44971</v>
      </c>
      <c r="I1949">
        <v>23</v>
      </c>
      <c r="J1949" t="s">
        <v>32</v>
      </c>
      <c r="K1949">
        <v>1</v>
      </c>
      <c r="L1949">
        <v>0</v>
      </c>
      <c r="M1949" s="11">
        <v>28656.19</v>
      </c>
      <c r="N1949" s="12">
        <v>11938.33</v>
      </c>
      <c r="O1949" s="12">
        <v>11073.04</v>
      </c>
    </row>
    <row r="1950" spans="1:15">
      <c r="A1950" t="s">
        <v>2124</v>
      </c>
      <c r="B1950" t="s">
        <v>226</v>
      </c>
      <c r="C1950" s="9">
        <v>16437</v>
      </c>
      <c r="D1950">
        <v>81</v>
      </c>
      <c r="E1950" t="s">
        <v>17</v>
      </c>
      <c r="F1950" t="s">
        <v>22</v>
      </c>
      <c r="G1950" s="9">
        <v>45601</v>
      </c>
      <c r="H1950" s="9">
        <v>45017</v>
      </c>
      <c r="I1950">
        <v>32</v>
      </c>
      <c r="J1950" t="s">
        <v>32</v>
      </c>
      <c r="K1950">
        <v>9</v>
      </c>
      <c r="L1950">
        <v>5</v>
      </c>
      <c r="M1950" s="11">
        <v>6937.11</v>
      </c>
      <c r="N1950" s="12">
        <v>6374.84</v>
      </c>
      <c r="O1950" s="12">
        <v>16724.22</v>
      </c>
    </row>
    <row r="1951" spans="1:15">
      <c r="A1951" t="s">
        <v>2125</v>
      </c>
      <c r="B1951" t="s">
        <v>166</v>
      </c>
      <c r="C1951" s="9">
        <v>42005</v>
      </c>
      <c r="D1951">
        <v>11</v>
      </c>
      <c r="E1951" t="s">
        <v>17</v>
      </c>
      <c r="F1951" t="s">
        <v>25</v>
      </c>
      <c r="G1951" s="9">
        <v>45291</v>
      </c>
      <c r="H1951" s="9">
        <v>45060</v>
      </c>
      <c r="I1951">
        <v>25</v>
      </c>
      <c r="J1951" t="s">
        <v>32</v>
      </c>
      <c r="K1951">
        <v>6</v>
      </c>
      <c r="L1951">
        <v>9</v>
      </c>
      <c r="M1951" s="11">
        <v>24158.55</v>
      </c>
      <c r="N1951" s="12">
        <v>5874.61</v>
      </c>
      <c r="O1951" s="12">
        <v>16385.82</v>
      </c>
    </row>
    <row r="1952" spans="1:15">
      <c r="A1952" t="s">
        <v>2126</v>
      </c>
      <c r="B1952" t="s">
        <v>135</v>
      </c>
      <c r="C1952" s="9">
        <v>14611</v>
      </c>
      <c r="D1952">
        <v>86</v>
      </c>
      <c r="E1952" t="s">
        <v>21</v>
      </c>
      <c r="F1952" t="s">
        <v>25</v>
      </c>
      <c r="G1952" s="9">
        <v>44998</v>
      </c>
      <c r="H1952" s="9">
        <v>45088</v>
      </c>
      <c r="I1952">
        <v>26</v>
      </c>
      <c r="J1952" t="s">
        <v>35</v>
      </c>
      <c r="K1952">
        <v>12</v>
      </c>
      <c r="L1952">
        <v>9</v>
      </c>
      <c r="M1952" s="11">
        <v>18434.38</v>
      </c>
      <c r="N1952" s="12">
        <v>12751.67</v>
      </c>
      <c r="O1952" s="12">
        <v>17086.77</v>
      </c>
    </row>
    <row r="1953" spans="1:15">
      <c r="A1953" t="s">
        <v>2127</v>
      </c>
      <c r="B1953" t="s">
        <v>198</v>
      </c>
      <c r="C1953" s="9">
        <v>42005</v>
      </c>
      <c r="D1953">
        <v>11</v>
      </c>
      <c r="E1953" t="s">
        <v>17</v>
      </c>
      <c r="F1953" t="s">
        <v>49</v>
      </c>
      <c r="G1953" s="9">
        <v>45166</v>
      </c>
      <c r="H1953" s="9">
        <v>45671</v>
      </c>
      <c r="I1953">
        <v>3</v>
      </c>
      <c r="J1953" t="s">
        <v>35</v>
      </c>
      <c r="K1953">
        <v>5</v>
      </c>
      <c r="L1953">
        <v>4</v>
      </c>
      <c r="M1953" s="11">
        <v>11969.79</v>
      </c>
      <c r="N1953" s="12">
        <v>19.09</v>
      </c>
      <c r="O1953" s="12">
        <v>11482.3</v>
      </c>
    </row>
    <row r="1954" spans="1:15">
      <c r="A1954" t="s">
        <v>2128</v>
      </c>
      <c r="B1954" t="s">
        <v>232</v>
      </c>
      <c r="C1954" s="9">
        <f t="shared" ref="C1954:C1955" si="9">DATE(2026-D1914,1,1)</f>
        <v>29587</v>
      </c>
      <c r="D1954">
        <v>12</v>
      </c>
      <c r="E1954" t="s">
        <v>17</v>
      </c>
      <c r="F1954" t="s">
        <v>5184</v>
      </c>
      <c r="G1954" s="9">
        <v>45430</v>
      </c>
      <c r="H1954" s="9">
        <v>45307</v>
      </c>
      <c r="I1954">
        <v>0</v>
      </c>
      <c r="J1954" t="s">
        <v>26</v>
      </c>
      <c r="K1954">
        <v>5</v>
      </c>
      <c r="L1954">
        <v>9</v>
      </c>
      <c r="M1954" s="11">
        <v>19801.45</v>
      </c>
      <c r="N1954" s="12">
        <v>12782.82</v>
      </c>
      <c r="O1954" s="12">
        <v>11146.95</v>
      </c>
    </row>
    <row r="1955" spans="1:15">
      <c r="A1955" t="s">
        <v>2129</v>
      </c>
      <c r="B1955" t="s">
        <v>309</v>
      </c>
      <c r="C1955" s="9">
        <f t="shared" si="9"/>
        <v>40909</v>
      </c>
      <c r="D1955">
        <v>24</v>
      </c>
      <c r="E1955" t="s">
        <v>21</v>
      </c>
      <c r="F1955" t="s">
        <v>29</v>
      </c>
      <c r="G1955" s="9">
        <v>45340</v>
      </c>
      <c r="H1955" s="9">
        <v>45188</v>
      </c>
      <c r="I1955">
        <v>26</v>
      </c>
      <c r="J1955" t="s">
        <v>32</v>
      </c>
      <c r="K1955">
        <v>4</v>
      </c>
      <c r="L1955">
        <v>5</v>
      </c>
      <c r="M1955" s="11">
        <v>28656.99</v>
      </c>
      <c r="N1955" s="12">
        <v>2721.12</v>
      </c>
      <c r="O1955" s="12">
        <v>18093.349999999999</v>
      </c>
    </row>
    <row r="1956" spans="1:15">
      <c r="A1956" t="s">
        <v>2130</v>
      </c>
      <c r="B1956" t="s">
        <v>240</v>
      </c>
      <c r="C1956" s="9">
        <v>29951</v>
      </c>
      <c r="D1956">
        <v>44</v>
      </c>
      <c r="E1956" t="s">
        <v>17</v>
      </c>
      <c r="F1956" t="s">
        <v>5184</v>
      </c>
      <c r="G1956" s="9">
        <v>45053</v>
      </c>
      <c r="H1956" s="9">
        <v>45310</v>
      </c>
      <c r="I1956">
        <v>1</v>
      </c>
      <c r="J1956" t="s">
        <v>32</v>
      </c>
      <c r="K1956">
        <v>8</v>
      </c>
      <c r="L1956">
        <v>8</v>
      </c>
      <c r="M1956" s="11">
        <v>15264.7</v>
      </c>
      <c r="N1956" s="12">
        <v>4117.68</v>
      </c>
      <c r="O1956" s="12">
        <v>5699.79</v>
      </c>
    </row>
    <row r="1957" spans="1:15">
      <c r="A1957" t="s">
        <v>2131</v>
      </c>
      <c r="B1957" t="s">
        <v>108</v>
      </c>
      <c r="C1957" s="9">
        <v>39448</v>
      </c>
      <c r="D1957">
        <v>18</v>
      </c>
      <c r="E1957" t="s">
        <v>21</v>
      </c>
      <c r="F1957" t="s">
        <v>22</v>
      </c>
      <c r="G1957" s="9">
        <v>45413</v>
      </c>
      <c r="H1957" s="9">
        <v>45296</v>
      </c>
      <c r="I1957">
        <v>19</v>
      </c>
      <c r="J1957" t="s">
        <v>32</v>
      </c>
      <c r="K1957">
        <v>3</v>
      </c>
      <c r="L1957">
        <v>7</v>
      </c>
      <c r="M1957" s="11">
        <v>28172.44</v>
      </c>
      <c r="N1957" s="12">
        <v>5424.14</v>
      </c>
      <c r="O1957" s="12">
        <v>2823.56</v>
      </c>
    </row>
    <row r="1958" spans="1:15">
      <c r="A1958" t="s">
        <v>2132</v>
      </c>
      <c r="B1958" t="s">
        <v>53</v>
      </c>
      <c r="C1958" s="9">
        <v>26299</v>
      </c>
      <c r="D1958">
        <v>54</v>
      </c>
      <c r="E1958" t="s">
        <v>17</v>
      </c>
      <c r="F1958" t="s">
        <v>18</v>
      </c>
      <c r="G1958" s="9">
        <v>45523</v>
      </c>
      <c r="H1958" s="9">
        <v>45038</v>
      </c>
      <c r="I1958">
        <v>24</v>
      </c>
      <c r="J1958" t="s">
        <v>32</v>
      </c>
      <c r="K1958">
        <v>7</v>
      </c>
      <c r="L1958">
        <v>6</v>
      </c>
      <c r="M1958" s="11">
        <v>19108.060000000001</v>
      </c>
      <c r="N1958" s="12">
        <v>13209.78</v>
      </c>
      <c r="O1958" s="12">
        <v>1563.77</v>
      </c>
    </row>
    <row r="1959" spans="1:15">
      <c r="A1959" t="s">
        <v>2133</v>
      </c>
      <c r="B1959" t="s">
        <v>103</v>
      </c>
      <c r="C1959" s="9">
        <v>29951</v>
      </c>
      <c r="D1959">
        <v>44</v>
      </c>
      <c r="E1959" t="s">
        <v>21</v>
      </c>
      <c r="F1959" t="s">
        <v>74</v>
      </c>
      <c r="G1959" s="9">
        <v>45453</v>
      </c>
      <c r="H1959" s="9">
        <v>45603</v>
      </c>
      <c r="I1959">
        <v>19</v>
      </c>
      <c r="J1959" t="s">
        <v>32</v>
      </c>
      <c r="K1959">
        <v>1</v>
      </c>
      <c r="L1959">
        <v>6</v>
      </c>
      <c r="M1959" s="11">
        <v>14228.73</v>
      </c>
      <c r="N1959" s="12">
        <v>13630.22</v>
      </c>
      <c r="O1959" s="12">
        <v>17609</v>
      </c>
    </row>
    <row r="1960" spans="1:15">
      <c r="A1960" t="s">
        <v>2134</v>
      </c>
      <c r="B1960" t="s">
        <v>654</v>
      </c>
      <c r="C1960" s="9">
        <v>43466</v>
      </c>
      <c r="D1960">
        <v>7</v>
      </c>
      <c r="E1960" t="s">
        <v>17</v>
      </c>
      <c r="F1960" t="s">
        <v>5184</v>
      </c>
      <c r="G1960" s="9">
        <v>45174</v>
      </c>
      <c r="H1960" s="9">
        <v>45004</v>
      </c>
      <c r="I1960">
        <v>7</v>
      </c>
      <c r="J1960" t="s">
        <v>35</v>
      </c>
      <c r="K1960">
        <v>12</v>
      </c>
      <c r="L1960">
        <v>5</v>
      </c>
      <c r="M1960" s="11">
        <v>19147.2</v>
      </c>
      <c r="N1960" s="12">
        <v>9917.68</v>
      </c>
      <c r="O1960" s="12">
        <v>7372.64</v>
      </c>
    </row>
    <row r="1961" spans="1:15">
      <c r="A1961" t="s">
        <v>2135</v>
      </c>
      <c r="B1961" t="s">
        <v>71</v>
      </c>
      <c r="C1961" s="9">
        <v>12419</v>
      </c>
      <c r="D1961">
        <v>92</v>
      </c>
      <c r="E1961" t="s">
        <v>21</v>
      </c>
      <c r="F1961" t="s">
        <v>29</v>
      </c>
      <c r="G1961" s="9">
        <v>45408</v>
      </c>
      <c r="H1961" s="9">
        <v>45136</v>
      </c>
      <c r="I1961">
        <v>16</v>
      </c>
      <c r="J1961" t="s">
        <v>26</v>
      </c>
      <c r="K1961">
        <v>7</v>
      </c>
      <c r="L1961">
        <v>5</v>
      </c>
      <c r="M1961" s="11">
        <v>17877.5</v>
      </c>
      <c r="N1961" s="12">
        <v>6591.64</v>
      </c>
      <c r="O1961" s="12">
        <v>9924.4</v>
      </c>
    </row>
    <row r="1962" spans="1:15">
      <c r="A1962" t="s">
        <v>2136</v>
      </c>
      <c r="B1962" t="s">
        <v>133</v>
      </c>
      <c r="C1962" s="9">
        <v>27029</v>
      </c>
      <c r="D1962">
        <v>52</v>
      </c>
      <c r="E1962" t="s">
        <v>21</v>
      </c>
      <c r="F1962" t="s">
        <v>49</v>
      </c>
      <c r="G1962" s="9">
        <v>45238</v>
      </c>
      <c r="H1962" s="9">
        <v>44940</v>
      </c>
      <c r="I1962">
        <v>21</v>
      </c>
      <c r="J1962" t="s">
        <v>35</v>
      </c>
      <c r="K1962">
        <v>3</v>
      </c>
      <c r="L1962">
        <v>0</v>
      </c>
      <c r="M1962" s="11">
        <v>12361.77</v>
      </c>
      <c r="N1962" s="12">
        <v>7741.92</v>
      </c>
      <c r="O1962" s="12">
        <v>16041.51</v>
      </c>
    </row>
    <row r="1963" spans="1:15">
      <c r="A1963" t="s">
        <v>2137</v>
      </c>
      <c r="B1963" t="s">
        <v>550</v>
      </c>
      <c r="C1963" s="9">
        <v>26299</v>
      </c>
      <c r="D1963">
        <v>54</v>
      </c>
      <c r="E1963" t="s">
        <v>5185</v>
      </c>
      <c r="F1963" t="s">
        <v>29</v>
      </c>
      <c r="G1963" s="9">
        <v>45370</v>
      </c>
      <c r="H1963" s="9">
        <v>45497</v>
      </c>
      <c r="I1963">
        <v>24</v>
      </c>
      <c r="J1963" t="s">
        <v>32</v>
      </c>
      <c r="K1963">
        <v>6</v>
      </c>
      <c r="L1963">
        <v>6</v>
      </c>
      <c r="M1963" s="11">
        <v>16655.04</v>
      </c>
      <c r="N1963" s="12">
        <v>8706.02</v>
      </c>
      <c r="O1963" s="12">
        <v>7400.68</v>
      </c>
    </row>
    <row r="1964" spans="1:15">
      <c r="A1964" t="s">
        <v>2138</v>
      </c>
      <c r="B1964" t="s">
        <v>67</v>
      </c>
      <c r="C1964" s="9">
        <v>34700</v>
      </c>
      <c r="D1964">
        <v>31</v>
      </c>
      <c r="E1964" t="s">
        <v>17</v>
      </c>
      <c r="F1964" t="s">
        <v>25</v>
      </c>
      <c r="G1964" s="9">
        <v>45209</v>
      </c>
      <c r="H1964" s="9">
        <v>45825</v>
      </c>
      <c r="I1964">
        <v>33</v>
      </c>
      <c r="J1964" t="s">
        <v>26</v>
      </c>
      <c r="K1964">
        <v>9</v>
      </c>
      <c r="L1964">
        <v>4</v>
      </c>
      <c r="M1964" s="11">
        <v>20949.080000000002</v>
      </c>
      <c r="N1964" s="12">
        <v>14309.86</v>
      </c>
      <c r="O1964" s="12">
        <v>17345.89</v>
      </c>
    </row>
    <row r="1965" spans="1:15">
      <c r="A1965" t="s">
        <v>2139</v>
      </c>
      <c r="B1965" t="s">
        <v>103</v>
      </c>
      <c r="C1965" s="9">
        <v>27760</v>
      </c>
      <c r="D1965">
        <v>50</v>
      </c>
      <c r="E1965" t="s">
        <v>21</v>
      </c>
      <c r="F1965" t="s">
        <v>25</v>
      </c>
      <c r="G1965" s="9">
        <v>44928</v>
      </c>
      <c r="H1965" s="9">
        <v>45783</v>
      </c>
      <c r="I1965">
        <v>14</v>
      </c>
      <c r="J1965" t="s">
        <v>26</v>
      </c>
      <c r="K1965">
        <v>1</v>
      </c>
      <c r="L1965">
        <v>6</v>
      </c>
      <c r="M1965" s="11">
        <v>25085.42</v>
      </c>
      <c r="N1965" s="12">
        <v>14537.51</v>
      </c>
      <c r="O1965" s="12">
        <v>6366.13</v>
      </c>
    </row>
    <row r="1966" spans="1:15">
      <c r="A1966" t="s">
        <v>2140</v>
      </c>
      <c r="B1966" t="s">
        <v>240</v>
      </c>
      <c r="C1966" s="9">
        <v>30317</v>
      </c>
      <c r="D1966">
        <v>43</v>
      </c>
      <c r="E1966" t="s">
        <v>21</v>
      </c>
      <c r="F1966" t="s">
        <v>18</v>
      </c>
      <c r="G1966" s="9">
        <v>45000</v>
      </c>
      <c r="H1966" s="9">
        <v>45475</v>
      </c>
      <c r="I1966">
        <v>7</v>
      </c>
      <c r="J1966" t="s">
        <v>32</v>
      </c>
      <c r="K1966">
        <v>5</v>
      </c>
      <c r="L1966">
        <v>5</v>
      </c>
      <c r="M1966" s="11">
        <v>8782.09</v>
      </c>
      <c r="N1966" s="12">
        <v>12709.99</v>
      </c>
      <c r="O1966" s="12">
        <v>14620.88</v>
      </c>
    </row>
    <row r="1967" spans="1:15">
      <c r="A1967" t="s">
        <v>2141</v>
      </c>
      <c r="B1967" t="s">
        <v>115</v>
      </c>
      <c r="C1967" s="9">
        <v>16437</v>
      </c>
      <c r="D1967">
        <f ca="1">DATEDIF(C1918,TODAY(),"Y")</f>
        <v>74</v>
      </c>
      <c r="E1967" t="s">
        <v>21</v>
      </c>
      <c r="F1967" t="s">
        <v>22</v>
      </c>
      <c r="G1967" s="9">
        <v>44990</v>
      </c>
      <c r="H1967" s="9">
        <v>44952</v>
      </c>
      <c r="I1967">
        <v>14</v>
      </c>
      <c r="J1967" t="s">
        <v>32</v>
      </c>
      <c r="K1967">
        <v>8</v>
      </c>
      <c r="L1967">
        <v>7</v>
      </c>
      <c r="M1967" s="11">
        <v>53.24</v>
      </c>
      <c r="N1967" s="12">
        <v>8755.93</v>
      </c>
      <c r="O1967" s="12">
        <v>13314.14</v>
      </c>
    </row>
    <row r="1968" spans="1:15">
      <c r="A1968" t="s">
        <v>2142</v>
      </c>
      <c r="B1968" t="s">
        <v>284</v>
      </c>
      <c r="C1968" s="9">
        <v>20820</v>
      </c>
      <c r="D1968">
        <v>69</v>
      </c>
      <c r="E1968" t="s">
        <v>17</v>
      </c>
      <c r="F1968" t="s">
        <v>74</v>
      </c>
      <c r="G1968" s="9">
        <v>45273</v>
      </c>
      <c r="H1968" s="9">
        <v>45473</v>
      </c>
      <c r="I1968">
        <v>7</v>
      </c>
      <c r="J1968" t="s">
        <v>35</v>
      </c>
      <c r="K1968">
        <v>2</v>
      </c>
      <c r="L1968">
        <v>2</v>
      </c>
      <c r="M1968" s="11">
        <v>16312.15</v>
      </c>
      <c r="N1968" s="12">
        <v>5861.02</v>
      </c>
      <c r="O1968" s="12">
        <v>3947.06</v>
      </c>
    </row>
    <row r="1969" spans="1:15">
      <c r="A1969" t="s">
        <v>2143</v>
      </c>
      <c r="B1969" t="s">
        <v>774</v>
      </c>
      <c r="C1969" s="9">
        <v>39813</v>
      </c>
      <c r="D1969">
        <f ca="1">DATEDIF(C1920,TODAY(),"Y")</f>
        <v>66</v>
      </c>
      <c r="E1969" t="s">
        <v>17</v>
      </c>
      <c r="F1969" t="s">
        <v>74</v>
      </c>
      <c r="G1969" s="9">
        <v>45250</v>
      </c>
      <c r="H1969" s="9">
        <v>45067</v>
      </c>
      <c r="I1969">
        <v>7</v>
      </c>
      <c r="J1969" t="s">
        <v>35</v>
      </c>
      <c r="K1969">
        <v>3</v>
      </c>
      <c r="L1969">
        <v>7</v>
      </c>
      <c r="M1969" s="11">
        <v>14423.17</v>
      </c>
      <c r="N1969" s="12">
        <v>3454.2</v>
      </c>
      <c r="O1969" s="12">
        <v>2402.41</v>
      </c>
    </row>
    <row r="1970" spans="1:15">
      <c r="A1970" t="s">
        <v>2144</v>
      </c>
      <c r="B1970" t="s">
        <v>204</v>
      </c>
      <c r="C1970" s="9">
        <v>16072</v>
      </c>
      <c r="D1970">
        <v>82</v>
      </c>
      <c r="E1970" t="s">
        <v>17</v>
      </c>
      <c r="F1970" t="s">
        <v>49</v>
      </c>
      <c r="G1970" s="9">
        <v>45165</v>
      </c>
      <c r="H1970" s="9">
        <v>45202</v>
      </c>
      <c r="I1970">
        <v>35</v>
      </c>
      <c r="J1970" t="s">
        <v>32</v>
      </c>
      <c r="K1970">
        <v>2</v>
      </c>
      <c r="L1970">
        <v>6</v>
      </c>
      <c r="M1970" s="11">
        <v>1153.06</v>
      </c>
      <c r="N1970" s="12">
        <v>8016.84</v>
      </c>
      <c r="O1970" s="12">
        <v>2142.25</v>
      </c>
    </row>
    <row r="1971" spans="1:15">
      <c r="A1971" t="s">
        <v>2145</v>
      </c>
      <c r="B1971" t="s">
        <v>87</v>
      </c>
      <c r="C1971" s="9">
        <v>38352</v>
      </c>
      <c r="D1971">
        <v>21</v>
      </c>
      <c r="E1971" t="s">
        <v>17</v>
      </c>
      <c r="F1971" t="s">
        <v>18</v>
      </c>
      <c r="G1971" s="9">
        <v>45323</v>
      </c>
      <c r="H1971" s="9">
        <v>45297</v>
      </c>
      <c r="I1971">
        <v>14</v>
      </c>
      <c r="J1971" t="s">
        <v>32</v>
      </c>
      <c r="K1971">
        <v>11</v>
      </c>
      <c r="L1971">
        <v>0</v>
      </c>
      <c r="M1971" s="11">
        <v>18791.45</v>
      </c>
      <c r="N1971" s="12">
        <v>5184.46</v>
      </c>
      <c r="O1971" s="12">
        <v>12983.37</v>
      </c>
    </row>
    <row r="1972" spans="1:15">
      <c r="A1972" t="s">
        <v>2146</v>
      </c>
      <c r="B1972" t="s">
        <v>24</v>
      </c>
      <c r="C1972" s="9">
        <v>32873</v>
      </c>
      <c r="D1972">
        <v>36</v>
      </c>
      <c r="E1972" t="s">
        <v>17</v>
      </c>
      <c r="F1972" t="s">
        <v>74</v>
      </c>
      <c r="G1972" s="9">
        <v>45263</v>
      </c>
      <c r="H1972" s="9">
        <v>45801</v>
      </c>
      <c r="I1972">
        <v>23</v>
      </c>
      <c r="J1972" t="s">
        <v>32</v>
      </c>
      <c r="K1972">
        <v>7</v>
      </c>
      <c r="L1972">
        <v>2</v>
      </c>
      <c r="M1972" s="11">
        <v>28212.71</v>
      </c>
      <c r="N1972" s="12">
        <v>1091.17</v>
      </c>
      <c r="O1972" s="12">
        <v>160.16999999999999</v>
      </c>
    </row>
    <row r="1973" spans="1:15">
      <c r="A1973" t="s">
        <v>2147</v>
      </c>
      <c r="B1973" t="s">
        <v>184</v>
      </c>
      <c r="C1973" s="9">
        <v>25934</v>
      </c>
      <c r="D1973">
        <v>55</v>
      </c>
      <c r="E1973" t="s">
        <v>21</v>
      </c>
      <c r="F1973" t="s">
        <v>22</v>
      </c>
      <c r="G1973" s="9">
        <v>45267</v>
      </c>
      <c r="H1973" s="9">
        <v>45149</v>
      </c>
      <c r="I1973">
        <v>23</v>
      </c>
      <c r="J1973" t="s">
        <v>32</v>
      </c>
      <c r="K1973">
        <v>10</v>
      </c>
      <c r="L1973">
        <v>9</v>
      </c>
      <c r="M1973" s="11">
        <v>11768.07</v>
      </c>
      <c r="N1973" s="12">
        <v>7143.31</v>
      </c>
      <c r="O1973" s="12">
        <v>13179.55</v>
      </c>
    </row>
    <row r="1974" spans="1:15">
      <c r="A1974" t="s">
        <v>2148</v>
      </c>
      <c r="B1974" t="s">
        <v>546</v>
      </c>
      <c r="C1974" s="9">
        <v>24838</v>
      </c>
      <c r="D1974">
        <v>58</v>
      </c>
      <c r="E1974" t="s">
        <v>21</v>
      </c>
      <c r="F1974" t="s">
        <v>25</v>
      </c>
      <c r="G1974" s="9">
        <v>45205</v>
      </c>
      <c r="H1974" s="9">
        <v>44964</v>
      </c>
      <c r="I1974">
        <v>31</v>
      </c>
      <c r="J1974" t="s">
        <v>32</v>
      </c>
      <c r="K1974">
        <v>5</v>
      </c>
      <c r="L1974">
        <v>3</v>
      </c>
      <c r="M1974" s="11">
        <v>26777.99</v>
      </c>
      <c r="N1974" s="12">
        <v>8566.2900000000009</v>
      </c>
      <c r="O1974" s="12">
        <v>15617.51</v>
      </c>
    </row>
    <row r="1975" spans="1:15">
      <c r="A1975" t="s">
        <v>2149</v>
      </c>
      <c r="B1975" t="s">
        <v>37</v>
      </c>
      <c r="C1975" s="9">
        <v>45292</v>
      </c>
      <c r="D1975">
        <v>2</v>
      </c>
      <c r="E1975" t="s">
        <v>17</v>
      </c>
      <c r="F1975" t="s">
        <v>18</v>
      </c>
      <c r="G1975" s="9">
        <v>45279</v>
      </c>
      <c r="H1975" s="9">
        <v>45802</v>
      </c>
      <c r="I1975">
        <v>1</v>
      </c>
      <c r="J1975" t="s">
        <v>32</v>
      </c>
      <c r="K1975">
        <v>12</v>
      </c>
      <c r="L1975">
        <v>8</v>
      </c>
      <c r="M1975" s="11">
        <v>24299.59</v>
      </c>
      <c r="N1975" s="12">
        <v>9169.73</v>
      </c>
      <c r="O1975" s="12">
        <v>5980.46</v>
      </c>
    </row>
    <row r="1976" spans="1:15">
      <c r="A1976" t="s">
        <v>2150</v>
      </c>
      <c r="B1976" t="s">
        <v>145</v>
      </c>
      <c r="C1976" s="9">
        <v>36161</v>
      </c>
      <c r="D1976">
        <v>27</v>
      </c>
      <c r="E1976" t="s">
        <v>17</v>
      </c>
      <c r="F1976" t="s">
        <v>29</v>
      </c>
      <c r="G1976" s="9">
        <v>45389</v>
      </c>
      <c r="H1976" s="9">
        <v>45056</v>
      </c>
      <c r="I1976">
        <v>24</v>
      </c>
      <c r="J1976" t="s">
        <v>32</v>
      </c>
      <c r="K1976">
        <v>14</v>
      </c>
      <c r="L1976">
        <v>5</v>
      </c>
      <c r="M1976" s="11">
        <v>4432.3500000000004</v>
      </c>
      <c r="N1976" s="12">
        <v>1107.21</v>
      </c>
      <c r="O1976" s="12">
        <v>14888.58</v>
      </c>
    </row>
    <row r="1977" spans="1:15">
      <c r="A1977" t="s">
        <v>2151</v>
      </c>
      <c r="B1977" t="s">
        <v>115</v>
      </c>
      <c r="C1977" s="9">
        <v>19359</v>
      </c>
      <c r="D1977">
        <v>73</v>
      </c>
      <c r="E1977" t="s">
        <v>17</v>
      </c>
      <c r="F1977" t="s">
        <v>5184</v>
      </c>
      <c r="G1977" s="9">
        <v>45388</v>
      </c>
      <c r="H1977" s="9">
        <v>45243</v>
      </c>
      <c r="I1977">
        <v>18</v>
      </c>
      <c r="J1977" t="s">
        <v>35</v>
      </c>
      <c r="K1977">
        <v>13</v>
      </c>
      <c r="L1977">
        <v>6</v>
      </c>
      <c r="M1977" s="11">
        <v>23512.03</v>
      </c>
      <c r="N1977" s="12">
        <v>7246.65</v>
      </c>
      <c r="O1977" s="12">
        <v>3224.26</v>
      </c>
    </row>
    <row r="1978" spans="1:15">
      <c r="A1978" t="s">
        <v>2152</v>
      </c>
      <c r="B1978" t="s">
        <v>444</v>
      </c>
      <c r="C1978" s="9">
        <v>33604</v>
      </c>
      <c r="D1978">
        <v>34</v>
      </c>
      <c r="E1978" t="s">
        <v>17</v>
      </c>
      <c r="F1978" t="s">
        <v>5184</v>
      </c>
      <c r="G1978" s="9">
        <v>45639</v>
      </c>
      <c r="H1978" s="9">
        <v>45250</v>
      </c>
      <c r="I1978">
        <v>33</v>
      </c>
      <c r="J1978" t="s">
        <v>32</v>
      </c>
      <c r="K1978">
        <v>13</v>
      </c>
      <c r="L1978">
        <v>4</v>
      </c>
      <c r="M1978" s="11">
        <v>15259.54</v>
      </c>
      <c r="N1978" s="12">
        <v>9838.7000000000007</v>
      </c>
      <c r="O1978" s="12">
        <v>19205.87</v>
      </c>
    </row>
    <row r="1979" spans="1:15">
      <c r="A1979" t="s">
        <v>2153</v>
      </c>
      <c r="B1979" t="s">
        <v>46</v>
      </c>
      <c r="C1979" s="9">
        <v>24107</v>
      </c>
      <c r="D1979">
        <v>60</v>
      </c>
      <c r="E1979" t="s">
        <v>17</v>
      </c>
      <c r="F1979" t="s">
        <v>18</v>
      </c>
      <c r="G1979" s="9">
        <v>45219</v>
      </c>
      <c r="H1979" s="9">
        <v>45360</v>
      </c>
      <c r="I1979">
        <v>35</v>
      </c>
      <c r="J1979" t="s">
        <v>32</v>
      </c>
      <c r="K1979">
        <v>4</v>
      </c>
      <c r="L1979">
        <v>2</v>
      </c>
      <c r="M1979" s="11">
        <v>27518.17</v>
      </c>
      <c r="N1979" s="12">
        <v>14415.96</v>
      </c>
      <c r="O1979" s="12">
        <v>4564.53</v>
      </c>
    </row>
    <row r="1980" spans="1:15">
      <c r="A1980" t="s">
        <v>2154</v>
      </c>
      <c r="B1980" t="s">
        <v>268</v>
      </c>
      <c r="C1980" s="9">
        <v>12419</v>
      </c>
      <c r="D1980">
        <v>92</v>
      </c>
      <c r="E1980" t="s">
        <v>17</v>
      </c>
      <c r="F1980" t="s">
        <v>18</v>
      </c>
      <c r="G1980" s="9">
        <v>45333</v>
      </c>
      <c r="H1980" s="9">
        <v>45145</v>
      </c>
      <c r="I1980">
        <v>28</v>
      </c>
      <c r="J1980" t="s">
        <v>26</v>
      </c>
      <c r="K1980">
        <v>4</v>
      </c>
      <c r="L1980">
        <v>4</v>
      </c>
      <c r="M1980" s="11">
        <v>0</v>
      </c>
      <c r="N1980" s="12">
        <v>375.69</v>
      </c>
      <c r="O1980" s="12">
        <v>9716.14</v>
      </c>
    </row>
    <row r="1981" spans="1:15">
      <c r="A1981" t="s">
        <v>2155</v>
      </c>
      <c r="B1981" t="s">
        <v>242</v>
      </c>
      <c r="C1981" s="9">
        <v>26664</v>
      </c>
      <c r="D1981">
        <v>53</v>
      </c>
      <c r="E1981" t="s">
        <v>21</v>
      </c>
      <c r="F1981" t="s">
        <v>22</v>
      </c>
      <c r="G1981" s="9">
        <v>45088</v>
      </c>
      <c r="H1981" s="9">
        <v>45774</v>
      </c>
      <c r="I1981">
        <v>4</v>
      </c>
      <c r="J1981" t="s">
        <v>32</v>
      </c>
      <c r="K1981">
        <v>9</v>
      </c>
      <c r="L1981">
        <v>6</v>
      </c>
      <c r="M1981" s="11">
        <v>3313.92</v>
      </c>
      <c r="N1981" s="12">
        <v>10144.23</v>
      </c>
      <c r="O1981" s="12">
        <v>19607.98</v>
      </c>
    </row>
    <row r="1982" spans="1:15">
      <c r="A1982" t="s">
        <v>2156</v>
      </c>
      <c r="B1982" t="s">
        <v>41</v>
      </c>
      <c r="C1982" s="9">
        <v>23377</v>
      </c>
      <c r="D1982">
        <v>62</v>
      </c>
      <c r="E1982" t="s">
        <v>21</v>
      </c>
      <c r="F1982" t="s">
        <v>22</v>
      </c>
      <c r="G1982" s="9">
        <v>45429</v>
      </c>
      <c r="H1982" s="9">
        <v>45175</v>
      </c>
      <c r="I1982">
        <v>31</v>
      </c>
      <c r="J1982" t="s">
        <v>26</v>
      </c>
      <c r="K1982">
        <v>8</v>
      </c>
      <c r="L1982">
        <v>8</v>
      </c>
      <c r="M1982" s="11">
        <v>6859.05</v>
      </c>
      <c r="N1982" s="12">
        <v>935.06</v>
      </c>
      <c r="O1982" s="12">
        <v>18133.47</v>
      </c>
    </row>
    <row r="1983" spans="1:15">
      <c r="A1983" t="s">
        <v>2157</v>
      </c>
      <c r="B1983" t="s">
        <v>619</v>
      </c>
      <c r="C1983" s="9">
        <v>17533</v>
      </c>
      <c r="D1983">
        <v>78</v>
      </c>
      <c r="E1983" t="s">
        <v>5185</v>
      </c>
      <c r="F1983" t="s">
        <v>74</v>
      </c>
      <c r="G1983" s="9">
        <v>45374</v>
      </c>
      <c r="H1983" s="9">
        <v>45038</v>
      </c>
      <c r="I1983">
        <v>15</v>
      </c>
      <c r="J1983" t="s">
        <v>32</v>
      </c>
      <c r="K1983">
        <v>5</v>
      </c>
      <c r="L1983">
        <v>8</v>
      </c>
      <c r="M1983" s="11">
        <v>1318.61</v>
      </c>
      <c r="N1983" s="12">
        <v>2382.65</v>
      </c>
      <c r="O1983" s="12">
        <v>13155.25</v>
      </c>
    </row>
    <row r="1984" spans="1:15">
      <c r="A1984" t="s">
        <v>2158</v>
      </c>
      <c r="B1984" t="s">
        <v>326</v>
      </c>
      <c r="C1984" s="9">
        <v>43831</v>
      </c>
      <c r="D1984">
        <v>6</v>
      </c>
      <c r="E1984" t="s">
        <v>17</v>
      </c>
      <c r="F1984" t="s">
        <v>5184</v>
      </c>
      <c r="G1984" s="9">
        <v>45621</v>
      </c>
      <c r="H1984" s="9">
        <v>45743</v>
      </c>
      <c r="I1984">
        <v>21</v>
      </c>
      <c r="J1984" t="s">
        <v>26</v>
      </c>
      <c r="K1984">
        <v>3</v>
      </c>
      <c r="L1984">
        <v>7</v>
      </c>
      <c r="M1984" s="11">
        <v>9262.44</v>
      </c>
      <c r="N1984" s="12">
        <v>2599.62</v>
      </c>
      <c r="O1984" s="12">
        <v>7320.77</v>
      </c>
    </row>
    <row r="1985" spans="1:15">
      <c r="A1985" t="s">
        <v>2159</v>
      </c>
      <c r="B1985" t="s">
        <v>268</v>
      </c>
      <c r="C1985" s="9">
        <v>18629</v>
      </c>
      <c r="D1985">
        <v>75</v>
      </c>
      <c r="E1985" t="s">
        <v>21</v>
      </c>
      <c r="F1985" t="s">
        <v>49</v>
      </c>
      <c r="G1985" s="9">
        <v>45381</v>
      </c>
      <c r="H1985" s="9">
        <v>45659</v>
      </c>
      <c r="I1985">
        <v>10</v>
      </c>
      <c r="J1985" t="s">
        <v>32</v>
      </c>
      <c r="K1985">
        <v>8</v>
      </c>
      <c r="L1985">
        <v>4</v>
      </c>
      <c r="M1985" s="11">
        <v>8131.77</v>
      </c>
      <c r="N1985" s="12">
        <v>4933.09</v>
      </c>
      <c r="O1985" s="12">
        <v>13971.78</v>
      </c>
    </row>
    <row r="1986" spans="1:15">
      <c r="A1986" t="s">
        <v>2160</v>
      </c>
      <c r="B1986" t="s">
        <v>41</v>
      </c>
      <c r="C1986" s="9">
        <v>28490</v>
      </c>
      <c r="D1986">
        <v>48</v>
      </c>
      <c r="E1986" t="s">
        <v>21</v>
      </c>
      <c r="F1986" t="s">
        <v>49</v>
      </c>
      <c r="G1986" s="9">
        <v>45191</v>
      </c>
      <c r="H1986" s="9">
        <v>45635</v>
      </c>
      <c r="I1986">
        <v>10</v>
      </c>
      <c r="J1986" t="s">
        <v>35</v>
      </c>
      <c r="K1986">
        <v>11</v>
      </c>
      <c r="L1986">
        <v>6</v>
      </c>
      <c r="M1986" s="11">
        <v>12194.56</v>
      </c>
      <c r="N1986" s="12">
        <v>12469.49</v>
      </c>
      <c r="O1986" s="12">
        <v>9151.5</v>
      </c>
    </row>
    <row r="1987" spans="1:15">
      <c r="A1987" t="s">
        <v>2161</v>
      </c>
      <c r="B1987" t="s">
        <v>209</v>
      </c>
      <c r="C1987" s="9">
        <v>12054</v>
      </c>
      <c r="D1987">
        <f ca="1">DATEDIF(C1938,TODAY(),"Y")</f>
        <v>83</v>
      </c>
      <c r="E1987" t="s">
        <v>21</v>
      </c>
      <c r="F1987" t="s">
        <v>22</v>
      </c>
      <c r="G1987" s="9">
        <v>45058</v>
      </c>
      <c r="H1987" s="9">
        <v>45074</v>
      </c>
      <c r="I1987">
        <v>22</v>
      </c>
      <c r="J1987" t="s">
        <v>32</v>
      </c>
      <c r="K1987">
        <v>12</v>
      </c>
      <c r="L1987">
        <v>3</v>
      </c>
      <c r="M1987" s="11">
        <v>13620.8</v>
      </c>
      <c r="N1987" s="12">
        <v>12843.56</v>
      </c>
      <c r="O1987" s="12">
        <v>2087.6799999999998</v>
      </c>
    </row>
    <row r="1988" spans="1:15">
      <c r="A1988" t="s">
        <v>2162</v>
      </c>
      <c r="B1988" t="s">
        <v>125</v>
      </c>
      <c r="C1988" s="9">
        <v>15341</v>
      </c>
      <c r="D1988">
        <v>84</v>
      </c>
      <c r="E1988" t="s">
        <v>21</v>
      </c>
      <c r="F1988" t="s">
        <v>74</v>
      </c>
      <c r="G1988" s="9">
        <v>45046</v>
      </c>
      <c r="H1988" s="9">
        <v>45271</v>
      </c>
      <c r="I1988">
        <v>2</v>
      </c>
      <c r="J1988" t="s">
        <v>26</v>
      </c>
      <c r="K1988">
        <v>1</v>
      </c>
      <c r="L1988">
        <v>9</v>
      </c>
      <c r="M1988" s="11">
        <v>3913.98</v>
      </c>
      <c r="N1988" s="12">
        <v>5624.28</v>
      </c>
      <c r="O1988" s="12">
        <v>15899.15</v>
      </c>
    </row>
    <row r="1989" spans="1:15">
      <c r="A1989" t="s">
        <v>2163</v>
      </c>
      <c r="B1989" t="s">
        <v>37</v>
      </c>
      <c r="C1989" s="9">
        <v>35065</v>
      </c>
      <c r="D1989">
        <v>30</v>
      </c>
      <c r="E1989" t="s">
        <v>17</v>
      </c>
      <c r="F1989" t="s">
        <v>74</v>
      </c>
      <c r="G1989" s="9">
        <v>45145</v>
      </c>
      <c r="H1989" s="9">
        <v>45436</v>
      </c>
      <c r="I1989">
        <v>36</v>
      </c>
      <c r="J1989" t="s">
        <v>32</v>
      </c>
      <c r="K1989">
        <v>9</v>
      </c>
      <c r="L1989">
        <v>4</v>
      </c>
      <c r="M1989" s="11">
        <v>18390.900000000001</v>
      </c>
      <c r="N1989" s="12">
        <v>6469.54</v>
      </c>
      <c r="O1989" s="12">
        <v>17419.39</v>
      </c>
    </row>
    <row r="1990" spans="1:15">
      <c r="A1990" t="s">
        <v>2164</v>
      </c>
      <c r="B1990" t="s">
        <v>41</v>
      </c>
      <c r="C1990" s="9">
        <v>25203</v>
      </c>
      <c r="D1990">
        <v>57</v>
      </c>
      <c r="E1990" t="s">
        <v>21</v>
      </c>
      <c r="F1990" t="s">
        <v>74</v>
      </c>
      <c r="G1990" s="9">
        <v>45343</v>
      </c>
      <c r="H1990" s="9">
        <v>45432</v>
      </c>
      <c r="I1990">
        <v>26</v>
      </c>
      <c r="J1990" t="s">
        <v>35</v>
      </c>
      <c r="K1990">
        <v>9</v>
      </c>
      <c r="L1990">
        <v>3</v>
      </c>
      <c r="M1990" s="11">
        <v>6318.81</v>
      </c>
      <c r="N1990" s="12">
        <v>3255.46</v>
      </c>
      <c r="O1990" s="12">
        <v>8092.9</v>
      </c>
    </row>
    <row r="1991" spans="1:15">
      <c r="A1991" t="s">
        <v>2165</v>
      </c>
      <c r="B1991" t="s">
        <v>184</v>
      </c>
      <c r="C1991" s="9">
        <v>24107</v>
      </c>
      <c r="D1991">
        <v>60</v>
      </c>
      <c r="E1991" t="s">
        <v>17</v>
      </c>
      <c r="F1991" t="s">
        <v>22</v>
      </c>
      <c r="G1991" s="9">
        <v>45598</v>
      </c>
      <c r="H1991" s="9">
        <v>45479</v>
      </c>
      <c r="I1991">
        <v>30</v>
      </c>
      <c r="J1991" t="s">
        <v>32</v>
      </c>
      <c r="K1991">
        <v>1</v>
      </c>
      <c r="L1991">
        <v>2</v>
      </c>
      <c r="M1991" s="11">
        <v>3218.82</v>
      </c>
      <c r="N1991" s="12">
        <v>6487.71</v>
      </c>
      <c r="O1991" s="12">
        <v>13281.1</v>
      </c>
    </row>
    <row r="1992" spans="1:15">
      <c r="A1992" t="s">
        <v>2166</v>
      </c>
      <c r="B1992" t="s">
        <v>48</v>
      </c>
      <c r="C1992" s="9">
        <v>37622</v>
      </c>
      <c r="D1992">
        <v>23</v>
      </c>
      <c r="E1992" t="s">
        <v>21</v>
      </c>
      <c r="F1992" t="s">
        <v>49</v>
      </c>
      <c r="G1992" s="9">
        <v>45431</v>
      </c>
      <c r="H1992" s="9">
        <v>45061</v>
      </c>
      <c r="I1992">
        <v>21</v>
      </c>
      <c r="J1992" t="s">
        <v>32</v>
      </c>
      <c r="K1992">
        <v>5</v>
      </c>
      <c r="L1992">
        <v>0</v>
      </c>
      <c r="M1992" s="11">
        <v>21118.74</v>
      </c>
      <c r="N1992" s="12">
        <v>4122.5200000000004</v>
      </c>
      <c r="O1992" s="12">
        <v>510.29</v>
      </c>
    </row>
    <row r="1993" spans="1:15">
      <c r="A1993" t="s">
        <v>2167</v>
      </c>
      <c r="B1993" t="s">
        <v>490</v>
      </c>
      <c r="C1993" s="9">
        <v>39083</v>
      </c>
      <c r="D1993">
        <v>19</v>
      </c>
      <c r="E1993" t="s">
        <v>17</v>
      </c>
      <c r="F1993" t="s">
        <v>74</v>
      </c>
      <c r="G1993" s="9">
        <v>45226</v>
      </c>
      <c r="H1993" s="9">
        <v>45391</v>
      </c>
      <c r="I1993">
        <v>7</v>
      </c>
      <c r="J1993" t="s">
        <v>35</v>
      </c>
      <c r="K1993">
        <v>9</v>
      </c>
      <c r="L1993">
        <v>4</v>
      </c>
      <c r="M1993" s="11">
        <v>193.43</v>
      </c>
      <c r="N1993" s="12">
        <v>2623.24</v>
      </c>
      <c r="O1993" s="12">
        <v>3864.73</v>
      </c>
    </row>
    <row r="1994" spans="1:15">
      <c r="A1994" t="s">
        <v>2168</v>
      </c>
      <c r="B1994" t="s">
        <v>48</v>
      </c>
      <c r="C1994" s="9">
        <v>32873</v>
      </c>
      <c r="D1994">
        <v>36</v>
      </c>
      <c r="E1994" t="s">
        <v>21</v>
      </c>
      <c r="F1994" t="s">
        <v>22</v>
      </c>
      <c r="G1994" s="9">
        <v>45035</v>
      </c>
      <c r="H1994" s="9">
        <v>45791</v>
      </c>
      <c r="I1994">
        <v>22</v>
      </c>
      <c r="J1994" t="s">
        <v>32</v>
      </c>
      <c r="K1994">
        <v>12</v>
      </c>
      <c r="L1994">
        <v>1</v>
      </c>
      <c r="M1994" s="11">
        <v>10735.16</v>
      </c>
      <c r="N1994" s="12">
        <v>2377.02</v>
      </c>
      <c r="O1994" s="12">
        <v>11362.3</v>
      </c>
    </row>
    <row r="1995" spans="1:15">
      <c r="A1995" t="s">
        <v>2169</v>
      </c>
      <c r="B1995" t="s">
        <v>207</v>
      </c>
      <c r="C1995" s="9">
        <v>44927</v>
      </c>
      <c r="D1995">
        <v>3</v>
      </c>
      <c r="E1995" t="s">
        <v>17</v>
      </c>
      <c r="F1995" t="s">
        <v>29</v>
      </c>
      <c r="G1995" s="9">
        <v>45164</v>
      </c>
      <c r="H1995" s="9">
        <v>45118</v>
      </c>
      <c r="I1995">
        <v>38</v>
      </c>
      <c r="J1995" t="s">
        <v>32</v>
      </c>
      <c r="K1995">
        <v>8</v>
      </c>
      <c r="L1995">
        <v>5</v>
      </c>
      <c r="M1995" s="11">
        <v>3904.3</v>
      </c>
      <c r="N1995" s="12">
        <v>11634.71</v>
      </c>
      <c r="O1995" s="12">
        <v>5409.06</v>
      </c>
    </row>
    <row r="1996" spans="1:15">
      <c r="A1996" t="s">
        <v>2170</v>
      </c>
      <c r="B1996" t="s">
        <v>108</v>
      </c>
      <c r="C1996" s="9">
        <v>12785</v>
      </c>
      <c r="D1996">
        <v>91</v>
      </c>
      <c r="E1996" t="s">
        <v>17</v>
      </c>
      <c r="F1996" t="s">
        <v>29</v>
      </c>
      <c r="G1996" s="9">
        <v>45219</v>
      </c>
      <c r="H1996" s="9">
        <v>45090</v>
      </c>
      <c r="I1996">
        <v>7</v>
      </c>
      <c r="J1996" t="s">
        <v>32</v>
      </c>
      <c r="K1996">
        <v>1</v>
      </c>
      <c r="L1996">
        <v>4</v>
      </c>
      <c r="M1996" s="11">
        <v>26425.18</v>
      </c>
      <c r="N1996" s="12">
        <v>1754.2</v>
      </c>
      <c r="O1996" s="12">
        <v>18881.71</v>
      </c>
    </row>
    <row r="1997" spans="1:15">
      <c r="A1997" t="s">
        <v>2171</v>
      </c>
      <c r="B1997" t="s">
        <v>261</v>
      </c>
      <c r="C1997" s="9">
        <v>39083</v>
      </c>
      <c r="D1997">
        <v>19</v>
      </c>
      <c r="E1997" t="s">
        <v>17</v>
      </c>
      <c r="F1997" t="s">
        <v>25</v>
      </c>
      <c r="G1997" s="9">
        <v>45505</v>
      </c>
      <c r="H1997" s="9">
        <v>45383</v>
      </c>
      <c r="I1997">
        <v>36</v>
      </c>
      <c r="J1997" t="s">
        <v>32</v>
      </c>
      <c r="K1997">
        <v>2</v>
      </c>
      <c r="L1997">
        <v>1</v>
      </c>
      <c r="M1997" s="11">
        <v>24645.98</v>
      </c>
      <c r="N1997" s="12">
        <v>9240.52</v>
      </c>
      <c r="O1997" s="12">
        <v>16724.59</v>
      </c>
    </row>
    <row r="1998" spans="1:15">
      <c r="A1998" t="s">
        <v>2172</v>
      </c>
      <c r="B1998" t="s">
        <v>125</v>
      </c>
      <c r="C1998" s="9">
        <v>24473</v>
      </c>
      <c r="D1998">
        <v>59</v>
      </c>
      <c r="E1998" t="s">
        <v>21</v>
      </c>
      <c r="F1998" t="s">
        <v>29</v>
      </c>
      <c r="G1998" s="9">
        <v>45113</v>
      </c>
      <c r="H1998" s="9">
        <v>44988</v>
      </c>
      <c r="I1998">
        <v>13</v>
      </c>
      <c r="J1998" t="s">
        <v>26</v>
      </c>
      <c r="K1998">
        <v>8</v>
      </c>
      <c r="L1998">
        <v>7</v>
      </c>
      <c r="M1998" s="11">
        <v>1346.06</v>
      </c>
      <c r="N1998" s="12">
        <v>2512.23</v>
      </c>
      <c r="O1998" s="12">
        <v>13065.62</v>
      </c>
    </row>
    <row r="1999" spans="1:15">
      <c r="A1999" t="s">
        <v>2173</v>
      </c>
      <c r="B1999" t="s">
        <v>273</v>
      </c>
      <c r="C1999" s="9">
        <v>37622</v>
      </c>
      <c r="D1999">
        <v>23</v>
      </c>
      <c r="E1999" t="s">
        <v>21</v>
      </c>
      <c r="F1999" t="s">
        <v>18</v>
      </c>
      <c r="G1999" s="9">
        <v>44962</v>
      </c>
      <c r="H1999" s="9">
        <v>44932</v>
      </c>
      <c r="I1999">
        <v>25</v>
      </c>
      <c r="J1999" t="s">
        <v>32</v>
      </c>
      <c r="K1999">
        <v>12</v>
      </c>
      <c r="L1999">
        <v>4</v>
      </c>
      <c r="M1999" s="11">
        <v>16288.76</v>
      </c>
      <c r="N1999" s="12">
        <v>12567.59</v>
      </c>
      <c r="O1999" s="12">
        <v>19976.68</v>
      </c>
    </row>
    <row r="2000" spans="1:15">
      <c r="A2000" t="s">
        <v>2174</v>
      </c>
      <c r="B2000" t="s">
        <v>181</v>
      </c>
      <c r="C2000" s="9">
        <v>28125</v>
      </c>
      <c r="D2000">
        <v>49</v>
      </c>
      <c r="E2000" t="s">
        <v>21</v>
      </c>
      <c r="F2000" t="s">
        <v>25</v>
      </c>
      <c r="G2000" s="9">
        <v>45487</v>
      </c>
      <c r="H2000" s="9">
        <v>44964</v>
      </c>
      <c r="I2000">
        <v>9</v>
      </c>
      <c r="J2000" t="s">
        <v>26</v>
      </c>
      <c r="K2000">
        <v>6</v>
      </c>
      <c r="L2000">
        <v>1</v>
      </c>
      <c r="M2000" s="11">
        <v>8508.34</v>
      </c>
      <c r="N2000" s="12">
        <v>4117.01</v>
      </c>
      <c r="O2000" s="12">
        <v>4789.28</v>
      </c>
    </row>
    <row r="2001" spans="1:15">
      <c r="A2001" t="s">
        <v>2175</v>
      </c>
      <c r="B2001" t="s">
        <v>249</v>
      </c>
      <c r="C2001" s="9">
        <v>28490</v>
      </c>
      <c r="D2001">
        <v>48</v>
      </c>
      <c r="E2001" t="s">
        <v>21</v>
      </c>
      <c r="F2001" t="s">
        <v>29</v>
      </c>
      <c r="G2001" s="9">
        <v>45182</v>
      </c>
      <c r="H2001" s="9">
        <v>45387</v>
      </c>
      <c r="I2001">
        <v>29</v>
      </c>
      <c r="J2001" t="s">
        <v>35</v>
      </c>
      <c r="K2001">
        <v>2</v>
      </c>
      <c r="L2001">
        <v>0</v>
      </c>
      <c r="M2001" s="11">
        <v>5372.64</v>
      </c>
      <c r="N2001" s="12">
        <v>673.4</v>
      </c>
      <c r="O2001" s="12">
        <v>18374.45</v>
      </c>
    </row>
    <row r="2002" spans="1:15">
      <c r="A2002" t="s">
        <v>2176</v>
      </c>
      <c r="B2002" t="s">
        <v>427</v>
      </c>
      <c r="C2002" s="9">
        <v>27760</v>
      </c>
      <c r="D2002">
        <v>50</v>
      </c>
      <c r="E2002" t="s">
        <v>17</v>
      </c>
      <c r="F2002" t="s">
        <v>18</v>
      </c>
      <c r="G2002" s="9">
        <v>45361</v>
      </c>
      <c r="H2002" s="9">
        <v>45144</v>
      </c>
      <c r="I2002">
        <v>26</v>
      </c>
      <c r="J2002" t="s">
        <v>32</v>
      </c>
      <c r="K2002">
        <v>1</v>
      </c>
      <c r="L2002">
        <v>1</v>
      </c>
      <c r="M2002" s="11">
        <v>9001.93</v>
      </c>
      <c r="N2002" s="12">
        <v>6781.1</v>
      </c>
      <c r="O2002" s="12">
        <v>6021.93</v>
      </c>
    </row>
    <row r="2003" spans="1:15">
      <c r="A2003" t="s">
        <v>2177</v>
      </c>
      <c r="B2003" t="s">
        <v>143</v>
      </c>
      <c r="C2003" s="9">
        <v>33239</v>
      </c>
      <c r="D2003">
        <v>35</v>
      </c>
      <c r="E2003" t="s">
        <v>17</v>
      </c>
      <c r="F2003" t="s">
        <v>29</v>
      </c>
      <c r="G2003" s="9">
        <v>45545</v>
      </c>
      <c r="H2003" s="9">
        <v>45664</v>
      </c>
      <c r="I2003">
        <v>24</v>
      </c>
      <c r="J2003" t="s">
        <v>26</v>
      </c>
      <c r="K2003">
        <v>3</v>
      </c>
      <c r="L2003">
        <v>0</v>
      </c>
      <c r="M2003" s="11">
        <v>24384.560000000001</v>
      </c>
      <c r="N2003" s="12">
        <v>14996.96</v>
      </c>
      <c r="O2003" s="12">
        <v>11891.55</v>
      </c>
    </row>
    <row r="2004" spans="1:15">
      <c r="A2004" t="s">
        <v>2178</v>
      </c>
      <c r="B2004" t="s">
        <v>524</v>
      </c>
      <c r="C2004" s="9">
        <v>22281</v>
      </c>
      <c r="D2004">
        <v>65</v>
      </c>
      <c r="E2004" t="s">
        <v>17</v>
      </c>
      <c r="F2004" t="s">
        <v>22</v>
      </c>
      <c r="G2004" s="9">
        <v>44934</v>
      </c>
      <c r="H2004" s="9">
        <v>45655</v>
      </c>
      <c r="I2004">
        <v>23</v>
      </c>
      <c r="J2004" t="s">
        <v>32</v>
      </c>
      <c r="K2004">
        <v>13</v>
      </c>
      <c r="L2004">
        <v>9</v>
      </c>
      <c r="M2004" s="11">
        <v>1264.5899999999999</v>
      </c>
      <c r="N2004" s="12">
        <v>12197.06</v>
      </c>
      <c r="O2004" s="12">
        <v>8630.7800000000007</v>
      </c>
    </row>
    <row r="2005" spans="1:15">
      <c r="A2005" t="s">
        <v>2179</v>
      </c>
      <c r="B2005" t="s">
        <v>34</v>
      </c>
      <c r="C2005" s="9">
        <v>17533</v>
      </c>
      <c r="D2005">
        <v>78</v>
      </c>
      <c r="E2005" t="s">
        <v>17</v>
      </c>
      <c r="F2005" t="s">
        <v>5184</v>
      </c>
      <c r="G2005" s="9">
        <v>45104</v>
      </c>
      <c r="H2005" s="9">
        <v>45066</v>
      </c>
      <c r="I2005">
        <v>0</v>
      </c>
      <c r="J2005" t="s">
        <v>32</v>
      </c>
      <c r="K2005">
        <v>1</v>
      </c>
      <c r="L2005">
        <v>9</v>
      </c>
      <c r="M2005" s="11">
        <v>19271.12</v>
      </c>
      <c r="N2005" s="12">
        <v>8553.94</v>
      </c>
      <c r="O2005" s="12">
        <v>8808.61</v>
      </c>
    </row>
    <row r="2006" spans="1:15">
      <c r="A2006" t="s">
        <v>2180</v>
      </c>
      <c r="B2006" t="s">
        <v>46</v>
      </c>
      <c r="C2006" s="9">
        <v>33969</v>
      </c>
      <c r="D2006">
        <v>33</v>
      </c>
      <c r="E2006" t="s">
        <v>21</v>
      </c>
      <c r="F2006" t="s">
        <v>18</v>
      </c>
      <c r="G2006" s="9">
        <v>45168</v>
      </c>
      <c r="H2006" s="9">
        <v>45545</v>
      </c>
      <c r="I2006">
        <v>23</v>
      </c>
      <c r="J2006" t="s">
        <v>26</v>
      </c>
      <c r="K2006">
        <v>7</v>
      </c>
      <c r="L2006">
        <v>2</v>
      </c>
      <c r="M2006" s="11">
        <v>27357.79</v>
      </c>
      <c r="N2006" s="12">
        <v>2841.58</v>
      </c>
      <c r="O2006" s="12">
        <v>15226.45</v>
      </c>
    </row>
    <row r="2007" spans="1:15">
      <c r="A2007" t="s">
        <v>2181</v>
      </c>
      <c r="B2007" t="s">
        <v>163</v>
      </c>
      <c r="C2007" s="9">
        <v>33239</v>
      </c>
      <c r="D2007">
        <v>35</v>
      </c>
      <c r="E2007" t="s">
        <v>21</v>
      </c>
      <c r="F2007" t="s">
        <v>74</v>
      </c>
      <c r="G2007" s="9">
        <v>44967</v>
      </c>
      <c r="H2007" s="9">
        <v>45026</v>
      </c>
      <c r="I2007">
        <v>36</v>
      </c>
      <c r="J2007" t="s">
        <v>32</v>
      </c>
      <c r="K2007">
        <v>6</v>
      </c>
      <c r="L2007">
        <v>2</v>
      </c>
      <c r="M2007" s="11">
        <v>13165.72</v>
      </c>
      <c r="N2007" s="12">
        <v>1762.58</v>
      </c>
      <c r="O2007" s="12">
        <v>6885.62</v>
      </c>
    </row>
    <row r="2008" spans="1:15">
      <c r="A2008" t="s">
        <v>2182</v>
      </c>
      <c r="B2008" t="s">
        <v>80</v>
      </c>
      <c r="C2008" s="9">
        <v>44196</v>
      </c>
      <c r="D2008">
        <v>5</v>
      </c>
      <c r="E2008" t="s">
        <v>21</v>
      </c>
      <c r="F2008" t="s">
        <v>22</v>
      </c>
      <c r="G2008" s="9">
        <v>45283</v>
      </c>
      <c r="H2008" s="9">
        <v>45607</v>
      </c>
      <c r="I2008">
        <v>2</v>
      </c>
      <c r="J2008" t="s">
        <v>35</v>
      </c>
      <c r="K2008">
        <v>12</v>
      </c>
      <c r="L2008">
        <v>9</v>
      </c>
      <c r="M2008" s="11">
        <v>26996.17</v>
      </c>
      <c r="N2008" s="12">
        <v>12578.26</v>
      </c>
      <c r="O2008" s="12">
        <v>10101.32</v>
      </c>
    </row>
    <row r="2009" spans="1:15">
      <c r="A2009" t="s">
        <v>2183</v>
      </c>
      <c r="B2009" t="s">
        <v>204</v>
      </c>
      <c r="C2009" s="9">
        <v>32143</v>
      </c>
      <c r="D2009">
        <f ca="1">DATEDIF(C1960,TODAY(),"Y")</f>
        <v>7</v>
      </c>
      <c r="E2009" t="s">
        <v>17</v>
      </c>
      <c r="F2009" t="s">
        <v>5184</v>
      </c>
      <c r="G2009" s="9">
        <v>45039</v>
      </c>
      <c r="H2009" s="9">
        <v>45191</v>
      </c>
      <c r="I2009">
        <v>32</v>
      </c>
      <c r="J2009" t="s">
        <v>32</v>
      </c>
      <c r="K2009">
        <v>5</v>
      </c>
      <c r="L2009">
        <v>0</v>
      </c>
      <c r="M2009" s="11">
        <v>27157.41</v>
      </c>
      <c r="N2009" s="12">
        <v>11815.61</v>
      </c>
      <c r="O2009" s="12">
        <v>4155.4399999999996</v>
      </c>
    </row>
    <row r="2010" spans="1:15">
      <c r="A2010" t="s">
        <v>2184</v>
      </c>
      <c r="B2010" t="s">
        <v>261</v>
      </c>
      <c r="C2010" s="9">
        <v>31047</v>
      </c>
      <c r="D2010">
        <v>41</v>
      </c>
      <c r="E2010" t="s">
        <v>17</v>
      </c>
      <c r="F2010" t="s">
        <v>18</v>
      </c>
      <c r="G2010" s="9">
        <v>45092</v>
      </c>
      <c r="H2010" s="9">
        <v>45526</v>
      </c>
      <c r="I2010">
        <v>24</v>
      </c>
      <c r="J2010" t="s">
        <v>35</v>
      </c>
      <c r="K2010">
        <v>3</v>
      </c>
      <c r="L2010">
        <v>6</v>
      </c>
      <c r="M2010" s="11">
        <v>18092.669999999998</v>
      </c>
      <c r="N2010" s="12">
        <v>6932.83</v>
      </c>
      <c r="O2010" s="12">
        <v>15245.78</v>
      </c>
    </row>
    <row r="2011" spans="1:15">
      <c r="A2011" t="s">
        <v>2185</v>
      </c>
      <c r="B2011" t="s">
        <v>196</v>
      </c>
      <c r="C2011" s="9">
        <v>25203</v>
      </c>
      <c r="D2011">
        <v>57</v>
      </c>
      <c r="E2011" t="s">
        <v>21</v>
      </c>
      <c r="F2011" t="s">
        <v>22</v>
      </c>
      <c r="G2011" s="9">
        <v>45430</v>
      </c>
      <c r="H2011" s="9">
        <v>45523</v>
      </c>
      <c r="I2011">
        <v>1</v>
      </c>
      <c r="J2011" t="s">
        <v>32</v>
      </c>
      <c r="K2011">
        <v>2</v>
      </c>
      <c r="L2011">
        <v>9</v>
      </c>
      <c r="M2011" s="11">
        <v>13403.14</v>
      </c>
      <c r="N2011" s="12">
        <v>6321.15</v>
      </c>
      <c r="O2011" s="12">
        <v>10993.82</v>
      </c>
    </row>
    <row r="2012" spans="1:15">
      <c r="A2012" t="s">
        <v>2186</v>
      </c>
      <c r="B2012" t="s">
        <v>412</v>
      </c>
      <c r="C2012" s="9">
        <v>42005</v>
      </c>
      <c r="D2012">
        <v>11</v>
      </c>
      <c r="E2012" t="s">
        <v>21</v>
      </c>
      <c r="F2012" t="s">
        <v>74</v>
      </c>
      <c r="G2012" s="9">
        <v>45004</v>
      </c>
      <c r="H2012" s="9">
        <v>45151</v>
      </c>
      <c r="I2012">
        <v>16</v>
      </c>
      <c r="J2012" t="s">
        <v>35</v>
      </c>
      <c r="K2012">
        <v>5</v>
      </c>
      <c r="L2012">
        <v>6</v>
      </c>
      <c r="M2012" s="11">
        <v>21998.74</v>
      </c>
      <c r="N2012" s="12">
        <v>11230.09</v>
      </c>
      <c r="O2012" s="12">
        <v>5026.78</v>
      </c>
    </row>
    <row r="2013" spans="1:15">
      <c r="A2013" t="s">
        <v>2187</v>
      </c>
      <c r="B2013" t="s">
        <v>204</v>
      </c>
      <c r="C2013" s="9">
        <v>45292</v>
      </c>
      <c r="D2013">
        <v>2</v>
      </c>
      <c r="E2013" t="s">
        <v>17</v>
      </c>
      <c r="F2013" t="s">
        <v>18</v>
      </c>
      <c r="G2013" s="9">
        <v>45645</v>
      </c>
      <c r="H2013" s="9">
        <v>44938</v>
      </c>
      <c r="I2013">
        <v>19</v>
      </c>
      <c r="J2013" t="s">
        <v>32</v>
      </c>
      <c r="K2013">
        <v>1</v>
      </c>
      <c r="L2013">
        <v>8</v>
      </c>
      <c r="M2013" s="11">
        <v>0</v>
      </c>
      <c r="N2013" s="12">
        <v>8040.56</v>
      </c>
      <c r="O2013" s="12">
        <v>5245.3</v>
      </c>
    </row>
    <row r="2014" spans="1:15">
      <c r="A2014" t="s">
        <v>2188</v>
      </c>
      <c r="B2014" t="s">
        <v>159</v>
      </c>
      <c r="C2014" s="9">
        <v>39813</v>
      </c>
      <c r="D2014">
        <v>17</v>
      </c>
      <c r="E2014" t="s">
        <v>17</v>
      </c>
      <c r="F2014" t="s">
        <v>18</v>
      </c>
      <c r="G2014" s="9">
        <v>45122</v>
      </c>
      <c r="H2014" s="9">
        <v>45254</v>
      </c>
      <c r="I2014">
        <v>3</v>
      </c>
      <c r="J2014" t="s">
        <v>26</v>
      </c>
      <c r="K2014">
        <v>6</v>
      </c>
      <c r="L2014">
        <v>4</v>
      </c>
      <c r="M2014" s="11">
        <v>20241.080000000002</v>
      </c>
      <c r="N2014" s="12">
        <v>6062.54</v>
      </c>
      <c r="O2014" s="12">
        <v>5800.09</v>
      </c>
    </row>
    <row r="2015" spans="1:15">
      <c r="A2015" t="s">
        <v>2189</v>
      </c>
      <c r="B2015" t="s">
        <v>479</v>
      </c>
      <c r="C2015" s="9">
        <v>31778</v>
      </c>
      <c r="D2015">
        <v>39</v>
      </c>
      <c r="E2015" t="s">
        <v>17</v>
      </c>
      <c r="F2015" t="s">
        <v>5184</v>
      </c>
      <c r="G2015" s="9">
        <v>45328</v>
      </c>
      <c r="H2015" s="9">
        <v>45625</v>
      </c>
      <c r="I2015">
        <v>6</v>
      </c>
      <c r="J2015" t="s">
        <v>35</v>
      </c>
      <c r="K2015">
        <v>3</v>
      </c>
      <c r="L2015">
        <v>3</v>
      </c>
      <c r="M2015" s="11">
        <v>5893.02</v>
      </c>
      <c r="N2015" s="12">
        <v>3775.81</v>
      </c>
      <c r="O2015" s="12">
        <v>13955.77</v>
      </c>
    </row>
    <row r="2016" spans="1:15">
      <c r="A2016" t="s">
        <v>2190</v>
      </c>
      <c r="B2016" t="s">
        <v>159</v>
      </c>
      <c r="C2016" s="9">
        <v>38717</v>
      </c>
      <c r="D2016">
        <v>20</v>
      </c>
      <c r="E2016" t="s">
        <v>21</v>
      </c>
      <c r="F2016" t="s">
        <v>22</v>
      </c>
      <c r="G2016" s="9">
        <v>44990</v>
      </c>
      <c r="H2016" s="9">
        <v>45277</v>
      </c>
      <c r="I2016">
        <v>8</v>
      </c>
      <c r="J2016" t="s">
        <v>32</v>
      </c>
      <c r="K2016">
        <v>3</v>
      </c>
      <c r="L2016">
        <v>4</v>
      </c>
      <c r="M2016" s="11">
        <v>24511.7</v>
      </c>
      <c r="N2016" s="12">
        <v>1838.45</v>
      </c>
      <c r="O2016" s="12">
        <v>11861.35</v>
      </c>
    </row>
    <row r="2017" spans="1:15">
      <c r="A2017" t="s">
        <v>2191</v>
      </c>
      <c r="B2017" t="s">
        <v>125</v>
      </c>
      <c r="C2017" s="9">
        <v>40909</v>
      </c>
      <c r="D2017">
        <v>14</v>
      </c>
      <c r="E2017" t="s">
        <v>21</v>
      </c>
      <c r="F2017" t="s">
        <v>29</v>
      </c>
      <c r="G2017" s="9">
        <v>45578</v>
      </c>
      <c r="H2017" s="9">
        <v>45306</v>
      </c>
      <c r="I2017">
        <v>19</v>
      </c>
      <c r="J2017" t="s">
        <v>32</v>
      </c>
      <c r="K2017">
        <v>1</v>
      </c>
      <c r="L2017">
        <v>7</v>
      </c>
      <c r="M2017" s="11">
        <v>28521.77</v>
      </c>
      <c r="N2017" s="12">
        <v>8921.9</v>
      </c>
      <c r="O2017" s="12">
        <v>16427.14</v>
      </c>
    </row>
    <row r="2018" spans="1:15">
      <c r="A2018" t="s">
        <v>2192</v>
      </c>
      <c r="B2018" t="s">
        <v>302</v>
      </c>
      <c r="C2018" s="9">
        <v>36891</v>
      </c>
      <c r="D2018">
        <v>25</v>
      </c>
      <c r="E2018" t="s">
        <v>5185</v>
      </c>
      <c r="F2018" t="s">
        <v>18</v>
      </c>
      <c r="G2018" s="9">
        <v>45351</v>
      </c>
      <c r="H2018" s="9">
        <v>45158</v>
      </c>
      <c r="I2018">
        <v>6</v>
      </c>
      <c r="J2018" t="s">
        <v>35</v>
      </c>
      <c r="K2018">
        <v>11</v>
      </c>
      <c r="L2018">
        <v>7</v>
      </c>
      <c r="M2018" s="11">
        <v>12013.38</v>
      </c>
      <c r="N2018" s="12">
        <v>12390.73</v>
      </c>
      <c r="O2018" s="12">
        <v>11387.75</v>
      </c>
    </row>
    <row r="2019" spans="1:15">
      <c r="A2019" t="s">
        <v>2193</v>
      </c>
      <c r="B2019" t="s">
        <v>309</v>
      </c>
      <c r="C2019" s="9">
        <v>43466</v>
      </c>
      <c r="D2019">
        <v>7</v>
      </c>
      <c r="E2019" t="s">
        <v>17</v>
      </c>
      <c r="F2019" t="s">
        <v>29</v>
      </c>
      <c r="G2019" s="9">
        <v>44968</v>
      </c>
      <c r="H2019" s="9">
        <v>45068</v>
      </c>
      <c r="I2019">
        <v>26</v>
      </c>
      <c r="J2019" t="s">
        <v>26</v>
      </c>
      <c r="K2019">
        <v>13</v>
      </c>
      <c r="L2019">
        <v>3</v>
      </c>
      <c r="M2019" s="11">
        <v>20776.490000000002</v>
      </c>
      <c r="N2019" s="12">
        <v>11192.75</v>
      </c>
      <c r="O2019" s="12">
        <v>6063.73</v>
      </c>
    </row>
    <row r="2020" spans="1:15">
      <c r="A2020" t="s">
        <v>2194</v>
      </c>
      <c r="B2020" t="s">
        <v>201</v>
      </c>
      <c r="C2020" s="9">
        <v>12054</v>
      </c>
      <c r="D2020">
        <v>93</v>
      </c>
      <c r="E2020" t="s">
        <v>21</v>
      </c>
      <c r="F2020" t="s">
        <v>18</v>
      </c>
      <c r="G2020" s="9">
        <v>45299</v>
      </c>
      <c r="H2020" s="9">
        <v>45545</v>
      </c>
      <c r="I2020">
        <v>7</v>
      </c>
      <c r="J2020" t="s">
        <v>35</v>
      </c>
      <c r="K2020">
        <v>8</v>
      </c>
      <c r="L2020">
        <v>7</v>
      </c>
      <c r="M2020" s="11">
        <v>15304.07</v>
      </c>
      <c r="N2020" s="12">
        <v>10444.780000000001</v>
      </c>
      <c r="O2020" s="12">
        <v>19253.689999999999</v>
      </c>
    </row>
    <row r="2021" spans="1:15">
      <c r="A2021" t="s">
        <v>2195</v>
      </c>
      <c r="B2021" t="s">
        <v>196</v>
      </c>
      <c r="C2021" s="9">
        <v>14611</v>
      </c>
      <c r="D2021">
        <v>86</v>
      </c>
      <c r="E2021" t="s">
        <v>17</v>
      </c>
      <c r="F2021" t="s">
        <v>49</v>
      </c>
      <c r="G2021" s="9">
        <v>45232</v>
      </c>
      <c r="H2021" s="9">
        <v>45692</v>
      </c>
      <c r="I2021">
        <v>31</v>
      </c>
      <c r="J2021" t="s">
        <v>32</v>
      </c>
      <c r="K2021">
        <v>13</v>
      </c>
      <c r="L2021">
        <v>3</v>
      </c>
      <c r="M2021" s="11">
        <v>2916.28</v>
      </c>
      <c r="N2021" s="12">
        <v>13932.78</v>
      </c>
      <c r="O2021" s="12">
        <v>17710.689999999999</v>
      </c>
    </row>
    <row r="2022" spans="1:15">
      <c r="A2022" t="s">
        <v>2196</v>
      </c>
      <c r="B2022" t="s">
        <v>249</v>
      </c>
      <c r="C2022" s="9">
        <v>31047</v>
      </c>
      <c r="D2022">
        <v>41</v>
      </c>
      <c r="E2022" t="s">
        <v>17</v>
      </c>
      <c r="F2022" t="s">
        <v>25</v>
      </c>
      <c r="G2022" s="9">
        <v>45135</v>
      </c>
      <c r="H2022" s="9">
        <v>44976</v>
      </c>
      <c r="I2022">
        <v>28</v>
      </c>
      <c r="J2022" t="s">
        <v>32</v>
      </c>
      <c r="K2022">
        <v>9</v>
      </c>
      <c r="L2022">
        <v>3</v>
      </c>
      <c r="M2022" s="11">
        <v>10170.18</v>
      </c>
      <c r="N2022" s="12">
        <v>5917.75</v>
      </c>
      <c r="O2022" s="12">
        <v>5504.31</v>
      </c>
    </row>
    <row r="2023" spans="1:15">
      <c r="A2023" t="s">
        <v>2197</v>
      </c>
      <c r="B2023" t="s">
        <v>223</v>
      </c>
      <c r="C2023" s="9">
        <v>30317</v>
      </c>
      <c r="D2023">
        <v>43</v>
      </c>
      <c r="E2023" t="s">
        <v>21</v>
      </c>
      <c r="F2023" t="s">
        <v>29</v>
      </c>
      <c r="G2023" s="9">
        <v>45393</v>
      </c>
      <c r="H2023" s="9">
        <v>45378</v>
      </c>
      <c r="I2023">
        <v>19</v>
      </c>
      <c r="J2023" t="s">
        <v>32</v>
      </c>
      <c r="K2023">
        <v>6</v>
      </c>
      <c r="L2023">
        <v>7</v>
      </c>
      <c r="M2023" s="11">
        <v>4496.8</v>
      </c>
      <c r="N2023" s="12">
        <v>2058.2600000000002</v>
      </c>
      <c r="O2023" s="12">
        <v>18245.13</v>
      </c>
    </row>
    <row r="2024" spans="1:15">
      <c r="A2024" t="s">
        <v>2198</v>
      </c>
      <c r="B2024" t="s">
        <v>100</v>
      </c>
      <c r="C2024" s="9">
        <v>41274</v>
      </c>
      <c r="D2024">
        <v>13</v>
      </c>
      <c r="E2024" t="s">
        <v>21</v>
      </c>
      <c r="F2024" t="s">
        <v>29</v>
      </c>
      <c r="G2024" s="9">
        <v>45230</v>
      </c>
      <c r="H2024" s="9">
        <v>45702</v>
      </c>
      <c r="I2024">
        <v>1</v>
      </c>
      <c r="J2024" t="s">
        <v>35</v>
      </c>
      <c r="K2024">
        <v>5</v>
      </c>
      <c r="L2024">
        <v>1</v>
      </c>
      <c r="M2024" s="11">
        <v>20043.990000000002</v>
      </c>
      <c r="N2024" s="12">
        <v>1529.24</v>
      </c>
      <c r="O2024" s="12">
        <v>14374.5</v>
      </c>
    </row>
    <row r="2025" spans="1:15">
      <c r="A2025" t="s">
        <v>2199</v>
      </c>
      <c r="B2025" t="s">
        <v>264</v>
      </c>
      <c r="C2025" s="9">
        <v>17898</v>
      </c>
      <c r="D2025">
        <v>77</v>
      </c>
      <c r="E2025" t="s">
        <v>21</v>
      </c>
      <c r="F2025" t="s">
        <v>5184</v>
      </c>
      <c r="G2025" s="9">
        <v>45511</v>
      </c>
      <c r="H2025" s="9">
        <v>45418</v>
      </c>
      <c r="I2025">
        <v>1</v>
      </c>
      <c r="J2025" t="s">
        <v>35</v>
      </c>
      <c r="K2025">
        <v>1</v>
      </c>
      <c r="L2025">
        <v>3</v>
      </c>
      <c r="M2025" s="11">
        <v>17253.89</v>
      </c>
      <c r="N2025" s="12">
        <v>14325.18</v>
      </c>
      <c r="O2025" s="12">
        <v>8235.35</v>
      </c>
    </row>
    <row r="2026" spans="1:15">
      <c r="A2026" t="s">
        <v>2200</v>
      </c>
      <c r="B2026" t="s">
        <v>487</v>
      </c>
      <c r="C2026" s="9">
        <v>45657</v>
      </c>
      <c r="D2026">
        <v>1</v>
      </c>
      <c r="E2026" t="s">
        <v>21</v>
      </c>
      <c r="F2026" t="s">
        <v>74</v>
      </c>
      <c r="G2026" s="9">
        <v>45318</v>
      </c>
      <c r="H2026" s="9">
        <v>45132</v>
      </c>
      <c r="I2026">
        <v>2</v>
      </c>
      <c r="J2026" t="s">
        <v>35</v>
      </c>
      <c r="K2026">
        <v>10</v>
      </c>
      <c r="L2026">
        <v>0</v>
      </c>
      <c r="M2026" s="11">
        <v>522.79999999999995</v>
      </c>
      <c r="N2026" s="12">
        <v>8834.4599999999991</v>
      </c>
      <c r="O2026" s="12">
        <v>9284.2199999999993</v>
      </c>
    </row>
    <row r="2027" spans="1:15">
      <c r="A2027" t="s">
        <v>2201</v>
      </c>
      <c r="B2027" t="s">
        <v>514</v>
      </c>
      <c r="C2027" s="9">
        <v>32873</v>
      </c>
      <c r="D2027">
        <v>36</v>
      </c>
      <c r="E2027" t="s">
        <v>17</v>
      </c>
      <c r="F2027" t="s">
        <v>49</v>
      </c>
      <c r="G2027" s="9">
        <v>45079</v>
      </c>
      <c r="H2027" s="9">
        <v>45796</v>
      </c>
      <c r="I2027">
        <v>12</v>
      </c>
      <c r="J2027" t="s">
        <v>26</v>
      </c>
      <c r="K2027">
        <v>10</v>
      </c>
      <c r="L2027">
        <v>0</v>
      </c>
      <c r="M2027" s="11">
        <v>1379.01</v>
      </c>
      <c r="N2027" s="12">
        <v>12161.9</v>
      </c>
      <c r="O2027" s="12">
        <v>8872.27</v>
      </c>
    </row>
    <row r="2028" spans="1:15">
      <c r="A2028" t="s">
        <v>2202</v>
      </c>
      <c r="B2028" t="s">
        <v>166</v>
      </c>
      <c r="C2028" s="9">
        <v>21185</v>
      </c>
      <c r="D2028">
        <v>68</v>
      </c>
      <c r="E2028" t="s">
        <v>21</v>
      </c>
      <c r="F2028" t="s">
        <v>74</v>
      </c>
      <c r="G2028" s="9">
        <v>45573</v>
      </c>
      <c r="H2028" s="9">
        <v>45336</v>
      </c>
      <c r="I2028">
        <v>16</v>
      </c>
      <c r="J2028" t="s">
        <v>32</v>
      </c>
      <c r="K2028">
        <v>2</v>
      </c>
      <c r="L2028">
        <v>7</v>
      </c>
      <c r="M2028" s="11">
        <v>7454.17</v>
      </c>
      <c r="N2028" s="12">
        <v>8033.4</v>
      </c>
      <c r="O2028" s="12">
        <v>15916.96</v>
      </c>
    </row>
    <row r="2029" spans="1:15">
      <c r="A2029" t="s">
        <v>2203</v>
      </c>
      <c r="B2029" t="s">
        <v>155</v>
      </c>
      <c r="C2029" s="9">
        <v>32508</v>
      </c>
      <c r="D2029">
        <v>37</v>
      </c>
      <c r="E2029" t="s">
        <v>17</v>
      </c>
      <c r="F2029" t="s">
        <v>49</v>
      </c>
      <c r="G2029" s="9">
        <v>45288</v>
      </c>
      <c r="H2029" s="9">
        <v>45334</v>
      </c>
      <c r="I2029">
        <v>35</v>
      </c>
      <c r="J2029" t="s">
        <v>35</v>
      </c>
      <c r="K2029">
        <v>2</v>
      </c>
      <c r="L2029">
        <v>3</v>
      </c>
      <c r="M2029" s="11">
        <v>22218.22</v>
      </c>
      <c r="N2029" s="12">
        <v>5977.42</v>
      </c>
      <c r="O2029" s="12">
        <v>3427.63</v>
      </c>
    </row>
    <row r="2030" spans="1:15">
      <c r="A2030" t="s">
        <v>2204</v>
      </c>
      <c r="B2030" t="s">
        <v>1148</v>
      </c>
      <c r="C2030" s="9">
        <v>31412</v>
      </c>
      <c r="D2030">
        <v>40</v>
      </c>
      <c r="E2030" t="s">
        <v>5185</v>
      </c>
      <c r="F2030" t="s">
        <v>49</v>
      </c>
      <c r="G2030" s="9">
        <v>45190</v>
      </c>
      <c r="H2030" s="9">
        <v>44978</v>
      </c>
      <c r="I2030">
        <v>12</v>
      </c>
      <c r="J2030" t="s">
        <v>26</v>
      </c>
      <c r="K2030">
        <v>10</v>
      </c>
      <c r="L2030">
        <v>5</v>
      </c>
      <c r="M2030" s="11">
        <v>3368.5</v>
      </c>
      <c r="N2030" s="12">
        <v>3004.04</v>
      </c>
      <c r="O2030" s="12">
        <v>1079.22</v>
      </c>
    </row>
    <row r="2031" spans="1:15">
      <c r="A2031" t="s">
        <v>2205</v>
      </c>
      <c r="B2031" t="s">
        <v>343</v>
      </c>
      <c r="C2031" s="9">
        <v>23742</v>
      </c>
      <c r="D2031">
        <v>61</v>
      </c>
      <c r="E2031" t="s">
        <v>21</v>
      </c>
      <c r="F2031" t="s">
        <v>22</v>
      </c>
      <c r="G2031" s="9">
        <v>45142</v>
      </c>
      <c r="H2031" s="9">
        <v>45102</v>
      </c>
      <c r="I2031">
        <v>5</v>
      </c>
      <c r="J2031" t="s">
        <v>32</v>
      </c>
      <c r="K2031">
        <v>7</v>
      </c>
      <c r="L2031">
        <v>4</v>
      </c>
      <c r="M2031" s="11">
        <v>5745.61</v>
      </c>
      <c r="N2031" s="12">
        <v>12846.13</v>
      </c>
      <c r="O2031" s="12">
        <v>9919</v>
      </c>
    </row>
    <row r="2032" spans="1:15">
      <c r="A2032" t="s">
        <v>2206</v>
      </c>
      <c r="B2032" t="s">
        <v>261</v>
      </c>
      <c r="C2032" s="9">
        <v>24473</v>
      </c>
      <c r="D2032">
        <v>59</v>
      </c>
      <c r="E2032" t="s">
        <v>21</v>
      </c>
      <c r="F2032" t="s">
        <v>22</v>
      </c>
      <c r="G2032" s="9">
        <v>45647</v>
      </c>
      <c r="H2032" s="9">
        <v>45664</v>
      </c>
      <c r="I2032">
        <v>17</v>
      </c>
      <c r="J2032" t="s">
        <v>35</v>
      </c>
      <c r="K2032">
        <v>8</v>
      </c>
      <c r="L2032">
        <v>9</v>
      </c>
      <c r="M2032" s="11">
        <v>27182.61</v>
      </c>
      <c r="N2032" s="12">
        <v>952.73</v>
      </c>
      <c r="O2032" s="12">
        <v>5737.23</v>
      </c>
    </row>
    <row r="2033" spans="1:15">
      <c r="A2033" t="s">
        <v>2207</v>
      </c>
      <c r="B2033" t="s">
        <v>163</v>
      </c>
      <c r="C2033" s="9">
        <v>41274</v>
      </c>
      <c r="D2033">
        <v>13</v>
      </c>
      <c r="E2033" t="s">
        <v>17</v>
      </c>
      <c r="F2033" t="s">
        <v>22</v>
      </c>
      <c r="G2033" s="9">
        <v>45642</v>
      </c>
      <c r="H2033" s="9">
        <v>45188</v>
      </c>
      <c r="I2033">
        <v>9</v>
      </c>
      <c r="J2033" t="s">
        <v>35</v>
      </c>
      <c r="K2033">
        <v>0</v>
      </c>
      <c r="L2033">
        <v>5</v>
      </c>
      <c r="M2033" s="11">
        <v>16157.19</v>
      </c>
      <c r="N2033" s="12">
        <v>13503.49</v>
      </c>
      <c r="O2033" s="12">
        <v>11234.88</v>
      </c>
    </row>
    <row r="2034" spans="1:15">
      <c r="A2034" t="s">
        <v>2208</v>
      </c>
      <c r="B2034" t="s">
        <v>226</v>
      </c>
      <c r="C2034" s="9">
        <v>13880</v>
      </c>
      <c r="D2034">
        <v>88</v>
      </c>
      <c r="E2034" t="s">
        <v>17</v>
      </c>
      <c r="F2034" t="s">
        <v>18</v>
      </c>
      <c r="G2034" s="9">
        <v>45548</v>
      </c>
      <c r="H2034" s="9">
        <v>45407</v>
      </c>
      <c r="I2034">
        <v>1</v>
      </c>
      <c r="J2034" t="s">
        <v>35</v>
      </c>
      <c r="K2034">
        <v>2</v>
      </c>
      <c r="L2034">
        <v>3</v>
      </c>
      <c r="M2034" s="11">
        <v>18435.91</v>
      </c>
      <c r="N2034" s="12">
        <v>3075.19</v>
      </c>
      <c r="O2034" s="12">
        <v>19561.72</v>
      </c>
    </row>
    <row r="2035" spans="1:15">
      <c r="A2035" t="s">
        <v>2209</v>
      </c>
      <c r="B2035" t="s">
        <v>275</v>
      </c>
      <c r="C2035" s="9">
        <v>15707</v>
      </c>
      <c r="D2035">
        <v>83</v>
      </c>
      <c r="E2035" t="s">
        <v>17</v>
      </c>
      <c r="F2035" t="s">
        <v>5184</v>
      </c>
      <c r="G2035" s="9">
        <v>45469</v>
      </c>
      <c r="H2035" s="9">
        <v>45661</v>
      </c>
      <c r="I2035">
        <v>35</v>
      </c>
      <c r="J2035" t="s">
        <v>26</v>
      </c>
      <c r="K2035">
        <v>8</v>
      </c>
      <c r="L2035">
        <v>3</v>
      </c>
      <c r="M2035" s="11">
        <v>13400.87</v>
      </c>
      <c r="N2035" s="12">
        <v>142.97</v>
      </c>
      <c r="O2035" s="12">
        <v>13396.2</v>
      </c>
    </row>
    <row r="2036" spans="1:15">
      <c r="A2036" t="s">
        <v>2210</v>
      </c>
      <c r="B2036" t="s">
        <v>397</v>
      </c>
      <c r="C2036" s="9">
        <v>45657</v>
      </c>
      <c r="D2036">
        <v>1</v>
      </c>
      <c r="E2036" t="s">
        <v>21</v>
      </c>
      <c r="F2036" t="s">
        <v>74</v>
      </c>
      <c r="G2036" s="9">
        <v>45450</v>
      </c>
      <c r="H2036" s="9">
        <v>45150</v>
      </c>
      <c r="I2036">
        <v>36</v>
      </c>
      <c r="J2036" t="s">
        <v>35</v>
      </c>
      <c r="K2036">
        <v>1</v>
      </c>
      <c r="L2036">
        <v>6</v>
      </c>
      <c r="M2036" s="11">
        <v>8643.02</v>
      </c>
      <c r="N2036" s="12">
        <v>1558.46</v>
      </c>
      <c r="O2036" s="12">
        <v>19180.29</v>
      </c>
    </row>
    <row r="2037" spans="1:15">
      <c r="A2037" t="s">
        <v>2211</v>
      </c>
      <c r="B2037" t="s">
        <v>163</v>
      </c>
      <c r="C2037" s="9">
        <v>20820</v>
      </c>
      <c r="D2037">
        <v>69</v>
      </c>
      <c r="E2037" t="s">
        <v>21</v>
      </c>
      <c r="F2037" t="s">
        <v>25</v>
      </c>
      <c r="G2037" s="9">
        <v>45565</v>
      </c>
      <c r="H2037" s="9">
        <v>45196</v>
      </c>
      <c r="I2037">
        <v>33</v>
      </c>
      <c r="J2037" t="s">
        <v>35</v>
      </c>
      <c r="K2037">
        <v>8</v>
      </c>
      <c r="L2037">
        <v>0</v>
      </c>
      <c r="M2037" s="11">
        <v>7098.47</v>
      </c>
      <c r="N2037" s="12">
        <v>13252.63</v>
      </c>
      <c r="O2037" s="12">
        <v>14614.3</v>
      </c>
    </row>
    <row r="2038" spans="1:15">
      <c r="A2038" t="s">
        <v>2212</v>
      </c>
      <c r="B2038" t="s">
        <v>201</v>
      </c>
      <c r="C2038" s="9">
        <v>40178</v>
      </c>
      <c r="D2038">
        <v>16</v>
      </c>
      <c r="E2038" t="s">
        <v>17</v>
      </c>
      <c r="F2038" t="s">
        <v>49</v>
      </c>
      <c r="G2038" s="9">
        <v>45120</v>
      </c>
      <c r="H2038" s="9">
        <v>45737</v>
      </c>
      <c r="I2038">
        <v>12</v>
      </c>
      <c r="J2038" t="s">
        <v>32</v>
      </c>
      <c r="K2038">
        <v>13</v>
      </c>
      <c r="L2038">
        <v>8</v>
      </c>
      <c r="M2038" s="11">
        <v>0</v>
      </c>
      <c r="N2038" s="12">
        <v>1105.6099999999999</v>
      </c>
      <c r="O2038" s="12">
        <v>1425.89</v>
      </c>
    </row>
    <row r="2039" spans="1:15">
      <c r="A2039" t="s">
        <v>2213</v>
      </c>
      <c r="B2039" t="s">
        <v>34</v>
      </c>
      <c r="C2039" s="9">
        <v>13880</v>
      </c>
      <c r="D2039">
        <v>88</v>
      </c>
      <c r="E2039" t="s">
        <v>5185</v>
      </c>
      <c r="F2039" t="s">
        <v>49</v>
      </c>
      <c r="G2039" s="9">
        <v>45578</v>
      </c>
      <c r="H2039" s="9">
        <v>45820</v>
      </c>
      <c r="I2039">
        <v>2</v>
      </c>
      <c r="J2039" t="s">
        <v>26</v>
      </c>
      <c r="K2039">
        <v>3</v>
      </c>
      <c r="L2039">
        <v>9</v>
      </c>
      <c r="M2039" s="11">
        <v>0</v>
      </c>
      <c r="N2039" s="12">
        <v>5328.61</v>
      </c>
      <c r="O2039" s="12">
        <v>17774.95</v>
      </c>
    </row>
    <row r="2040" spans="1:15">
      <c r="A2040" t="s">
        <v>2214</v>
      </c>
      <c r="B2040" t="s">
        <v>207</v>
      </c>
      <c r="C2040" s="9">
        <v>36161</v>
      </c>
      <c r="D2040">
        <v>27</v>
      </c>
      <c r="E2040" t="s">
        <v>21</v>
      </c>
      <c r="F2040" t="s">
        <v>5184</v>
      </c>
      <c r="G2040" s="9">
        <v>44953</v>
      </c>
      <c r="H2040" s="9">
        <v>45245</v>
      </c>
      <c r="I2040">
        <v>28</v>
      </c>
      <c r="J2040" t="s">
        <v>32</v>
      </c>
      <c r="K2040">
        <v>10</v>
      </c>
      <c r="L2040">
        <v>2</v>
      </c>
      <c r="M2040" s="11">
        <v>11792.51</v>
      </c>
      <c r="N2040" s="12">
        <v>3754.75</v>
      </c>
      <c r="O2040" s="12">
        <v>3898.28</v>
      </c>
    </row>
    <row r="2041" spans="1:15">
      <c r="A2041" t="s">
        <v>2215</v>
      </c>
      <c r="B2041" t="s">
        <v>479</v>
      </c>
      <c r="C2041" s="9">
        <v>22281</v>
      </c>
      <c r="D2041">
        <v>65</v>
      </c>
      <c r="E2041" t="s">
        <v>17</v>
      </c>
      <c r="F2041" t="s">
        <v>29</v>
      </c>
      <c r="G2041" s="9">
        <v>44972</v>
      </c>
      <c r="H2041" s="9">
        <v>45312</v>
      </c>
      <c r="I2041">
        <v>6</v>
      </c>
      <c r="J2041" t="s">
        <v>32</v>
      </c>
      <c r="K2041">
        <v>5</v>
      </c>
      <c r="L2041">
        <v>3</v>
      </c>
      <c r="M2041" s="11">
        <v>20678.75</v>
      </c>
      <c r="N2041" s="12">
        <v>552.82000000000005</v>
      </c>
      <c r="O2041" s="12">
        <v>17282.27</v>
      </c>
    </row>
    <row r="2042" spans="1:15">
      <c r="A2042" t="s">
        <v>2216</v>
      </c>
      <c r="B2042" t="s">
        <v>78</v>
      </c>
      <c r="C2042" s="9">
        <v>33604</v>
      </c>
      <c r="D2042">
        <v>34</v>
      </c>
      <c r="E2042" t="s">
        <v>21</v>
      </c>
      <c r="F2042" t="s">
        <v>18</v>
      </c>
      <c r="G2042" s="9">
        <v>45573</v>
      </c>
      <c r="H2042" s="9">
        <v>45513</v>
      </c>
      <c r="I2042">
        <v>20</v>
      </c>
      <c r="J2042" t="s">
        <v>32</v>
      </c>
      <c r="K2042">
        <v>3</v>
      </c>
      <c r="L2042">
        <v>8</v>
      </c>
      <c r="M2042" s="11">
        <v>11826.7</v>
      </c>
      <c r="N2042" s="12">
        <v>7972</v>
      </c>
      <c r="O2042" s="12">
        <v>14956.58</v>
      </c>
    </row>
    <row r="2043" spans="1:15">
      <c r="A2043" t="s">
        <v>2217</v>
      </c>
      <c r="B2043" t="s">
        <v>61</v>
      </c>
      <c r="C2043" s="9">
        <v>44561</v>
      </c>
      <c r="D2043">
        <v>4</v>
      </c>
      <c r="E2043" t="s">
        <v>5185</v>
      </c>
      <c r="F2043" t="s">
        <v>25</v>
      </c>
      <c r="G2043" s="9">
        <v>44984</v>
      </c>
      <c r="H2043" s="9">
        <v>45553</v>
      </c>
      <c r="I2043">
        <v>23</v>
      </c>
      <c r="J2043" t="s">
        <v>32</v>
      </c>
      <c r="K2043">
        <v>3</v>
      </c>
      <c r="L2043">
        <v>4</v>
      </c>
      <c r="M2043" s="11">
        <v>620.28</v>
      </c>
      <c r="N2043" s="12">
        <v>14974.99</v>
      </c>
      <c r="O2043" s="12">
        <v>16756.21</v>
      </c>
    </row>
    <row r="2044" spans="1:15">
      <c r="A2044" t="s">
        <v>2218</v>
      </c>
      <c r="B2044" t="s">
        <v>115</v>
      </c>
      <c r="C2044" s="9">
        <v>22646</v>
      </c>
      <c r="D2044">
        <v>64</v>
      </c>
      <c r="E2044" t="s">
        <v>17</v>
      </c>
      <c r="F2044" t="s">
        <v>22</v>
      </c>
      <c r="G2044" s="9">
        <v>44939</v>
      </c>
      <c r="H2044" s="9">
        <v>45146</v>
      </c>
      <c r="I2044">
        <v>37</v>
      </c>
      <c r="J2044" t="s">
        <v>32</v>
      </c>
      <c r="K2044">
        <v>2</v>
      </c>
      <c r="L2044">
        <v>3</v>
      </c>
      <c r="M2044" s="11">
        <v>25109.93</v>
      </c>
      <c r="N2044" s="12">
        <v>12795.11</v>
      </c>
      <c r="O2044" s="12">
        <v>4996.97</v>
      </c>
    </row>
    <row r="2045" spans="1:15">
      <c r="A2045" t="s">
        <v>2219</v>
      </c>
      <c r="B2045" t="s">
        <v>654</v>
      </c>
      <c r="C2045" s="9">
        <v>31778</v>
      </c>
      <c r="D2045">
        <v>39</v>
      </c>
      <c r="E2045" t="s">
        <v>21</v>
      </c>
      <c r="F2045" t="s">
        <v>49</v>
      </c>
      <c r="G2045" s="9">
        <v>45538</v>
      </c>
      <c r="H2045" s="9">
        <v>44981</v>
      </c>
      <c r="I2045">
        <v>36</v>
      </c>
      <c r="J2045" t="s">
        <v>35</v>
      </c>
      <c r="K2045">
        <v>12</v>
      </c>
      <c r="L2045">
        <v>5</v>
      </c>
      <c r="M2045" s="11">
        <v>9211.2999999999993</v>
      </c>
      <c r="N2045" s="12">
        <v>2533.39</v>
      </c>
      <c r="O2045" s="12">
        <v>16128.68</v>
      </c>
    </row>
    <row r="2046" spans="1:15">
      <c r="A2046" t="s">
        <v>2220</v>
      </c>
      <c r="B2046" t="s">
        <v>286</v>
      </c>
      <c r="C2046" s="9">
        <v>18629</v>
      </c>
      <c r="D2046">
        <v>75</v>
      </c>
      <c r="E2046" t="s">
        <v>17</v>
      </c>
      <c r="F2046" t="s">
        <v>29</v>
      </c>
      <c r="G2046" s="9">
        <v>44975</v>
      </c>
      <c r="H2046" s="9">
        <v>45127</v>
      </c>
      <c r="I2046">
        <v>15</v>
      </c>
      <c r="J2046" t="s">
        <v>32</v>
      </c>
      <c r="K2046">
        <v>7</v>
      </c>
      <c r="L2046">
        <v>0</v>
      </c>
      <c r="M2046" s="11">
        <v>28365.25</v>
      </c>
      <c r="N2046" s="12">
        <v>13264.74</v>
      </c>
      <c r="O2046" s="12">
        <v>12168.08</v>
      </c>
    </row>
    <row r="2047" spans="1:15">
      <c r="A2047" t="s">
        <v>2221</v>
      </c>
      <c r="B2047" t="s">
        <v>69</v>
      </c>
      <c r="C2047" s="9">
        <v>25934</v>
      </c>
      <c r="D2047">
        <v>55</v>
      </c>
      <c r="E2047" t="s">
        <v>21</v>
      </c>
      <c r="F2047" t="s">
        <v>74</v>
      </c>
      <c r="G2047" s="9">
        <v>45020</v>
      </c>
      <c r="H2047" s="9">
        <v>45811</v>
      </c>
      <c r="I2047">
        <v>30</v>
      </c>
      <c r="J2047" t="s">
        <v>26</v>
      </c>
      <c r="K2047">
        <v>4</v>
      </c>
      <c r="L2047">
        <v>9</v>
      </c>
      <c r="M2047" s="11">
        <v>26326.52</v>
      </c>
      <c r="N2047" s="12">
        <v>6776.9</v>
      </c>
      <c r="O2047" s="12">
        <v>1545.65</v>
      </c>
    </row>
    <row r="2048" spans="1:15">
      <c r="A2048" t="s">
        <v>2222</v>
      </c>
      <c r="B2048" t="s">
        <v>387</v>
      </c>
      <c r="C2048" s="9">
        <v>33239</v>
      </c>
      <c r="D2048">
        <v>35</v>
      </c>
      <c r="E2048" t="s">
        <v>21</v>
      </c>
      <c r="F2048" t="s">
        <v>49</v>
      </c>
      <c r="G2048" s="9">
        <v>45533</v>
      </c>
      <c r="H2048" s="9">
        <v>45570</v>
      </c>
      <c r="I2048">
        <v>38</v>
      </c>
      <c r="J2048" t="s">
        <v>35</v>
      </c>
      <c r="K2048">
        <v>8</v>
      </c>
      <c r="L2048">
        <v>0</v>
      </c>
      <c r="M2048" s="11">
        <v>0</v>
      </c>
      <c r="N2048" s="12">
        <v>4098.76</v>
      </c>
      <c r="O2048" s="12">
        <v>17771.55</v>
      </c>
    </row>
    <row r="2049" spans="1:15">
      <c r="A2049" t="s">
        <v>2223</v>
      </c>
      <c r="B2049" t="s">
        <v>147</v>
      </c>
      <c r="C2049" s="9">
        <v>29951</v>
      </c>
      <c r="D2049">
        <v>44</v>
      </c>
      <c r="E2049" t="s">
        <v>21</v>
      </c>
      <c r="F2049" t="s">
        <v>29</v>
      </c>
      <c r="G2049" s="9">
        <v>45583</v>
      </c>
      <c r="H2049" s="9">
        <v>45266</v>
      </c>
      <c r="I2049">
        <v>36</v>
      </c>
      <c r="J2049" t="s">
        <v>32</v>
      </c>
      <c r="K2049">
        <v>4</v>
      </c>
      <c r="L2049">
        <v>4</v>
      </c>
      <c r="M2049" s="11">
        <v>0</v>
      </c>
      <c r="N2049" s="12">
        <v>9604.59</v>
      </c>
      <c r="O2049" s="12">
        <v>17523.91</v>
      </c>
    </row>
    <row r="2050" spans="1:15">
      <c r="A2050" t="s">
        <v>2224</v>
      </c>
      <c r="B2050" t="s">
        <v>34</v>
      </c>
      <c r="C2050" s="9">
        <v>37987</v>
      </c>
      <c r="D2050">
        <v>22</v>
      </c>
      <c r="E2050" t="s">
        <v>21</v>
      </c>
      <c r="F2050" t="s">
        <v>74</v>
      </c>
      <c r="G2050" s="9">
        <v>45510</v>
      </c>
      <c r="H2050" s="9">
        <v>45631</v>
      </c>
      <c r="I2050">
        <v>11</v>
      </c>
      <c r="J2050" t="s">
        <v>32</v>
      </c>
      <c r="K2050">
        <v>9</v>
      </c>
      <c r="L2050">
        <v>4</v>
      </c>
      <c r="M2050" s="11">
        <v>25533.599999999999</v>
      </c>
      <c r="N2050" s="12">
        <v>3250.42</v>
      </c>
      <c r="O2050" s="12">
        <v>11397.02</v>
      </c>
    </row>
    <row r="2051" spans="1:15">
      <c r="A2051" t="s">
        <v>2225</v>
      </c>
      <c r="B2051" t="s">
        <v>119</v>
      </c>
      <c r="C2051" s="9">
        <v>29221</v>
      </c>
      <c r="D2051">
        <v>46</v>
      </c>
      <c r="E2051" t="s">
        <v>21</v>
      </c>
      <c r="F2051" t="s">
        <v>18</v>
      </c>
      <c r="G2051" s="9">
        <v>45377</v>
      </c>
      <c r="H2051" s="9">
        <v>45618</v>
      </c>
      <c r="I2051">
        <v>2</v>
      </c>
      <c r="J2051" t="s">
        <v>26</v>
      </c>
      <c r="K2051">
        <v>4</v>
      </c>
      <c r="L2051">
        <v>8</v>
      </c>
      <c r="M2051" s="11">
        <v>29543</v>
      </c>
      <c r="N2051" s="12">
        <v>13194.78</v>
      </c>
      <c r="O2051" s="12">
        <v>8997.75</v>
      </c>
    </row>
    <row r="2052" spans="1:15">
      <c r="A2052" t="s">
        <v>2226</v>
      </c>
      <c r="B2052" t="s">
        <v>84</v>
      </c>
      <c r="C2052" s="9">
        <v>35065</v>
      </c>
      <c r="D2052">
        <f ca="1">DATEDIF(C2003,TODAY(),"Y")</f>
        <v>35</v>
      </c>
      <c r="E2052" t="s">
        <v>17</v>
      </c>
      <c r="F2052" t="s">
        <v>22</v>
      </c>
      <c r="G2052" s="9">
        <v>45305</v>
      </c>
      <c r="H2052" s="9">
        <v>45825</v>
      </c>
      <c r="I2052">
        <v>10</v>
      </c>
      <c r="J2052" t="s">
        <v>32</v>
      </c>
      <c r="K2052">
        <v>4</v>
      </c>
      <c r="L2052">
        <v>0</v>
      </c>
      <c r="M2052" s="11">
        <v>20177.43</v>
      </c>
      <c r="N2052" s="12">
        <v>9362.76</v>
      </c>
      <c r="O2052" s="12">
        <v>7951</v>
      </c>
    </row>
    <row r="2053" spans="1:15">
      <c r="A2053" t="s">
        <v>2227</v>
      </c>
      <c r="B2053" t="s">
        <v>444</v>
      </c>
      <c r="C2053" s="9">
        <v>42370</v>
      </c>
      <c r="D2053">
        <v>10</v>
      </c>
      <c r="E2053" t="s">
        <v>17</v>
      </c>
      <c r="F2053" t="s">
        <v>5184</v>
      </c>
      <c r="G2053" s="9">
        <v>44936</v>
      </c>
      <c r="H2053" s="9">
        <v>45232</v>
      </c>
      <c r="I2053">
        <v>12</v>
      </c>
      <c r="J2053" t="s">
        <v>26</v>
      </c>
      <c r="K2053">
        <v>1</v>
      </c>
      <c r="L2053">
        <v>2</v>
      </c>
      <c r="M2053" s="11">
        <v>27887.17</v>
      </c>
      <c r="N2053" s="12">
        <v>2040.33</v>
      </c>
      <c r="O2053" s="12">
        <v>12015.02</v>
      </c>
    </row>
    <row r="2054" spans="1:15">
      <c r="A2054" t="s">
        <v>2228</v>
      </c>
      <c r="B2054" t="s">
        <v>387</v>
      </c>
      <c r="C2054" s="9">
        <v>42735</v>
      </c>
      <c r="D2054">
        <v>9</v>
      </c>
      <c r="E2054" t="s">
        <v>21</v>
      </c>
      <c r="F2054" t="s">
        <v>74</v>
      </c>
      <c r="G2054" s="9">
        <v>45600</v>
      </c>
      <c r="H2054" s="9">
        <v>45726</v>
      </c>
      <c r="I2054">
        <v>34</v>
      </c>
      <c r="J2054" t="s">
        <v>32</v>
      </c>
      <c r="K2054">
        <v>14</v>
      </c>
      <c r="L2054">
        <v>2</v>
      </c>
      <c r="M2054" s="11">
        <v>20547.84</v>
      </c>
      <c r="N2054" s="12">
        <v>8559.73</v>
      </c>
      <c r="O2054" s="12">
        <v>16817.98</v>
      </c>
    </row>
    <row r="2055" spans="1:15">
      <c r="A2055" t="s">
        <v>2229</v>
      </c>
      <c r="B2055" t="s">
        <v>615</v>
      </c>
      <c r="C2055" s="9">
        <v>21916</v>
      </c>
      <c r="D2055">
        <v>66</v>
      </c>
      <c r="E2055" t="s">
        <v>17</v>
      </c>
      <c r="F2055" t="s">
        <v>49</v>
      </c>
      <c r="G2055" s="9">
        <v>45652</v>
      </c>
      <c r="H2055" s="9">
        <v>45679</v>
      </c>
      <c r="I2055">
        <v>2</v>
      </c>
      <c r="J2055" t="s">
        <v>32</v>
      </c>
      <c r="K2055">
        <v>9</v>
      </c>
      <c r="L2055">
        <v>3</v>
      </c>
      <c r="M2055" s="11">
        <v>25580.35</v>
      </c>
      <c r="N2055" s="12">
        <v>7655.57</v>
      </c>
      <c r="O2055" s="12">
        <v>11275.15</v>
      </c>
    </row>
    <row r="2056" spans="1:15">
      <c r="A2056" t="s">
        <v>2230</v>
      </c>
      <c r="B2056" t="s">
        <v>232</v>
      </c>
      <c r="C2056" s="9">
        <v>41274</v>
      </c>
      <c r="D2056">
        <v>13</v>
      </c>
      <c r="E2056" t="s">
        <v>17</v>
      </c>
      <c r="F2056" t="s">
        <v>25</v>
      </c>
      <c r="G2056" s="9">
        <v>45442</v>
      </c>
      <c r="H2056" s="9">
        <v>45172</v>
      </c>
      <c r="I2056">
        <v>11</v>
      </c>
      <c r="J2056" t="s">
        <v>32</v>
      </c>
      <c r="K2056">
        <v>4</v>
      </c>
      <c r="L2056">
        <v>6</v>
      </c>
      <c r="M2056" s="11">
        <v>18118.09</v>
      </c>
      <c r="N2056" s="12">
        <v>7071.83</v>
      </c>
      <c r="O2056" s="12">
        <v>2506</v>
      </c>
    </row>
    <row r="2057" spans="1:15">
      <c r="A2057" t="s">
        <v>2231</v>
      </c>
      <c r="B2057" t="s">
        <v>596</v>
      </c>
      <c r="C2057" s="9">
        <v>17168</v>
      </c>
      <c r="D2057">
        <v>79</v>
      </c>
      <c r="E2057" t="s">
        <v>5185</v>
      </c>
      <c r="F2057" t="s">
        <v>74</v>
      </c>
      <c r="G2057" s="9">
        <v>45150</v>
      </c>
      <c r="H2057" s="9">
        <v>45769</v>
      </c>
      <c r="I2057">
        <v>11</v>
      </c>
      <c r="J2057" t="s">
        <v>32</v>
      </c>
      <c r="K2057">
        <v>2</v>
      </c>
      <c r="L2057">
        <v>6</v>
      </c>
      <c r="M2057" s="11">
        <v>27839.82</v>
      </c>
      <c r="N2057" s="12">
        <v>5474.64</v>
      </c>
      <c r="O2057" s="12">
        <v>6054</v>
      </c>
    </row>
    <row r="2058" spans="1:15">
      <c r="A2058" t="s">
        <v>2232</v>
      </c>
      <c r="B2058" t="s">
        <v>137</v>
      </c>
      <c r="C2058" s="9">
        <v>19359</v>
      </c>
      <c r="D2058">
        <v>73</v>
      </c>
      <c r="E2058" t="s">
        <v>17</v>
      </c>
      <c r="F2058" t="s">
        <v>25</v>
      </c>
      <c r="G2058" s="9">
        <v>45307</v>
      </c>
      <c r="H2058" s="9">
        <v>45556</v>
      </c>
      <c r="I2058">
        <v>2</v>
      </c>
      <c r="J2058" t="s">
        <v>32</v>
      </c>
      <c r="K2058">
        <v>0</v>
      </c>
      <c r="L2058">
        <v>9</v>
      </c>
      <c r="M2058" s="11">
        <v>15301.65</v>
      </c>
      <c r="N2058" s="12">
        <v>7113.08</v>
      </c>
      <c r="O2058" s="12">
        <v>13331.76</v>
      </c>
    </row>
    <row r="2059" spans="1:15">
      <c r="A2059" t="s">
        <v>2233</v>
      </c>
      <c r="B2059" t="s">
        <v>261</v>
      </c>
      <c r="C2059" s="9">
        <v>12419</v>
      </c>
      <c r="D2059">
        <v>92</v>
      </c>
      <c r="E2059" t="s">
        <v>21</v>
      </c>
      <c r="F2059" t="s">
        <v>25</v>
      </c>
      <c r="G2059" s="9">
        <v>45467</v>
      </c>
      <c r="H2059" s="9">
        <v>45135</v>
      </c>
      <c r="I2059">
        <v>8</v>
      </c>
      <c r="J2059" t="s">
        <v>32</v>
      </c>
      <c r="K2059">
        <v>4</v>
      </c>
      <c r="L2059">
        <v>4</v>
      </c>
      <c r="M2059" s="11">
        <v>21965.35</v>
      </c>
      <c r="N2059" s="12">
        <v>8790.17</v>
      </c>
      <c r="O2059" s="12">
        <v>12901.18</v>
      </c>
    </row>
    <row r="2060" spans="1:15">
      <c r="A2060" t="s">
        <v>2234</v>
      </c>
      <c r="B2060" t="s">
        <v>53</v>
      </c>
      <c r="C2060" s="9">
        <v>42735</v>
      </c>
      <c r="D2060">
        <v>9</v>
      </c>
      <c r="E2060" t="s">
        <v>21</v>
      </c>
      <c r="F2060" t="s">
        <v>74</v>
      </c>
      <c r="G2060" s="9">
        <v>45228</v>
      </c>
      <c r="H2060" s="9">
        <v>45651</v>
      </c>
      <c r="I2060">
        <v>29</v>
      </c>
      <c r="J2060" t="s">
        <v>32</v>
      </c>
      <c r="K2060">
        <v>1</v>
      </c>
      <c r="L2060">
        <v>8</v>
      </c>
      <c r="M2060" s="11">
        <v>27467.29</v>
      </c>
      <c r="N2060" s="12">
        <v>11003.54</v>
      </c>
      <c r="O2060" s="12">
        <v>10329.85</v>
      </c>
    </row>
    <row r="2061" spans="1:15">
      <c r="A2061" t="s">
        <v>2235</v>
      </c>
      <c r="B2061" t="s">
        <v>127</v>
      </c>
      <c r="C2061" s="9">
        <v>18629</v>
      </c>
      <c r="D2061">
        <v>75</v>
      </c>
      <c r="E2061" t="s">
        <v>17</v>
      </c>
      <c r="F2061" t="s">
        <v>5184</v>
      </c>
      <c r="G2061" s="9">
        <v>45129</v>
      </c>
      <c r="H2061" s="9">
        <v>45438</v>
      </c>
      <c r="I2061">
        <v>2</v>
      </c>
      <c r="J2061" t="s">
        <v>32</v>
      </c>
      <c r="K2061">
        <v>10</v>
      </c>
      <c r="L2061">
        <v>6</v>
      </c>
      <c r="M2061" s="11">
        <v>12382.9</v>
      </c>
      <c r="N2061" s="12">
        <v>13768.13</v>
      </c>
      <c r="O2061" s="12">
        <v>4733.6099999999997</v>
      </c>
    </row>
    <row r="2062" spans="1:15">
      <c r="A2062" t="s">
        <v>2236</v>
      </c>
      <c r="B2062" t="s">
        <v>61</v>
      </c>
      <c r="C2062" s="9">
        <v>12054</v>
      </c>
      <c r="D2062">
        <v>93</v>
      </c>
      <c r="E2062" t="s">
        <v>21</v>
      </c>
      <c r="F2062" t="s">
        <v>5184</v>
      </c>
      <c r="G2062" s="9">
        <v>45515</v>
      </c>
      <c r="H2062" s="9">
        <v>45186</v>
      </c>
      <c r="I2062">
        <v>33</v>
      </c>
      <c r="J2062" t="s">
        <v>32</v>
      </c>
      <c r="K2062">
        <v>1</v>
      </c>
      <c r="L2062">
        <v>1</v>
      </c>
      <c r="M2062" s="11">
        <v>305.26</v>
      </c>
      <c r="N2062" s="12">
        <v>665.76</v>
      </c>
      <c r="O2062" s="12">
        <v>5338.65</v>
      </c>
    </row>
    <row r="2063" spans="1:15">
      <c r="A2063" t="s">
        <v>2237</v>
      </c>
      <c r="B2063" t="s">
        <v>55</v>
      </c>
      <c r="C2063" s="9">
        <v>46022</v>
      </c>
      <c r="D2063">
        <v>0</v>
      </c>
      <c r="E2063" t="s">
        <v>21</v>
      </c>
      <c r="F2063" t="s">
        <v>18</v>
      </c>
      <c r="G2063" s="9">
        <v>45497</v>
      </c>
      <c r="H2063" s="9">
        <v>45307</v>
      </c>
      <c r="I2063">
        <v>12</v>
      </c>
      <c r="J2063" t="s">
        <v>32</v>
      </c>
      <c r="K2063">
        <v>3</v>
      </c>
      <c r="L2063">
        <v>2</v>
      </c>
      <c r="M2063" s="11">
        <v>2947.94</v>
      </c>
      <c r="N2063" s="12">
        <v>8540.16</v>
      </c>
      <c r="O2063" s="12">
        <v>9633.42</v>
      </c>
    </row>
    <row r="2064" spans="1:15">
      <c r="A2064" t="s">
        <v>2238</v>
      </c>
      <c r="B2064" t="s">
        <v>226</v>
      </c>
      <c r="C2064" s="9">
        <v>44561</v>
      </c>
      <c r="D2064">
        <v>4</v>
      </c>
      <c r="E2064" t="s">
        <v>21</v>
      </c>
      <c r="F2064" t="s">
        <v>5184</v>
      </c>
      <c r="G2064" s="9">
        <v>45122</v>
      </c>
      <c r="H2064" s="9">
        <v>45090</v>
      </c>
      <c r="I2064">
        <v>4</v>
      </c>
      <c r="J2064" t="s">
        <v>32</v>
      </c>
      <c r="K2064">
        <v>4</v>
      </c>
      <c r="L2064">
        <v>6</v>
      </c>
      <c r="M2064" s="11">
        <v>29143.3</v>
      </c>
      <c r="N2064" s="12">
        <v>11279.61</v>
      </c>
      <c r="O2064" s="12">
        <v>7829.37</v>
      </c>
    </row>
    <row r="2065" spans="1:15">
      <c r="A2065" t="s">
        <v>2239</v>
      </c>
      <c r="B2065" t="s">
        <v>268</v>
      </c>
      <c r="C2065" s="9">
        <v>39083</v>
      </c>
      <c r="D2065">
        <v>19</v>
      </c>
      <c r="E2065" t="s">
        <v>21</v>
      </c>
      <c r="F2065" t="s">
        <v>74</v>
      </c>
      <c r="G2065" s="9">
        <v>45248</v>
      </c>
      <c r="H2065" s="9">
        <v>45665</v>
      </c>
      <c r="I2065">
        <v>2</v>
      </c>
      <c r="J2065" t="s">
        <v>32</v>
      </c>
      <c r="K2065">
        <v>0</v>
      </c>
      <c r="L2065">
        <v>4</v>
      </c>
      <c r="M2065" s="11">
        <v>26132.68</v>
      </c>
      <c r="N2065" s="12">
        <v>1733.31</v>
      </c>
      <c r="O2065" s="12">
        <v>6250.33</v>
      </c>
    </row>
    <row r="2066" spans="1:15">
      <c r="A2066" t="s">
        <v>2240</v>
      </c>
      <c r="B2066" t="s">
        <v>20</v>
      </c>
      <c r="C2066" s="9">
        <v>43466</v>
      </c>
      <c r="D2066">
        <v>7</v>
      </c>
      <c r="E2066" t="s">
        <v>21</v>
      </c>
      <c r="F2066" t="s">
        <v>5184</v>
      </c>
      <c r="G2066" s="9">
        <v>45344</v>
      </c>
      <c r="H2066" s="9">
        <v>45268</v>
      </c>
      <c r="I2066">
        <v>27</v>
      </c>
      <c r="J2066" t="s">
        <v>26</v>
      </c>
      <c r="K2066">
        <v>8</v>
      </c>
      <c r="L2066">
        <v>6</v>
      </c>
      <c r="M2066" s="11">
        <v>14244.23</v>
      </c>
      <c r="N2066" s="12">
        <v>13672.47</v>
      </c>
      <c r="O2066" s="12">
        <v>16572.11</v>
      </c>
    </row>
    <row r="2067" spans="1:15">
      <c r="A2067" t="s">
        <v>2241</v>
      </c>
      <c r="B2067" t="s">
        <v>237</v>
      </c>
      <c r="C2067" s="9">
        <v>30682</v>
      </c>
      <c r="D2067">
        <v>42</v>
      </c>
      <c r="E2067" t="s">
        <v>17</v>
      </c>
      <c r="F2067" t="s">
        <v>29</v>
      </c>
      <c r="G2067" s="9">
        <v>45545</v>
      </c>
      <c r="H2067" s="9">
        <v>45503</v>
      </c>
      <c r="I2067">
        <v>12</v>
      </c>
      <c r="J2067" t="s">
        <v>32</v>
      </c>
      <c r="K2067">
        <v>6</v>
      </c>
      <c r="L2067">
        <v>8</v>
      </c>
      <c r="M2067" s="11">
        <v>28807.43</v>
      </c>
      <c r="N2067" s="12">
        <v>3674.85</v>
      </c>
      <c r="O2067" s="12">
        <v>10030.780000000001</v>
      </c>
    </row>
    <row r="2068" spans="1:15">
      <c r="A2068" t="s">
        <v>2242</v>
      </c>
      <c r="B2068" t="s">
        <v>278</v>
      </c>
      <c r="C2068" s="9">
        <v>18629</v>
      </c>
      <c r="D2068">
        <v>75</v>
      </c>
      <c r="E2068" t="s">
        <v>21</v>
      </c>
      <c r="F2068" t="s">
        <v>22</v>
      </c>
      <c r="G2068" s="9">
        <v>45268</v>
      </c>
      <c r="H2068" s="9">
        <v>45685</v>
      </c>
      <c r="I2068">
        <v>27</v>
      </c>
      <c r="J2068" t="s">
        <v>32</v>
      </c>
      <c r="K2068">
        <v>2</v>
      </c>
      <c r="L2068">
        <v>8</v>
      </c>
      <c r="M2068" s="11">
        <v>5160.97</v>
      </c>
      <c r="N2068" s="12">
        <v>12499.98</v>
      </c>
      <c r="O2068" s="12">
        <v>10011.68</v>
      </c>
    </row>
    <row r="2069" spans="1:15">
      <c r="A2069" t="s">
        <v>2243</v>
      </c>
      <c r="B2069" t="s">
        <v>338</v>
      </c>
      <c r="C2069" s="9">
        <v>46022</v>
      </c>
      <c r="D2069">
        <v>0</v>
      </c>
      <c r="E2069" t="s">
        <v>17</v>
      </c>
      <c r="F2069" t="s">
        <v>25</v>
      </c>
      <c r="G2069" s="9">
        <v>45315</v>
      </c>
      <c r="H2069" s="9">
        <v>45457</v>
      </c>
      <c r="I2069">
        <v>11</v>
      </c>
      <c r="J2069" t="s">
        <v>26</v>
      </c>
      <c r="K2069">
        <v>10</v>
      </c>
      <c r="L2069">
        <v>2</v>
      </c>
      <c r="M2069" s="11">
        <v>2884.47</v>
      </c>
      <c r="N2069" s="12">
        <v>9930.1</v>
      </c>
      <c r="O2069" s="12">
        <v>8503.92</v>
      </c>
    </row>
    <row r="2070" spans="1:15">
      <c r="A2070" t="s">
        <v>2244</v>
      </c>
      <c r="B2070" t="s">
        <v>292</v>
      </c>
      <c r="C2070" s="9">
        <v>25568</v>
      </c>
      <c r="D2070">
        <v>56</v>
      </c>
      <c r="E2070" t="s">
        <v>17</v>
      </c>
      <c r="F2070" t="s">
        <v>22</v>
      </c>
      <c r="G2070" s="9">
        <v>44935</v>
      </c>
      <c r="H2070" s="9">
        <v>44961</v>
      </c>
      <c r="I2070">
        <v>21</v>
      </c>
      <c r="J2070" t="s">
        <v>35</v>
      </c>
      <c r="K2070">
        <v>2</v>
      </c>
      <c r="L2070">
        <v>7</v>
      </c>
      <c r="M2070" s="11">
        <v>0</v>
      </c>
      <c r="N2070" s="12">
        <v>8393.2000000000007</v>
      </c>
      <c r="O2070" s="12">
        <v>13586.15</v>
      </c>
    </row>
    <row r="2071" spans="1:15">
      <c r="A2071" t="s">
        <v>2245</v>
      </c>
      <c r="B2071" t="s">
        <v>302</v>
      </c>
      <c r="C2071" s="9">
        <v>23012</v>
      </c>
      <c r="D2071">
        <v>63</v>
      </c>
      <c r="E2071" t="s">
        <v>21</v>
      </c>
      <c r="F2071" t="s">
        <v>49</v>
      </c>
      <c r="G2071" s="9">
        <v>45458</v>
      </c>
      <c r="H2071" s="9">
        <v>45751</v>
      </c>
      <c r="I2071">
        <v>21</v>
      </c>
      <c r="J2071" t="s">
        <v>32</v>
      </c>
      <c r="K2071">
        <v>8</v>
      </c>
      <c r="L2071">
        <v>5</v>
      </c>
      <c r="M2071" s="11">
        <v>11154.67</v>
      </c>
      <c r="N2071" s="12">
        <v>13038.64</v>
      </c>
      <c r="O2071" s="12">
        <v>3430.56</v>
      </c>
    </row>
    <row r="2072" spans="1:15">
      <c r="A2072" t="s">
        <v>2246</v>
      </c>
      <c r="B2072" t="s">
        <v>135</v>
      </c>
      <c r="C2072" s="9">
        <v>15707</v>
      </c>
      <c r="D2072">
        <v>83</v>
      </c>
      <c r="E2072" t="s">
        <v>21</v>
      </c>
      <c r="F2072" t="s">
        <v>25</v>
      </c>
      <c r="G2072" s="9">
        <v>45075</v>
      </c>
      <c r="H2072" s="9">
        <v>45250</v>
      </c>
      <c r="I2072">
        <v>32</v>
      </c>
      <c r="J2072" t="s">
        <v>35</v>
      </c>
      <c r="K2072">
        <v>12</v>
      </c>
      <c r="L2072">
        <v>3</v>
      </c>
      <c r="M2072" s="11">
        <v>9862.9699999999993</v>
      </c>
      <c r="N2072" s="12">
        <v>14538.52</v>
      </c>
      <c r="O2072" s="12">
        <v>18866.12</v>
      </c>
    </row>
    <row r="2073" spans="1:15">
      <c r="A2073" t="s">
        <v>2247</v>
      </c>
      <c r="B2073" t="s">
        <v>332</v>
      </c>
      <c r="C2073" s="9">
        <v>36161</v>
      </c>
      <c r="D2073">
        <v>27</v>
      </c>
      <c r="E2073" t="s">
        <v>21</v>
      </c>
      <c r="F2073" t="s">
        <v>49</v>
      </c>
      <c r="G2073" s="9">
        <v>45309</v>
      </c>
      <c r="H2073" s="9">
        <v>45108</v>
      </c>
      <c r="I2073">
        <v>2</v>
      </c>
      <c r="J2073" t="s">
        <v>26</v>
      </c>
      <c r="K2073">
        <v>3</v>
      </c>
      <c r="L2073">
        <v>3</v>
      </c>
      <c r="M2073" s="11">
        <v>21891.63</v>
      </c>
      <c r="N2073" s="12">
        <v>14956.96</v>
      </c>
      <c r="O2073" s="12">
        <v>2002.71</v>
      </c>
    </row>
    <row r="2074" spans="1:15">
      <c r="A2074" t="s">
        <v>2248</v>
      </c>
      <c r="B2074" t="s">
        <v>41</v>
      </c>
      <c r="C2074" s="9">
        <v>32873</v>
      </c>
      <c r="D2074">
        <v>36</v>
      </c>
      <c r="E2074" t="s">
        <v>21</v>
      </c>
      <c r="F2074" t="s">
        <v>29</v>
      </c>
      <c r="G2074" s="9">
        <v>45455</v>
      </c>
      <c r="H2074" s="9">
        <v>45274</v>
      </c>
      <c r="I2074">
        <v>9</v>
      </c>
      <c r="J2074" t="s">
        <v>32</v>
      </c>
      <c r="K2074">
        <v>8</v>
      </c>
      <c r="L2074">
        <v>3</v>
      </c>
      <c r="M2074" s="11">
        <v>4075.4</v>
      </c>
      <c r="N2074" s="12">
        <v>10249.219999999999</v>
      </c>
      <c r="O2074" s="12">
        <v>14177.03</v>
      </c>
    </row>
    <row r="2075" spans="1:15">
      <c r="A2075" t="s">
        <v>2249</v>
      </c>
      <c r="B2075" t="s">
        <v>1148</v>
      </c>
      <c r="C2075" s="9">
        <v>29221</v>
      </c>
      <c r="D2075">
        <v>46</v>
      </c>
      <c r="E2075" t="s">
        <v>21</v>
      </c>
      <c r="F2075" t="s">
        <v>29</v>
      </c>
      <c r="G2075" s="9">
        <v>44938</v>
      </c>
      <c r="H2075" s="9">
        <v>45633</v>
      </c>
      <c r="I2075">
        <v>17</v>
      </c>
      <c r="J2075" t="s">
        <v>35</v>
      </c>
      <c r="K2075">
        <v>2</v>
      </c>
      <c r="L2075">
        <v>6</v>
      </c>
      <c r="M2075" s="11">
        <v>23242.7</v>
      </c>
      <c r="N2075" s="12">
        <v>5086.97</v>
      </c>
      <c r="O2075" s="12">
        <v>14056.48</v>
      </c>
    </row>
    <row r="2076" spans="1:15">
      <c r="A2076" t="s">
        <v>2250</v>
      </c>
      <c r="B2076" t="s">
        <v>596</v>
      </c>
      <c r="C2076" s="9">
        <v>18629</v>
      </c>
      <c r="D2076">
        <v>75</v>
      </c>
      <c r="E2076" t="s">
        <v>21</v>
      </c>
      <c r="F2076" t="s">
        <v>22</v>
      </c>
      <c r="G2076" s="9">
        <v>45402</v>
      </c>
      <c r="H2076" s="9">
        <v>45119</v>
      </c>
      <c r="I2076">
        <v>2</v>
      </c>
      <c r="J2076" t="s">
        <v>32</v>
      </c>
      <c r="K2076">
        <v>9</v>
      </c>
      <c r="L2076">
        <v>5</v>
      </c>
      <c r="M2076" s="11">
        <v>10463.209999999999</v>
      </c>
      <c r="N2076" s="12">
        <v>13120.49</v>
      </c>
      <c r="O2076" s="12">
        <v>2190.15</v>
      </c>
    </row>
    <row r="2077" spans="1:15">
      <c r="A2077" t="s">
        <v>2251</v>
      </c>
      <c r="B2077" t="s">
        <v>108</v>
      </c>
      <c r="C2077" s="9">
        <v>32873</v>
      </c>
      <c r="D2077">
        <v>36</v>
      </c>
      <c r="E2077" t="s">
        <v>17</v>
      </c>
      <c r="F2077" t="s">
        <v>29</v>
      </c>
      <c r="G2077" s="9">
        <v>45520</v>
      </c>
      <c r="H2077" s="9">
        <v>45506</v>
      </c>
      <c r="I2077">
        <v>33</v>
      </c>
      <c r="J2077" t="s">
        <v>32</v>
      </c>
      <c r="K2077">
        <v>12</v>
      </c>
      <c r="L2077">
        <v>1</v>
      </c>
      <c r="M2077" s="11">
        <v>29595.5</v>
      </c>
      <c r="N2077" s="12">
        <v>9815.2199999999993</v>
      </c>
      <c r="O2077" s="12">
        <v>19860.16</v>
      </c>
    </row>
    <row r="2078" spans="1:15">
      <c r="A2078" t="s">
        <v>2252</v>
      </c>
      <c r="B2078" t="s">
        <v>174</v>
      </c>
      <c r="C2078" s="9">
        <v>28490</v>
      </c>
      <c r="D2078">
        <v>48</v>
      </c>
      <c r="E2078" t="s">
        <v>17</v>
      </c>
      <c r="F2078" t="s">
        <v>74</v>
      </c>
      <c r="G2078" s="9">
        <v>45505</v>
      </c>
      <c r="H2078" s="9">
        <v>45648</v>
      </c>
      <c r="I2078">
        <v>18</v>
      </c>
      <c r="J2078" t="s">
        <v>32</v>
      </c>
      <c r="K2078">
        <v>14</v>
      </c>
      <c r="L2078">
        <v>4</v>
      </c>
      <c r="M2078" s="11">
        <v>24166.76</v>
      </c>
      <c r="N2078" s="12">
        <v>4849.9399999999996</v>
      </c>
      <c r="O2078" s="12">
        <v>589.71</v>
      </c>
    </row>
    <row r="2079" spans="1:15">
      <c r="A2079" t="s">
        <v>2253</v>
      </c>
      <c r="B2079" t="s">
        <v>110</v>
      </c>
      <c r="C2079" s="9">
        <f>DATE(2026-D2039,1,1)</f>
        <v>13881</v>
      </c>
      <c r="D2079">
        <v>43</v>
      </c>
      <c r="E2079" t="s">
        <v>21</v>
      </c>
      <c r="F2079" t="s">
        <v>25</v>
      </c>
      <c r="G2079" s="9">
        <v>45571</v>
      </c>
      <c r="H2079" s="9">
        <v>45805</v>
      </c>
      <c r="I2079">
        <v>36</v>
      </c>
      <c r="J2079" t="s">
        <v>35</v>
      </c>
      <c r="K2079">
        <v>3</v>
      </c>
      <c r="L2079">
        <v>4</v>
      </c>
      <c r="M2079" s="11">
        <v>19209.82</v>
      </c>
      <c r="N2079" s="12">
        <v>13985.47</v>
      </c>
      <c r="O2079" s="12">
        <v>7230.27</v>
      </c>
    </row>
    <row r="2080" spans="1:15">
      <c r="A2080" t="s">
        <v>2254</v>
      </c>
      <c r="B2080" t="s">
        <v>209</v>
      </c>
      <c r="C2080" s="9">
        <v>25934</v>
      </c>
      <c r="D2080">
        <v>55</v>
      </c>
      <c r="E2080" t="s">
        <v>21</v>
      </c>
      <c r="F2080" t="s">
        <v>49</v>
      </c>
      <c r="G2080" s="9">
        <v>44979</v>
      </c>
      <c r="H2080" s="9">
        <v>45606</v>
      </c>
      <c r="I2080">
        <v>0</v>
      </c>
      <c r="J2080" t="s">
        <v>32</v>
      </c>
      <c r="K2080">
        <v>8</v>
      </c>
      <c r="L2080">
        <v>5</v>
      </c>
      <c r="M2080" s="11">
        <v>6498.11</v>
      </c>
      <c r="N2080" s="12">
        <v>11214.76</v>
      </c>
      <c r="O2080" s="12">
        <v>8437.8799999999992</v>
      </c>
    </row>
    <row r="2081" spans="1:15">
      <c r="A2081" t="s">
        <v>2255</v>
      </c>
      <c r="B2081" t="s">
        <v>244</v>
      </c>
      <c r="C2081" s="9">
        <v>36161</v>
      </c>
      <c r="D2081">
        <v>27</v>
      </c>
      <c r="E2081" t="s">
        <v>17</v>
      </c>
      <c r="F2081" t="s">
        <v>5184</v>
      </c>
      <c r="G2081" s="9">
        <v>45362</v>
      </c>
      <c r="H2081" s="9">
        <v>45173</v>
      </c>
      <c r="I2081">
        <v>26</v>
      </c>
      <c r="J2081" t="s">
        <v>32</v>
      </c>
      <c r="K2081">
        <v>1</v>
      </c>
      <c r="L2081">
        <v>6</v>
      </c>
      <c r="M2081" s="11">
        <v>28671.01</v>
      </c>
      <c r="N2081" s="12">
        <v>6792.42</v>
      </c>
      <c r="O2081" s="12">
        <v>16036.4</v>
      </c>
    </row>
    <row r="2082" spans="1:15">
      <c r="A2082" t="s">
        <v>2256</v>
      </c>
      <c r="B2082" t="s">
        <v>155</v>
      </c>
      <c r="C2082" s="9">
        <v>17533</v>
      </c>
      <c r="D2082">
        <v>78</v>
      </c>
      <c r="E2082" t="s">
        <v>17</v>
      </c>
      <c r="F2082" t="s">
        <v>22</v>
      </c>
      <c r="G2082" s="9">
        <v>45132</v>
      </c>
      <c r="H2082" s="9">
        <v>45172</v>
      </c>
      <c r="I2082">
        <v>22</v>
      </c>
      <c r="J2082" t="s">
        <v>35</v>
      </c>
      <c r="K2082">
        <v>6</v>
      </c>
      <c r="L2082">
        <v>7</v>
      </c>
      <c r="M2082" s="11">
        <v>503.76</v>
      </c>
      <c r="N2082" s="12">
        <v>6817.36</v>
      </c>
      <c r="O2082" s="12">
        <v>499.33</v>
      </c>
    </row>
    <row r="2083" spans="1:15">
      <c r="A2083" t="s">
        <v>2257</v>
      </c>
      <c r="B2083" t="s">
        <v>550</v>
      </c>
      <c r="C2083" s="9">
        <v>44196</v>
      </c>
      <c r="D2083">
        <v>5</v>
      </c>
      <c r="E2083" t="s">
        <v>17</v>
      </c>
      <c r="F2083" t="s">
        <v>22</v>
      </c>
      <c r="G2083" s="9">
        <v>44980</v>
      </c>
      <c r="H2083" s="9">
        <v>45605</v>
      </c>
      <c r="I2083">
        <v>24</v>
      </c>
      <c r="J2083" t="s">
        <v>35</v>
      </c>
      <c r="K2083">
        <v>4</v>
      </c>
      <c r="L2083">
        <v>9</v>
      </c>
      <c r="M2083" s="11">
        <v>6312.17</v>
      </c>
      <c r="N2083" s="12">
        <v>14938.93</v>
      </c>
      <c r="O2083" s="12">
        <v>11096.11</v>
      </c>
    </row>
    <row r="2084" spans="1:15">
      <c r="A2084" t="s">
        <v>2258</v>
      </c>
      <c r="B2084" t="s">
        <v>336</v>
      </c>
      <c r="C2084" s="9">
        <v>24107</v>
      </c>
      <c r="D2084">
        <v>60</v>
      </c>
      <c r="E2084" t="s">
        <v>17</v>
      </c>
      <c r="F2084" t="s">
        <v>29</v>
      </c>
      <c r="G2084" s="9">
        <v>45506</v>
      </c>
      <c r="H2084" s="9">
        <v>45735</v>
      </c>
      <c r="I2084">
        <v>33</v>
      </c>
      <c r="J2084" t="s">
        <v>32</v>
      </c>
      <c r="K2084">
        <v>6</v>
      </c>
      <c r="L2084">
        <v>7</v>
      </c>
      <c r="M2084" s="11">
        <v>621.66</v>
      </c>
      <c r="N2084" s="12">
        <v>5605.64</v>
      </c>
      <c r="O2084" s="12">
        <v>4000.42</v>
      </c>
    </row>
    <row r="2085" spans="1:15">
      <c r="A2085" t="s">
        <v>2259</v>
      </c>
      <c r="B2085" t="s">
        <v>204</v>
      </c>
      <c r="C2085" s="9">
        <v>39083</v>
      </c>
      <c r="D2085">
        <v>19</v>
      </c>
      <c r="E2085" t="s">
        <v>21</v>
      </c>
      <c r="F2085" t="s">
        <v>29</v>
      </c>
      <c r="G2085" s="9">
        <v>45416</v>
      </c>
      <c r="H2085" s="9">
        <v>45650</v>
      </c>
      <c r="I2085">
        <v>19</v>
      </c>
      <c r="J2085" t="s">
        <v>32</v>
      </c>
      <c r="K2085">
        <v>13</v>
      </c>
      <c r="L2085">
        <v>4</v>
      </c>
      <c r="M2085" s="11">
        <v>28978.74</v>
      </c>
      <c r="N2085" s="12">
        <v>1411.21</v>
      </c>
      <c r="O2085" s="12">
        <v>11409.03</v>
      </c>
    </row>
    <row r="2086" spans="1:15">
      <c r="A2086" t="s">
        <v>2260</v>
      </c>
      <c r="B2086" t="s">
        <v>44</v>
      </c>
      <c r="C2086" s="9">
        <v>17898</v>
      </c>
      <c r="D2086">
        <v>77</v>
      </c>
      <c r="E2086" t="s">
        <v>21</v>
      </c>
      <c r="F2086" t="s">
        <v>49</v>
      </c>
      <c r="G2086" s="9">
        <v>45270</v>
      </c>
      <c r="H2086" s="9">
        <v>45060</v>
      </c>
      <c r="I2086">
        <v>35</v>
      </c>
      <c r="J2086" t="s">
        <v>32</v>
      </c>
      <c r="K2086">
        <v>13</v>
      </c>
      <c r="L2086">
        <v>1</v>
      </c>
      <c r="M2086" s="11">
        <v>26079.21</v>
      </c>
      <c r="N2086" s="12">
        <v>8078.42</v>
      </c>
      <c r="O2086" s="12">
        <v>12891.57</v>
      </c>
    </row>
    <row r="2087" spans="1:15">
      <c r="A2087" t="s">
        <v>2261</v>
      </c>
      <c r="B2087" t="s">
        <v>153</v>
      </c>
      <c r="C2087" s="9">
        <v>45657</v>
      </c>
      <c r="D2087">
        <v>1</v>
      </c>
      <c r="E2087" t="s">
        <v>17</v>
      </c>
      <c r="F2087" t="s">
        <v>25</v>
      </c>
      <c r="G2087" s="9">
        <v>45095</v>
      </c>
      <c r="H2087" s="9">
        <v>45124</v>
      </c>
      <c r="I2087">
        <v>32</v>
      </c>
      <c r="J2087" t="s">
        <v>26</v>
      </c>
      <c r="K2087">
        <v>3</v>
      </c>
      <c r="L2087">
        <v>9</v>
      </c>
      <c r="M2087" s="11">
        <v>28539.279999999999</v>
      </c>
      <c r="N2087" s="12">
        <v>13272.81</v>
      </c>
      <c r="O2087" s="12">
        <v>586.24</v>
      </c>
    </row>
    <row r="2088" spans="1:15">
      <c r="A2088" t="s">
        <v>2262</v>
      </c>
      <c r="B2088" t="s">
        <v>300</v>
      </c>
      <c r="C2088" s="9">
        <v>19724</v>
      </c>
      <c r="D2088">
        <v>72</v>
      </c>
      <c r="E2088" t="s">
        <v>21</v>
      </c>
      <c r="F2088" t="s">
        <v>25</v>
      </c>
      <c r="G2088" s="9">
        <v>45087</v>
      </c>
      <c r="H2088" s="9">
        <v>45274</v>
      </c>
      <c r="I2088">
        <v>2</v>
      </c>
      <c r="J2088" t="s">
        <v>32</v>
      </c>
      <c r="K2088">
        <v>5</v>
      </c>
      <c r="L2088">
        <v>7</v>
      </c>
      <c r="M2088" s="11">
        <v>21308.57</v>
      </c>
      <c r="N2088" s="12">
        <v>8767.7999999999993</v>
      </c>
      <c r="O2088" s="12">
        <v>1256.04</v>
      </c>
    </row>
    <row r="2089" spans="1:15">
      <c r="A2089" t="s">
        <v>2263</v>
      </c>
      <c r="B2089" t="s">
        <v>268</v>
      </c>
      <c r="C2089" s="9">
        <v>32873</v>
      </c>
      <c r="D2089">
        <v>36</v>
      </c>
      <c r="E2089" t="s">
        <v>5185</v>
      </c>
      <c r="F2089" t="s">
        <v>22</v>
      </c>
      <c r="G2089" s="9">
        <v>45453</v>
      </c>
      <c r="H2089" s="9">
        <v>44976</v>
      </c>
      <c r="I2089">
        <v>0</v>
      </c>
      <c r="J2089" t="s">
        <v>35</v>
      </c>
      <c r="K2089">
        <v>8</v>
      </c>
      <c r="L2089">
        <v>5</v>
      </c>
      <c r="M2089" s="11">
        <v>336.43</v>
      </c>
      <c r="N2089" s="12">
        <v>11896.31</v>
      </c>
      <c r="O2089" s="12">
        <v>1613.01</v>
      </c>
    </row>
    <row r="2090" spans="1:15">
      <c r="A2090" t="s">
        <v>2264</v>
      </c>
      <c r="B2090" t="s">
        <v>774</v>
      </c>
      <c r="C2090" s="9">
        <v>39083</v>
      </c>
      <c r="D2090">
        <v>19</v>
      </c>
      <c r="E2090" t="s">
        <v>17</v>
      </c>
      <c r="F2090" t="s">
        <v>49</v>
      </c>
      <c r="G2090" s="9">
        <v>45629</v>
      </c>
      <c r="H2090" s="9">
        <v>44991</v>
      </c>
      <c r="I2090">
        <v>21</v>
      </c>
      <c r="J2090" t="s">
        <v>35</v>
      </c>
      <c r="K2090">
        <v>5</v>
      </c>
      <c r="L2090">
        <v>2</v>
      </c>
      <c r="M2090" s="11">
        <v>27910.81</v>
      </c>
      <c r="N2090" s="12">
        <v>822.97</v>
      </c>
      <c r="O2090" s="12">
        <v>17030.78</v>
      </c>
    </row>
    <row r="2091" spans="1:15">
      <c r="A2091" t="s">
        <v>2265</v>
      </c>
      <c r="B2091" t="s">
        <v>196</v>
      </c>
      <c r="C2091" s="9">
        <v>36891</v>
      </c>
      <c r="D2091">
        <v>25</v>
      </c>
      <c r="E2091" t="s">
        <v>17</v>
      </c>
      <c r="F2091" t="s">
        <v>22</v>
      </c>
      <c r="G2091" s="9">
        <v>45453</v>
      </c>
      <c r="H2091" s="9">
        <v>45551</v>
      </c>
      <c r="I2091">
        <v>5</v>
      </c>
      <c r="J2091" t="s">
        <v>26</v>
      </c>
      <c r="K2091">
        <v>4</v>
      </c>
      <c r="L2091">
        <v>3</v>
      </c>
      <c r="M2091" s="11">
        <v>12339.06</v>
      </c>
      <c r="N2091" s="12">
        <v>10100.92</v>
      </c>
      <c r="O2091" s="12">
        <v>18526.009999999998</v>
      </c>
    </row>
    <row r="2092" spans="1:15">
      <c r="A2092" t="s">
        <v>2266</v>
      </c>
      <c r="B2092" t="s">
        <v>273</v>
      </c>
      <c r="C2092" s="9">
        <v>35795</v>
      </c>
      <c r="D2092">
        <v>28</v>
      </c>
      <c r="E2092" t="s">
        <v>21</v>
      </c>
      <c r="F2092" t="s">
        <v>5184</v>
      </c>
      <c r="G2092" s="9">
        <v>45213</v>
      </c>
      <c r="H2092" s="9">
        <v>45795</v>
      </c>
      <c r="I2092">
        <v>36</v>
      </c>
      <c r="J2092" t="s">
        <v>35</v>
      </c>
      <c r="K2092">
        <v>12</v>
      </c>
      <c r="L2092">
        <v>0</v>
      </c>
      <c r="M2092" s="11">
        <v>10730.13</v>
      </c>
      <c r="N2092" s="12">
        <v>1187.9100000000001</v>
      </c>
      <c r="O2092" s="12">
        <v>8698.23</v>
      </c>
    </row>
    <row r="2093" spans="1:15">
      <c r="A2093" t="s">
        <v>2267</v>
      </c>
      <c r="B2093" t="s">
        <v>194</v>
      </c>
      <c r="C2093" s="9">
        <v>46022</v>
      </c>
      <c r="D2093">
        <v>0</v>
      </c>
      <c r="E2093" t="s">
        <v>17</v>
      </c>
      <c r="F2093" t="s">
        <v>18</v>
      </c>
      <c r="G2093" s="9">
        <v>45338</v>
      </c>
      <c r="H2093" s="9">
        <v>45624</v>
      </c>
      <c r="I2093">
        <v>15</v>
      </c>
      <c r="J2093" t="s">
        <v>32</v>
      </c>
      <c r="K2093">
        <v>10</v>
      </c>
      <c r="L2093">
        <v>2</v>
      </c>
      <c r="M2093" s="11">
        <v>8166.04</v>
      </c>
      <c r="N2093" s="12">
        <v>8345.35</v>
      </c>
      <c r="O2093" s="12">
        <v>17483.41</v>
      </c>
    </row>
    <row r="2094" spans="1:15">
      <c r="A2094" t="s">
        <v>2268</v>
      </c>
      <c r="B2094" t="s">
        <v>654</v>
      </c>
      <c r="C2094" s="9">
        <v>33604</v>
      </c>
      <c r="D2094">
        <v>34</v>
      </c>
      <c r="E2094" t="s">
        <v>17</v>
      </c>
      <c r="F2094" t="s">
        <v>25</v>
      </c>
      <c r="G2094" s="9">
        <v>45448</v>
      </c>
      <c r="H2094" s="9">
        <v>45031</v>
      </c>
      <c r="I2094">
        <v>38</v>
      </c>
      <c r="J2094" t="s">
        <v>26</v>
      </c>
      <c r="K2094">
        <v>8</v>
      </c>
      <c r="L2094">
        <v>3</v>
      </c>
      <c r="M2094" s="11">
        <v>8247.33</v>
      </c>
      <c r="N2094" s="12">
        <v>7466.51</v>
      </c>
      <c r="O2094" s="12">
        <v>9471.82</v>
      </c>
    </row>
    <row r="2095" spans="1:15">
      <c r="A2095" t="s">
        <v>2269</v>
      </c>
      <c r="B2095" t="s">
        <v>300</v>
      </c>
      <c r="C2095" s="9">
        <v>20820</v>
      </c>
      <c r="D2095">
        <v>69</v>
      </c>
      <c r="E2095" t="s">
        <v>21</v>
      </c>
      <c r="F2095" t="s">
        <v>49</v>
      </c>
      <c r="G2095" s="9">
        <v>45495</v>
      </c>
      <c r="H2095" s="9">
        <v>45140</v>
      </c>
      <c r="I2095">
        <v>0</v>
      </c>
      <c r="J2095" t="s">
        <v>26</v>
      </c>
      <c r="K2095">
        <v>12</v>
      </c>
      <c r="L2095">
        <v>1</v>
      </c>
      <c r="M2095" s="11">
        <v>23919.17</v>
      </c>
      <c r="N2095" s="12">
        <v>14184.07</v>
      </c>
      <c r="O2095" s="12">
        <v>7962.64</v>
      </c>
    </row>
    <row r="2096" spans="1:15">
      <c r="A2096" t="s">
        <v>2270</v>
      </c>
      <c r="B2096" t="s">
        <v>39</v>
      </c>
      <c r="C2096" s="9">
        <v>24838</v>
      </c>
      <c r="D2096">
        <v>58</v>
      </c>
      <c r="E2096" t="s">
        <v>21</v>
      </c>
      <c r="F2096" t="s">
        <v>5184</v>
      </c>
      <c r="G2096" s="9">
        <v>45125</v>
      </c>
      <c r="H2096" s="9">
        <v>45444</v>
      </c>
      <c r="I2096">
        <v>15</v>
      </c>
      <c r="J2096" t="s">
        <v>32</v>
      </c>
      <c r="K2096">
        <v>11</v>
      </c>
      <c r="L2096">
        <v>5</v>
      </c>
      <c r="M2096" s="11">
        <v>7319.57</v>
      </c>
      <c r="N2096" s="12">
        <v>1986.97</v>
      </c>
      <c r="O2096" s="12">
        <v>10578.02</v>
      </c>
    </row>
    <row r="2097" spans="1:15">
      <c r="A2097" t="s">
        <v>2271</v>
      </c>
      <c r="B2097" t="s">
        <v>600</v>
      </c>
      <c r="C2097" s="9">
        <v>21185</v>
      </c>
      <c r="D2097">
        <v>68</v>
      </c>
      <c r="E2097" t="s">
        <v>17</v>
      </c>
      <c r="F2097" t="s">
        <v>49</v>
      </c>
      <c r="G2097" s="9">
        <v>45087</v>
      </c>
      <c r="H2097" s="9">
        <v>45046</v>
      </c>
      <c r="I2097">
        <v>13</v>
      </c>
      <c r="J2097" t="s">
        <v>32</v>
      </c>
      <c r="K2097">
        <v>2</v>
      </c>
      <c r="L2097">
        <v>7</v>
      </c>
      <c r="M2097" s="11">
        <v>0</v>
      </c>
      <c r="N2097" s="12">
        <v>142.37</v>
      </c>
      <c r="O2097" s="12">
        <v>15782.73</v>
      </c>
    </row>
    <row r="2098" spans="1:15">
      <c r="A2098" t="s">
        <v>2272</v>
      </c>
      <c r="B2098" t="s">
        <v>108</v>
      </c>
      <c r="C2098" s="9">
        <v>34334</v>
      </c>
      <c r="D2098">
        <v>32</v>
      </c>
      <c r="E2098" t="s">
        <v>17</v>
      </c>
      <c r="F2098" t="s">
        <v>22</v>
      </c>
      <c r="G2098" s="9">
        <v>45315</v>
      </c>
      <c r="H2098" s="9">
        <v>45783</v>
      </c>
      <c r="I2098">
        <v>29</v>
      </c>
      <c r="J2098" t="s">
        <v>32</v>
      </c>
      <c r="K2098">
        <v>4</v>
      </c>
      <c r="L2098">
        <v>5</v>
      </c>
      <c r="M2098" s="11">
        <v>20789.599999999999</v>
      </c>
      <c r="N2098" s="12">
        <v>2060.3200000000002</v>
      </c>
      <c r="O2098" s="12">
        <v>4397.6899999999996</v>
      </c>
    </row>
    <row r="2099" spans="1:15">
      <c r="A2099" t="s">
        <v>2273</v>
      </c>
      <c r="B2099" t="s">
        <v>103</v>
      </c>
      <c r="C2099" s="9">
        <v>27760</v>
      </c>
      <c r="D2099">
        <v>50</v>
      </c>
      <c r="E2099" t="s">
        <v>21</v>
      </c>
      <c r="F2099" t="s">
        <v>29</v>
      </c>
      <c r="G2099" s="9">
        <v>45400</v>
      </c>
      <c r="H2099" s="9">
        <v>45688</v>
      </c>
      <c r="I2099">
        <v>2</v>
      </c>
      <c r="J2099" t="s">
        <v>32</v>
      </c>
      <c r="K2099">
        <v>7</v>
      </c>
      <c r="L2099">
        <v>9</v>
      </c>
      <c r="M2099" s="11">
        <v>8267.6200000000008</v>
      </c>
      <c r="N2099" s="12">
        <v>2560.59</v>
      </c>
      <c r="O2099" s="12">
        <v>5964.81</v>
      </c>
    </row>
    <row r="2100" spans="1:15">
      <c r="A2100" t="s">
        <v>2274</v>
      </c>
      <c r="B2100" t="s">
        <v>168</v>
      </c>
      <c r="C2100" s="9">
        <v>17898</v>
      </c>
      <c r="D2100">
        <v>77</v>
      </c>
      <c r="E2100" t="s">
        <v>21</v>
      </c>
      <c r="F2100" t="s">
        <v>49</v>
      </c>
      <c r="G2100" s="9">
        <v>45307</v>
      </c>
      <c r="H2100" s="9">
        <v>45606</v>
      </c>
      <c r="I2100">
        <v>23</v>
      </c>
      <c r="J2100" t="s">
        <v>32</v>
      </c>
      <c r="K2100">
        <v>14</v>
      </c>
      <c r="L2100">
        <v>2</v>
      </c>
      <c r="M2100" s="11">
        <v>99.51</v>
      </c>
      <c r="N2100" s="12">
        <v>3763.67</v>
      </c>
      <c r="O2100" s="12">
        <v>16962.38</v>
      </c>
    </row>
    <row r="2101" spans="1:15">
      <c r="A2101" t="s">
        <v>2275</v>
      </c>
      <c r="B2101" t="s">
        <v>306</v>
      </c>
      <c r="C2101" s="9">
        <v>42005</v>
      </c>
      <c r="D2101">
        <v>11</v>
      </c>
      <c r="E2101" t="s">
        <v>17</v>
      </c>
      <c r="F2101" t="s">
        <v>22</v>
      </c>
      <c r="G2101" s="9">
        <v>45557</v>
      </c>
      <c r="H2101" s="9">
        <v>45822</v>
      </c>
      <c r="I2101">
        <v>9</v>
      </c>
      <c r="J2101" t="s">
        <v>32</v>
      </c>
      <c r="K2101">
        <v>9</v>
      </c>
      <c r="L2101">
        <v>8</v>
      </c>
      <c r="M2101" s="11">
        <v>27918.87</v>
      </c>
      <c r="N2101" s="12">
        <v>12226.33</v>
      </c>
      <c r="O2101" s="12">
        <v>18311.13</v>
      </c>
    </row>
    <row r="2102" spans="1:15">
      <c r="A2102" t="s">
        <v>2276</v>
      </c>
      <c r="B2102" t="s">
        <v>65</v>
      </c>
      <c r="C2102" s="9">
        <v>39083</v>
      </c>
      <c r="D2102">
        <v>19</v>
      </c>
      <c r="E2102" t="s">
        <v>17</v>
      </c>
      <c r="F2102" t="s">
        <v>74</v>
      </c>
      <c r="G2102" s="9">
        <v>45518</v>
      </c>
      <c r="H2102" s="9">
        <v>45169</v>
      </c>
      <c r="I2102">
        <v>35</v>
      </c>
      <c r="J2102" t="s">
        <v>32</v>
      </c>
      <c r="K2102">
        <v>12</v>
      </c>
      <c r="L2102">
        <v>3</v>
      </c>
      <c r="M2102" s="11">
        <v>9063.7000000000007</v>
      </c>
      <c r="N2102" s="12">
        <v>5653.21</v>
      </c>
      <c r="O2102" s="12">
        <v>2372.5</v>
      </c>
    </row>
    <row r="2103" spans="1:15">
      <c r="A2103" t="s">
        <v>2277</v>
      </c>
      <c r="B2103" t="s">
        <v>87</v>
      </c>
      <c r="C2103" s="9">
        <v>27029</v>
      </c>
      <c r="D2103">
        <v>52</v>
      </c>
      <c r="E2103" t="s">
        <v>17</v>
      </c>
      <c r="F2103" t="s">
        <v>29</v>
      </c>
      <c r="G2103" s="9">
        <v>45050</v>
      </c>
      <c r="H2103" s="9">
        <v>45207</v>
      </c>
      <c r="I2103">
        <v>18</v>
      </c>
      <c r="J2103" t="s">
        <v>32</v>
      </c>
      <c r="K2103">
        <v>13</v>
      </c>
      <c r="L2103">
        <v>5</v>
      </c>
      <c r="M2103" s="11">
        <v>22813.51</v>
      </c>
      <c r="N2103" s="12">
        <v>12611.36</v>
      </c>
      <c r="O2103" s="12">
        <v>14069.19</v>
      </c>
    </row>
    <row r="2104" spans="1:15">
      <c r="A2104" t="s">
        <v>2278</v>
      </c>
      <c r="B2104" t="s">
        <v>157</v>
      </c>
      <c r="C2104" s="9">
        <v>14246</v>
      </c>
      <c r="D2104">
        <v>87</v>
      </c>
      <c r="E2104" t="s">
        <v>17</v>
      </c>
      <c r="F2104" t="s">
        <v>29</v>
      </c>
      <c r="G2104" s="9">
        <v>44998</v>
      </c>
      <c r="H2104" s="9">
        <v>45351</v>
      </c>
      <c r="I2104">
        <v>38</v>
      </c>
      <c r="J2104" t="s">
        <v>26</v>
      </c>
      <c r="K2104">
        <v>10</v>
      </c>
      <c r="L2104">
        <v>3</v>
      </c>
      <c r="M2104" s="11">
        <v>13804.11</v>
      </c>
      <c r="N2104" s="12">
        <v>4079.01</v>
      </c>
      <c r="O2104" s="12">
        <v>93.37</v>
      </c>
    </row>
    <row r="2105" spans="1:15">
      <c r="A2105" t="s">
        <v>2279</v>
      </c>
      <c r="B2105" t="s">
        <v>137</v>
      </c>
      <c r="C2105" s="9">
        <v>30682</v>
      </c>
      <c r="D2105">
        <v>42</v>
      </c>
      <c r="E2105" t="s">
        <v>21</v>
      </c>
      <c r="F2105" t="s">
        <v>25</v>
      </c>
      <c r="G2105" s="9">
        <v>45094</v>
      </c>
      <c r="H2105" s="9">
        <v>45290</v>
      </c>
      <c r="I2105">
        <v>10</v>
      </c>
      <c r="J2105" t="s">
        <v>32</v>
      </c>
      <c r="K2105">
        <v>2</v>
      </c>
      <c r="L2105">
        <v>3</v>
      </c>
      <c r="M2105" s="11">
        <v>3589.43</v>
      </c>
      <c r="N2105" s="12">
        <v>12908.12</v>
      </c>
      <c r="O2105" s="12">
        <v>4848.3599999999997</v>
      </c>
    </row>
    <row r="2106" spans="1:15">
      <c r="A2106" t="s">
        <v>2280</v>
      </c>
      <c r="B2106" t="s">
        <v>133</v>
      </c>
      <c r="C2106" s="9">
        <v>13880</v>
      </c>
      <c r="D2106">
        <v>88</v>
      </c>
      <c r="E2106" t="s">
        <v>17</v>
      </c>
      <c r="F2106" t="s">
        <v>18</v>
      </c>
      <c r="G2106" s="9">
        <v>45210</v>
      </c>
      <c r="H2106" s="9">
        <v>45677</v>
      </c>
      <c r="I2106">
        <v>9</v>
      </c>
      <c r="J2106" t="s">
        <v>32</v>
      </c>
      <c r="K2106">
        <v>11</v>
      </c>
      <c r="L2106">
        <v>1</v>
      </c>
      <c r="M2106" s="11">
        <v>19688.810000000001</v>
      </c>
      <c r="N2106" s="12">
        <v>121.36</v>
      </c>
      <c r="O2106" s="12">
        <v>1279.42</v>
      </c>
    </row>
    <row r="2107" spans="1:15">
      <c r="A2107" t="s">
        <v>2281</v>
      </c>
      <c r="B2107" t="s">
        <v>681</v>
      </c>
      <c r="C2107" s="9">
        <v>28125</v>
      </c>
      <c r="D2107">
        <v>49</v>
      </c>
      <c r="E2107" t="s">
        <v>21</v>
      </c>
      <c r="F2107" t="s">
        <v>25</v>
      </c>
      <c r="G2107" s="9">
        <v>45420</v>
      </c>
      <c r="H2107" s="9">
        <v>45233</v>
      </c>
      <c r="I2107">
        <v>10</v>
      </c>
      <c r="J2107" t="s">
        <v>35</v>
      </c>
      <c r="K2107">
        <v>4</v>
      </c>
      <c r="L2107">
        <v>9</v>
      </c>
      <c r="M2107" s="11">
        <v>6562.57</v>
      </c>
      <c r="N2107" s="12">
        <v>14018.03</v>
      </c>
      <c r="O2107" s="12">
        <v>10259.370000000001</v>
      </c>
    </row>
    <row r="2108" spans="1:15">
      <c r="A2108" t="s">
        <v>2282</v>
      </c>
      <c r="B2108" t="s">
        <v>59</v>
      </c>
      <c r="C2108" s="9">
        <v>35795</v>
      </c>
      <c r="D2108">
        <v>28</v>
      </c>
      <c r="E2108" t="s">
        <v>17</v>
      </c>
      <c r="F2108" t="s">
        <v>74</v>
      </c>
      <c r="G2108" s="9">
        <v>44962</v>
      </c>
      <c r="H2108" s="9">
        <v>45644</v>
      </c>
      <c r="I2108">
        <v>15</v>
      </c>
      <c r="J2108" t="s">
        <v>35</v>
      </c>
      <c r="K2108">
        <v>4</v>
      </c>
      <c r="L2108">
        <v>1</v>
      </c>
      <c r="M2108" s="11">
        <v>8281.5</v>
      </c>
      <c r="N2108" s="12">
        <v>11190.74</v>
      </c>
      <c r="O2108" s="12">
        <v>6802.01</v>
      </c>
    </row>
    <row r="2109" spans="1:15">
      <c r="A2109" t="s">
        <v>2283</v>
      </c>
      <c r="B2109" t="s">
        <v>201</v>
      </c>
      <c r="C2109" s="9">
        <v>25568</v>
      </c>
      <c r="D2109">
        <v>56</v>
      </c>
      <c r="E2109" t="s">
        <v>17</v>
      </c>
      <c r="F2109" t="s">
        <v>22</v>
      </c>
      <c r="G2109" s="9">
        <v>45101</v>
      </c>
      <c r="H2109" s="9">
        <v>45413</v>
      </c>
      <c r="I2109">
        <v>16</v>
      </c>
      <c r="J2109" t="s">
        <v>32</v>
      </c>
      <c r="K2109">
        <v>11</v>
      </c>
      <c r="L2109">
        <v>1</v>
      </c>
      <c r="M2109" s="11">
        <v>488.39</v>
      </c>
      <c r="N2109" s="12">
        <v>6190.96</v>
      </c>
      <c r="O2109" s="12">
        <v>2665.51</v>
      </c>
    </row>
    <row r="2110" spans="1:15">
      <c r="A2110" t="s">
        <v>2284</v>
      </c>
      <c r="B2110" t="s">
        <v>600</v>
      </c>
      <c r="C2110" s="9">
        <v>32143</v>
      </c>
      <c r="D2110">
        <v>38</v>
      </c>
      <c r="E2110" t="s">
        <v>21</v>
      </c>
      <c r="F2110" t="s">
        <v>29</v>
      </c>
      <c r="G2110" s="9">
        <v>45125</v>
      </c>
      <c r="H2110" s="9">
        <v>45241</v>
      </c>
      <c r="I2110">
        <v>16</v>
      </c>
      <c r="J2110" t="s">
        <v>35</v>
      </c>
      <c r="K2110">
        <v>1</v>
      </c>
      <c r="L2110">
        <v>1</v>
      </c>
      <c r="M2110" s="11">
        <v>0.3</v>
      </c>
      <c r="N2110" s="12">
        <v>8660.0300000000007</v>
      </c>
      <c r="O2110" s="12">
        <v>93.55</v>
      </c>
    </row>
    <row r="2111" spans="1:15">
      <c r="A2111" t="s">
        <v>2285</v>
      </c>
      <c r="B2111" t="s">
        <v>108</v>
      </c>
      <c r="C2111" s="9">
        <v>11689</v>
      </c>
      <c r="D2111">
        <v>94</v>
      </c>
      <c r="E2111" t="s">
        <v>21</v>
      </c>
      <c r="F2111" t="s">
        <v>29</v>
      </c>
      <c r="G2111" s="9">
        <v>45042</v>
      </c>
      <c r="H2111" s="9">
        <v>45440</v>
      </c>
      <c r="I2111">
        <v>3</v>
      </c>
      <c r="J2111" t="s">
        <v>35</v>
      </c>
      <c r="K2111">
        <v>14</v>
      </c>
      <c r="L2111">
        <v>7</v>
      </c>
      <c r="M2111" s="11">
        <v>15165.39</v>
      </c>
      <c r="N2111" s="12">
        <v>13995.25</v>
      </c>
      <c r="O2111" s="12">
        <v>7706.58</v>
      </c>
    </row>
    <row r="2112" spans="1:15">
      <c r="A2112" t="s">
        <v>2286</v>
      </c>
      <c r="B2112" t="s">
        <v>204</v>
      </c>
      <c r="C2112" s="9">
        <v>25934</v>
      </c>
      <c r="D2112">
        <v>55</v>
      </c>
      <c r="E2112" t="s">
        <v>17</v>
      </c>
      <c r="F2112" t="s">
        <v>5184</v>
      </c>
      <c r="G2112" s="9">
        <v>45241</v>
      </c>
      <c r="H2112" s="9">
        <v>45610</v>
      </c>
      <c r="I2112">
        <v>4</v>
      </c>
      <c r="J2112" t="s">
        <v>26</v>
      </c>
      <c r="K2112">
        <v>11</v>
      </c>
      <c r="L2112">
        <v>9</v>
      </c>
      <c r="M2112" s="11">
        <v>1262.74</v>
      </c>
      <c r="N2112" s="12">
        <v>8738.4</v>
      </c>
      <c r="O2112" s="12">
        <v>5818.88</v>
      </c>
    </row>
    <row r="2113" spans="1:15">
      <c r="A2113" t="s">
        <v>2287</v>
      </c>
      <c r="B2113" t="s">
        <v>275</v>
      </c>
      <c r="C2113" s="9">
        <v>30682</v>
      </c>
      <c r="D2113">
        <v>42</v>
      </c>
      <c r="E2113" t="s">
        <v>21</v>
      </c>
      <c r="F2113" t="s">
        <v>49</v>
      </c>
      <c r="G2113" s="9">
        <v>45146</v>
      </c>
      <c r="H2113" s="9">
        <v>45094</v>
      </c>
      <c r="I2113">
        <v>4</v>
      </c>
      <c r="J2113" t="s">
        <v>32</v>
      </c>
      <c r="K2113">
        <v>2</v>
      </c>
      <c r="L2113">
        <v>3</v>
      </c>
      <c r="M2113" s="11">
        <v>5887.24</v>
      </c>
      <c r="N2113" s="12">
        <v>3428.53</v>
      </c>
      <c r="O2113" s="12">
        <v>838.45</v>
      </c>
    </row>
    <row r="2114" spans="1:15">
      <c r="A2114" t="s">
        <v>2288</v>
      </c>
      <c r="B2114" t="s">
        <v>223</v>
      </c>
      <c r="C2114" s="9">
        <v>28125</v>
      </c>
      <c r="D2114">
        <v>49</v>
      </c>
      <c r="E2114" t="s">
        <v>21</v>
      </c>
      <c r="F2114" t="s">
        <v>18</v>
      </c>
      <c r="G2114" s="9">
        <v>45504</v>
      </c>
      <c r="H2114" s="9">
        <v>45321</v>
      </c>
      <c r="I2114">
        <v>25</v>
      </c>
      <c r="J2114" t="s">
        <v>35</v>
      </c>
      <c r="K2114">
        <v>1</v>
      </c>
      <c r="L2114">
        <v>3</v>
      </c>
      <c r="M2114" s="11">
        <v>27676.12</v>
      </c>
      <c r="N2114" s="12">
        <v>8593.11</v>
      </c>
      <c r="O2114" s="12">
        <v>17020.55</v>
      </c>
    </row>
    <row r="2115" spans="1:15">
      <c r="A2115" t="s">
        <v>2289</v>
      </c>
      <c r="B2115" t="s">
        <v>153</v>
      </c>
      <c r="C2115" s="9">
        <v>37987</v>
      </c>
      <c r="D2115">
        <v>22</v>
      </c>
      <c r="E2115" t="s">
        <v>17</v>
      </c>
      <c r="F2115" t="s">
        <v>18</v>
      </c>
      <c r="G2115" s="9">
        <v>45060</v>
      </c>
      <c r="H2115" s="9">
        <v>45697</v>
      </c>
      <c r="I2115">
        <v>25</v>
      </c>
      <c r="J2115" t="s">
        <v>32</v>
      </c>
      <c r="K2115">
        <v>13</v>
      </c>
      <c r="L2115">
        <v>9</v>
      </c>
      <c r="M2115" s="11">
        <v>2027.09</v>
      </c>
      <c r="N2115" s="12">
        <v>13071.71</v>
      </c>
      <c r="O2115" s="12">
        <v>8156.64</v>
      </c>
    </row>
    <row r="2116" spans="1:15">
      <c r="A2116" t="s">
        <v>2290</v>
      </c>
      <c r="B2116" t="s">
        <v>155</v>
      </c>
      <c r="C2116" s="9">
        <v>30317</v>
      </c>
      <c r="D2116">
        <v>43</v>
      </c>
      <c r="E2116" t="s">
        <v>21</v>
      </c>
      <c r="F2116" t="s">
        <v>49</v>
      </c>
      <c r="G2116" s="9">
        <v>45557</v>
      </c>
      <c r="H2116" s="9">
        <v>44990</v>
      </c>
      <c r="I2116">
        <v>16</v>
      </c>
      <c r="J2116" t="s">
        <v>32</v>
      </c>
      <c r="K2116">
        <v>1</v>
      </c>
      <c r="L2116">
        <v>9</v>
      </c>
      <c r="M2116" s="11">
        <v>8369.08</v>
      </c>
      <c r="N2116" s="12">
        <v>14811.75</v>
      </c>
      <c r="O2116" s="12">
        <v>15473.17</v>
      </c>
    </row>
    <row r="2117" spans="1:15">
      <c r="A2117" t="s">
        <v>2291</v>
      </c>
      <c r="B2117" t="s">
        <v>119</v>
      </c>
      <c r="C2117" s="9">
        <v>32508</v>
      </c>
      <c r="D2117">
        <v>37</v>
      </c>
      <c r="E2117" t="s">
        <v>17</v>
      </c>
      <c r="F2117" t="s">
        <v>74</v>
      </c>
      <c r="G2117" s="9">
        <v>45048</v>
      </c>
      <c r="H2117" s="9">
        <v>45199</v>
      </c>
      <c r="I2117">
        <v>13</v>
      </c>
      <c r="J2117" t="s">
        <v>32</v>
      </c>
      <c r="K2117">
        <v>8</v>
      </c>
      <c r="L2117">
        <v>2</v>
      </c>
      <c r="M2117" s="11">
        <v>0</v>
      </c>
      <c r="N2117" s="12">
        <v>8761.25</v>
      </c>
      <c r="O2117" s="12">
        <v>8383.0499999999993</v>
      </c>
    </row>
    <row r="2118" spans="1:15">
      <c r="A2118" t="s">
        <v>2292</v>
      </c>
      <c r="B2118" t="s">
        <v>289</v>
      </c>
      <c r="C2118" s="9">
        <v>15707</v>
      </c>
      <c r="D2118">
        <f ca="1">DATEDIF(C2069,TODAY(),"Y")</f>
        <v>0</v>
      </c>
      <c r="E2118" t="s">
        <v>21</v>
      </c>
      <c r="F2118" t="s">
        <v>18</v>
      </c>
      <c r="G2118" s="9">
        <v>45347</v>
      </c>
      <c r="H2118" s="9">
        <v>44964</v>
      </c>
      <c r="I2118">
        <v>14</v>
      </c>
      <c r="J2118" t="s">
        <v>35</v>
      </c>
      <c r="K2118">
        <v>10</v>
      </c>
      <c r="L2118">
        <v>4</v>
      </c>
      <c r="M2118" s="11">
        <v>26471.919999999998</v>
      </c>
      <c r="N2118" s="12">
        <v>2334.6799999999998</v>
      </c>
      <c r="O2118" s="12">
        <v>1257.06</v>
      </c>
    </row>
    <row r="2119" spans="1:15">
      <c r="A2119" t="s">
        <v>2293</v>
      </c>
      <c r="B2119" t="s">
        <v>48</v>
      </c>
      <c r="C2119" s="9">
        <v>37987</v>
      </c>
      <c r="D2119">
        <v>22</v>
      </c>
      <c r="E2119" t="s">
        <v>17</v>
      </c>
      <c r="F2119" t="s">
        <v>29</v>
      </c>
      <c r="G2119" s="9">
        <v>45418</v>
      </c>
      <c r="H2119" s="9">
        <v>44943</v>
      </c>
      <c r="I2119">
        <v>19</v>
      </c>
      <c r="J2119" t="s">
        <v>35</v>
      </c>
      <c r="K2119">
        <v>2</v>
      </c>
      <c r="L2119">
        <v>3</v>
      </c>
      <c r="M2119" s="11">
        <v>909.44</v>
      </c>
      <c r="N2119" s="12">
        <v>11576.29</v>
      </c>
      <c r="O2119" s="12">
        <v>7824.69</v>
      </c>
    </row>
    <row r="2120" spans="1:15">
      <c r="A2120" t="s">
        <v>2294</v>
      </c>
      <c r="B2120" t="s">
        <v>119</v>
      </c>
      <c r="C2120" s="9">
        <v>29951</v>
      </c>
      <c r="D2120">
        <f ca="1">DATEDIF(C2071,TODAY(),"Y")</f>
        <v>63</v>
      </c>
      <c r="E2120" t="s">
        <v>21</v>
      </c>
      <c r="F2120" t="s">
        <v>74</v>
      </c>
      <c r="G2120" s="9">
        <v>45525</v>
      </c>
      <c r="H2120" s="9">
        <v>45693</v>
      </c>
      <c r="I2120">
        <v>16</v>
      </c>
      <c r="J2120" t="s">
        <v>26</v>
      </c>
      <c r="K2120">
        <v>11</v>
      </c>
      <c r="L2120">
        <v>6</v>
      </c>
      <c r="M2120" s="11">
        <v>5155.91</v>
      </c>
      <c r="N2120" s="12">
        <v>14953.67</v>
      </c>
      <c r="O2120" s="12">
        <v>17711.259999999998</v>
      </c>
    </row>
    <row r="2121" spans="1:15">
      <c r="A2121" t="s">
        <v>2295</v>
      </c>
      <c r="B2121" t="s">
        <v>53</v>
      </c>
      <c r="C2121" s="9">
        <v>27395</v>
      </c>
      <c r="D2121">
        <v>51</v>
      </c>
      <c r="E2121" t="s">
        <v>21</v>
      </c>
      <c r="F2121" t="s">
        <v>25</v>
      </c>
      <c r="G2121" s="9">
        <v>45215</v>
      </c>
      <c r="H2121" s="9">
        <v>45270</v>
      </c>
      <c r="I2121">
        <v>26</v>
      </c>
      <c r="J2121" t="s">
        <v>32</v>
      </c>
      <c r="K2121">
        <v>2</v>
      </c>
      <c r="L2121">
        <v>9</v>
      </c>
      <c r="M2121" s="11">
        <v>11330.44</v>
      </c>
      <c r="N2121" s="12">
        <v>7104.54</v>
      </c>
      <c r="O2121" s="12">
        <v>56.23</v>
      </c>
    </row>
    <row r="2122" spans="1:15">
      <c r="A2122" t="s">
        <v>2296</v>
      </c>
      <c r="B2122" t="s">
        <v>78</v>
      </c>
      <c r="C2122" s="9">
        <v>17168</v>
      </c>
      <c r="D2122">
        <v>79</v>
      </c>
      <c r="E2122" t="s">
        <v>17</v>
      </c>
      <c r="F2122" t="s">
        <v>25</v>
      </c>
      <c r="G2122" s="9">
        <v>45575</v>
      </c>
      <c r="H2122" s="9">
        <v>45273</v>
      </c>
      <c r="I2122">
        <v>16</v>
      </c>
      <c r="J2122" t="s">
        <v>26</v>
      </c>
      <c r="K2122">
        <v>4</v>
      </c>
      <c r="L2122">
        <v>6</v>
      </c>
      <c r="M2122" s="11">
        <v>10510.32</v>
      </c>
      <c r="N2122" s="12">
        <v>5755.99</v>
      </c>
      <c r="O2122" s="12">
        <v>17895.599999999999</v>
      </c>
    </row>
    <row r="2123" spans="1:15">
      <c r="A2123" t="s">
        <v>2297</v>
      </c>
      <c r="B2123" t="s">
        <v>681</v>
      </c>
      <c r="C2123" s="9">
        <v>28125</v>
      </c>
      <c r="D2123">
        <v>49</v>
      </c>
      <c r="E2123" t="s">
        <v>17</v>
      </c>
      <c r="F2123" t="s">
        <v>74</v>
      </c>
      <c r="G2123" s="9">
        <v>44979</v>
      </c>
      <c r="H2123" s="9">
        <v>45775</v>
      </c>
      <c r="I2123">
        <v>32</v>
      </c>
      <c r="J2123" t="s">
        <v>26</v>
      </c>
      <c r="K2123">
        <v>11</v>
      </c>
      <c r="L2123">
        <v>5</v>
      </c>
      <c r="M2123" s="11">
        <v>8300.0300000000007</v>
      </c>
      <c r="N2123" s="12">
        <v>8287.51</v>
      </c>
      <c r="O2123" s="12">
        <v>13100.23</v>
      </c>
    </row>
    <row r="2124" spans="1:15">
      <c r="A2124" t="s">
        <v>2298</v>
      </c>
      <c r="B2124" t="s">
        <v>326</v>
      </c>
      <c r="C2124" s="9">
        <v>43466</v>
      </c>
      <c r="D2124">
        <v>7</v>
      </c>
      <c r="E2124" t="s">
        <v>21</v>
      </c>
      <c r="F2124" t="s">
        <v>29</v>
      </c>
      <c r="G2124" s="9">
        <v>45131</v>
      </c>
      <c r="H2124" s="9">
        <v>45466</v>
      </c>
      <c r="I2124">
        <v>22</v>
      </c>
      <c r="J2124" t="s">
        <v>32</v>
      </c>
      <c r="K2124">
        <v>13</v>
      </c>
      <c r="L2124">
        <v>6</v>
      </c>
      <c r="M2124" s="11">
        <v>6890.38</v>
      </c>
      <c r="N2124" s="12">
        <v>2471.4899999999998</v>
      </c>
      <c r="O2124" s="12">
        <v>19912.240000000002</v>
      </c>
    </row>
    <row r="2125" spans="1:15">
      <c r="A2125" t="s">
        <v>2299</v>
      </c>
      <c r="B2125" t="s">
        <v>149</v>
      </c>
      <c r="C2125" s="9">
        <v>15341</v>
      </c>
      <c r="D2125">
        <v>84</v>
      </c>
      <c r="E2125" t="s">
        <v>21</v>
      </c>
      <c r="F2125" t="s">
        <v>5184</v>
      </c>
      <c r="G2125" s="9">
        <v>45274</v>
      </c>
      <c r="H2125" s="9">
        <v>45550</v>
      </c>
      <c r="I2125">
        <v>17</v>
      </c>
      <c r="J2125" t="s">
        <v>35</v>
      </c>
      <c r="K2125">
        <v>2</v>
      </c>
      <c r="L2125">
        <v>6</v>
      </c>
      <c r="M2125" s="11">
        <v>7694.09</v>
      </c>
      <c r="N2125" s="12">
        <v>14569.25</v>
      </c>
      <c r="O2125" s="12">
        <v>18313.96</v>
      </c>
    </row>
    <row r="2126" spans="1:15">
      <c r="A2126" t="s">
        <v>2300</v>
      </c>
      <c r="B2126" t="s">
        <v>194</v>
      </c>
      <c r="C2126" s="9">
        <v>46022</v>
      </c>
      <c r="D2126">
        <v>0</v>
      </c>
      <c r="E2126" t="s">
        <v>17</v>
      </c>
      <c r="F2126" t="s">
        <v>25</v>
      </c>
      <c r="G2126" s="9">
        <v>44977</v>
      </c>
      <c r="H2126" s="9">
        <v>45160</v>
      </c>
      <c r="I2126">
        <v>34</v>
      </c>
      <c r="J2126" t="s">
        <v>26</v>
      </c>
      <c r="K2126">
        <v>4</v>
      </c>
      <c r="L2126">
        <v>7</v>
      </c>
      <c r="M2126" s="11">
        <v>3569.48</v>
      </c>
      <c r="N2126" s="12">
        <v>12575.02</v>
      </c>
      <c r="O2126" s="12">
        <v>17365.939999999999</v>
      </c>
    </row>
    <row r="2127" spans="1:15">
      <c r="A2127" t="s">
        <v>2301</v>
      </c>
      <c r="B2127" t="s">
        <v>103</v>
      </c>
      <c r="C2127" s="9">
        <v>43466</v>
      </c>
      <c r="D2127">
        <v>7</v>
      </c>
      <c r="E2127" t="s">
        <v>17</v>
      </c>
      <c r="F2127" t="s">
        <v>22</v>
      </c>
      <c r="G2127" s="9">
        <v>44966</v>
      </c>
      <c r="H2127" s="9">
        <v>45503</v>
      </c>
      <c r="I2127">
        <v>16</v>
      </c>
      <c r="J2127" t="s">
        <v>32</v>
      </c>
      <c r="K2127">
        <v>0</v>
      </c>
      <c r="L2127">
        <v>0</v>
      </c>
      <c r="M2127" s="11">
        <v>4481.46</v>
      </c>
      <c r="N2127" s="12">
        <v>1694.86</v>
      </c>
      <c r="O2127" s="12">
        <v>653.95000000000005</v>
      </c>
    </row>
    <row r="2128" spans="1:15">
      <c r="A2128" t="s">
        <v>2302</v>
      </c>
      <c r="B2128" t="s">
        <v>209</v>
      </c>
      <c r="C2128" s="9">
        <v>35795</v>
      </c>
      <c r="D2128">
        <v>28</v>
      </c>
      <c r="E2128" t="s">
        <v>5185</v>
      </c>
      <c r="F2128" t="s">
        <v>29</v>
      </c>
      <c r="G2128" s="9">
        <v>45176</v>
      </c>
      <c r="H2128" s="9">
        <v>45536</v>
      </c>
      <c r="I2128">
        <v>39</v>
      </c>
      <c r="J2128" t="s">
        <v>26</v>
      </c>
      <c r="K2128">
        <v>2</v>
      </c>
      <c r="L2128">
        <v>2</v>
      </c>
      <c r="M2128" s="11">
        <v>18006.39</v>
      </c>
      <c r="N2128" s="12">
        <v>14176.22</v>
      </c>
      <c r="O2128" s="12">
        <v>5532.98</v>
      </c>
    </row>
    <row r="2129" spans="1:15">
      <c r="A2129" t="s">
        <v>2303</v>
      </c>
      <c r="B2129" t="s">
        <v>300</v>
      </c>
      <c r="C2129" s="9">
        <v>44561</v>
      </c>
      <c r="D2129">
        <v>4</v>
      </c>
      <c r="E2129" t="s">
        <v>5185</v>
      </c>
      <c r="F2129" t="s">
        <v>49</v>
      </c>
      <c r="G2129" s="9">
        <v>45144</v>
      </c>
      <c r="H2129" s="9">
        <v>45343</v>
      </c>
      <c r="I2129">
        <v>10</v>
      </c>
      <c r="J2129" t="s">
        <v>32</v>
      </c>
      <c r="K2129">
        <v>0</v>
      </c>
      <c r="L2129">
        <v>2</v>
      </c>
      <c r="M2129" s="11">
        <v>8411.83</v>
      </c>
      <c r="N2129" s="12">
        <v>14142.29</v>
      </c>
      <c r="O2129" s="12">
        <v>7432.35</v>
      </c>
    </row>
    <row r="2130" spans="1:15">
      <c r="A2130" t="s">
        <v>2304</v>
      </c>
      <c r="B2130" t="s">
        <v>261</v>
      </c>
      <c r="C2130" s="9">
        <v>14976</v>
      </c>
      <c r="D2130">
        <v>85</v>
      </c>
      <c r="E2130" t="s">
        <v>17</v>
      </c>
      <c r="F2130" t="s">
        <v>18</v>
      </c>
      <c r="G2130" s="9">
        <v>45105</v>
      </c>
      <c r="H2130" s="9">
        <v>45194</v>
      </c>
      <c r="I2130">
        <v>9</v>
      </c>
      <c r="J2130" t="s">
        <v>26</v>
      </c>
      <c r="K2130">
        <v>13</v>
      </c>
      <c r="L2130">
        <v>4</v>
      </c>
      <c r="M2130" s="11">
        <v>0</v>
      </c>
      <c r="N2130" s="12">
        <v>4745.32</v>
      </c>
      <c r="O2130" s="12">
        <v>13966.43</v>
      </c>
    </row>
    <row r="2131" spans="1:15">
      <c r="A2131" t="s">
        <v>2305</v>
      </c>
      <c r="B2131" t="s">
        <v>108</v>
      </c>
      <c r="C2131" s="9">
        <v>29221</v>
      </c>
      <c r="D2131">
        <v>46</v>
      </c>
      <c r="E2131" t="s">
        <v>21</v>
      </c>
      <c r="F2131" t="s">
        <v>5184</v>
      </c>
      <c r="G2131" s="9">
        <v>45477</v>
      </c>
      <c r="H2131" s="9">
        <v>45253</v>
      </c>
      <c r="I2131">
        <v>12</v>
      </c>
      <c r="J2131" t="s">
        <v>26</v>
      </c>
      <c r="K2131">
        <v>10</v>
      </c>
      <c r="L2131">
        <v>9</v>
      </c>
      <c r="M2131" s="11">
        <v>12064.97</v>
      </c>
      <c r="N2131" s="12">
        <v>9287.1299999999992</v>
      </c>
      <c r="O2131" s="12">
        <v>12937.68</v>
      </c>
    </row>
    <row r="2132" spans="1:15">
      <c r="A2132" t="s">
        <v>2306</v>
      </c>
      <c r="B2132" t="s">
        <v>44</v>
      </c>
      <c r="C2132" s="9">
        <v>33969</v>
      </c>
      <c r="D2132">
        <v>33</v>
      </c>
      <c r="E2132" t="s">
        <v>17</v>
      </c>
      <c r="F2132" t="s">
        <v>5184</v>
      </c>
      <c r="G2132" s="9">
        <v>45109</v>
      </c>
      <c r="H2132" s="9">
        <v>45671</v>
      </c>
      <c r="I2132">
        <v>1</v>
      </c>
      <c r="J2132" t="s">
        <v>32</v>
      </c>
      <c r="K2132">
        <v>6</v>
      </c>
      <c r="L2132">
        <v>6</v>
      </c>
      <c r="M2132" s="11">
        <v>2846.99</v>
      </c>
      <c r="N2132" s="12">
        <v>1661.31</v>
      </c>
      <c r="O2132" s="12">
        <v>3351.09</v>
      </c>
    </row>
    <row r="2133" spans="1:15">
      <c r="A2133" t="s">
        <v>2307</v>
      </c>
      <c r="B2133" t="s">
        <v>31</v>
      </c>
      <c r="C2133" s="9">
        <v>22646</v>
      </c>
      <c r="D2133">
        <v>64</v>
      </c>
      <c r="E2133" t="s">
        <v>17</v>
      </c>
      <c r="F2133" t="s">
        <v>74</v>
      </c>
      <c r="G2133" s="9">
        <v>45090</v>
      </c>
      <c r="H2133" s="9">
        <v>45370</v>
      </c>
      <c r="I2133">
        <v>12</v>
      </c>
      <c r="J2133" t="s">
        <v>32</v>
      </c>
      <c r="K2133">
        <v>10</v>
      </c>
      <c r="L2133">
        <v>9</v>
      </c>
      <c r="M2133" s="11">
        <v>24494.560000000001</v>
      </c>
      <c r="N2133" s="12">
        <v>1262.8699999999999</v>
      </c>
      <c r="O2133" s="12">
        <v>14710.4</v>
      </c>
    </row>
    <row r="2134" spans="1:15">
      <c r="A2134" t="s">
        <v>2308</v>
      </c>
      <c r="B2134" t="s">
        <v>211</v>
      </c>
      <c r="C2134" s="9">
        <v>26299</v>
      </c>
      <c r="D2134">
        <v>54</v>
      </c>
      <c r="E2134" t="s">
        <v>21</v>
      </c>
      <c r="F2134" t="s">
        <v>18</v>
      </c>
      <c r="G2134" s="9">
        <v>45303</v>
      </c>
      <c r="H2134" s="9">
        <v>45487</v>
      </c>
      <c r="I2134">
        <v>14</v>
      </c>
      <c r="J2134" t="s">
        <v>32</v>
      </c>
      <c r="K2134">
        <v>7</v>
      </c>
      <c r="L2134">
        <v>5</v>
      </c>
      <c r="M2134" s="11">
        <v>28668.97</v>
      </c>
      <c r="N2134" s="12">
        <v>7526.92</v>
      </c>
      <c r="O2134" s="12">
        <v>3028.12</v>
      </c>
    </row>
    <row r="2135" spans="1:15">
      <c r="A2135" t="s">
        <v>2309</v>
      </c>
      <c r="B2135" t="s">
        <v>39</v>
      </c>
      <c r="C2135" s="9">
        <v>13515</v>
      </c>
      <c r="D2135">
        <v>89</v>
      </c>
      <c r="E2135" t="s">
        <v>21</v>
      </c>
      <c r="F2135" t="s">
        <v>49</v>
      </c>
      <c r="G2135" s="9">
        <v>45631</v>
      </c>
      <c r="H2135" s="9">
        <v>45789</v>
      </c>
      <c r="I2135">
        <v>24</v>
      </c>
      <c r="J2135" t="s">
        <v>35</v>
      </c>
      <c r="K2135">
        <v>5</v>
      </c>
      <c r="L2135">
        <v>3</v>
      </c>
      <c r="M2135" s="11">
        <v>7538.03</v>
      </c>
      <c r="N2135" s="12">
        <v>745.17</v>
      </c>
      <c r="O2135" s="12">
        <v>9074.31</v>
      </c>
    </row>
    <row r="2136" spans="1:15">
      <c r="A2136" t="s">
        <v>2310</v>
      </c>
      <c r="B2136" t="s">
        <v>20</v>
      </c>
      <c r="C2136" s="9">
        <v>30682</v>
      </c>
      <c r="D2136">
        <v>42</v>
      </c>
      <c r="E2136" t="s">
        <v>21</v>
      </c>
      <c r="F2136" t="s">
        <v>25</v>
      </c>
      <c r="G2136" s="9">
        <v>45423</v>
      </c>
      <c r="H2136" s="9">
        <v>45649</v>
      </c>
      <c r="I2136">
        <v>8</v>
      </c>
      <c r="J2136" t="s">
        <v>32</v>
      </c>
      <c r="K2136">
        <v>4</v>
      </c>
      <c r="L2136">
        <v>5</v>
      </c>
      <c r="M2136" s="11">
        <v>8479.51</v>
      </c>
      <c r="N2136" s="12">
        <v>13123.37</v>
      </c>
      <c r="O2136" s="12">
        <v>11532.66</v>
      </c>
    </row>
    <row r="2137" spans="1:15">
      <c r="A2137" t="s">
        <v>2311</v>
      </c>
      <c r="B2137" t="s">
        <v>61</v>
      </c>
      <c r="C2137" s="9">
        <v>19359</v>
      </c>
      <c r="D2137">
        <v>73</v>
      </c>
      <c r="E2137" t="s">
        <v>21</v>
      </c>
      <c r="F2137" t="s">
        <v>5184</v>
      </c>
      <c r="G2137" s="9">
        <v>45523</v>
      </c>
      <c r="H2137" s="9">
        <v>45003</v>
      </c>
      <c r="I2137">
        <v>20</v>
      </c>
      <c r="J2137" t="s">
        <v>26</v>
      </c>
      <c r="K2137">
        <v>6</v>
      </c>
      <c r="L2137">
        <v>6</v>
      </c>
      <c r="M2137" s="11">
        <v>20641.189999999999</v>
      </c>
      <c r="N2137" s="12">
        <v>13921.43</v>
      </c>
      <c r="O2137" s="12">
        <v>17400.72</v>
      </c>
    </row>
    <row r="2138" spans="1:15">
      <c r="A2138" t="s">
        <v>2312</v>
      </c>
      <c r="B2138" t="s">
        <v>159</v>
      </c>
      <c r="C2138" s="9">
        <v>35430</v>
      </c>
      <c r="D2138">
        <v>29</v>
      </c>
      <c r="E2138" t="s">
        <v>21</v>
      </c>
      <c r="F2138" t="s">
        <v>22</v>
      </c>
      <c r="G2138" s="9">
        <v>45387</v>
      </c>
      <c r="H2138" s="9">
        <v>45174</v>
      </c>
      <c r="I2138">
        <v>12</v>
      </c>
      <c r="J2138" t="s">
        <v>32</v>
      </c>
      <c r="K2138">
        <v>2</v>
      </c>
      <c r="L2138">
        <v>3</v>
      </c>
      <c r="M2138" s="11">
        <v>1957.95</v>
      </c>
      <c r="N2138" s="12">
        <v>1009.6</v>
      </c>
      <c r="O2138" s="12">
        <v>12589.57</v>
      </c>
    </row>
    <row r="2139" spans="1:15">
      <c r="A2139" t="s">
        <v>2313</v>
      </c>
      <c r="B2139" t="s">
        <v>681</v>
      </c>
      <c r="C2139" s="9">
        <v>16437</v>
      </c>
      <c r="D2139">
        <v>81</v>
      </c>
      <c r="E2139" t="s">
        <v>17</v>
      </c>
      <c r="F2139" t="s">
        <v>29</v>
      </c>
      <c r="G2139" s="9">
        <v>45400</v>
      </c>
      <c r="H2139" s="9">
        <v>45755</v>
      </c>
      <c r="I2139">
        <v>28</v>
      </c>
      <c r="J2139" t="s">
        <v>32</v>
      </c>
      <c r="K2139">
        <v>8</v>
      </c>
      <c r="L2139">
        <v>7</v>
      </c>
      <c r="M2139" s="11">
        <v>27173.35</v>
      </c>
      <c r="N2139" s="12">
        <v>709.27</v>
      </c>
      <c r="O2139" s="12">
        <v>19092.36</v>
      </c>
    </row>
    <row r="2140" spans="1:15">
      <c r="A2140" t="s">
        <v>2314</v>
      </c>
      <c r="B2140" t="s">
        <v>273</v>
      </c>
      <c r="C2140" s="9">
        <v>40178</v>
      </c>
      <c r="D2140">
        <v>16</v>
      </c>
      <c r="E2140" t="s">
        <v>17</v>
      </c>
      <c r="F2140" t="s">
        <v>5184</v>
      </c>
      <c r="G2140" s="9">
        <v>45611</v>
      </c>
      <c r="H2140" s="9">
        <v>45507</v>
      </c>
      <c r="I2140">
        <v>23</v>
      </c>
      <c r="J2140" t="s">
        <v>32</v>
      </c>
      <c r="K2140">
        <v>9</v>
      </c>
      <c r="L2140">
        <v>4</v>
      </c>
      <c r="M2140" s="11">
        <v>3177.97</v>
      </c>
      <c r="N2140" s="12">
        <v>3321.27</v>
      </c>
      <c r="O2140" s="12">
        <v>19889.32</v>
      </c>
    </row>
    <row r="2141" spans="1:15">
      <c r="A2141" t="s">
        <v>2315</v>
      </c>
      <c r="B2141" t="s">
        <v>244</v>
      </c>
      <c r="C2141" s="9">
        <v>36891</v>
      </c>
      <c r="D2141">
        <v>25</v>
      </c>
      <c r="E2141" t="s">
        <v>17</v>
      </c>
      <c r="F2141" t="s">
        <v>5184</v>
      </c>
      <c r="G2141" s="9">
        <v>44963</v>
      </c>
      <c r="H2141" s="9">
        <v>45240</v>
      </c>
      <c r="I2141">
        <v>4</v>
      </c>
      <c r="J2141" t="s">
        <v>32</v>
      </c>
      <c r="K2141">
        <v>0</v>
      </c>
      <c r="L2141">
        <v>2</v>
      </c>
      <c r="M2141" s="11">
        <v>21827.91</v>
      </c>
      <c r="N2141" s="12">
        <v>13949.38</v>
      </c>
      <c r="O2141" s="12">
        <v>10127.33</v>
      </c>
    </row>
    <row r="2142" spans="1:15">
      <c r="A2142" t="s">
        <v>2316</v>
      </c>
      <c r="B2142" t="s">
        <v>654</v>
      </c>
      <c r="C2142" s="9">
        <v>43466</v>
      </c>
      <c r="D2142">
        <v>7</v>
      </c>
      <c r="E2142" t="s">
        <v>21</v>
      </c>
      <c r="F2142" t="s">
        <v>29</v>
      </c>
      <c r="G2142" s="9">
        <v>45525</v>
      </c>
      <c r="H2142" s="9">
        <v>45503</v>
      </c>
      <c r="I2142">
        <v>10</v>
      </c>
      <c r="J2142" t="s">
        <v>32</v>
      </c>
      <c r="K2142">
        <v>12</v>
      </c>
      <c r="L2142">
        <v>1</v>
      </c>
      <c r="M2142" s="11">
        <v>8391.2099999999991</v>
      </c>
      <c r="N2142" s="12">
        <v>11535.22</v>
      </c>
      <c r="O2142" s="12">
        <v>934.74</v>
      </c>
    </row>
    <row r="2143" spans="1:15">
      <c r="A2143" t="s">
        <v>2317</v>
      </c>
      <c r="B2143" t="s">
        <v>204</v>
      </c>
      <c r="C2143" s="9">
        <v>29221</v>
      </c>
      <c r="D2143">
        <v>46</v>
      </c>
      <c r="E2143" t="s">
        <v>21</v>
      </c>
      <c r="F2143" t="s">
        <v>49</v>
      </c>
      <c r="G2143" s="9">
        <v>45567</v>
      </c>
      <c r="H2143" s="9">
        <v>45621</v>
      </c>
      <c r="I2143">
        <v>10</v>
      </c>
      <c r="J2143" t="s">
        <v>35</v>
      </c>
      <c r="K2143">
        <v>2</v>
      </c>
      <c r="L2143">
        <v>0</v>
      </c>
      <c r="M2143" s="11">
        <v>9359.57</v>
      </c>
      <c r="N2143" s="12">
        <v>10147.469999999999</v>
      </c>
      <c r="O2143" s="12">
        <v>469.21</v>
      </c>
    </row>
    <row r="2144" spans="1:15">
      <c r="A2144" t="s">
        <v>2318</v>
      </c>
      <c r="B2144" t="s">
        <v>232</v>
      </c>
      <c r="C2144" s="9">
        <v>18629</v>
      </c>
      <c r="D2144">
        <v>75</v>
      </c>
      <c r="E2144" t="s">
        <v>17</v>
      </c>
      <c r="F2144" t="s">
        <v>74</v>
      </c>
      <c r="G2144" s="9">
        <v>45632</v>
      </c>
      <c r="H2144" s="9">
        <v>45519</v>
      </c>
      <c r="I2144">
        <v>17</v>
      </c>
      <c r="J2144" t="s">
        <v>32</v>
      </c>
      <c r="K2144">
        <v>3</v>
      </c>
      <c r="L2144">
        <v>3</v>
      </c>
      <c r="M2144" s="11">
        <v>3795.76</v>
      </c>
      <c r="N2144" s="12">
        <v>11645.21</v>
      </c>
      <c r="O2144" s="12">
        <v>17098.53</v>
      </c>
    </row>
    <row r="2145" spans="1:15">
      <c r="A2145" t="s">
        <v>2319</v>
      </c>
      <c r="B2145" t="s">
        <v>194</v>
      </c>
      <c r="C2145" s="9">
        <v>13150</v>
      </c>
      <c r="D2145">
        <v>90</v>
      </c>
      <c r="E2145" t="s">
        <v>21</v>
      </c>
      <c r="F2145" t="s">
        <v>5184</v>
      </c>
      <c r="G2145" s="9">
        <v>45245</v>
      </c>
      <c r="H2145" s="9">
        <v>45270</v>
      </c>
      <c r="I2145">
        <v>31</v>
      </c>
      <c r="J2145" t="s">
        <v>32</v>
      </c>
      <c r="K2145">
        <v>7</v>
      </c>
      <c r="L2145">
        <v>1</v>
      </c>
      <c r="M2145" s="11">
        <v>19213.3</v>
      </c>
      <c r="N2145" s="12">
        <v>2992.15</v>
      </c>
      <c r="O2145" s="12">
        <v>9946.99</v>
      </c>
    </row>
    <row r="2146" spans="1:15">
      <c r="A2146" t="s">
        <v>2320</v>
      </c>
      <c r="B2146" t="s">
        <v>332</v>
      </c>
      <c r="C2146" s="9">
        <v>20090</v>
      </c>
      <c r="D2146">
        <v>71</v>
      </c>
      <c r="E2146" t="s">
        <v>17</v>
      </c>
      <c r="F2146" t="s">
        <v>5184</v>
      </c>
      <c r="G2146" s="9">
        <v>45481</v>
      </c>
      <c r="H2146" s="9">
        <v>45642</v>
      </c>
      <c r="I2146">
        <v>7</v>
      </c>
      <c r="J2146" t="s">
        <v>35</v>
      </c>
      <c r="K2146">
        <v>3</v>
      </c>
      <c r="L2146">
        <v>2</v>
      </c>
      <c r="M2146" s="11">
        <v>23747.33</v>
      </c>
      <c r="N2146" s="12">
        <v>3848.83</v>
      </c>
      <c r="O2146" s="12">
        <v>7272.55</v>
      </c>
    </row>
    <row r="2147" spans="1:15">
      <c r="A2147" t="s">
        <v>2321</v>
      </c>
      <c r="B2147" t="s">
        <v>123</v>
      </c>
      <c r="C2147" s="9">
        <v>13880</v>
      </c>
      <c r="D2147">
        <f ca="1">DATEDIF(C2098,TODAY(),"Y")</f>
        <v>32</v>
      </c>
      <c r="E2147" t="s">
        <v>5185</v>
      </c>
      <c r="F2147" t="s">
        <v>18</v>
      </c>
      <c r="G2147" s="9">
        <v>45338</v>
      </c>
      <c r="H2147" s="9">
        <v>45109</v>
      </c>
      <c r="I2147">
        <v>34</v>
      </c>
      <c r="J2147" t="s">
        <v>35</v>
      </c>
      <c r="K2147">
        <v>7</v>
      </c>
      <c r="L2147">
        <v>0</v>
      </c>
      <c r="M2147" s="11">
        <v>28482.37</v>
      </c>
      <c r="N2147" s="12">
        <v>4764.43</v>
      </c>
      <c r="O2147" s="12">
        <v>5617.57</v>
      </c>
    </row>
    <row r="2148" spans="1:15">
      <c r="A2148" t="s">
        <v>2322</v>
      </c>
      <c r="B2148" t="s">
        <v>209</v>
      </c>
      <c r="C2148" s="9">
        <v>29586</v>
      </c>
      <c r="D2148">
        <v>45</v>
      </c>
      <c r="E2148" t="s">
        <v>21</v>
      </c>
      <c r="F2148" t="s">
        <v>22</v>
      </c>
      <c r="G2148" s="9">
        <v>45282</v>
      </c>
      <c r="H2148" s="9">
        <v>45653</v>
      </c>
      <c r="I2148">
        <v>24</v>
      </c>
      <c r="J2148" t="s">
        <v>26</v>
      </c>
      <c r="K2148">
        <v>7</v>
      </c>
      <c r="L2148">
        <v>5</v>
      </c>
      <c r="M2148" s="11">
        <v>9612.26</v>
      </c>
      <c r="N2148" s="12">
        <v>9075.99</v>
      </c>
      <c r="O2148" s="12">
        <v>5563.97</v>
      </c>
    </row>
    <row r="2149" spans="1:15">
      <c r="A2149" t="s">
        <v>2323</v>
      </c>
      <c r="B2149" t="s">
        <v>261</v>
      </c>
      <c r="C2149" s="9">
        <v>21551</v>
      </c>
      <c r="D2149">
        <v>67</v>
      </c>
      <c r="E2149" t="s">
        <v>21</v>
      </c>
      <c r="F2149" t="s">
        <v>25</v>
      </c>
      <c r="G2149" s="9">
        <v>45597</v>
      </c>
      <c r="H2149" s="9">
        <v>45559</v>
      </c>
      <c r="I2149">
        <v>31</v>
      </c>
      <c r="J2149" t="s">
        <v>32</v>
      </c>
      <c r="K2149">
        <v>6</v>
      </c>
      <c r="L2149">
        <v>3</v>
      </c>
      <c r="M2149" s="11">
        <v>18446.02</v>
      </c>
      <c r="N2149" s="12">
        <v>9123.2999999999993</v>
      </c>
      <c r="O2149" s="12">
        <v>1363.68</v>
      </c>
    </row>
    <row r="2150" spans="1:15">
      <c r="A2150" t="s">
        <v>2324</v>
      </c>
      <c r="B2150" t="s">
        <v>264</v>
      </c>
      <c r="C2150" s="9">
        <v>34334</v>
      </c>
      <c r="D2150">
        <v>32</v>
      </c>
      <c r="E2150" t="s">
        <v>21</v>
      </c>
      <c r="F2150" t="s">
        <v>74</v>
      </c>
      <c r="G2150" s="9">
        <v>45543</v>
      </c>
      <c r="H2150" s="9">
        <v>45326</v>
      </c>
      <c r="I2150">
        <v>33</v>
      </c>
      <c r="J2150" t="s">
        <v>35</v>
      </c>
      <c r="K2150">
        <v>3</v>
      </c>
      <c r="L2150">
        <v>4</v>
      </c>
      <c r="M2150" s="11">
        <v>12157.28</v>
      </c>
      <c r="N2150" s="12">
        <v>3129.12</v>
      </c>
      <c r="O2150" s="12">
        <v>5990.16</v>
      </c>
    </row>
    <row r="2151" spans="1:15">
      <c r="A2151" t="s">
        <v>2325</v>
      </c>
      <c r="B2151" t="s">
        <v>16</v>
      </c>
      <c r="C2151" s="9">
        <v>46022</v>
      </c>
      <c r="D2151">
        <v>0</v>
      </c>
      <c r="E2151" t="s">
        <v>5185</v>
      </c>
      <c r="F2151" t="s">
        <v>22</v>
      </c>
      <c r="G2151" s="9">
        <v>45155</v>
      </c>
      <c r="H2151" s="9">
        <v>45168</v>
      </c>
      <c r="I2151">
        <v>13</v>
      </c>
      <c r="J2151" t="s">
        <v>35</v>
      </c>
      <c r="K2151">
        <v>12</v>
      </c>
      <c r="L2151">
        <v>7</v>
      </c>
      <c r="M2151" s="11">
        <v>16514.23</v>
      </c>
      <c r="N2151" s="12">
        <v>6550.91</v>
      </c>
      <c r="O2151" s="12">
        <v>12860.6</v>
      </c>
    </row>
    <row r="2152" spans="1:15">
      <c r="A2152" t="s">
        <v>2326</v>
      </c>
      <c r="B2152" t="s">
        <v>123</v>
      </c>
      <c r="C2152" s="9">
        <v>39448</v>
      </c>
      <c r="D2152">
        <v>18</v>
      </c>
      <c r="E2152" t="s">
        <v>17</v>
      </c>
      <c r="F2152" t="s">
        <v>22</v>
      </c>
      <c r="G2152" s="9">
        <v>45655</v>
      </c>
      <c r="H2152" s="9">
        <v>45774</v>
      </c>
      <c r="I2152">
        <v>18</v>
      </c>
      <c r="J2152" t="s">
        <v>32</v>
      </c>
      <c r="K2152">
        <v>10</v>
      </c>
      <c r="L2152">
        <v>3</v>
      </c>
      <c r="M2152" s="11">
        <v>4469.42</v>
      </c>
      <c r="N2152" s="12">
        <v>10350.299999999999</v>
      </c>
      <c r="O2152" s="12">
        <v>7642.72</v>
      </c>
    </row>
    <row r="2153" spans="1:15">
      <c r="A2153" t="s">
        <v>2327</v>
      </c>
      <c r="B2153" t="s">
        <v>412</v>
      </c>
      <c r="C2153" s="9">
        <v>35065</v>
      </c>
      <c r="D2153">
        <v>30</v>
      </c>
      <c r="E2153" t="s">
        <v>17</v>
      </c>
      <c r="F2153" t="s">
        <v>49</v>
      </c>
      <c r="G2153" s="9">
        <v>45190</v>
      </c>
      <c r="H2153" s="9">
        <v>45641</v>
      </c>
      <c r="I2153">
        <v>13</v>
      </c>
      <c r="J2153" t="s">
        <v>32</v>
      </c>
      <c r="K2153">
        <v>0</v>
      </c>
      <c r="L2153">
        <v>5</v>
      </c>
      <c r="M2153" s="11">
        <v>17243.46</v>
      </c>
      <c r="N2153" s="12">
        <v>4644.29</v>
      </c>
      <c r="O2153" s="12">
        <v>18951.14</v>
      </c>
    </row>
    <row r="2154" spans="1:15">
      <c r="A2154" t="s">
        <v>2328</v>
      </c>
      <c r="B2154" t="s">
        <v>309</v>
      </c>
      <c r="C2154" s="9">
        <v>17168</v>
      </c>
      <c r="D2154">
        <v>79</v>
      </c>
      <c r="E2154" t="s">
        <v>21</v>
      </c>
      <c r="F2154" t="s">
        <v>49</v>
      </c>
      <c r="G2154" s="9">
        <v>45413</v>
      </c>
      <c r="H2154" s="9">
        <v>45219</v>
      </c>
      <c r="I2154">
        <v>14</v>
      </c>
      <c r="J2154" t="s">
        <v>26</v>
      </c>
      <c r="K2154">
        <v>3</v>
      </c>
      <c r="L2154">
        <v>2</v>
      </c>
      <c r="M2154" s="11">
        <v>25397.01</v>
      </c>
      <c r="N2154" s="12">
        <v>1132.1600000000001</v>
      </c>
      <c r="O2154" s="12">
        <v>13330.23</v>
      </c>
    </row>
    <row r="2155" spans="1:15">
      <c r="A2155" t="s">
        <v>2329</v>
      </c>
      <c r="B2155" t="s">
        <v>155</v>
      </c>
      <c r="C2155" s="9">
        <v>41274</v>
      </c>
      <c r="D2155">
        <v>13</v>
      </c>
      <c r="E2155" t="s">
        <v>5185</v>
      </c>
      <c r="F2155" t="s">
        <v>29</v>
      </c>
      <c r="G2155" s="9">
        <v>45487</v>
      </c>
      <c r="H2155" s="9">
        <v>44981</v>
      </c>
      <c r="I2155">
        <v>12</v>
      </c>
      <c r="J2155" t="s">
        <v>26</v>
      </c>
      <c r="K2155">
        <v>9</v>
      </c>
      <c r="L2155">
        <v>7</v>
      </c>
      <c r="M2155" s="11">
        <v>25841.42</v>
      </c>
      <c r="N2155" s="12">
        <v>2960.85</v>
      </c>
      <c r="O2155" s="12">
        <v>17265.93</v>
      </c>
    </row>
    <row r="2156" spans="1:15">
      <c r="A2156" t="s">
        <v>2330</v>
      </c>
      <c r="B2156" t="s">
        <v>240</v>
      </c>
      <c r="C2156" s="9">
        <v>27029</v>
      </c>
      <c r="D2156">
        <v>52</v>
      </c>
      <c r="E2156" t="s">
        <v>21</v>
      </c>
      <c r="F2156" t="s">
        <v>25</v>
      </c>
      <c r="G2156" s="9">
        <v>45278</v>
      </c>
      <c r="H2156" s="9">
        <v>45072</v>
      </c>
      <c r="I2156">
        <v>10</v>
      </c>
      <c r="J2156" t="s">
        <v>32</v>
      </c>
      <c r="K2156">
        <v>1</v>
      </c>
      <c r="L2156">
        <v>2</v>
      </c>
      <c r="M2156" s="11">
        <v>14243.37</v>
      </c>
      <c r="N2156" s="12">
        <v>2471.0300000000002</v>
      </c>
      <c r="O2156" s="12">
        <v>2194.62</v>
      </c>
    </row>
    <row r="2157" spans="1:15">
      <c r="A2157" t="s">
        <v>2331</v>
      </c>
      <c r="B2157" t="s">
        <v>176</v>
      </c>
      <c r="C2157" s="9">
        <v>28856</v>
      </c>
      <c r="D2157">
        <v>47</v>
      </c>
      <c r="E2157" t="s">
        <v>21</v>
      </c>
      <c r="F2157" t="s">
        <v>74</v>
      </c>
      <c r="G2157" s="9">
        <v>45368</v>
      </c>
      <c r="H2157" s="9">
        <v>45283</v>
      </c>
      <c r="I2157">
        <v>30</v>
      </c>
      <c r="J2157" t="s">
        <v>26</v>
      </c>
      <c r="K2157">
        <v>6</v>
      </c>
      <c r="L2157">
        <v>6</v>
      </c>
      <c r="M2157" s="11">
        <v>6690.27</v>
      </c>
      <c r="N2157" s="12">
        <v>9479.14</v>
      </c>
      <c r="O2157" s="12">
        <v>8955.3700000000008</v>
      </c>
    </row>
    <row r="2158" spans="1:15">
      <c r="A2158" t="s">
        <v>2332</v>
      </c>
      <c r="B2158" t="s">
        <v>328</v>
      </c>
      <c r="C2158" s="9">
        <v>21185</v>
      </c>
      <c r="D2158">
        <v>68</v>
      </c>
      <c r="E2158" t="s">
        <v>17</v>
      </c>
      <c r="F2158" t="s">
        <v>29</v>
      </c>
      <c r="G2158" s="9">
        <v>45561</v>
      </c>
      <c r="H2158" s="9">
        <v>45525</v>
      </c>
      <c r="I2158">
        <v>2</v>
      </c>
      <c r="J2158" t="s">
        <v>35</v>
      </c>
      <c r="K2158">
        <v>0</v>
      </c>
      <c r="L2158">
        <v>6</v>
      </c>
      <c r="M2158" s="11">
        <v>25018.71</v>
      </c>
      <c r="N2158" s="12">
        <v>1028.23</v>
      </c>
      <c r="O2158" s="12">
        <v>732.92</v>
      </c>
    </row>
    <row r="2159" spans="1:15">
      <c r="A2159" t="s">
        <v>2333</v>
      </c>
      <c r="B2159" t="s">
        <v>44</v>
      </c>
      <c r="C2159" s="9">
        <v>13515</v>
      </c>
      <c r="D2159">
        <v>89</v>
      </c>
      <c r="E2159" t="s">
        <v>17</v>
      </c>
      <c r="F2159" t="s">
        <v>5184</v>
      </c>
      <c r="G2159" s="9">
        <v>45385</v>
      </c>
      <c r="H2159" s="9">
        <v>45404</v>
      </c>
      <c r="I2159">
        <v>24</v>
      </c>
      <c r="J2159" t="s">
        <v>35</v>
      </c>
      <c r="K2159">
        <v>5</v>
      </c>
      <c r="L2159">
        <v>2</v>
      </c>
      <c r="M2159" s="11">
        <v>29982.57</v>
      </c>
      <c r="N2159" s="12">
        <v>13271.24</v>
      </c>
      <c r="O2159" s="12">
        <v>17889.77</v>
      </c>
    </row>
    <row r="2160" spans="1:15">
      <c r="A2160" t="s">
        <v>2334</v>
      </c>
      <c r="B2160" t="s">
        <v>300</v>
      </c>
      <c r="C2160" s="9">
        <v>23742</v>
      </c>
      <c r="D2160">
        <v>61</v>
      </c>
      <c r="E2160" t="s">
        <v>21</v>
      </c>
      <c r="F2160" t="s">
        <v>25</v>
      </c>
      <c r="G2160" s="9">
        <v>44951</v>
      </c>
      <c r="H2160" s="9">
        <v>44949</v>
      </c>
      <c r="I2160">
        <v>2</v>
      </c>
      <c r="J2160" t="s">
        <v>32</v>
      </c>
      <c r="K2160">
        <v>13</v>
      </c>
      <c r="L2160">
        <v>2</v>
      </c>
      <c r="M2160" s="11">
        <v>0</v>
      </c>
      <c r="N2160" s="12">
        <v>1265.81</v>
      </c>
      <c r="O2160" s="12">
        <v>2852.06</v>
      </c>
    </row>
    <row r="2161" spans="1:15">
      <c r="A2161" t="s">
        <v>2335</v>
      </c>
      <c r="B2161" t="s">
        <v>97</v>
      </c>
      <c r="C2161" s="9">
        <v>12785</v>
      </c>
      <c r="D2161">
        <v>91</v>
      </c>
      <c r="E2161" t="s">
        <v>21</v>
      </c>
      <c r="F2161" t="s">
        <v>18</v>
      </c>
      <c r="G2161" s="9">
        <v>45057</v>
      </c>
      <c r="H2161" s="9">
        <v>45258</v>
      </c>
      <c r="I2161">
        <v>27</v>
      </c>
      <c r="J2161" t="s">
        <v>26</v>
      </c>
      <c r="K2161">
        <v>9</v>
      </c>
      <c r="L2161">
        <v>9</v>
      </c>
      <c r="M2161" s="11">
        <v>27693.25</v>
      </c>
      <c r="N2161" s="12">
        <v>8968.65</v>
      </c>
      <c r="O2161" s="12">
        <v>16088.97</v>
      </c>
    </row>
    <row r="2162" spans="1:15">
      <c r="A2162" t="s">
        <v>2336</v>
      </c>
      <c r="B2162" t="s">
        <v>379</v>
      </c>
      <c r="C2162" s="9">
        <v>22281</v>
      </c>
      <c r="D2162">
        <v>65</v>
      </c>
      <c r="E2162" t="s">
        <v>21</v>
      </c>
      <c r="F2162" t="s">
        <v>18</v>
      </c>
      <c r="G2162" s="9">
        <v>45296</v>
      </c>
      <c r="H2162" s="9">
        <v>45219</v>
      </c>
      <c r="I2162">
        <v>20</v>
      </c>
      <c r="J2162" t="s">
        <v>32</v>
      </c>
      <c r="K2162">
        <v>0</v>
      </c>
      <c r="L2162">
        <v>9</v>
      </c>
      <c r="M2162" s="11">
        <v>29495.53</v>
      </c>
      <c r="N2162" s="12">
        <v>13942.99</v>
      </c>
      <c r="O2162" s="12">
        <v>18468.599999999999</v>
      </c>
    </row>
    <row r="2163" spans="1:15">
      <c r="A2163" t="s">
        <v>2337</v>
      </c>
      <c r="B2163" t="s">
        <v>444</v>
      </c>
      <c r="C2163" s="9">
        <v>23012</v>
      </c>
      <c r="D2163">
        <v>63</v>
      </c>
      <c r="E2163" t="s">
        <v>21</v>
      </c>
      <c r="F2163" t="s">
        <v>29</v>
      </c>
      <c r="G2163" s="9">
        <v>45362</v>
      </c>
      <c r="H2163" s="9">
        <v>45163</v>
      </c>
      <c r="I2163">
        <v>12</v>
      </c>
      <c r="J2163" t="s">
        <v>32</v>
      </c>
      <c r="K2163">
        <v>10</v>
      </c>
      <c r="L2163">
        <v>7</v>
      </c>
      <c r="M2163" s="11">
        <v>11566.21</v>
      </c>
      <c r="N2163" s="12">
        <v>936.34</v>
      </c>
      <c r="O2163" s="12">
        <v>8781.9500000000007</v>
      </c>
    </row>
    <row r="2164" spans="1:15">
      <c r="A2164" t="s">
        <v>2338</v>
      </c>
      <c r="B2164" t="s">
        <v>350</v>
      </c>
      <c r="C2164" s="9">
        <v>20820</v>
      </c>
      <c r="D2164">
        <v>69</v>
      </c>
      <c r="E2164" t="s">
        <v>21</v>
      </c>
      <c r="F2164" t="s">
        <v>74</v>
      </c>
      <c r="G2164" s="9">
        <v>45150</v>
      </c>
      <c r="H2164" s="9">
        <v>44956</v>
      </c>
      <c r="I2164">
        <v>33</v>
      </c>
      <c r="J2164" t="s">
        <v>32</v>
      </c>
      <c r="K2164">
        <v>9</v>
      </c>
      <c r="L2164">
        <v>2</v>
      </c>
      <c r="M2164" s="11">
        <v>21346.67</v>
      </c>
      <c r="N2164" s="12">
        <v>5746.57</v>
      </c>
      <c r="O2164" s="12">
        <v>7726.15</v>
      </c>
    </row>
    <row r="2165" spans="1:15">
      <c r="A2165" t="s">
        <v>2339</v>
      </c>
      <c r="B2165" t="s">
        <v>469</v>
      </c>
      <c r="C2165" s="9">
        <f>DATE(2026-D2125,1,1)</f>
        <v>15342</v>
      </c>
      <c r="D2165">
        <v>62</v>
      </c>
      <c r="E2165" t="s">
        <v>5185</v>
      </c>
      <c r="F2165" t="s">
        <v>25</v>
      </c>
      <c r="G2165" s="9">
        <v>45537</v>
      </c>
      <c r="H2165" s="9">
        <v>45622</v>
      </c>
      <c r="I2165">
        <v>16</v>
      </c>
      <c r="J2165" t="s">
        <v>32</v>
      </c>
      <c r="K2165">
        <v>12</v>
      </c>
      <c r="L2165">
        <v>1</v>
      </c>
      <c r="M2165" s="11">
        <v>17223.32</v>
      </c>
      <c r="N2165" s="12">
        <v>4919.1899999999996</v>
      </c>
      <c r="O2165" s="12">
        <v>11962.37</v>
      </c>
    </row>
    <row r="2166" spans="1:15">
      <c r="A2166" t="s">
        <v>2340</v>
      </c>
      <c r="B2166" t="s">
        <v>240</v>
      </c>
      <c r="C2166" s="9">
        <v>19724</v>
      </c>
      <c r="D2166">
        <v>72</v>
      </c>
      <c r="E2166" t="s">
        <v>17</v>
      </c>
      <c r="F2166" t="s">
        <v>18</v>
      </c>
      <c r="G2166" s="9">
        <v>45278</v>
      </c>
      <c r="H2166" s="9">
        <v>45087</v>
      </c>
      <c r="I2166">
        <v>27</v>
      </c>
      <c r="J2166" t="s">
        <v>32</v>
      </c>
      <c r="K2166">
        <v>12</v>
      </c>
      <c r="L2166">
        <v>4</v>
      </c>
      <c r="M2166" s="11">
        <v>21526.91</v>
      </c>
      <c r="N2166" s="12">
        <v>5163.13</v>
      </c>
      <c r="O2166" s="12">
        <v>14780.63</v>
      </c>
    </row>
    <row r="2167" spans="1:15">
      <c r="A2167" t="s">
        <v>2341</v>
      </c>
      <c r="B2167" t="s">
        <v>100</v>
      </c>
      <c r="C2167" s="9">
        <v>34334</v>
      </c>
      <c r="D2167">
        <v>32</v>
      </c>
      <c r="E2167" t="s">
        <v>17</v>
      </c>
      <c r="F2167" t="s">
        <v>18</v>
      </c>
      <c r="G2167" s="9">
        <v>45411</v>
      </c>
      <c r="H2167" s="9">
        <v>45457</v>
      </c>
      <c r="I2167">
        <v>13</v>
      </c>
      <c r="J2167" t="s">
        <v>26</v>
      </c>
      <c r="K2167">
        <v>3</v>
      </c>
      <c r="L2167">
        <v>6</v>
      </c>
      <c r="M2167" s="11">
        <v>4201.66</v>
      </c>
      <c r="N2167" s="12">
        <v>9004.67</v>
      </c>
      <c r="O2167" s="12">
        <v>12876.76</v>
      </c>
    </row>
    <row r="2168" spans="1:15">
      <c r="A2168" t="s">
        <v>2342</v>
      </c>
      <c r="B2168" t="s">
        <v>309</v>
      </c>
      <c r="C2168" s="9">
        <v>31412</v>
      </c>
      <c r="D2168">
        <v>40</v>
      </c>
      <c r="E2168" t="s">
        <v>17</v>
      </c>
      <c r="F2168" t="s">
        <v>74</v>
      </c>
      <c r="G2168" s="9">
        <v>45123</v>
      </c>
      <c r="H2168" s="9">
        <v>45477</v>
      </c>
      <c r="I2168">
        <v>15</v>
      </c>
      <c r="J2168" t="s">
        <v>26</v>
      </c>
      <c r="K2168">
        <v>8</v>
      </c>
      <c r="L2168">
        <v>7</v>
      </c>
      <c r="M2168" s="11">
        <v>10684.96</v>
      </c>
      <c r="N2168" s="12">
        <v>3931.55</v>
      </c>
      <c r="O2168" s="12">
        <v>76.790000000000006</v>
      </c>
    </row>
    <row r="2169" spans="1:15">
      <c r="A2169" t="s">
        <v>2343</v>
      </c>
      <c r="B2169" t="s">
        <v>65</v>
      </c>
      <c r="C2169" s="9">
        <v>13880</v>
      </c>
      <c r="D2169">
        <v>88</v>
      </c>
      <c r="E2169" t="s">
        <v>17</v>
      </c>
      <c r="F2169" t="s">
        <v>29</v>
      </c>
      <c r="G2169" s="9">
        <v>45035</v>
      </c>
      <c r="H2169" s="9">
        <v>45028</v>
      </c>
      <c r="I2169">
        <v>23</v>
      </c>
      <c r="J2169" t="s">
        <v>26</v>
      </c>
      <c r="K2169">
        <v>14</v>
      </c>
      <c r="L2169">
        <v>0</v>
      </c>
      <c r="M2169" s="11">
        <v>1415.34</v>
      </c>
      <c r="N2169" s="12">
        <v>409.84</v>
      </c>
      <c r="O2169" s="12">
        <v>15697.3</v>
      </c>
    </row>
    <row r="2170" spans="1:15">
      <c r="A2170" t="s">
        <v>2344</v>
      </c>
      <c r="B2170" t="s">
        <v>105</v>
      </c>
      <c r="C2170" s="9">
        <v>28856</v>
      </c>
      <c r="D2170">
        <v>47</v>
      </c>
      <c r="E2170" t="s">
        <v>17</v>
      </c>
      <c r="F2170" t="s">
        <v>49</v>
      </c>
      <c r="G2170" s="9">
        <v>45146</v>
      </c>
      <c r="H2170" s="9">
        <v>45217</v>
      </c>
      <c r="I2170">
        <v>14</v>
      </c>
      <c r="J2170" t="s">
        <v>26</v>
      </c>
      <c r="K2170">
        <v>14</v>
      </c>
      <c r="L2170">
        <v>1</v>
      </c>
      <c r="M2170" s="11">
        <v>18203.09</v>
      </c>
      <c r="N2170" s="12">
        <v>14434.13</v>
      </c>
      <c r="O2170" s="12">
        <v>2862.5</v>
      </c>
    </row>
    <row r="2171" spans="1:15">
      <c r="A2171" t="s">
        <v>2345</v>
      </c>
      <c r="B2171" t="s">
        <v>302</v>
      </c>
      <c r="C2171" s="9">
        <v>41639</v>
      </c>
      <c r="D2171">
        <v>12</v>
      </c>
      <c r="E2171" t="s">
        <v>17</v>
      </c>
      <c r="F2171" t="s">
        <v>5184</v>
      </c>
      <c r="G2171" s="9">
        <v>45646</v>
      </c>
      <c r="H2171" s="9">
        <v>45304</v>
      </c>
      <c r="I2171">
        <v>8</v>
      </c>
      <c r="J2171" t="s">
        <v>32</v>
      </c>
      <c r="K2171">
        <v>5</v>
      </c>
      <c r="L2171">
        <v>6</v>
      </c>
      <c r="M2171" s="11">
        <v>27764.240000000002</v>
      </c>
      <c r="N2171" s="12">
        <v>11231.64</v>
      </c>
      <c r="O2171" s="12">
        <v>8938.49</v>
      </c>
    </row>
    <row r="2172" spans="1:15">
      <c r="A2172" t="s">
        <v>2346</v>
      </c>
      <c r="B2172" t="s">
        <v>300</v>
      </c>
      <c r="C2172" s="9">
        <v>19724</v>
      </c>
      <c r="D2172">
        <v>72</v>
      </c>
      <c r="E2172" t="s">
        <v>21</v>
      </c>
      <c r="F2172" t="s">
        <v>22</v>
      </c>
      <c r="G2172" s="9">
        <v>45245</v>
      </c>
      <c r="H2172" s="9">
        <v>45100</v>
      </c>
      <c r="I2172">
        <v>26</v>
      </c>
      <c r="J2172" t="s">
        <v>32</v>
      </c>
      <c r="K2172">
        <v>4</v>
      </c>
      <c r="L2172">
        <v>8</v>
      </c>
      <c r="M2172" s="11">
        <v>16588.64</v>
      </c>
      <c r="N2172" s="12">
        <v>2026.91</v>
      </c>
      <c r="O2172" s="12">
        <v>5575.37</v>
      </c>
    </row>
    <row r="2173" spans="1:15">
      <c r="A2173" t="s">
        <v>2347</v>
      </c>
      <c r="B2173" t="s">
        <v>153</v>
      </c>
      <c r="C2173" s="9">
        <v>18263</v>
      </c>
      <c r="D2173">
        <f ca="1">DATEDIF(C2124,TODAY(),"Y")</f>
        <v>7</v>
      </c>
      <c r="E2173" t="s">
        <v>17</v>
      </c>
      <c r="F2173" t="s">
        <v>5184</v>
      </c>
      <c r="G2173" s="9">
        <v>45008</v>
      </c>
      <c r="H2173" s="9">
        <v>45270</v>
      </c>
      <c r="I2173">
        <v>6</v>
      </c>
      <c r="J2173" t="s">
        <v>32</v>
      </c>
      <c r="K2173">
        <v>12</v>
      </c>
      <c r="L2173">
        <v>2</v>
      </c>
      <c r="M2173" s="11">
        <v>1645.11</v>
      </c>
      <c r="N2173" s="12">
        <v>6827.35</v>
      </c>
      <c r="O2173" s="12">
        <v>18550.939999999999</v>
      </c>
    </row>
    <row r="2174" spans="1:15">
      <c r="A2174" t="s">
        <v>2348</v>
      </c>
      <c r="B2174" t="s">
        <v>41</v>
      </c>
      <c r="C2174" s="9">
        <v>35065</v>
      </c>
      <c r="D2174">
        <v>30</v>
      </c>
      <c r="E2174" t="s">
        <v>17</v>
      </c>
      <c r="F2174" t="s">
        <v>25</v>
      </c>
      <c r="G2174" s="9">
        <v>45463</v>
      </c>
      <c r="H2174" s="9">
        <v>45805</v>
      </c>
      <c r="I2174">
        <v>14</v>
      </c>
      <c r="J2174" t="s">
        <v>32</v>
      </c>
      <c r="K2174">
        <v>11</v>
      </c>
      <c r="L2174">
        <v>7</v>
      </c>
      <c r="M2174" s="11">
        <v>27876.51</v>
      </c>
      <c r="N2174" s="12">
        <v>940.83</v>
      </c>
      <c r="O2174" s="12">
        <v>9992.3700000000008</v>
      </c>
    </row>
    <row r="2175" spans="1:15">
      <c r="A2175" t="s">
        <v>2349</v>
      </c>
      <c r="B2175" t="s">
        <v>115</v>
      </c>
      <c r="C2175" s="9">
        <v>18994</v>
      </c>
      <c r="D2175">
        <v>74</v>
      </c>
      <c r="E2175" t="s">
        <v>17</v>
      </c>
      <c r="F2175" t="s">
        <v>18</v>
      </c>
      <c r="G2175" s="9">
        <v>45624</v>
      </c>
      <c r="H2175" s="9">
        <v>45506</v>
      </c>
      <c r="I2175">
        <v>24</v>
      </c>
      <c r="J2175" t="s">
        <v>32</v>
      </c>
      <c r="K2175">
        <v>3</v>
      </c>
      <c r="L2175">
        <v>9</v>
      </c>
      <c r="M2175" s="11">
        <v>3555.43</v>
      </c>
      <c r="N2175" s="12">
        <v>417.84</v>
      </c>
      <c r="O2175" s="12">
        <v>10395.43</v>
      </c>
    </row>
    <row r="2176" spans="1:15">
      <c r="A2176" t="s">
        <v>2350</v>
      </c>
      <c r="B2176" t="s">
        <v>95</v>
      </c>
      <c r="C2176" s="9">
        <v>21551</v>
      </c>
      <c r="D2176">
        <v>67</v>
      </c>
      <c r="E2176" t="s">
        <v>5185</v>
      </c>
      <c r="F2176" t="s">
        <v>22</v>
      </c>
      <c r="G2176" s="9">
        <v>45358</v>
      </c>
      <c r="H2176" s="9">
        <v>45118</v>
      </c>
      <c r="I2176">
        <v>34</v>
      </c>
      <c r="J2176" t="s">
        <v>35</v>
      </c>
      <c r="K2176">
        <v>4</v>
      </c>
      <c r="L2176">
        <v>2</v>
      </c>
      <c r="M2176" s="11">
        <v>26429.71</v>
      </c>
      <c r="N2176" s="12">
        <v>712.68</v>
      </c>
      <c r="O2176" s="12">
        <v>1430.55</v>
      </c>
    </row>
    <row r="2177" spans="1:15">
      <c r="A2177" t="s">
        <v>2351</v>
      </c>
      <c r="B2177" t="s">
        <v>139</v>
      </c>
      <c r="C2177" s="9">
        <v>44927</v>
      </c>
      <c r="D2177">
        <v>3</v>
      </c>
      <c r="E2177" t="s">
        <v>21</v>
      </c>
      <c r="F2177" t="s">
        <v>22</v>
      </c>
      <c r="G2177" s="9">
        <v>44934</v>
      </c>
      <c r="H2177" s="9">
        <v>45366</v>
      </c>
      <c r="I2177">
        <v>19</v>
      </c>
      <c r="J2177" t="s">
        <v>26</v>
      </c>
      <c r="K2177">
        <v>0</v>
      </c>
      <c r="L2177">
        <v>3</v>
      </c>
      <c r="M2177" s="11">
        <v>21283.93</v>
      </c>
      <c r="N2177" s="12">
        <v>11336.67</v>
      </c>
      <c r="O2177" s="12">
        <v>17936.96</v>
      </c>
    </row>
    <row r="2178" spans="1:15">
      <c r="A2178" t="s">
        <v>2352</v>
      </c>
      <c r="B2178" t="s">
        <v>78</v>
      </c>
      <c r="C2178" s="9">
        <v>39448</v>
      </c>
      <c r="D2178">
        <v>18</v>
      </c>
      <c r="E2178" t="s">
        <v>17</v>
      </c>
      <c r="F2178" t="s">
        <v>49</v>
      </c>
      <c r="G2178" s="9">
        <v>45562</v>
      </c>
      <c r="H2178" s="9">
        <v>45482</v>
      </c>
      <c r="I2178">
        <v>5</v>
      </c>
      <c r="J2178" t="s">
        <v>32</v>
      </c>
      <c r="K2178">
        <v>8</v>
      </c>
      <c r="L2178">
        <v>1</v>
      </c>
      <c r="M2178" s="11">
        <v>18909.22</v>
      </c>
      <c r="N2178" s="12">
        <v>6673.86</v>
      </c>
      <c r="O2178" s="12">
        <v>4704.45</v>
      </c>
    </row>
    <row r="2179" spans="1:15">
      <c r="A2179" t="s">
        <v>2353</v>
      </c>
      <c r="B2179" t="s">
        <v>108</v>
      </c>
      <c r="C2179" s="9">
        <v>20820</v>
      </c>
      <c r="D2179">
        <f t="shared" ref="D2179:D2180" ca="1" si="10">DATEDIF(C2130,TODAY(),"Y")</f>
        <v>85</v>
      </c>
      <c r="E2179" t="s">
        <v>21</v>
      </c>
      <c r="F2179" t="s">
        <v>22</v>
      </c>
      <c r="G2179" s="9">
        <v>45075</v>
      </c>
      <c r="H2179" s="9">
        <v>45562</v>
      </c>
      <c r="I2179">
        <v>0</v>
      </c>
      <c r="J2179" t="s">
        <v>32</v>
      </c>
      <c r="K2179">
        <v>1</v>
      </c>
      <c r="L2179">
        <v>8</v>
      </c>
      <c r="M2179" s="11">
        <v>17398.849999999999</v>
      </c>
      <c r="N2179" s="12">
        <v>12665.95</v>
      </c>
      <c r="O2179" s="12">
        <v>8220.5499999999993</v>
      </c>
    </row>
    <row r="2180" spans="1:15">
      <c r="A2180" t="s">
        <v>2354</v>
      </c>
      <c r="B2180" t="s">
        <v>115</v>
      </c>
      <c r="C2180" s="9">
        <v>16437</v>
      </c>
      <c r="D2180">
        <f t="shared" ca="1" si="10"/>
        <v>46</v>
      </c>
      <c r="E2180" t="s">
        <v>17</v>
      </c>
      <c r="F2180" t="s">
        <v>74</v>
      </c>
      <c r="G2180" s="9">
        <v>45024</v>
      </c>
      <c r="H2180" s="9">
        <v>45717</v>
      </c>
      <c r="I2180">
        <v>35</v>
      </c>
      <c r="J2180" t="s">
        <v>26</v>
      </c>
      <c r="K2180">
        <v>1</v>
      </c>
      <c r="L2180">
        <v>4</v>
      </c>
      <c r="M2180" s="11">
        <v>3500.05</v>
      </c>
      <c r="N2180" s="12">
        <v>4578.2299999999996</v>
      </c>
      <c r="O2180" s="12">
        <v>19704.419999999998</v>
      </c>
    </row>
    <row r="2181" spans="1:15">
      <c r="A2181" t="s">
        <v>2355</v>
      </c>
      <c r="B2181" t="s">
        <v>275</v>
      </c>
      <c r="C2181" s="9">
        <v>41639</v>
      </c>
      <c r="D2181">
        <v>12</v>
      </c>
      <c r="E2181" t="s">
        <v>21</v>
      </c>
      <c r="F2181" t="s">
        <v>29</v>
      </c>
      <c r="G2181" s="9">
        <v>45654</v>
      </c>
      <c r="H2181" s="9">
        <v>45270</v>
      </c>
      <c r="I2181">
        <v>32</v>
      </c>
      <c r="J2181" t="s">
        <v>26</v>
      </c>
      <c r="K2181">
        <v>6</v>
      </c>
      <c r="L2181">
        <v>4</v>
      </c>
      <c r="M2181" s="11">
        <v>14775.73</v>
      </c>
      <c r="N2181" s="12">
        <v>11629.83</v>
      </c>
      <c r="O2181" s="12">
        <v>2189.29</v>
      </c>
    </row>
    <row r="2182" spans="1:15">
      <c r="A2182" t="s">
        <v>2356</v>
      </c>
      <c r="B2182" t="s">
        <v>157</v>
      </c>
      <c r="C2182" s="9">
        <v>37987</v>
      </c>
      <c r="D2182">
        <v>22</v>
      </c>
      <c r="E2182" t="s">
        <v>21</v>
      </c>
      <c r="F2182" t="s">
        <v>25</v>
      </c>
      <c r="G2182" s="9">
        <v>45027</v>
      </c>
      <c r="H2182" s="9">
        <v>45635</v>
      </c>
      <c r="I2182">
        <v>29</v>
      </c>
      <c r="J2182" t="s">
        <v>32</v>
      </c>
      <c r="K2182">
        <v>1</v>
      </c>
      <c r="L2182">
        <v>3</v>
      </c>
      <c r="M2182" s="11">
        <v>5499.14</v>
      </c>
      <c r="N2182" s="12">
        <v>1169.02</v>
      </c>
      <c r="O2182" s="12">
        <v>14342.41</v>
      </c>
    </row>
    <row r="2183" spans="1:15">
      <c r="A2183" t="s">
        <v>2357</v>
      </c>
      <c r="B2183" t="s">
        <v>194</v>
      </c>
      <c r="C2183" s="9">
        <v>16072</v>
      </c>
      <c r="D2183">
        <v>82</v>
      </c>
      <c r="E2183" t="s">
        <v>21</v>
      </c>
      <c r="F2183" t="s">
        <v>74</v>
      </c>
      <c r="G2183" s="9">
        <v>45656</v>
      </c>
      <c r="H2183" s="9">
        <v>45772</v>
      </c>
      <c r="I2183">
        <v>5</v>
      </c>
      <c r="J2183" t="s">
        <v>35</v>
      </c>
      <c r="K2183">
        <v>13</v>
      </c>
      <c r="L2183">
        <v>4</v>
      </c>
      <c r="M2183" s="11">
        <v>16939.41</v>
      </c>
      <c r="N2183" s="12">
        <v>9526.6200000000008</v>
      </c>
      <c r="O2183" s="12">
        <v>5128.7</v>
      </c>
    </row>
    <row r="2184" spans="1:15">
      <c r="A2184" t="s">
        <v>2358</v>
      </c>
      <c r="B2184" t="s">
        <v>289</v>
      </c>
      <c r="C2184" s="9">
        <v>18994</v>
      </c>
      <c r="D2184">
        <v>74</v>
      </c>
      <c r="E2184" t="s">
        <v>17</v>
      </c>
      <c r="F2184" t="s">
        <v>29</v>
      </c>
      <c r="G2184" s="9">
        <v>45293</v>
      </c>
      <c r="H2184" s="9">
        <v>45052</v>
      </c>
      <c r="I2184">
        <v>24</v>
      </c>
      <c r="J2184" t="s">
        <v>35</v>
      </c>
      <c r="K2184">
        <v>9</v>
      </c>
      <c r="L2184">
        <v>0</v>
      </c>
      <c r="M2184" s="11">
        <v>13143.98</v>
      </c>
      <c r="N2184" s="12">
        <v>5409.03</v>
      </c>
      <c r="O2184" s="12">
        <v>8337.7800000000007</v>
      </c>
    </row>
    <row r="2185" spans="1:15">
      <c r="A2185" t="s">
        <v>2359</v>
      </c>
      <c r="B2185" t="s">
        <v>490</v>
      </c>
      <c r="C2185" s="9">
        <v>46022</v>
      </c>
      <c r="D2185">
        <v>0</v>
      </c>
      <c r="E2185" t="s">
        <v>21</v>
      </c>
      <c r="F2185" t="s">
        <v>74</v>
      </c>
      <c r="G2185" s="9">
        <v>45388</v>
      </c>
      <c r="H2185" s="9">
        <v>45535</v>
      </c>
      <c r="I2185">
        <v>29</v>
      </c>
      <c r="J2185" t="s">
        <v>32</v>
      </c>
      <c r="K2185">
        <v>1</v>
      </c>
      <c r="L2185">
        <v>9</v>
      </c>
      <c r="M2185" s="11">
        <v>20230.099999999999</v>
      </c>
      <c r="N2185" s="12">
        <v>4150.87</v>
      </c>
      <c r="O2185" s="12">
        <v>8305.68</v>
      </c>
    </row>
    <row r="2186" spans="1:15">
      <c r="A2186" t="s">
        <v>2360</v>
      </c>
      <c r="B2186" t="s">
        <v>37</v>
      </c>
      <c r="C2186" s="9">
        <v>14246</v>
      </c>
      <c r="D2186">
        <v>87</v>
      </c>
      <c r="E2186" t="s">
        <v>17</v>
      </c>
      <c r="F2186" t="s">
        <v>18</v>
      </c>
      <c r="G2186" s="9">
        <v>45340</v>
      </c>
      <c r="H2186" s="9">
        <v>45817</v>
      </c>
      <c r="I2186">
        <v>33</v>
      </c>
      <c r="J2186" t="s">
        <v>32</v>
      </c>
      <c r="K2186">
        <v>7</v>
      </c>
      <c r="L2186">
        <v>9</v>
      </c>
      <c r="M2186" s="11">
        <v>29466.16</v>
      </c>
      <c r="N2186" s="12">
        <v>12226.64</v>
      </c>
      <c r="O2186" s="12">
        <v>18637.88</v>
      </c>
    </row>
    <row r="2187" spans="1:15">
      <c r="A2187" t="s">
        <v>2361</v>
      </c>
      <c r="B2187" t="s">
        <v>31</v>
      </c>
      <c r="C2187" s="9">
        <v>26664</v>
      </c>
      <c r="D2187">
        <v>53</v>
      </c>
      <c r="E2187" t="s">
        <v>21</v>
      </c>
      <c r="F2187" t="s">
        <v>18</v>
      </c>
      <c r="G2187" s="9">
        <v>45185</v>
      </c>
      <c r="H2187" s="9">
        <v>45596</v>
      </c>
      <c r="I2187">
        <v>31</v>
      </c>
      <c r="J2187" t="s">
        <v>32</v>
      </c>
      <c r="K2187">
        <v>11</v>
      </c>
      <c r="L2187">
        <v>5</v>
      </c>
      <c r="M2187" s="11">
        <v>10510.97</v>
      </c>
      <c r="N2187" s="12">
        <v>778.83</v>
      </c>
      <c r="O2187" s="12">
        <v>108.28</v>
      </c>
    </row>
    <row r="2188" spans="1:15">
      <c r="A2188" t="s">
        <v>2362</v>
      </c>
      <c r="B2188" t="s">
        <v>619</v>
      </c>
      <c r="C2188" s="9">
        <v>20455</v>
      </c>
      <c r="D2188">
        <v>70</v>
      </c>
      <c r="E2188" t="s">
        <v>17</v>
      </c>
      <c r="F2188" t="s">
        <v>49</v>
      </c>
      <c r="G2188" s="9">
        <v>45282</v>
      </c>
      <c r="H2188" s="9">
        <v>45479</v>
      </c>
      <c r="I2188">
        <v>22</v>
      </c>
      <c r="J2188" t="s">
        <v>35</v>
      </c>
      <c r="K2188">
        <v>4</v>
      </c>
      <c r="L2188">
        <v>3</v>
      </c>
      <c r="M2188" s="11">
        <v>18309.759999999998</v>
      </c>
      <c r="N2188" s="12">
        <v>14242.97</v>
      </c>
      <c r="O2188" s="12">
        <v>7280.8</v>
      </c>
    </row>
    <row r="2189" spans="1:15">
      <c r="A2189" t="s">
        <v>2363</v>
      </c>
      <c r="B2189" t="s">
        <v>302</v>
      </c>
      <c r="C2189" s="9">
        <v>13880</v>
      </c>
      <c r="D2189">
        <v>88</v>
      </c>
      <c r="E2189" t="s">
        <v>17</v>
      </c>
      <c r="F2189" t="s">
        <v>74</v>
      </c>
      <c r="G2189" s="9">
        <v>44937</v>
      </c>
      <c r="H2189" s="9">
        <v>45287</v>
      </c>
      <c r="I2189">
        <v>28</v>
      </c>
      <c r="J2189" t="s">
        <v>32</v>
      </c>
      <c r="K2189">
        <v>2</v>
      </c>
      <c r="L2189">
        <v>3</v>
      </c>
      <c r="M2189" s="11">
        <v>25864.41</v>
      </c>
      <c r="N2189" s="12">
        <v>11783.18</v>
      </c>
      <c r="O2189" s="12">
        <v>17033.71</v>
      </c>
    </row>
    <row r="2190" spans="1:15">
      <c r="A2190" t="s">
        <v>2364</v>
      </c>
      <c r="B2190" t="s">
        <v>61</v>
      </c>
      <c r="C2190" s="9">
        <v>15341</v>
      </c>
      <c r="D2190">
        <v>84</v>
      </c>
      <c r="E2190" t="s">
        <v>21</v>
      </c>
      <c r="F2190" t="s">
        <v>5184</v>
      </c>
      <c r="G2190" s="9">
        <v>45342</v>
      </c>
      <c r="H2190" s="9">
        <v>45430</v>
      </c>
      <c r="I2190">
        <v>39</v>
      </c>
      <c r="J2190" t="s">
        <v>32</v>
      </c>
      <c r="K2190">
        <v>2</v>
      </c>
      <c r="L2190">
        <v>4</v>
      </c>
      <c r="M2190" s="11">
        <v>2334.2600000000002</v>
      </c>
      <c r="N2190" s="12">
        <v>5334.14</v>
      </c>
      <c r="O2190" s="12">
        <v>18201.29</v>
      </c>
    </row>
    <row r="2191" spans="1:15">
      <c r="A2191" t="s">
        <v>2365</v>
      </c>
      <c r="B2191" t="s">
        <v>137</v>
      </c>
      <c r="C2191" s="9">
        <v>40909</v>
      </c>
      <c r="D2191">
        <v>14</v>
      </c>
      <c r="E2191" t="s">
        <v>21</v>
      </c>
      <c r="F2191" t="s">
        <v>22</v>
      </c>
      <c r="G2191" s="9">
        <v>45497</v>
      </c>
      <c r="H2191" s="9">
        <v>45100</v>
      </c>
      <c r="I2191">
        <v>10</v>
      </c>
      <c r="J2191" t="s">
        <v>35</v>
      </c>
      <c r="K2191">
        <v>5</v>
      </c>
      <c r="L2191">
        <v>0</v>
      </c>
      <c r="M2191" s="11">
        <v>23907.5</v>
      </c>
      <c r="N2191" s="12">
        <v>14869.99</v>
      </c>
      <c r="O2191" s="12">
        <v>6157.62</v>
      </c>
    </row>
    <row r="2192" spans="1:15">
      <c r="A2192" t="s">
        <v>2366</v>
      </c>
      <c r="B2192" t="s">
        <v>159</v>
      </c>
      <c r="C2192" s="9">
        <v>22646</v>
      </c>
      <c r="D2192">
        <v>64</v>
      </c>
      <c r="E2192" t="s">
        <v>17</v>
      </c>
      <c r="F2192" t="s">
        <v>18</v>
      </c>
      <c r="G2192" s="9">
        <v>45176</v>
      </c>
      <c r="H2192" s="9">
        <v>45814</v>
      </c>
      <c r="I2192">
        <v>12</v>
      </c>
      <c r="J2192" t="s">
        <v>26</v>
      </c>
      <c r="K2192">
        <v>4</v>
      </c>
      <c r="L2192">
        <v>3</v>
      </c>
      <c r="M2192" s="11">
        <v>6802.46</v>
      </c>
      <c r="N2192" s="12">
        <v>3037.34</v>
      </c>
      <c r="O2192" s="12">
        <v>4763.29</v>
      </c>
    </row>
    <row r="2193" spans="1:15">
      <c r="A2193" t="s">
        <v>2367</v>
      </c>
      <c r="B2193" t="s">
        <v>273</v>
      </c>
      <c r="C2193" s="9">
        <v>18629</v>
      </c>
      <c r="D2193">
        <f ca="1">DATEDIF(C2144,TODAY(),"Y")</f>
        <v>75</v>
      </c>
      <c r="E2193" t="s">
        <v>17</v>
      </c>
      <c r="F2193" t="s">
        <v>29</v>
      </c>
      <c r="G2193" s="9">
        <v>45578</v>
      </c>
      <c r="H2193" s="9">
        <v>45321</v>
      </c>
      <c r="I2193">
        <v>10</v>
      </c>
      <c r="J2193" t="s">
        <v>26</v>
      </c>
      <c r="K2193">
        <v>0</v>
      </c>
      <c r="L2193">
        <v>9</v>
      </c>
      <c r="M2193" s="11">
        <v>15978.42</v>
      </c>
      <c r="N2193" s="12">
        <v>6036.21</v>
      </c>
      <c r="O2193" s="12">
        <v>9171.52</v>
      </c>
    </row>
    <row r="2194" spans="1:15">
      <c r="A2194" t="s">
        <v>2368</v>
      </c>
      <c r="B2194" t="s">
        <v>444</v>
      </c>
      <c r="C2194" s="9">
        <v>20455</v>
      </c>
      <c r="D2194">
        <v>70</v>
      </c>
      <c r="E2194" t="s">
        <v>17</v>
      </c>
      <c r="F2194" t="s">
        <v>49</v>
      </c>
      <c r="G2194" s="9">
        <v>45476</v>
      </c>
      <c r="H2194" s="9">
        <v>45388</v>
      </c>
      <c r="I2194">
        <v>30</v>
      </c>
      <c r="J2194" t="s">
        <v>35</v>
      </c>
      <c r="K2194">
        <v>7</v>
      </c>
      <c r="L2194">
        <v>2</v>
      </c>
      <c r="M2194" s="11">
        <v>29740.79</v>
      </c>
      <c r="N2194" s="12">
        <v>13273.19</v>
      </c>
      <c r="O2194" s="12">
        <v>14891.38</v>
      </c>
    </row>
    <row r="2195" spans="1:15">
      <c r="A2195" t="s">
        <v>2369</v>
      </c>
      <c r="B2195" t="s">
        <v>264</v>
      </c>
      <c r="C2195" s="9">
        <v>40909</v>
      </c>
      <c r="D2195">
        <v>14</v>
      </c>
      <c r="E2195" t="s">
        <v>21</v>
      </c>
      <c r="F2195" t="s">
        <v>22</v>
      </c>
      <c r="G2195" s="9">
        <v>45048</v>
      </c>
      <c r="H2195" s="9">
        <v>45612</v>
      </c>
      <c r="I2195">
        <v>28</v>
      </c>
      <c r="J2195" t="s">
        <v>26</v>
      </c>
      <c r="K2195">
        <v>0</v>
      </c>
      <c r="L2195">
        <v>4</v>
      </c>
      <c r="M2195" s="11">
        <v>29513.59</v>
      </c>
      <c r="N2195" s="12">
        <v>14952.11</v>
      </c>
      <c r="O2195" s="12">
        <v>2996.18</v>
      </c>
    </row>
    <row r="2196" spans="1:15">
      <c r="A2196" t="s">
        <v>2370</v>
      </c>
      <c r="B2196" t="s">
        <v>51</v>
      </c>
      <c r="C2196" s="9">
        <v>38717</v>
      </c>
      <c r="D2196">
        <v>20</v>
      </c>
      <c r="E2196" t="s">
        <v>17</v>
      </c>
      <c r="F2196" t="s">
        <v>25</v>
      </c>
      <c r="G2196" s="9">
        <v>44991</v>
      </c>
      <c r="H2196" s="9">
        <v>45047</v>
      </c>
      <c r="I2196">
        <v>22</v>
      </c>
      <c r="J2196" t="s">
        <v>32</v>
      </c>
      <c r="K2196">
        <v>6</v>
      </c>
      <c r="L2196">
        <v>9</v>
      </c>
      <c r="M2196" s="11">
        <v>9131.83</v>
      </c>
      <c r="N2196" s="12">
        <v>3586.69</v>
      </c>
      <c r="O2196" s="12">
        <v>15667.78</v>
      </c>
    </row>
    <row r="2197" spans="1:15">
      <c r="A2197" t="s">
        <v>2371</v>
      </c>
      <c r="B2197" t="s">
        <v>379</v>
      </c>
      <c r="C2197" s="9">
        <v>39448</v>
      </c>
      <c r="D2197">
        <v>18</v>
      </c>
      <c r="E2197" t="s">
        <v>5185</v>
      </c>
      <c r="F2197" t="s">
        <v>74</v>
      </c>
      <c r="G2197" s="9">
        <v>45584</v>
      </c>
      <c r="H2197" s="9">
        <v>45200</v>
      </c>
      <c r="I2197">
        <v>37</v>
      </c>
      <c r="J2197" t="s">
        <v>26</v>
      </c>
      <c r="K2197">
        <v>2</v>
      </c>
      <c r="L2197">
        <v>4</v>
      </c>
      <c r="M2197" s="11">
        <v>3518.77</v>
      </c>
      <c r="N2197" s="12">
        <v>11146.7</v>
      </c>
      <c r="O2197" s="12">
        <v>10204.719999999999</v>
      </c>
    </row>
    <row r="2198" spans="1:15">
      <c r="A2198" t="s">
        <v>2372</v>
      </c>
      <c r="B2198" t="s">
        <v>103</v>
      </c>
      <c r="C2198" s="9">
        <v>24473</v>
      </c>
      <c r="D2198">
        <v>59</v>
      </c>
      <c r="E2198" t="s">
        <v>21</v>
      </c>
      <c r="F2198" t="s">
        <v>5184</v>
      </c>
      <c r="G2198" s="9">
        <v>45228</v>
      </c>
      <c r="H2198" s="9">
        <v>45285</v>
      </c>
      <c r="I2198">
        <v>20</v>
      </c>
      <c r="J2198" t="s">
        <v>35</v>
      </c>
      <c r="K2198">
        <v>8</v>
      </c>
      <c r="L2198">
        <v>7</v>
      </c>
      <c r="M2198" s="11">
        <v>28114.639999999999</v>
      </c>
      <c r="N2198" s="12">
        <v>4585.9399999999996</v>
      </c>
      <c r="O2198" s="12">
        <v>2730.19</v>
      </c>
    </row>
    <row r="2199" spans="1:15">
      <c r="A2199" t="s">
        <v>2373</v>
      </c>
      <c r="B2199" t="s">
        <v>151</v>
      </c>
      <c r="C2199" s="9">
        <v>12419</v>
      </c>
      <c r="D2199">
        <v>92</v>
      </c>
      <c r="E2199" t="s">
        <v>21</v>
      </c>
      <c r="F2199" t="s">
        <v>18</v>
      </c>
      <c r="G2199" s="9">
        <v>45051</v>
      </c>
      <c r="H2199" s="9">
        <v>45313</v>
      </c>
      <c r="I2199">
        <v>35</v>
      </c>
      <c r="J2199" t="s">
        <v>32</v>
      </c>
      <c r="K2199">
        <v>1</v>
      </c>
      <c r="L2199">
        <v>0</v>
      </c>
      <c r="M2199" s="11">
        <v>26752.65</v>
      </c>
      <c r="N2199" s="12">
        <v>11497.09</v>
      </c>
      <c r="O2199" s="12">
        <v>13402.36</v>
      </c>
    </row>
    <row r="2200" spans="1:15">
      <c r="A2200" t="s">
        <v>2374</v>
      </c>
      <c r="B2200" t="s">
        <v>264</v>
      </c>
      <c r="C2200" s="9">
        <v>13880</v>
      </c>
      <c r="D2200">
        <v>88</v>
      </c>
      <c r="E2200" t="s">
        <v>21</v>
      </c>
      <c r="F2200" t="s">
        <v>5184</v>
      </c>
      <c r="G2200" s="9">
        <v>45238</v>
      </c>
      <c r="H2200" s="9">
        <v>45803</v>
      </c>
      <c r="I2200">
        <v>0</v>
      </c>
      <c r="J2200" t="s">
        <v>32</v>
      </c>
      <c r="K2200">
        <v>14</v>
      </c>
      <c r="L2200">
        <v>2</v>
      </c>
      <c r="M2200" s="11">
        <v>18288.97</v>
      </c>
      <c r="N2200" s="12">
        <v>1879.26</v>
      </c>
      <c r="O2200" s="12">
        <v>12526.84</v>
      </c>
    </row>
    <row r="2201" spans="1:15">
      <c r="A2201" t="s">
        <v>2375</v>
      </c>
      <c r="B2201" t="s">
        <v>240</v>
      </c>
      <c r="C2201" s="9">
        <v>34334</v>
      </c>
      <c r="D2201">
        <v>32</v>
      </c>
      <c r="E2201" t="s">
        <v>17</v>
      </c>
      <c r="F2201" t="s">
        <v>22</v>
      </c>
      <c r="G2201" s="9">
        <v>45117</v>
      </c>
      <c r="H2201" s="9">
        <v>45785</v>
      </c>
      <c r="I2201">
        <v>13</v>
      </c>
      <c r="J2201" t="s">
        <v>35</v>
      </c>
      <c r="K2201">
        <v>1</v>
      </c>
      <c r="L2201">
        <v>4</v>
      </c>
      <c r="M2201" s="11">
        <v>488.52</v>
      </c>
      <c r="N2201" s="12">
        <v>5042.55</v>
      </c>
      <c r="O2201" s="12">
        <v>12409.49</v>
      </c>
    </row>
    <row r="2202" spans="1:15">
      <c r="A2202" t="s">
        <v>2376</v>
      </c>
      <c r="B2202" t="s">
        <v>273</v>
      </c>
      <c r="C2202" s="9">
        <v>28490</v>
      </c>
      <c r="D2202">
        <v>48</v>
      </c>
      <c r="E2202" t="s">
        <v>17</v>
      </c>
      <c r="F2202" t="s">
        <v>29</v>
      </c>
      <c r="G2202" s="9">
        <v>45376</v>
      </c>
      <c r="H2202" s="9">
        <v>45814</v>
      </c>
      <c r="I2202">
        <v>1</v>
      </c>
      <c r="J2202" t="s">
        <v>35</v>
      </c>
      <c r="K2202">
        <v>7</v>
      </c>
      <c r="L2202">
        <v>2</v>
      </c>
      <c r="M2202" s="11">
        <v>22414.05</v>
      </c>
      <c r="N2202" s="12">
        <v>1124.99</v>
      </c>
      <c r="O2202" s="12">
        <v>15071.21</v>
      </c>
    </row>
    <row r="2203" spans="1:15">
      <c r="A2203" t="s">
        <v>2377</v>
      </c>
      <c r="B2203" t="s">
        <v>209</v>
      </c>
      <c r="C2203" s="9">
        <v>33604</v>
      </c>
      <c r="D2203">
        <v>34</v>
      </c>
      <c r="E2203" t="s">
        <v>21</v>
      </c>
      <c r="F2203" t="s">
        <v>74</v>
      </c>
      <c r="G2203" s="9">
        <v>45620</v>
      </c>
      <c r="H2203" s="9">
        <v>45246</v>
      </c>
      <c r="I2203">
        <v>20</v>
      </c>
      <c r="J2203" t="s">
        <v>26</v>
      </c>
      <c r="K2203">
        <v>2</v>
      </c>
      <c r="L2203">
        <v>5</v>
      </c>
      <c r="M2203" s="11">
        <v>4406.08</v>
      </c>
      <c r="N2203" s="12">
        <v>7378.45</v>
      </c>
      <c r="O2203" s="12">
        <v>3542.58</v>
      </c>
    </row>
    <row r="2204" spans="1:15">
      <c r="A2204" t="s">
        <v>2378</v>
      </c>
      <c r="B2204" t="s">
        <v>149</v>
      </c>
      <c r="C2204" s="9">
        <v>30317</v>
      </c>
      <c r="D2204">
        <v>43</v>
      </c>
      <c r="E2204" t="s">
        <v>21</v>
      </c>
      <c r="F2204" t="s">
        <v>5184</v>
      </c>
      <c r="G2204" s="9">
        <v>45085</v>
      </c>
      <c r="H2204" s="9">
        <v>45188</v>
      </c>
      <c r="I2204">
        <v>31</v>
      </c>
      <c r="J2204" t="s">
        <v>32</v>
      </c>
      <c r="K2204">
        <v>1</v>
      </c>
      <c r="L2204">
        <v>9</v>
      </c>
      <c r="M2204" s="11">
        <v>28262.15</v>
      </c>
      <c r="N2204" s="12">
        <v>10522.51</v>
      </c>
      <c r="O2204" s="12">
        <v>13919.7</v>
      </c>
    </row>
    <row r="2205" spans="1:15">
      <c r="A2205" t="s">
        <v>2379</v>
      </c>
      <c r="B2205" t="s">
        <v>397</v>
      </c>
      <c r="C2205" s="9">
        <v>13515</v>
      </c>
      <c r="D2205">
        <v>89</v>
      </c>
      <c r="E2205" t="s">
        <v>21</v>
      </c>
      <c r="F2205" t="s">
        <v>29</v>
      </c>
      <c r="G2205" s="9">
        <v>45279</v>
      </c>
      <c r="H2205" s="9">
        <v>45208</v>
      </c>
      <c r="I2205">
        <v>27</v>
      </c>
      <c r="J2205" t="s">
        <v>35</v>
      </c>
      <c r="K2205">
        <v>1</v>
      </c>
      <c r="L2205">
        <v>2</v>
      </c>
      <c r="M2205" s="11">
        <v>12771.35</v>
      </c>
      <c r="N2205" s="12">
        <v>5679.24</v>
      </c>
      <c r="O2205" s="12">
        <v>17734.62</v>
      </c>
    </row>
    <row r="2206" spans="1:15">
      <c r="A2206" t="s">
        <v>2380</v>
      </c>
      <c r="B2206" t="s">
        <v>487</v>
      </c>
      <c r="C2206" s="9">
        <v>42370</v>
      </c>
      <c r="D2206">
        <v>10</v>
      </c>
      <c r="E2206" t="s">
        <v>21</v>
      </c>
      <c r="F2206" t="s">
        <v>49</v>
      </c>
      <c r="G2206" s="9">
        <v>45600</v>
      </c>
      <c r="H2206" s="9">
        <v>45256</v>
      </c>
      <c r="I2206">
        <v>7</v>
      </c>
      <c r="J2206" t="s">
        <v>32</v>
      </c>
      <c r="K2206">
        <v>1</v>
      </c>
      <c r="L2206">
        <v>5</v>
      </c>
      <c r="M2206" s="11">
        <v>18261.03</v>
      </c>
      <c r="N2206" s="12">
        <v>9220.75</v>
      </c>
      <c r="O2206" s="12">
        <v>10559.26</v>
      </c>
    </row>
    <row r="2207" spans="1:15">
      <c r="A2207" t="s">
        <v>2381</v>
      </c>
      <c r="B2207" t="s">
        <v>53</v>
      </c>
      <c r="C2207" s="9">
        <v>20090</v>
      </c>
      <c r="D2207">
        <v>71</v>
      </c>
      <c r="E2207" t="s">
        <v>21</v>
      </c>
      <c r="F2207" t="s">
        <v>18</v>
      </c>
      <c r="G2207" s="9">
        <v>45189</v>
      </c>
      <c r="H2207" s="9">
        <v>45051</v>
      </c>
      <c r="I2207">
        <v>2</v>
      </c>
      <c r="J2207" t="s">
        <v>32</v>
      </c>
      <c r="K2207">
        <v>5</v>
      </c>
      <c r="L2207">
        <v>7</v>
      </c>
      <c r="M2207" s="11">
        <v>8072.94</v>
      </c>
      <c r="N2207" s="12">
        <v>8536.2999999999993</v>
      </c>
      <c r="O2207" s="12">
        <v>9669.2000000000007</v>
      </c>
    </row>
    <row r="2208" spans="1:15">
      <c r="A2208" t="s">
        <v>2382</v>
      </c>
      <c r="B2208" t="s">
        <v>367</v>
      </c>
      <c r="C2208" s="9">
        <f>DATE(2026-D2168,1,1)</f>
        <v>31413</v>
      </c>
      <c r="D2208">
        <v>77</v>
      </c>
      <c r="E2208" t="s">
        <v>5185</v>
      </c>
      <c r="F2208" t="s">
        <v>18</v>
      </c>
      <c r="G2208" s="9">
        <v>45655</v>
      </c>
      <c r="H2208" s="9">
        <v>45403</v>
      </c>
      <c r="I2208">
        <v>19</v>
      </c>
      <c r="J2208" t="s">
        <v>26</v>
      </c>
      <c r="K2208">
        <v>4</v>
      </c>
      <c r="L2208">
        <v>3</v>
      </c>
      <c r="M2208" s="11">
        <v>13989.81</v>
      </c>
      <c r="N2208" s="12">
        <v>4418.95</v>
      </c>
      <c r="O2208" s="12">
        <v>15935.54</v>
      </c>
    </row>
    <row r="2209" spans="1:15">
      <c r="A2209" t="s">
        <v>2383</v>
      </c>
      <c r="B2209" t="s">
        <v>80</v>
      </c>
      <c r="C2209" s="9">
        <v>19359</v>
      </c>
      <c r="D2209">
        <v>73</v>
      </c>
      <c r="E2209" t="s">
        <v>21</v>
      </c>
      <c r="F2209" t="s">
        <v>49</v>
      </c>
      <c r="G2209" s="9">
        <v>45332</v>
      </c>
      <c r="H2209" s="9">
        <v>45205</v>
      </c>
      <c r="I2209">
        <v>30</v>
      </c>
      <c r="J2209" t="s">
        <v>35</v>
      </c>
      <c r="K2209">
        <v>6</v>
      </c>
      <c r="L2209">
        <v>7</v>
      </c>
      <c r="M2209" s="11">
        <v>22516.38</v>
      </c>
      <c r="N2209" s="12">
        <v>7301.67</v>
      </c>
      <c r="O2209" s="12">
        <v>2839.34</v>
      </c>
    </row>
    <row r="2210" spans="1:15">
      <c r="A2210" t="s">
        <v>2384</v>
      </c>
      <c r="B2210" t="s">
        <v>392</v>
      </c>
      <c r="C2210" s="9">
        <v>22281</v>
      </c>
      <c r="D2210">
        <v>65</v>
      </c>
      <c r="E2210" t="s">
        <v>21</v>
      </c>
      <c r="F2210" t="s">
        <v>29</v>
      </c>
      <c r="G2210" s="9">
        <v>45619</v>
      </c>
      <c r="H2210" s="9">
        <v>45020</v>
      </c>
      <c r="I2210">
        <v>22</v>
      </c>
      <c r="J2210" t="s">
        <v>32</v>
      </c>
      <c r="K2210">
        <v>5</v>
      </c>
      <c r="L2210">
        <v>6</v>
      </c>
      <c r="M2210" s="11">
        <v>14506.51</v>
      </c>
      <c r="N2210" s="12">
        <v>1035.29</v>
      </c>
      <c r="O2210" s="12">
        <v>6751.57</v>
      </c>
    </row>
    <row r="2211" spans="1:15">
      <c r="A2211" t="s">
        <v>2385</v>
      </c>
      <c r="B2211" t="s">
        <v>46</v>
      </c>
      <c r="C2211" s="9">
        <v>29586</v>
      </c>
      <c r="D2211">
        <v>45</v>
      </c>
      <c r="E2211" t="s">
        <v>17</v>
      </c>
      <c r="F2211" t="s">
        <v>5184</v>
      </c>
      <c r="G2211" s="9">
        <v>45529</v>
      </c>
      <c r="H2211" s="9">
        <v>45474</v>
      </c>
      <c r="I2211">
        <v>19</v>
      </c>
      <c r="J2211" t="s">
        <v>32</v>
      </c>
      <c r="K2211">
        <v>1</v>
      </c>
      <c r="L2211">
        <v>3</v>
      </c>
      <c r="M2211" s="11">
        <v>25339.52</v>
      </c>
      <c r="N2211" s="12">
        <v>6898.7</v>
      </c>
      <c r="O2211" s="12">
        <v>17061.060000000001</v>
      </c>
    </row>
    <row r="2212" spans="1:15">
      <c r="A2212" t="s">
        <v>2386</v>
      </c>
      <c r="B2212" t="s">
        <v>242</v>
      </c>
      <c r="C2212" s="9">
        <v>43100</v>
      </c>
      <c r="D2212">
        <v>8</v>
      </c>
      <c r="E2212" t="s">
        <v>17</v>
      </c>
      <c r="F2212" t="s">
        <v>74</v>
      </c>
      <c r="G2212" s="9">
        <v>44943</v>
      </c>
      <c r="H2212" s="9">
        <v>45750</v>
      </c>
      <c r="I2212">
        <v>13</v>
      </c>
      <c r="J2212" t="s">
        <v>32</v>
      </c>
      <c r="K2212">
        <v>1</v>
      </c>
      <c r="L2212">
        <v>2</v>
      </c>
      <c r="M2212" s="11">
        <v>21247.34</v>
      </c>
      <c r="N2212" s="12">
        <v>6872.84</v>
      </c>
      <c r="O2212" s="12">
        <v>9945.4599999999991</v>
      </c>
    </row>
    <row r="2213" spans="1:15">
      <c r="A2213" t="s">
        <v>2387</v>
      </c>
      <c r="B2213" t="s">
        <v>336</v>
      </c>
      <c r="C2213" s="9">
        <v>45292</v>
      </c>
      <c r="D2213">
        <v>2</v>
      </c>
      <c r="E2213" t="s">
        <v>17</v>
      </c>
      <c r="F2213" t="s">
        <v>29</v>
      </c>
      <c r="G2213" s="9">
        <v>45563</v>
      </c>
      <c r="H2213" s="9">
        <v>45055</v>
      </c>
      <c r="I2213">
        <v>27</v>
      </c>
      <c r="J2213" t="s">
        <v>26</v>
      </c>
      <c r="K2213">
        <v>7</v>
      </c>
      <c r="L2213">
        <v>4</v>
      </c>
      <c r="M2213" s="11">
        <v>1859.47</v>
      </c>
      <c r="N2213" s="12">
        <v>430.77</v>
      </c>
      <c r="O2213" s="12">
        <v>16792.77</v>
      </c>
    </row>
    <row r="2214" spans="1:15">
      <c r="A2214" t="s">
        <v>2388</v>
      </c>
      <c r="B2214" t="s">
        <v>24</v>
      </c>
      <c r="C2214" s="9">
        <v>15341</v>
      </c>
      <c r="D2214">
        <f ca="1">DATEDIF(C2165,TODAY(),"Y")</f>
        <v>84</v>
      </c>
      <c r="E2214" t="s">
        <v>21</v>
      </c>
      <c r="F2214" t="s">
        <v>74</v>
      </c>
      <c r="G2214" s="9">
        <v>45186</v>
      </c>
      <c r="H2214" s="9">
        <v>45459</v>
      </c>
      <c r="I2214">
        <v>15</v>
      </c>
      <c r="J2214" t="s">
        <v>35</v>
      </c>
      <c r="K2214">
        <v>2</v>
      </c>
      <c r="L2214">
        <v>4</v>
      </c>
      <c r="M2214" s="11">
        <v>18008.48</v>
      </c>
      <c r="N2214" s="12">
        <v>7708.1</v>
      </c>
      <c r="O2214" s="12">
        <v>4962.55</v>
      </c>
    </row>
    <row r="2215" spans="1:15">
      <c r="A2215" t="s">
        <v>2389</v>
      </c>
      <c r="B2215" t="s">
        <v>226</v>
      </c>
      <c r="C2215" s="9">
        <v>36891</v>
      </c>
      <c r="D2215">
        <v>25</v>
      </c>
      <c r="E2215" t="s">
        <v>21</v>
      </c>
      <c r="F2215" t="s">
        <v>22</v>
      </c>
      <c r="G2215" s="9">
        <v>45281</v>
      </c>
      <c r="H2215" s="9">
        <v>45700</v>
      </c>
      <c r="I2215">
        <v>21</v>
      </c>
      <c r="J2215" t="s">
        <v>32</v>
      </c>
      <c r="K2215">
        <v>9</v>
      </c>
      <c r="L2215">
        <v>6</v>
      </c>
      <c r="M2215" s="11">
        <v>18184.28</v>
      </c>
      <c r="N2215" s="12">
        <v>11065.4</v>
      </c>
      <c r="O2215" s="12">
        <v>7730.45</v>
      </c>
    </row>
    <row r="2216" spans="1:15">
      <c r="A2216" t="s">
        <v>2390</v>
      </c>
      <c r="B2216" t="s">
        <v>78</v>
      </c>
      <c r="C2216" s="9">
        <v>20090</v>
      </c>
      <c r="D2216">
        <v>71</v>
      </c>
      <c r="E2216" t="s">
        <v>17</v>
      </c>
      <c r="F2216" t="s">
        <v>49</v>
      </c>
      <c r="G2216" s="9">
        <v>45415</v>
      </c>
      <c r="H2216" s="9">
        <v>45094</v>
      </c>
      <c r="I2216">
        <v>2</v>
      </c>
      <c r="J2216" t="s">
        <v>26</v>
      </c>
      <c r="K2216">
        <v>10</v>
      </c>
      <c r="L2216">
        <v>0</v>
      </c>
      <c r="M2216" s="11">
        <v>11117.4</v>
      </c>
      <c r="N2216" s="12">
        <v>6783.78</v>
      </c>
      <c r="O2216" s="12">
        <v>16454.73</v>
      </c>
    </row>
    <row r="2217" spans="1:15">
      <c r="A2217" t="s">
        <v>2391</v>
      </c>
      <c r="B2217" t="s">
        <v>91</v>
      </c>
      <c r="C2217" s="9">
        <v>28856</v>
      </c>
      <c r="D2217">
        <v>47</v>
      </c>
      <c r="E2217" t="s">
        <v>17</v>
      </c>
      <c r="F2217" t="s">
        <v>25</v>
      </c>
      <c r="G2217" s="9">
        <v>45140</v>
      </c>
      <c r="H2217" s="9">
        <v>45758</v>
      </c>
      <c r="I2217">
        <v>34</v>
      </c>
      <c r="J2217" t="s">
        <v>35</v>
      </c>
      <c r="K2217">
        <v>9</v>
      </c>
      <c r="L2217">
        <v>8</v>
      </c>
      <c r="M2217" s="11">
        <v>9343.08</v>
      </c>
      <c r="N2217" s="12">
        <v>9690.3799999999992</v>
      </c>
      <c r="O2217" s="12">
        <v>3186.26</v>
      </c>
    </row>
    <row r="2218" spans="1:15">
      <c r="A2218" t="s">
        <v>2392</v>
      </c>
      <c r="B2218" t="s">
        <v>275</v>
      </c>
      <c r="C2218" s="9">
        <v>22281</v>
      </c>
      <c r="D2218">
        <v>65</v>
      </c>
      <c r="E2218" t="s">
        <v>21</v>
      </c>
      <c r="F2218" t="s">
        <v>74</v>
      </c>
      <c r="G2218" s="9">
        <v>45165</v>
      </c>
      <c r="H2218" s="9">
        <v>45163</v>
      </c>
      <c r="I2218">
        <v>20</v>
      </c>
      <c r="J2218" t="s">
        <v>32</v>
      </c>
      <c r="K2218">
        <v>11</v>
      </c>
      <c r="L2218">
        <v>1</v>
      </c>
      <c r="M2218" s="11">
        <v>1418.07</v>
      </c>
      <c r="N2218" s="12">
        <v>7986.31</v>
      </c>
      <c r="O2218" s="12">
        <v>17885.03</v>
      </c>
    </row>
    <row r="2219" spans="1:15">
      <c r="A2219" t="s">
        <v>2393</v>
      </c>
      <c r="B2219" t="s">
        <v>343</v>
      </c>
      <c r="C2219" s="9">
        <v>20820</v>
      </c>
      <c r="D2219">
        <v>69</v>
      </c>
      <c r="E2219" t="s">
        <v>17</v>
      </c>
      <c r="F2219" t="s">
        <v>18</v>
      </c>
      <c r="G2219" s="9">
        <v>45106</v>
      </c>
      <c r="H2219" s="9">
        <v>44959</v>
      </c>
      <c r="I2219">
        <v>39</v>
      </c>
      <c r="J2219" t="s">
        <v>35</v>
      </c>
      <c r="K2219">
        <v>11</v>
      </c>
      <c r="L2219">
        <v>8</v>
      </c>
      <c r="M2219" s="11">
        <v>13107.77</v>
      </c>
      <c r="N2219" s="12">
        <v>11777.68</v>
      </c>
      <c r="O2219" s="12">
        <v>6128.25</v>
      </c>
    </row>
    <row r="2220" spans="1:15">
      <c r="A2220" t="s">
        <v>2394</v>
      </c>
      <c r="B2220" t="s">
        <v>232</v>
      </c>
      <c r="C2220" s="9">
        <v>36161</v>
      </c>
      <c r="D2220">
        <v>27</v>
      </c>
      <c r="E2220" t="s">
        <v>17</v>
      </c>
      <c r="F2220" t="s">
        <v>22</v>
      </c>
      <c r="G2220" s="9">
        <v>45345</v>
      </c>
      <c r="H2220" s="9">
        <v>45158</v>
      </c>
      <c r="I2220">
        <v>24</v>
      </c>
      <c r="J2220" t="s">
        <v>35</v>
      </c>
      <c r="K2220">
        <v>12</v>
      </c>
      <c r="L2220">
        <v>8</v>
      </c>
      <c r="M2220" s="11">
        <v>0</v>
      </c>
      <c r="N2220" s="12">
        <v>7716.83</v>
      </c>
      <c r="O2220" s="12">
        <v>19451.21</v>
      </c>
    </row>
    <row r="2221" spans="1:15">
      <c r="A2221" t="s">
        <v>2395</v>
      </c>
      <c r="B2221" t="s">
        <v>97</v>
      </c>
      <c r="C2221" s="9">
        <v>12419</v>
      </c>
      <c r="D2221">
        <v>92</v>
      </c>
      <c r="E2221" t="s">
        <v>21</v>
      </c>
      <c r="F2221" t="s">
        <v>18</v>
      </c>
      <c r="G2221" s="9">
        <v>45610</v>
      </c>
      <c r="H2221" s="9">
        <v>45118</v>
      </c>
      <c r="I2221">
        <v>9</v>
      </c>
      <c r="J2221" t="s">
        <v>26</v>
      </c>
      <c r="K2221">
        <v>12</v>
      </c>
      <c r="L2221">
        <v>2</v>
      </c>
      <c r="M2221" s="11">
        <v>28507.42</v>
      </c>
      <c r="N2221" s="12">
        <v>4974.1400000000003</v>
      </c>
      <c r="O2221" s="12">
        <v>16537.32</v>
      </c>
    </row>
    <row r="2222" spans="1:15">
      <c r="A2222" t="s">
        <v>2396</v>
      </c>
      <c r="B2222" t="s">
        <v>479</v>
      </c>
      <c r="C2222" s="9">
        <v>36891</v>
      </c>
      <c r="D2222">
        <v>25</v>
      </c>
      <c r="E2222" t="s">
        <v>17</v>
      </c>
      <c r="F2222" t="s">
        <v>22</v>
      </c>
      <c r="G2222" s="9">
        <v>45069</v>
      </c>
      <c r="H2222" s="9">
        <v>45769</v>
      </c>
      <c r="I2222">
        <v>7</v>
      </c>
      <c r="J2222" t="s">
        <v>26</v>
      </c>
      <c r="K2222">
        <v>12</v>
      </c>
      <c r="L2222">
        <v>6</v>
      </c>
      <c r="M2222" s="11">
        <v>20062.32</v>
      </c>
      <c r="N2222" s="12">
        <v>12413.53</v>
      </c>
      <c r="O2222" s="12">
        <v>9057.26</v>
      </c>
    </row>
    <row r="2223" spans="1:15">
      <c r="A2223" t="s">
        <v>2397</v>
      </c>
      <c r="B2223" t="s">
        <v>412</v>
      </c>
      <c r="C2223" s="9">
        <v>37256</v>
      </c>
      <c r="D2223">
        <v>24</v>
      </c>
      <c r="E2223" t="s">
        <v>17</v>
      </c>
      <c r="F2223" t="s">
        <v>18</v>
      </c>
      <c r="G2223" s="9">
        <v>45243</v>
      </c>
      <c r="H2223" s="9">
        <v>45584</v>
      </c>
      <c r="I2223">
        <v>31</v>
      </c>
      <c r="J2223" t="s">
        <v>32</v>
      </c>
      <c r="K2223">
        <v>13</v>
      </c>
      <c r="L2223">
        <v>2</v>
      </c>
      <c r="M2223" s="11">
        <v>13531.87</v>
      </c>
      <c r="N2223" s="12">
        <v>1014.32</v>
      </c>
      <c r="O2223" s="12">
        <v>14819.12</v>
      </c>
    </row>
    <row r="2224" spans="1:15">
      <c r="A2224" t="s">
        <v>2398</v>
      </c>
      <c r="B2224" t="s">
        <v>356</v>
      </c>
      <c r="C2224" s="9">
        <v>42005</v>
      </c>
      <c r="D2224">
        <v>11</v>
      </c>
      <c r="E2224" t="s">
        <v>21</v>
      </c>
      <c r="F2224" t="s">
        <v>29</v>
      </c>
      <c r="G2224" s="9">
        <v>45170</v>
      </c>
      <c r="H2224" s="9">
        <v>45540</v>
      </c>
      <c r="I2224">
        <v>30</v>
      </c>
      <c r="J2224" t="s">
        <v>32</v>
      </c>
      <c r="K2224">
        <v>10</v>
      </c>
      <c r="L2224">
        <v>7</v>
      </c>
      <c r="M2224" s="11">
        <v>22515.67</v>
      </c>
      <c r="N2224" s="12">
        <v>4341.84</v>
      </c>
      <c r="O2224" s="12">
        <v>11060.77</v>
      </c>
    </row>
    <row r="2225" spans="1:15">
      <c r="A2225" t="s">
        <v>2399</v>
      </c>
      <c r="B2225" t="s">
        <v>479</v>
      </c>
      <c r="C2225" s="9">
        <v>44561</v>
      </c>
      <c r="D2225">
        <v>4</v>
      </c>
      <c r="E2225" t="s">
        <v>17</v>
      </c>
      <c r="F2225" t="s">
        <v>5184</v>
      </c>
      <c r="G2225" s="9">
        <v>45158</v>
      </c>
      <c r="H2225" s="9">
        <v>45518</v>
      </c>
      <c r="I2225">
        <v>13</v>
      </c>
      <c r="J2225" t="s">
        <v>32</v>
      </c>
      <c r="K2225">
        <v>1</v>
      </c>
      <c r="L2225">
        <v>7</v>
      </c>
      <c r="M2225" s="11">
        <v>23252.47</v>
      </c>
      <c r="N2225" s="12">
        <v>8872.27</v>
      </c>
      <c r="O2225" s="12">
        <v>17050.27</v>
      </c>
    </row>
    <row r="2226" spans="1:15">
      <c r="A2226" t="s">
        <v>2400</v>
      </c>
      <c r="B2226" t="s">
        <v>166</v>
      </c>
      <c r="C2226" s="9">
        <v>28856</v>
      </c>
      <c r="D2226">
        <v>47</v>
      </c>
      <c r="E2226" t="s">
        <v>17</v>
      </c>
      <c r="F2226" t="s">
        <v>29</v>
      </c>
      <c r="G2226" s="9">
        <v>45610</v>
      </c>
      <c r="H2226" s="9">
        <v>45435</v>
      </c>
      <c r="I2226">
        <v>26</v>
      </c>
      <c r="J2226" t="s">
        <v>32</v>
      </c>
      <c r="K2226">
        <v>3</v>
      </c>
      <c r="L2226">
        <v>2</v>
      </c>
      <c r="M2226" s="11">
        <v>14153.9</v>
      </c>
      <c r="N2226" s="12">
        <v>12840.4</v>
      </c>
      <c r="O2226" s="12">
        <v>10313.99</v>
      </c>
    </row>
    <row r="2227" spans="1:15">
      <c r="A2227" t="s">
        <v>2401</v>
      </c>
      <c r="B2227" t="s">
        <v>82</v>
      </c>
      <c r="C2227" s="9">
        <v>32873</v>
      </c>
      <c r="D2227">
        <v>36</v>
      </c>
      <c r="E2227" t="s">
        <v>17</v>
      </c>
      <c r="F2227" t="s">
        <v>29</v>
      </c>
      <c r="G2227" s="9">
        <v>45515</v>
      </c>
      <c r="H2227" s="9">
        <v>45384</v>
      </c>
      <c r="I2227">
        <v>15</v>
      </c>
      <c r="J2227" t="s">
        <v>32</v>
      </c>
      <c r="K2227">
        <v>6</v>
      </c>
      <c r="L2227">
        <v>4</v>
      </c>
      <c r="M2227" s="11">
        <v>1810.61</v>
      </c>
      <c r="N2227" s="12">
        <v>1082.1300000000001</v>
      </c>
      <c r="O2227" s="12">
        <v>19758.7</v>
      </c>
    </row>
    <row r="2228" spans="1:15">
      <c r="A2228" t="s">
        <v>2402</v>
      </c>
      <c r="B2228" t="s">
        <v>226</v>
      </c>
      <c r="C2228" s="9">
        <f>DATE(2026-D2188,1,1)</f>
        <v>20455</v>
      </c>
      <c r="D2228">
        <v>78</v>
      </c>
      <c r="E2228" t="s">
        <v>21</v>
      </c>
      <c r="F2228" t="s">
        <v>5184</v>
      </c>
      <c r="G2228" s="9">
        <v>45229</v>
      </c>
      <c r="H2228" s="9">
        <v>45599</v>
      </c>
      <c r="I2228">
        <v>24</v>
      </c>
      <c r="J2228" t="s">
        <v>35</v>
      </c>
      <c r="K2228">
        <v>1</v>
      </c>
      <c r="L2228">
        <v>6</v>
      </c>
      <c r="M2228" s="11">
        <v>23306.81</v>
      </c>
      <c r="N2228" s="12">
        <v>1440.79</v>
      </c>
      <c r="O2228" s="12">
        <v>2583.4899999999998</v>
      </c>
    </row>
    <row r="2229" spans="1:15">
      <c r="A2229" t="s">
        <v>2403</v>
      </c>
      <c r="B2229" t="s">
        <v>332</v>
      </c>
      <c r="C2229" s="9">
        <v>30317</v>
      </c>
      <c r="D2229">
        <v>43</v>
      </c>
      <c r="E2229" t="s">
        <v>21</v>
      </c>
      <c r="F2229" t="s">
        <v>22</v>
      </c>
      <c r="G2229" s="9">
        <v>45257</v>
      </c>
      <c r="H2229" s="9">
        <v>45182</v>
      </c>
      <c r="I2229">
        <v>4</v>
      </c>
      <c r="J2229" t="s">
        <v>26</v>
      </c>
      <c r="K2229">
        <v>0</v>
      </c>
      <c r="L2229">
        <v>0</v>
      </c>
      <c r="M2229" s="11">
        <v>2253.66</v>
      </c>
      <c r="N2229" s="12">
        <v>4235.78</v>
      </c>
      <c r="O2229" s="12">
        <v>13497.03</v>
      </c>
    </row>
    <row r="2230" spans="1:15">
      <c r="A2230" t="s">
        <v>2404</v>
      </c>
      <c r="B2230" t="s">
        <v>48</v>
      </c>
      <c r="C2230" s="9">
        <v>40909</v>
      </c>
      <c r="D2230">
        <v>14</v>
      </c>
      <c r="E2230" t="s">
        <v>17</v>
      </c>
      <c r="F2230" t="s">
        <v>22</v>
      </c>
      <c r="G2230" s="9">
        <v>45487</v>
      </c>
      <c r="H2230" s="9">
        <v>45206</v>
      </c>
      <c r="I2230">
        <v>33</v>
      </c>
      <c r="J2230" t="s">
        <v>35</v>
      </c>
      <c r="K2230">
        <v>11</v>
      </c>
      <c r="L2230">
        <v>2</v>
      </c>
      <c r="M2230" s="11">
        <v>25348.959999999999</v>
      </c>
      <c r="N2230" s="12">
        <v>5168.58</v>
      </c>
      <c r="O2230" s="12">
        <v>4837.6400000000003</v>
      </c>
    </row>
    <row r="2231" spans="1:15">
      <c r="A2231" t="s">
        <v>2405</v>
      </c>
      <c r="B2231" t="s">
        <v>137</v>
      </c>
      <c r="C2231" s="9">
        <v>30682</v>
      </c>
      <c r="D2231">
        <v>42</v>
      </c>
      <c r="E2231" t="s">
        <v>21</v>
      </c>
      <c r="F2231" t="s">
        <v>5184</v>
      </c>
      <c r="G2231" s="9">
        <v>45174</v>
      </c>
      <c r="H2231" s="9">
        <v>45627</v>
      </c>
      <c r="I2231">
        <v>24</v>
      </c>
      <c r="J2231" t="s">
        <v>26</v>
      </c>
      <c r="K2231">
        <v>5</v>
      </c>
      <c r="L2231">
        <v>0</v>
      </c>
      <c r="M2231" s="11">
        <v>9691.7900000000009</v>
      </c>
      <c r="N2231" s="12">
        <v>12653.07</v>
      </c>
      <c r="O2231" s="12">
        <v>3743.68</v>
      </c>
    </row>
    <row r="2232" spans="1:15">
      <c r="A2232" t="s">
        <v>2406</v>
      </c>
      <c r="B2232" t="s">
        <v>151</v>
      </c>
      <c r="C2232" s="9">
        <v>28856</v>
      </c>
      <c r="D2232">
        <v>47</v>
      </c>
      <c r="E2232" t="s">
        <v>21</v>
      </c>
      <c r="F2232" t="s">
        <v>18</v>
      </c>
      <c r="G2232" s="9">
        <v>45209</v>
      </c>
      <c r="H2232" s="9">
        <v>45649</v>
      </c>
      <c r="I2232">
        <v>7</v>
      </c>
      <c r="J2232" t="s">
        <v>26</v>
      </c>
      <c r="K2232">
        <v>11</v>
      </c>
      <c r="L2232">
        <v>1</v>
      </c>
      <c r="M2232" s="11">
        <v>0</v>
      </c>
      <c r="N2232" s="12">
        <v>14383.55</v>
      </c>
      <c r="O2232" s="12">
        <v>8105.84</v>
      </c>
    </row>
    <row r="2233" spans="1:15">
      <c r="A2233" t="s">
        <v>2407</v>
      </c>
      <c r="B2233" t="s">
        <v>170</v>
      </c>
      <c r="C2233" s="9">
        <v>14611</v>
      </c>
      <c r="D2233">
        <f ca="1">DATEDIF(C2184,TODAY(),"Y")</f>
        <v>74</v>
      </c>
      <c r="E2233" t="s">
        <v>21</v>
      </c>
      <c r="F2233" t="s">
        <v>74</v>
      </c>
      <c r="G2233" s="9">
        <v>45213</v>
      </c>
      <c r="H2233" s="9">
        <v>45680</v>
      </c>
      <c r="I2233">
        <v>7</v>
      </c>
      <c r="J2233" t="s">
        <v>35</v>
      </c>
      <c r="K2233">
        <v>1</v>
      </c>
      <c r="L2233">
        <v>6</v>
      </c>
      <c r="M2233" s="11">
        <v>22082.34</v>
      </c>
      <c r="N2233" s="12">
        <v>258.43</v>
      </c>
      <c r="O2233" s="12">
        <v>7285.98</v>
      </c>
    </row>
    <row r="2234" spans="1:15">
      <c r="A2234" t="s">
        <v>2408</v>
      </c>
      <c r="B2234" t="s">
        <v>69</v>
      </c>
      <c r="C2234" s="9">
        <v>20820</v>
      </c>
      <c r="D2234">
        <v>69</v>
      </c>
      <c r="E2234" t="s">
        <v>21</v>
      </c>
      <c r="F2234" t="s">
        <v>22</v>
      </c>
      <c r="G2234" s="9">
        <v>44958</v>
      </c>
      <c r="H2234" s="9">
        <v>44983</v>
      </c>
      <c r="I2234">
        <v>8</v>
      </c>
      <c r="J2234" t="s">
        <v>35</v>
      </c>
      <c r="K2234">
        <v>11</v>
      </c>
      <c r="L2234">
        <v>6</v>
      </c>
      <c r="M2234" s="11">
        <v>573.37</v>
      </c>
      <c r="N2234" s="12">
        <v>230.34</v>
      </c>
      <c r="O2234" s="12">
        <v>831.34</v>
      </c>
    </row>
    <row r="2235" spans="1:15">
      <c r="A2235" t="s">
        <v>2409</v>
      </c>
      <c r="B2235" t="s">
        <v>37</v>
      </c>
      <c r="C2235" s="9">
        <v>29586</v>
      </c>
      <c r="D2235">
        <v>45</v>
      </c>
      <c r="E2235" t="s">
        <v>5185</v>
      </c>
      <c r="F2235" t="s">
        <v>18</v>
      </c>
      <c r="G2235" s="9">
        <v>45426</v>
      </c>
      <c r="H2235" s="9">
        <v>45576</v>
      </c>
      <c r="I2235">
        <v>27</v>
      </c>
      <c r="J2235" t="s">
        <v>32</v>
      </c>
      <c r="K2235">
        <v>14</v>
      </c>
      <c r="L2235">
        <v>2</v>
      </c>
      <c r="M2235" s="11">
        <v>11230.74</v>
      </c>
      <c r="N2235" s="12">
        <v>12972.15</v>
      </c>
      <c r="O2235" s="12">
        <v>8497.24</v>
      </c>
    </row>
    <row r="2236" spans="1:15">
      <c r="A2236" t="s">
        <v>2410</v>
      </c>
      <c r="B2236" t="s">
        <v>117</v>
      </c>
      <c r="C2236" s="9">
        <v>30682</v>
      </c>
      <c r="D2236">
        <v>42</v>
      </c>
      <c r="E2236" t="s">
        <v>21</v>
      </c>
      <c r="F2236" t="s">
        <v>74</v>
      </c>
      <c r="G2236" s="9">
        <v>45596</v>
      </c>
      <c r="H2236" s="9">
        <v>45033</v>
      </c>
      <c r="I2236">
        <v>0</v>
      </c>
      <c r="J2236" t="s">
        <v>26</v>
      </c>
      <c r="K2236">
        <v>11</v>
      </c>
      <c r="L2236">
        <v>5</v>
      </c>
      <c r="M2236" s="11">
        <v>17926.36</v>
      </c>
      <c r="N2236" s="12">
        <v>2034.25</v>
      </c>
      <c r="O2236" s="12">
        <v>19033.560000000001</v>
      </c>
    </row>
    <row r="2237" spans="1:15">
      <c r="A2237" t="s">
        <v>2411</v>
      </c>
      <c r="B2237" t="s">
        <v>174</v>
      </c>
      <c r="C2237" s="9">
        <v>38717</v>
      </c>
      <c r="D2237">
        <v>20</v>
      </c>
      <c r="E2237" t="s">
        <v>5185</v>
      </c>
      <c r="F2237" t="s">
        <v>5184</v>
      </c>
      <c r="G2237" s="9">
        <v>45456</v>
      </c>
      <c r="H2237" s="9">
        <v>45508</v>
      </c>
      <c r="I2237">
        <v>26</v>
      </c>
      <c r="J2237" t="s">
        <v>32</v>
      </c>
      <c r="K2237">
        <v>11</v>
      </c>
      <c r="L2237">
        <v>5</v>
      </c>
      <c r="M2237" s="11">
        <v>25368.400000000001</v>
      </c>
      <c r="N2237" s="12">
        <v>5090.04</v>
      </c>
      <c r="O2237" s="12">
        <v>9284.2099999999991</v>
      </c>
    </row>
    <row r="2238" spans="1:15">
      <c r="A2238" t="s">
        <v>2412</v>
      </c>
      <c r="B2238" t="s">
        <v>16</v>
      </c>
      <c r="C2238" s="9">
        <v>37987</v>
      </c>
      <c r="D2238">
        <v>22</v>
      </c>
      <c r="E2238" t="s">
        <v>21</v>
      </c>
      <c r="F2238" t="s">
        <v>29</v>
      </c>
      <c r="G2238" s="9">
        <v>45307</v>
      </c>
      <c r="H2238" s="9">
        <v>45629</v>
      </c>
      <c r="I2238">
        <v>11</v>
      </c>
      <c r="J2238" t="s">
        <v>32</v>
      </c>
      <c r="K2238">
        <v>12</v>
      </c>
      <c r="L2238">
        <v>1</v>
      </c>
      <c r="M2238" s="11">
        <v>21391.98</v>
      </c>
      <c r="N2238" s="12">
        <v>4128.2</v>
      </c>
      <c r="O2238" s="12">
        <v>5966.49</v>
      </c>
    </row>
    <row r="2239" spans="1:15">
      <c r="A2239" t="s">
        <v>2413</v>
      </c>
      <c r="B2239" t="s">
        <v>170</v>
      </c>
      <c r="C2239" s="9">
        <v>17168</v>
      </c>
      <c r="D2239">
        <v>79</v>
      </c>
      <c r="E2239" t="s">
        <v>17</v>
      </c>
      <c r="F2239" t="s">
        <v>22</v>
      </c>
      <c r="G2239" s="9">
        <v>44989</v>
      </c>
      <c r="H2239" s="9">
        <v>45119</v>
      </c>
      <c r="I2239">
        <v>10</v>
      </c>
      <c r="J2239" t="s">
        <v>32</v>
      </c>
      <c r="K2239">
        <v>12</v>
      </c>
      <c r="L2239">
        <v>8</v>
      </c>
      <c r="M2239" s="11">
        <v>26832.31</v>
      </c>
      <c r="N2239" s="12">
        <v>4228.0200000000004</v>
      </c>
      <c r="O2239" s="12">
        <v>18976.43</v>
      </c>
    </row>
    <row r="2240" spans="1:15">
      <c r="A2240" t="s">
        <v>2414</v>
      </c>
      <c r="B2240" t="s">
        <v>112</v>
      </c>
      <c r="C2240" s="9">
        <v>29221</v>
      </c>
      <c r="D2240">
        <v>46</v>
      </c>
      <c r="E2240" t="s">
        <v>21</v>
      </c>
      <c r="F2240" t="s">
        <v>25</v>
      </c>
      <c r="G2240" s="9">
        <v>45054</v>
      </c>
      <c r="H2240" s="9">
        <v>45205</v>
      </c>
      <c r="I2240">
        <v>16</v>
      </c>
      <c r="J2240" t="s">
        <v>32</v>
      </c>
      <c r="K2240">
        <v>9</v>
      </c>
      <c r="L2240">
        <v>7</v>
      </c>
      <c r="M2240" s="11">
        <v>2023.04</v>
      </c>
      <c r="N2240" s="12">
        <v>4928.88</v>
      </c>
      <c r="O2240" s="12">
        <v>10065.02</v>
      </c>
    </row>
    <row r="2241" spans="1:15">
      <c r="A2241" t="s">
        <v>2415</v>
      </c>
      <c r="B2241" t="s">
        <v>328</v>
      </c>
      <c r="C2241" s="9">
        <f>DATE(2026-D2201,1,1)</f>
        <v>34335</v>
      </c>
      <c r="D2241">
        <v>14</v>
      </c>
      <c r="E2241" t="s">
        <v>17</v>
      </c>
      <c r="F2241" t="s">
        <v>29</v>
      </c>
      <c r="G2241" s="9">
        <v>45454</v>
      </c>
      <c r="H2241" s="9">
        <v>45471</v>
      </c>
      <c r="I2241">
        <v>22</v>
      </c>
      <c r="J2241" t="s">
        <v>26</v>
      </c>
      <c r="K2241">
        <v>12</v>
      </c>
      <c r="L2241">
        <v>1</v>
      </c>
      <c r="M2241" s="11">
        <v>1690.57</v>
      </c>
      <c r="N2241" s="12">
        <v>5040.6899999999996</v>
      </c>
      <c r="O2241" s="12">
        <v>5670.76</v>
      </c>
    </row>
    <row r="2242" spans="1:15">
      <c r="A2242" t="s">
        <v>2416</v>
      </c>
      <c r="B2242" t="s">
        <v>194</v>
      </c>
      <c r="C2242" s="9">
        <v>37256</v>
      </c>
      <c r="D2242">
        <v>24</v>
      </c>
      <c r="E2242" t="s">
        <v>17</v>
      </c>
      <c r="F2242" t="s">
        <v>49</v>
      </c>
      <c r="G2242" s="9">
        <v>45089</v>
      </c>
      <c r="H2242" s="9">
        <v>45102</v>
      </c>
      <c r="I2242">
        <v>7</v>
      </c>
      <c r="J2242" t="s">
        <v>35</v>
      </c>
      <c r="K2242">
        <v>3</v>
      </c>
      <c r="L2242">
        <v>3</v>
      </c>
      <c r="M2242" s="11">
        <v>21262.51</v>
      </c>
      <c r="N2242" s="12">
        <v>9302.34</v>
      </c>
      <c r="O2242" s="12">
        <v>15638.09</v>
      </c>
    </row>
    <row r="2243" spans="1:15">
      <c r="A2243" t="s">
        <v>2417</v>
      </c>
      <c r="B2243" t="s">
        <v>117</v>
      </c>
      <c r="C2243" s="9">
        <v>33239</v>
      </c>
      <c r="D2243">
        <v>35</v>
      </c>
      <c r="E2243" t="s">
        <v>21</v>
      </c>
      <c r="F2243" t="s">
        <v>74</v>
      </c>
      <c r="G2243" s="9">
        <v>45177</v>
      </c>
      <c r="H2243" s="9">
        <v>45697</v>
      </c>
      <c r="I2243">
        <v>12</v>
      </c>
      <c r="J2243" t="s">
        <v>35</v>
      </c>
      <c r="K2243">
        <v>8</v>
      </c>
      <c r="L2243">
        <v>8</v>
      </c>
      <c r="M2243" s="11">
        <v>11655.11</v>
      </c>
      <c r="N2243" s="12">
        <v>9431.76</v>
      </c>
      <c r="O2243" s="12">
        <v>4394.63</v>
      </c>
    </row>
    <row r="2244" spans="1:15">
      <c r="A2244" t="s">
        <v>2418</v>
      </c>
      <c r="B2244" t="s">
        <v>244</v>
      </c>
      <c r="C2244" s="9">
        <v>18994</v>
      </c>
      <c r="D2244">
        <v>74</v>
      </c>
      <c r="E2244" t="s">
        <v>17</v>
      </c>
      <c r="F2244" t="s">
        <v>25</v>
      </c>
      <c r="G2244" s="9">
        <v>45575</v>
      </c>
      <c r="H2244" s="9">
        <v>45562</v>
      </c>
      <c r="I2244">
        <v>25</v>
      </c>
      <c r="J2244" t="s">
        <v>26</v>
      </c>
      <c r="K2244">
        <v>6</v>
      </c>
      <c r="L2244">
        <v>3</v>
      </c>
      <c r="M2244" s="11">
        <v>14189.75</v>
      </c>
      <c r="N2244" s="12">
        <v>7843.38</v>
      </c>
      <c r="O2244" s="12">
        <v>4879.76</v>
      </c>
    </row>
    <row r="2245" spans="1:15">
      <c r="A2245" t="s">
        <v>2419</v>
      </c>
      <c r="B2245" t="s">
        <v>615</v>
      </c>
      <c r="C2245" s="9">
        <v>27760</v>
      </c>
      <c r="D2245">
        <f ca="1">DATEDIF(C2196,TODAY(),"Y")</f>
        <v>20</v>
      </c>
      <c r="E2245" t="s">
        <v>21</v>
      </c>
      <c r="F2245" t="s">
        <v>29</v>
      </c>
      <c r="G2245" s="9">
        <v>45221</v>
      </c>
      <c r="H2245" s="9">
        <v>45012</v>
      </c>
      <c r="I2245">
        <v>37</v>
      </c>
      <c r="J2245" t="s">
        <v>35</v>
      </c>
      <c r="K2245">
        <v>13</v>
      </c>
      <c r="L2245">
        <v>6</v>
      </c>
      <c r="M2245" s="11">
        <v>17931.64</v>
      </c>
      <c r="N2245" s="12">
        <v>12878.12</v>
      </c>
      <c r="O2245" s="12">
        <v>6419.07</v>
      </c>
    </row>
    <row r="2246" spans="1:15">
      <c r="A2246" t="s">
        <v>2420</v>
      </c>
      <c r="B2246" t="s">
        <v>284</v>
      </c>
      <c r="C2246" s="9">
        <v>40909</v>
      </c>
      <c r="D2246">
        <v>14</v>
      </c>
      <c r="E2246" t="s">
        <v>17</v>
      </c>
      <c r="F2246" t="s">
        <v>22</v>
      </c>
      <c r="G2246" s="9">
        <v>45105</v>
      </c>
      <c r="H2246" s="9">
        <v>45655</v>
      </c>
      <c r="I2246">
        <v>35</v>
      </c>
      <c r="J2246" t="s">
        <v>26</v>
      </c>
      <c r="K2246">
        <v>4</v>
      </c>
      <c r="L2246">
        <v>4</v>
      </c>
      <c r="M2246" s="11">
        <v>29571.21</v>
      </c>
      <c r="N2246" s="12">
        <v>12685.08</v>
      </c>
      <c r="O2246" s="12">
        <v>7834.85</v>
      </c>
    </row>
    <row r="2247" spans="1:15">
      <c r="A2247" t="s">
        <v>2421</v>
      </c>
      <c r="B2247" t="s">
        <v>115</v>
      </c>
      <c r="C2247" s="9">
        <v>21551</v>
      </c>
      <c r="D2247">
        <v>67</v>
      </c>
      <c r="E2247" t="s">
        <v>5185</v>
      </c>
      <c r="F2247" t="s">
        <v>25</v>
      </c>
      <c r="G2247" s="9">
        <v>45155</v>
      </c>
      <c r="H2247" s="9">
        <v>45143</v>
      </c>
      <c r="I2247">
        <v>4</v>
      </c>
      <c r="J2247" t="s">
        <v>26</v>
      </c>
      <c r="K2247">
        <v>1</v>
      </c>
      <c r="L2247">
        <v>9</v>
      </c>
      <c r="M2247" s="11">
        <v>1548.57</v>
      </c>
      <c r="N2247" s="12">
        <v>3258.26</v>
      </c>
      <c r="O2247" s="12">
        <v>11615.87</v>
      </c>
    </row>
    <row r="2248" spans="1:15">
      <c r="A2248" t="s">
        <v>2422</v>
      </c>
      <c r="B2248" t="s">
        <v>328</v>
      </c>
      <c r="C2248" s="9">
        <v>38717</v>
      </c>
      <c r="D2248">
        <v>20</v>
      </c>
      <c r="E2248" t="s">
        <v>17</v>
      </c>
      <c r="F2248" t="s">
        <v>18</v>
      </c>
      <c r="G2248" s="9">
        <v>45320</v>
      </c>
      <c r="H2248" s="9">
        <v>44941</v>
      </c>
      <c r="I2248">
        <v>11</v>
      </c>
      <c r="J2248" t="s">
        <v>26</v>
      </c>
      <c r="K2248">
        <v>5</v>
      </c>
      <c r="L2248">
        <v>5</v>
      </c>
      <c r="M2248" s="11">
        <v>2821.29</v>
      </c>
      <c r="N2248" s="12">
        <v>8154.59</v>
      </c>
      <c r="O2248" s="12">
        <v>10257.219999999999</v>
      </c>
    </row>
    <row r="2249" spans="1:15">
      <c r="A2249" t="s">
        <v>2423</v>
      </c>
      <c r="B2249" t="s">
        <v>135</v>
      </c>
      <c r="C2249" s="9">
        <v>41639</v>
      </c>
      <c r="D2249">
        <v>12</v>
      </c>
      <c r="E2249" t="s">
        <v>17</v>
      </c>
      <c r="F2249" t="s">
        <v>74</v>
      </c>
      <c r="G2249" s="9">
        <v>45618</v>
      </c>
      <c r="H2249" s="9">
        <v>44964</v>
      </c>
      <c r="I2249">
        <v>27</v>
      </c>
      <c r="J2249" t="s">
        <v>32</v>
      </c>
      <c r="K2249">
        <v>1</v>
      </c>
      <c r="L2249">
        <v>0</v>
      </c>
      <c r="M2249" s="11">
        <v>24794.05</v>
      </c>
      <c r="N2249" s="12">
        <v>11757.56</v>
      </c>
      <c r="O2249" s="12">
        <v>14848.99</v>
      </c>
    </row>
    <row r="2250" spans="1:15">
      <c r="A2250" t="s">
        <v>2424</v>
      </c>
      <c r="B2250" t="s">
        <v>189</v>
      </c>
      <c r="C2250" s="9">
        <v>14976</v>
      </c>
      <c r="D2250">
        <v>85</v>
      </c>
      <c r="E2250" t="s">
        <v>21</v>
      </c>
      <c r="F2250" t="s">
        <v>49</v>
      </c>
      <c r="G2250" s="9">
        <v>45322</v>
      </c>
      <c r="H2250" s="9">
        <v>44954</v>
      </c>
      <c r="I2250">
        <v>37</v>
      </c>
      <c r="J2250" t="s">
        <v>35</v>
      </c>
      <c r="K2250">
        <v>10</v>
      </c>
      <c r="L2250">
        <v>3</v>
      </c>
      <c r="M2250" s="11">
        <v>125.99</v>
      </c>
      <c r="N2250" s="12">
        <v>13003.12</v>
      </c>
      <c r="O2250" s="12">
        <v>14315.13</v>
      </c>
    </row>
    <row r="2251" spans="1:15">
      <c r="A2251" t="s">
        <v>2425</v>
      </c>
      <c r="B2251" t="s">
        <v>198</v>
      </c>
      <c r="C2251" s="9">
        <v>39448</v>
      </c>
      <c r="D2251">
        <v>18</v>
      </c>
      <c r="E2251" t="s">
        <v>21</v>
      </c>
      <c r="F2251" t="s">
        <v>18</v>
      </c>
      <c r="G2251" s="9">
        <v>44998</v>
      </c>
      <c r="H2251" s="9">
        <v>45591</v>
      </c>
      <c r="I2251">
        <v>9</v>
      </c>
      <c r="J2251" t="s">
        <v>32</v>
      </c>
      <c r="K2251">
        <v>3</v>
      </c>
      <c r="L2251">
        <v>4</v>
      </c>
      <c r="M2251" s="11">
        <v>13238.87</v>
      </c>
      <c r="N2251" s="12">
        <v>3827.79</v>
      </c>
      <c r="O2251" s="12">
        <v>815.76</v>
      </c>
    </row>
    <row r="2252" spans="1:15">
      <c r="A2252" t="s">
        <v>2426</v>
      </c>
      <c r="B2252" t="s">
        <v>55</v>
      </c>
      <c r="C2252" s="9">
        <v>33969</v>
      </c>
      <c r="D2252">
        <v>33</v>
      </c>
      <c r="E2252" t="s">
        <v>21</v>
      </c>
      <c r="F2252" t="s">
        <v>25</v>
      </c>
      <c r="G2252" s="9">
        <v>45244</v>
      </c>
      <c r="H2252" s="9">
        <v>45503</v>
      </c>
      <c r="I2252">
        <v>25</v>
      </c>
      <c r="J2252" t="s">
        <v>32</v>
      </c>
      <c r="K2252">
        <v>14</v>
      </c>
      <c r="L2252">
        <v>5</v>
      </c>
      <c r="M2252" s="11">
        <v>23110.61</v>
      </c>
      <c r="N2252" s="12">
        <v>7411.5</v>
      </c>
      <c r="O2252" s="12">
        <v>2591.48</v>
      </c>
    </row>
    <row r="2253" spans="1:15">
      <c r="A2253" t="s">
        <v>2427</v>
      </c>
      <c r="B2253" t="s">
        <v>31</v>
      </c>
      <c r="C2253" s="9">
        <v>17898</v>
      </c>
      <c r="D2253">
        <v>77</v>
      </c>
      <c r="E2253" t="s">
        <v>17</v>
      </c>
      <c r="F2253" t="s">
        <v>29</v>
      </c>
      <c r="G2253" s="9">
        <v>45521</v>
      </c>
      <c r="H2253" s="9">
        <v>44997</v>
      </c>
      <c r="I2253">
        <v>11</v>
      </c>
      <c r="J2253" t="s">
        <v>26</v>
      </c>
      <c r="K2253">
        <v>5</v>
      </c>
      <c r="L2253">
        <v>5</v>
      </c>
      <c r="M2253" s="11">
        <v>5455.7</v>
      </c>
      <c r="N2253" s="12">
        <v>7875.41</v>
      </c>
      <c r="O2253" s="12">
        <v>4225.3599999999997</v>
      </c>
    </row>
    <row r="2254" spans="1:15">
      <c r="A2254" t="s">
        <v>2428</v>
      </c>
      <c r="B2254" t="s">
        <v>67</v>
      </c>
      <c r="C2254" s="9">
        <v>21551</v>
      </c>
      <c r="D2254">
        <v>67</v>
      </c>
      <c r="E2254" t="s">
        <v>17</v>
      </c>
      <c r="F2254" t="s">
        <v>74</v>
      </c>
      <c r="G2254" s="9">
        <v>45305</v>
      </c>
      <c r="H2254" s="9">
        <v>45081</v>
      </c>
      <c r="I2254">
        <v>2</v>
      </c>
      <c r="J2254" t="s">
        <v>35</v>
      </c>
      <c r="K2254">
        <v>0</v>
      </c>
      <c r="L2254">
        <v>4</v>
      </c>
      <c r="M2254" s="11">
        <v>5203.8100000000004</v>
      </c>
      <c r="N2254" s="12">
        <v>10494.57</v>
      </c>
      <c r="O2254" s="12">
        <v>11913.04</v>
      </c>
    </row>
    <row r="2255" spans="1:15">
      <c r="A2255" t="s">
        <v>2429</v>
      </c>
      <c r="B2255" t="s">
        <v>261</v>
      </c>
      <c r="C2255" s="9">
        <v>27395</v>
      </c>
      <c r="D2255">
        <v>51</v>
      </c>
      <c r="E2255" t="s">
        <v>21</v>
      </c>
      <c r="F2255" t="s">
        <v>22</v>
      </c>
      <c r="G2255" s="9">
        <v>45062</v>
      </c>
      <c r="H2255" s="9">
        <v>45365</v>
      </c>
      <c r="I2255">
        <v>1</v>
      </c>
      <c r="J2255" t="s">
        <v>32</v>
      </c>
      <c r="K2255">
        <v>8</v>
      </c>
      <c r="L2255">
        <v>2</v>
      </c>
      <c r="M2255" s="11">
        <v>8962.7000000000007</v>
      </c>
      <c r="N2255" s="12">
        <v>4953.8900000000003</v>
      </c>
      <c r="O2255" s="12">
        <v>17894.810000000001</v>
      </c>
    </row>
    <row r="2256" spans="1:15">
      <c r="A2256" t="s">
        <v>2430</v>
      </c>
      <c r="B2256" t="s">
        <v>123</v>
      </c>
      <c r="C2256" s="9">
        <v>36526</v>
      </c>
      <c r="D2256">
        <f t="shared" ref="D2256:D2257" ca="1" si="11">DATEDIF(C2207,TODAY(),"Y")</f>
        <v>71</v>
      </c>
      <c r="E2256" t="s">
        <v>17</v>
      </c>
      <c r="F2256" t="s">
        <v>49</v>
      </c>
      <c r="G2256" s="9">
        <v>45656</v>
      </c>
      <c r="H2256" s="9">
        <v>45692</v>
      </c>
      <c r="I2256">
        <v>15</v>
      </c>
      <c r="J2256" t="s">
        <v>26</v>
      </c>
      <c r="K2256">
        <v>2</v>
      </c>
      <c r="L2256">
        <v>1</v>
      </c>
      <c r="M2256" s="11">
        <v>4075.32</v>
      </c>
      <c r="N2256" s="12">
        <v>4401.78</v>
      </c>
      <c r="O2256" s="12">
        <v>6430.62</v>
      </c>
    </row>
    <row r="2257" spans="1:15">
      <c r="A2257" t="s">
        <v>2431</v>
      </c>
      <c r="B2257" t="s">
        <v>246</v>
      </c>
      <c r="C2257" s="9">
        <v>35795</v>
      </c>
      <c r="D2257">
        <f t="shared" ca="1" si="11"/>
        <v>40</v>
      </c>
      <c r="E2257" t="s">
        <v>21</v>
      </c>
      <c r="F2257" t="s">
        <v>29</v>
      </c>
      <c r="G2257" s="9">
        <v>45547</v>
      </c>
      <c r="H2257" s="9">
        <v>45198</v>
      </c>
      <c r="I2257">
        <v>33</v>
      </c>
      <c r="J2257" t="s">
        <v>32</v>
      </c>
      <c r="K2257">
        <v>0</v>
      </c>
      <c r="L2257">
        <v>6</v>
      </c>
      <c r="M2257" s="11">
        <v>20195.86</v>
      </c>
      <c r="N2257" s="12">
        <v>10583.96</v>
      </c>
      <c r="O2257" s="12">
        <v>19271.259999999998</v>
      </c>
    </row>
    <row r="2258" spans="1:15">
      <c r="A2258" t="s">
        <v>2432</v>
      </c>
      <c r="B2258" t="s">
        <v>284</v>
      </c>
      <c r="C2258" s="9">
        <v>36161</v>
      </c>
      <c r="D2258">
        <v>27</v>
      </c>
      <c r="E2258" t="s">
        <v>21</v>
      </c>
      <c r="F2258" t="s">
        <v>49</v>
      </c>
      <c r="G2258" s="9">
        <v>45304</v>
      </c>
      <c r="H2258" s="9">
        <v>45468</v>
      </c>
      <c r="I2258">
        <v>29</v>
      </c>
      <c r="J2258" t="s">
        <v>32</v>
      </c>
      <c r="K2258">
        <v>5</v>
      </c>
      <c r="L2258">
        <v>0</v>
      </c>
      <c r="M2258" s="11">
        <v>5604.2</v>
      </c>
      <c r="N2258" s="12">
        <v>5990.03</v>
      </c>
      <c r="O2258" s="12">
        <v>3374.5</v>
      </c>
    </row>
    <row r="2259" spans="1:15">
      <c r="A2259" t="s">
        <v>2433</v>
      </c>
      <c r="B2259" t="s">
        <v>328</v>
      </c>
      <c r="C2259" s="9">
        <v>33604</v>
      </c>
      <c r="D2259">
        <v>34</v>
      </c>
      <c r="E2259" t="s">
        <v>17</v>
      </c>
      <c r="F2259" t="s">
        <v>22</v>
      </c>
      <c r="G2259" s="9">
        <v>45045</v>
      </c>
      <c r="H2259" s="9">
        <v>45001</v>
      </c>
      <c r="I2259">
        <v>25</v>
      </c>
      <c r="J2259" t="s">
        <v>32</v>
      </c>
      <c r="K2259">
        <v>1</v>
      </c>
      <c r="L2259">
        <v>4</v>
      </c>
      <c r="M2259" s="11">
        <v>6419.15</v>
      </c>
      <c r="N2259" s="12">
        <v>60.36</v>
      </c>
      <c r="O2259" s="12">
        <v>18487.12</v>
      </c>
    </row>
    <row r="2260" spans="1:15">
      <c r="A2260" t="s">
        <v>2434</v>
      </c>
      <c r="B2260" t="s">
        <v>87</v>
      </c>
      <c r="C2260" s="9">
        <v>43466</v>
      </c>
      <c r="D2260">
        <v>7</v>
      </c>
      <c r="E2260" t="s">
        <v>21</v>
      </c>
      <c r="F2260" t="s">
        <v>5184</v>
      </c>
      <c r="G2260" s="9">
        <v>45456</v>
      </c>
      <c r="H2260" s="9">
        <v>45723</v>
      </c>
      <c r="I2260">
        <v>25</v>
      </c>
      <c r="J2260" t="s">
        <v>35</v>
      </c>
      <c r="K2260">
        <v>7</v>
      </c>
      <c r="L2260">
        <v>3</v>
      </c>
      <c r="M2260" s="11">
        <v>17035.52</v>
      </c>
      <c r="N2260" s="12">
        <v>14067.7</v>
      </c>
      <c r="O2260" s="12">
        <v>16000.14</v>
      </c>
    </row>
    <row r="2261" spans="1:15">
      <c r="A2261" t="s">
        <v>2435</v>
      </c>
      <c r="B2261" t="s">
        <v>131</v>
      </c>
      <c r="C2261" s="9">
        <v>40544</v>
      </c>
      <c r="D2261">
        <v>15</v>
      </c>
      <c r="E2261" t="s">
        <v>17</v>
      </c>
      <c r="F2261" t="s">
        <v>74</v>
      </c>
      <c r="G2261" s="9">
        <v>45592</v>
      </c>
      <c r="H2261" s="9">
        <v>45498</v>
      </c>
      <c r="I2261">
        <v>35</v>
      </c>
      <c r="J2261" t="s">
        <v>32</v>
      </c>
      <c r="K2261">
        <v>9</v>
      </c>
      <c r="L2261">
        <v>6</v>
      </c>
      <c r="M2261" s="11">
        <v>0</v>
      </c>
      <c r="N2261" s="12">
        <v>2244.6799999999998</v>
      </c>
      <c r="O2261" s="12">
        <v>7719.57</v>
      </c>
    </row>
    <row r="2262" spans="1:15">
      <c r="A2262" t="s">
        <v>2436</v>
      </c>
      <c r="B2262" t="s">
        <v>215</v>
      </c>
      <c r="C2262" s="9">
        <f>DATE(2026-D2222,1,1)</f>
        <v>36892</v>
      </c>
      <c r="D2262">
        <f ca="1">DATEDIF(C2213,TODAY(),"Y")</f>
        <v>2</v>
      </c>
      <c r="E2262" t="s">
        <v>21</v>
      </c>
      <c r="F2262" t="s">
        <v>25</v>
      </c>
      <c r="G2262" s="9">
        <v>45449</v>
      </c>
      <c r="H2262" s="9">
        <v>45682</v>
      </c>
      <c r="I2262">
        <v>29</v>
      </c>
      <c r="J2262" t="s">
        <v>32</v>
      </c>
      <c r="K2262">
        <v>4</v>
      </c>
      <c r="L2262">
        <v>1</v>
      </c>
      <c r="M2262" s="11">
        <v>27373.42</v>
      </c>
      <c r="N2262" s="12">
        <v>2229.5100000000002</v>
      </c>
      <c r="O2262" s="12">
        <v>4046.87</v>
      </c>
    </row>
    <row r="2263" spans="1:15">
      <c r="A2263" t="s">
        <v>2437</v>
      </c>
      <c r="B2263" t="s">
        <v>65</v>
      </c>
      <c r="C2263" s="9">
        <v>35430</v>
      </c>
      <c r="D2263">
        <v>29</v>
      </c>
      <c r="E2263" t="s">
        <v>17</v>
      </c>
      <c r="F2263" t="s">
        <v>49</v>
      </c>
      <c r="G2263" s="9">
        <v>45576</v>
      </c>
      <c r="H2263" s="9">
        <v>45768</v>
      </c>
      <c r="I2263">
        <v>5</v>
      </c>
      <c r="J2263" t="s">
        <v>32</v>
      </c>
      <c r="K2263">
        <v>1</v>
      </c>
      <c r="L2263">
        <v>7</v>
      </c>
      <c r="M2263" s="11">
        <v>25867.15</v>
      </c>
      <c r="N2263" s="12">
        <v>12275.49</v>
      </c>
      <c r="O2263" s="12">
        <v>7764.99</v>
      </c>
    </row>
    <row r="2264" spans="1:15">
      <c r="A2264" t="s">
        <v>2438</v>
      </c>
      <c r="B2264" t="s">
        <v>187</v>
      </c>
      <c r="C2264" s="9">
        <v>39813</v>
      </c>
      <c r="D2264">
        <v>17</v>
      </c>
      <c r="E2264" t="s">
        <v>21</v>
      </c>
      <c r="F2264" t="s">
        <v>74</v>
      </c>
      <c r="G2264" s="9">
        <v>45313</v>
      </c>
      <c r="H2264" s="9">
        <v>45076</v>
      </c>
      <c r="I2264">
        <v>22</v>
      </c>
      <c r="J2264" t="s">
        <v>32</v>
      </c>
      <c r="K2264">
        <v>8</v>
      </c>
      <c r="L2264">
        <v>8</v>
      </c>
      <c r="M2264" s="11">
        <v>15693.18</v>
      </c>
      <c r="N2264" s="12">
        <v>5032.54</v>
      </c>
      <c r="O2264" s="12">
        <v>4196.1499999999996</v>
      </c>
    </row>
    <row r="2265" spans="1:15">
      <c r="A2265" t="s">
        <v>2439</v>
      </c>
      <c r="B2265" t="s">
        <v>16</v>
      </c>
      <c r="C2265" s="9">
        <v>45657</v>
      </c>
      <c r="D2265">
        <v>1</v>
      </c>
      <c r="E2265" t="s">
        <v>21</v>
      </c>
      <c r="F2265" t="s">
        <v>49</v>
      </c>
      <c r="G2265" s="9">
        <v>45500</v>
      </c>
      <c r="H2265" s="9">
        <v>45433</v>
      </c>
      <c r="I2265">
        <v>17</v>
      </c>
      <c r="J2265" t="s">
        <v>35</v>
      </c>
      <c r="K2265">
        <v>6</v>
      </c>
      <c r="L2265">
        <v>9</v>
      </c>
      <c r="M2265" s="11">
        <v>0</v>
      </c>
      <c r="N2265" s="12">
        <v>4922.63</v>
      </c>
      <c r="O2265" s="12">
        <v>11179.15</v>
      </c>
    </row>
    <row r="2266" spans="1:15">
      <c r="A2266" t="s">
        <v>2440</v>
      </c>
      <c r="B2266" t="s">
        <v>240</v>
      </c>
      <c r="C2266" s="9">
        <v>28490</v>
      </c>
      <c r="D2266">
        <f ca="1">DATEDIF(C2217,TODAY(),"Y")</f>
        <v>47</v>
      </c>
      <c r="E2266" t="s">
        <v>17</v>
      </c>
      <c r="F2266" t="s">
        <v>29</v>
      </c>
      <c r="G2266" s="9">
        <v>45509</v>
      </c>
      <c r="H2266" s="9">
        <v>44937</v>
      </c>
      <c r="I2266">
        <v>30</v>
      </c>
      <c r="J2266" t="s">
        <v>26</v>
      </c>
      <c r="K2266">
        <v>11</v>
      </c>
      <c r="L2266">
        <v>0</v>
      </c>
      <c r="M2266" s="11">
        <v>21025.9</v>
      </c>
      <c r="N2266" s="12">
        <v>9335.93</v>
      </c>
      <c r="O2266" s="12">
        <v>11453.86</v>
      </c>
    </row>
    <row r="2267" spans="1:15">
      <c r="A2267" t="s">
        <v>2441</v>
      </c>
      <c r="B2267" t="s">
        <v>196</v>
      </c>
      <c r="C2267" s="9">
        <v>18263</v>
      </c>
      <c r="D2267">
        <v>76</v>
      </c>
      <c r="E2267" t="s">
        <v>17</v>
      </c>
      <c r="F2267" t="s">
        <v>49</v>
      </c>
      <c r="G2267" s="9">
        <v>45499</v>
      </c>
      <c r="H2267" s="9">
        <v>45571</v>
      </c>
      <c r="I2267">
        <v>27</v>
      </c>
      <c r="J2267" t="s">
        <v>35</v>
      </c>
      <c r="K2267">
        <v>5</v>
      </c>
      <c r="L2267">
        <v>4</v>
      </c>
      <c r="M2267" s="11">
        <v>11382.11</v>
      </c>
      <c r="N2267" s="12">
        <v>885.58</v>
      </c>
      <c r="O2267" s="12">
        <v>15340.61</v>
      </c>
    </row>
    <row r="2268" spans="1:15">
      <c r="A2268" t="s">
        <v>2442</v>
      </c>
      <c r="B2268" t="s">
        <v>209</v>
      </c>
      <c r="C2268" s="9">
        <v>44927</v>
      </c>
      <c r="D2268">
        <v>3</v>
      </c>
      <c r="E2268" t="s">
        <v>21</v>
      </c>
      <c r="F2268" t="s">
        <v>5184</v>
      </c>
      <c r="G2268" s="9">
        <v>45570</v>
      </c>
      <c r="H2268" s="9">
        <v>45429</v>
      </c>
      <c r="I2268">
        <v>34</v>
      </c>
      <c r="J2268" t="s">
        <v>32</v>
      </c>
      <c r="K2268">
        <v>1</v>
      </c>
      <c r="L2268">
        <v>3</v>
      </c>
      <c r="M2268" s="11">
        <v>23226.22</v>
      </c>
      <c r="N2268" s="12">
        <v>3554.43</v>
      </c>
      <c r="O2268" s="12">
        <v>10510.09</v>
      </c>
    </row>
    <row r="2269" spans="1:15">
      <c r="A2269" t="s">
        <v>2443</v>
      </c>
      <c r="B2269" t="s">
        <v>273</v>
      </c>
      <c r="C2269" s="9">
        <v>13515</v>
      </c>
      <c r="D2269">
        <v>89</v>
      </c>
      <c r="E2269" t="s">
        <v>21</v>
      </c>
      <c r="F2269" t="s">
        <v>29</v>
      </c>
      <c r="G2269" s="9">
        <v>45499</v>
      </c>
      <c r="H2269" s="9">
        <v>44989</v>
      </c>
      <c r="I2269">
        <v>13</v>
      </c>
      <c r="J2269" t="s">
        <v>35</v>
      </c>
      <c r="K2269">
        <v>1</v>
      </c>
      <c r="L2269">
        <v>4</v>
      </c>
      <c r="M2269" s="11">
        <v>0</v>
      </c>
      <c r="N2269" s="12">
        <v>799.07</v>
      </c>
      <c r="O2269" s="12">
        <v>6837.44</v>
      </c>
    </row>
    <row r="2270" spans="1:15">
      <c r="A2270" t="s">
        <v>2444</v>
      </c>
      <c r="B2270" t="s">
        <v>392</v>
      </c>
      <c r="C2270" s="9">
        <v>13880</v>
      </c>
      <c r="D2270">
        <v>88</v>
      </c>
      <c r="E2270" t="s">
        <v>17</v>
      </c>
      <c r="F2270" t="s">
        <v>29</v>
      </c>
      <c r="G2270" s="9">
        <v>45195</v>
      </c>
      <c r="H2270" s="9">
        <v>45315</v>
      </c>
      <c r="I2270">
        <v>22</v>
      </c>
      <c r="J2270" t="s">
        <v>26</v>
      </c>
      <c r="K2270">
        <v>1</v>
      </c>
      <c r="L2270">
        <v>8</v>
      </c>
      <c r="M2270" s="11">
        <v>0</v>
      </c>
      <c r="N2270" s="12">
        <v>4372.6400000000003</v>
      </c>
      <c r="O2270" s="12">
        <v>18223.14</v>
      </c>
    </row>
    <row r="2271" spans="1:15">
      <c r="A2271" t="s">
        <v>2445</v>
      </c>
      <c r="B2271" t="s">
        <v>302</v>
      </c>
      <c r="C2271" s="9">
        <v>12054</v>
      </c>
      <c r="D2271">
        <v>93</v>
      </c>
      <c r="E2271" t="s">
        <v>21</v>
      </c>
      <c r="F2271" t="s">
        <v>74</v>
      </c>
      <c r="G2271" s="9">
        <v>45450</v>
      </c>
      <c r="H2271" s="9">
        <v>45822</v>
      </c>
      <c r="I2271">
        <v>35</v>
      </c>
      <c r="J2271" t="s">
        <v>32</v>
      </c>
      <c r="K2271">
        <v>12</v>
      </c>
      <c r="L2271">
        <v>2</v>
      </c>
      <c r="M2271" s="11">
        <v>9789.19</v>
      </c>
      <c r="N2271" s="12">
        <v>13048.95</v>
      </c>
      <c r="O2271" s="12">
        <v>1467.77</v>
      </c>
    </row>
    <row r="2272" spans="1:15">
      <c r="A2272" t="s">
        <v>2446</v>
      </c>
      <c r="B2272" t="s">
        <v>348</v>
      </c>
      <c r="C2272" s="9">
        <v>18994</v>
      </c>
      <c r="D2272">
        <v>74</v>
      </c>
      <c r="E2272" t="s">
        <v>17</v>
      </c>
      <c r="F2272" t="s">
        <v>18</v>
      </c>
      <c r="G2272" s="9">
        <v>45473</v>
      </c>
      <c r="H2272" s="9">
        <v>45701</v>
      </c>
      <c r="I2272">
        <v>39</v>
      </c>
      <c r="J2272" t="s">
        <v>26</v>
      </c>
      <c r="K2272">
        <v>1</v>
      </c>
      <c r="L2272">
        <v>0</v>
      </c>
      <c r="M2272" s="11">
        <v>7096</v>
      </c>
      <c r="N2272" s="12">
        <v>13639.99</v>
      </c>
      <c r="O2272" s="12">
        <v>16156.51</v>
      </c>
    </row>
    <row r="2273" spans="1:15">
      <c r="A2273" t="s">
        <v>2447</v>
      </c>
      <c r="B2273" t="s">
        <v>163</v>
      </c>
      <c r="C2273" s="9">
        <v>43831</v>
      </c>
      <c r="D2273">
        <f ca="1">DATEDIF(C2224,TODAY(),"Y")</f>
        <v>11</v>
      </c>
      <c r="E2273" t="s">
        <v>17</v>
      </c>
      <c r="F2273" t="s">
        <v>22</v>
      </c>
      <c r="G2273" s="9">
        <v>45412</v>
      </c>
      <c r="H2273" s="9">
        <v>45657</v>
      </c>
      <c r="I2273">
        <v>7</v>
      </c>
      <c r="J2273" t="s">
        <v>35</v>
      </c>
      <c r="K2273">
        <v>13</v>
      </c>
      <c r="L2273">
        <v>2</v>
      </c>
      <c r="M2273" s="11">
        <v>19686.02</v>
      </c>
      <c r="N2273" s="12">
        <v>4641.55</v>
      </c>
      <c r="O2273" s="12">
        <v>8132.45</v>
      </c>
    </row>
    <row r="2274" spans="1:15">
      <c r="A2274" t="s">
        <v>2448</v>
      </c>
      <c r="B2274" t="s">
        <v>244</v>
      </c>
      <c r="C2274" s="9">
        <v>11689</v>
      </c>
      <c r="D2274">
        <v>94</v>
      </c>
      <c r="E2274" t="s">
        <v>21</v>
      </c>
      <c r="F2274" t="s">
        <v>49</v>
      </c>
      <c r="G2274" s="9">
        <v>45364</v>
      </c>
      <c r="H2274" s="9">
        <v>45159</v>
      </c>
      <c r="I2274">
        <v>2</v>
      </c>
      <c r="J2274" t="s">
        <v>26</v>
      </c>
      <c r="K2274">
        <v>5</v>
      </c>
      <c r="L2274">
        <v>3</v>
      </c>
      <c r="M2274" s="11">
        <v>0</v>
      </c>
      <c r="N2274" s="12">
        <v>2813.8</v>
      </c>
      <c r="O2274" s="12">
        <v>3540.1</v>
      </c>
    </row>
    <row r="2275" spans="1:15">
      <c r="A2275" t="s">
        <v>2449</v>
      </c>
      <c r="B2275" t="s">
        <v>275</v>
      </c>
      <c r="C2275" s="9">
        <v>19359</v>
      </c>
      <c r="D2275">
        <f ca="1">DATEDIF(C2226,TODAY(),"Y")</f>
        <v>47</v>
      </c>
      <c r="E2275" t="s">
        <v>21</v>
      </c>
      <c r="F2275" t="s">
        <v>25</v>
      </c>
      <c r="G2275" s="9">
        <v>45489</v>
      </c>
      <c r="H2275" s="9">
        <v>45775</v>
      </c>
      <c r="I2275">
        <v>5</v>
      </c>
      <c r="J2275" t="s">
        <v>32</v>
      </c>
      <c r="K2275">
        <v>4</v>
      </c>
      <c r="L2275">
        <v>1</v>
      </c>
      <c r="M2275" s="11">
        <v>630.54999999999995</v>
      </c>
      <c r="N2275" s="12">
        <v>2029.14</v>
      </c>
      <c r="O2275" s="12">
        <v>2319.15</v>
      </c>
    </row>
    <row r="2276" spans="1:15">
      <c r="A2276" t="s">
        <v>2450</v>
      </c>
      <c r="B2276" t="s">
        <v>95</v>
      </c>
      <c r="C2276" s="9">
        <v>32143</v>
      </c>
      <c r="D2276">
        <v>38</v>
      </c>
      <c r="E2276" t="s">
        <v>17</v>
      </c>
      <c r="F2276" t="s">
        <v>29</v>
      </c>
      <c r="G2276" s="9">
        <v>45481</v>
      </c>
      <c r="H2276" s="9">
        <v>45511</v>
      </c>
      <c r="I2276">
        <v>30</v>
      </c>
      <c r="J2276" t="s">
        <v>32</v>
      </c>
      <c r="K2276">
        <v>9</v>
      </c>
      <c r="L2276">
        <v>0</v>
      </c>
      <c r="M2276" s="11">
        <v>28404.82</v>
      </c>
      <c r="N2276" s="12">
        <v>5916.29</v>
      </c>
      <c r="O2276" s="12">
        <v>4337.3599999999997</v>
      </c>
    </row>
    <row r="2277" spans="1:15">
      <c r="A2277" t="s">
        <v>2451</v>
      </c>
      <c r="B2277" t="s">
        <v>28</v>
      </c>
      <c r="C2277" s="9">
        <v>41639</v>
      </c>
      <c r="D2277">
        <v>12</v>
      </c>
      <c r="E2277" t="s">
        <v>21</v>
      </c>
      <c r="F2277" t="s">
        <v>18</v>
      </c>
      <c r="G2277" s="9">
        <v>45037</v>
      </c>
      <c r="H2277" s="9">
        <v>45455</v>
      </c>
      <c r="I2277">
        <v>34</v>
      </c>
      <c r="J2277" t="s">
        <v>26</v>
      </c>
      <c r="K2277">
        <v>10</v>
      </c>
      <c r="L2277">
        <v>0</v>
      </c>
      <c r="M2277" s="11">
        <v>10536.52</v>
      </c>
      <c r="N2277" s="12">
        <v>12396.09</v>
      </c>
      <c r="O2277" s="12">
        <v>2351.31</v>
      </c>
    </row>
    <row r="2278" spans="1:15">
      <c r="A2278" t="s">
        <v>2452</v>
      </c>
      <c r="B2278" t="s">
        <v>155</v>
      </c>
      <c r="C2278" s="9">
        <v>35065</v>
      </c>
      <c r="D2278">
        <v>30</v>
      </c>
      <c r="E2278" t="s">
        <v>17</v>
      </c>
      <c r="F2278" t="s">
        <v>29</v>
      </c>
      <c r="G2278" s="9">
        <v>45248</v>
      </c>
      <c r="H2278" s="9">
        <v>45477</v>
      </c>
      <c r="I2278">
        <v>2</v>
      </c>
      <c r="J2278" t="s">
        <v>35</v>
      </c>
      <c r="K2278">
        <v>0</v>
      </c>
      <c r="L2278">
        <v>7</v>
      </c>
      <c r="M2278" s="11">
        <v>0</v>
      </c>
      <c r="N2278" s="12">
        <v>12789.95</v>
      </c>
      <c r="O2278" s="12">
        <v>9124.5</v>
      </c>
    </row>
    <row r="2279" spans="1:15">
      <c r="A2279" t="s">
        <v>2453</v>
      </c>
      <c r="B2279" t="s">
        <v>48</v>
      </c>
      <c r="C2279" s="9">
        <v>20455</v>
      </c>
      <c r="D2279">
        <v>70</v>
      </c>
      <c r="E2279" t="s">
        <v>21</v>
      </c>
      <c r="F2279" t="s">
        <v>18</v>
      </c>
      <c r="G2279" s="9">
        <v>45453</v>
      </c>
      <c r="H2279" s="9">
        <v>45616</v>
      </c>
      <c r="I2279">
        <v>28</v>
      </c>
      <c r="J2279" t="s">
        <v>35</v>
      </c>
      <c r="K2279">
        <v>14</v>
      </c>
      <c r="L2279">
        <v>3</v>
      </c>
      <c r="M2279" s="11">
        <v>17303.46</v>
      </c>
      <c r="N2279" s="12">
        <v>688.92</v>
      </c>
      <c r="O2279" s="12">
        <v>6928.76</v>
      </c>
    </row>
    <row r="2280" spans="1:15">
      <c r="A2280" t="s">
        <v>2454</v>
      </c>
      <c r="B2280" t="s">
        <v>59</v>
      </c>
      <c r="C2280" s="9">
        <v>23377</v>
      </c>
      <c r="D2280">
        <v>62</v>
      </c>
      <c r="E2280" t="s">
        <v>17</v>
      </c>
      <c r="F2280" t="s">
        <v>18</v>
      </c>
      <c r="G2280" s="9">
        <v>45103</v>
      </c>
      <c r="H2280" s="9">
        <v>45372</v>
      </c>
      <c r="I2280">
        <v>4</v>
      </c>
      <c r="J2280" t="s">
        <v>35</v>
      </c>
      <c r="K2280">
        <v>3</v>
      </c>
      <c r="L2280">
        <v>1</v>
      </c>
      <c r="M2280" s="11">
        <v>0</v>
      </c>
      <c r="N2280" s="12">
        <v>3138.43</v>
      </c>
      <c r="O2280" s="12">
        <v>7067.44</v>
      </c>
    </row>
    <row r="2281" spans="1:15">
      <c r="A2281" t="s">
        <v>2455</v>
      </c>
      <c r="B2281" t="s">
        <v>215</v>
      </c>
      <c r="C2281" s="9">
        <v>25934</v>
      </c>
      <c r="D2281">
        <v>55</v>
      </c>
      <c r="E2281" t="s">
        <v>21</v>
      </c>
      <c r="F2281" t="s">
        <v>25</v>
      </c>
      <c r="G2281" s="9">
        <v>45600</v>
      </c>
      <c r="H2281" s="9">
        <v>45248</v>
      </c>
      <c r="I2281">
        <v>20</v>
      </c>
      <c r="J2281" t="s">
        <v>35</v>
      </c>
      <c r="K2281">
        <v>4</v>
      </c>
      <c r="L2281">
        <v>9</v>
      </c>
      <c r="M2281" s="11">
        <v>28795.73</v>
      </c>
      <c r="N2281" s="12">
        <v>3047.55</v>
      </c>
      <c r="O2281" s="12">
        <v>3053.05</v>
      </c>
    </row>
    <row r="2282" spans="1:15">
      <c r="A2282" t="s">
        <v>2456</v>
      </c>
      <c r="B2282" t="s">
        <v>261</v>
      </c>
      <c r="C2282" s="9">
        <v>31047</v>
      </c>
      <c r="D2282">
        <v>41</v>
      </c>
      <c r="E2282" t="s">
        <v>17</v>
      </c>
      <c r="F2282" t="s">
        <v>18</v>
      </c>
      <c r="G2282" s="9">
        <v>45477</v>
      </c>
      <c r="H2282" s="9">
        <v>45821</v>
      </c>
      <c r="I2282">
        <v>21</v>
      </c>
      <c r="J2282" t="s">
        <v>32</v>
      </c>
      <c r="K2282">
        <v>10</v>
      </c>
      <c r="L2282">
        <v>2</v>
      </c>
      <c r="M2282" s="11">
        <v>24577.02</v>
      </c>
      <c r="N2282" s="12">
        <v>12426.45</v>
      </c>
      <c r="O2282" s="12">
        <v>13160.83</v>
      </c>
    </row>
    <row r="2283" spans="1:15">
      <c r="A2283" t="s">
        <v>2457</v>
      </c>
      <c r="B2283" t="s">
        <v>187</v>
      </c>
      <c r="C2283" s="9">
        <v>24107</v>
      </c>
      <c r="D2283">
        <v>60</v>
      </c>
      <c r="E2283" t="s">
        <v>21</v>
      </c>
      <c r="F2283" t="s">
        <v>25</v>
      </c>
      <c r="G2283" s="9">
        <v>45464</v>
      </c>
      <c r="H2283" s="9">
        <v>45010</v>
      </c>
      <c r="I2283">
        <v>11</v>
      </c>
      <c r="J2283" t="s">
        <v>32</v>
      </c>
      <c r="K2283">
        <v>0</v>
      </c>
      <c r="L2283">
        <v>7</v>
      </c>
      <c r="M2283" s="11">
        <v>3771.07</v>
      </c>
      <c r="N2283" s="12">
        <v>6844.38</v>
      </c>
      <c r="O2283" s="12">
        <v>12116.72</v>
      </c>
    </row>
    <row r="2284" spans="1:15">
      <c r="A2284" t="s">
        <v>2458</v>
      </c>
      <c r="B2284" t="s">
        <v>479</v>
      </c>
      <c r="C2284" s="9">
        <v>31047</v>
      </c>
      <c r="D2284">
        <v>41</v>
      </c>
      <c r="E2284" t="s">
        <v>21</v>
      </c>
      <c r="F2284" t="s">
        <v>74</v>
      </c>
      <c r="G2284" s="9">
        <v>45550</v>
      </c>
      <c r="H2284" s="9">
        <v>45361</v>
      </c>
      <c r="I2284">
        <v>20</v>
      </c>
      <c r="J2284" t="s">
        <v>26</v>
      </c>
      <c r="K2284">
        <v>13</v>
      </c>
      <c r="L2284">
        <v>5</v>
      </c>
      <c r="M2284" s="11">
        <v>340.76</v>
      </c>
      <c r="N2284" s="12">
        <v>5525.93</v>
      </c>
      <c r="O2284" s="12">
        <v>19643.96</v>
      </c>
    </row>
    <row r="2285" spans="1:15">
      <c r="A2285" t="s">
        <v>2459</v>
      </c>
      <c r="B2285" t="s">
        <v>244</v>
      </c>
      <c r="C2285" s="9">
        <v>25934</v>
      </c>
      <c r="D2285">
        <v>55</v>
      </c>
      <c r="E2285" t="s">
        <v>17</v>
      </c>
      <c r="F2285" t="s">
        <v>29</v>
      </c>
      <c r="G2285" s="9">
        <v>45399</v>
      </c>
      <c r="H2285" s="9">
        <v>44944</v>
      </c>
      <c r="I2285">
        <v>6</v>
      </c>
      <c r="J2285" t="s">
        <v>32</v>
      </c>
      <c r="K2285">
        <v>12</v>
      </c>
      <c r="L2285">
        <v>7</v>
      </c>
      <c r="M2285" s="11">
        <v>8911.92</v>
      </c>
      <c r="N2285" s="12">
        <v>14349.09</v>
      </c>
      <c r="O2285" s="12">
        <v>3269.65</v>
      </c>
    </row>
    <row r="2286" spans="1:15">
      <c r="A2286" t="s">
        <v>2460</v>
      </c>
      <c r="B2286" t="s">
        <v>326</v>
      </c>
      <c r="C2286" s="9">
        <v>33239</v>
      </c>
      <c r="D2286">
        <v>35</v>
      </c>
      <c r="E2286" t="s">
        <v>21</v>
      </c>
      <c r="F2286" t="s">
        <v>25</v>
      </c>
      <c r="G2286" s="9">
        <v>45489</v>
      </c>
      <c r="H2286" s="9">
        <v>45296</v>
      </c>
      <c r="I2286">
        <v>5</v>
      </c>
      <c r="J2286" t="s">
        <v>32</v>
      </c>
      <c r="K2286">
        <v>1</v>
      </c>
      <c r="L2286">
        <v>9</v>
      </c>
      <c r="M2286" s="11">
        <v>14400.4</v>
      </c>
      <c r="N2286" s="12">
        <v>13880.36</v>
      </c>
      <c r="O2286" s="12">
        <v>16663.71</v>
      </c>
    </row>
    <row r="2287" spans="1:15">
      <c r="A2287" t="s">
        <v>2461</v>
      </c>
      <c r="B2287" t="s">
        <v>427</v>
      </c>
      <c r="C2287" s="9">
        <v>15707</v>
      </c>
      <c r="D2287">
        <v>83</v>
      </c>
      <c r="E2287" t="s">
        <v>21</v>
      </c>
      <c r="F2287" t="s">
        <v>22</v>
      </c>
      <c r="G2287" s="9">
        <v>45314</v>
      </c>
      <c r="H2287" s="9">
        <v>45595</v>
      </c>
      <c r="I2287">
        <v>5</v>
      </c>
      <c r="J2287" t="s">
        <v>32</v>
      </c>
      <c r="K2287">
        <v>2</v>
      </c>
      <c r="L2287">
        <v>4</v>
      </c>
      <c r="M2287" s="11">
        <v>21830.57</v>
      </c>
      <c r="N2287" s="12">
        <v>6601.6</v>
      </c>
      <c r="O2287" s="12">
        <v>580.82000000000005</v>
      </c>
    </row>
    <row r="2288" spans="1:15">
      <c r="A2288" t="s">
        <v>2462</v>
      </c>
      <c r="B2288" t="s">
        <v>37</v>
      </c>
      <c r="C2288" s="9">
        <v>21551</v>
      </c>
      <c r="D2288">
        <v>67</v>
      </c>
      <c r="E2288" t="s">
        <v>21</v>
      </c>
      <c r="F2288" t="s">
        <v>5184</v>
      </c>
      <c r="G2288" s="9">
        <v>45024</v>
      </c>
      <c r="H2288" s="9">
        <v>45611</v>
      </c>
      <c r="I2288">
        <v>0</v>
      </c>
      <c r="J2288" t="s">
        <v>26</v>
      </c>
      <c r="K2288">
        <v>12</v>
      </c>
      <c r="L2288">
        <v>2</v>
      </c>
      <c r="M2288" s="11">
        <v>19661.98</v>
      </c>
      <c r="N2288" s="12">
        <v>1924.98</v>
      </c>
      <c r="O2288" s="12">
        <v>1373.71</v>
      </c>
    </row>
    <row r="2289" spans="1:15">
      <c r="A2289" t="s">
        <v>2463</v>
      </c>
      <c r="B2289" t="s">
        <v>309</v>
      </c>
      <c r="C2289" s="9">
        <v>43831</v>
      </c>
      <c r="D2289">
        <v>6</v>
      </c>
      <c r="E2289" t="s">
        <v>21</v>
      </c>
      <c r="F2289" t="s">
        <v>29</v>
      </c>
      <c r="G2289" s="9">
        <v>45337</v>
      </c>
      <c r="H2289" s="9">
        <v>45509</v>
      </c>
      <c r="I2289">
        <v>29</v>
      </c>
      <c r="J2289" t="s">
        <v>32</v>
      </c>
      <c r="K2289">
        <v>13</v>
      </c>
      <c r="L2289">
        <v>5</v>
      </c>
      <c r="M2289" s="11">
        <v>9042.11</v>
      </c>
      <c r="N2289" s="12">
        <v>2565.0500000000002</v>
      </c>
      <c r="O2289" s="12">
        <v>12925.84</v>
      </c>
    </row>
    <row r="2290" spans="1:15">
      <c r="A2290" t="s">
        <v>2464</v>
      </c>
      <c r="B2290" t="s">
        <v>379</v>
      </c>
      <c r="C2290" s="9">
        <v>26664</v>
      </c>
      <c r="D2290">
        <v>53</v>
      </c>
      <c r="E2290" t="s">
        <v>17</v>
      </c>
      <c r="F2290" t="s">
        <v>5184</v>
      </c>
      <c r="G2290" s="9">
        <v>45301</v>
      </c>
      <c r="H2290" s="9">
        <v>45510</v>
      </c>
      <c r="I2290">
        <v>1</v>
      </c>
      <c r="J2290" t="s">
        <v>35</v>
      </c>
      <c r="K2290">
        <v>10</v>
      </c>
      <c r="L2290">
        <v>9</v>
      </c>
      <c r="M2290" s="11">
        <v>16030.88</v>
      </c>
      <c r="N2290" s="12">
        <v>1681.26</v>
      </c>
      <c r="O2290" s="12">
        <v>8070.04</v>
      </c>
    </row>
    <row r="2291" spans="1:15">
      <c r="A2291" t="s">
        <v>2465</v>
      </c>
      <c r="B2291" t="s">
        <v>78</v>
      </c>
      <c r="C2291" s="9">
        <v>46022</v>
      </c>
      <c r="D2291">
        <f ca="1">DATEDIF(C2242,TODAY(),"Y")</f>
        <v>24</v>
      </c>
      <c r="E2291" t="s">
        <v>17</v>
      </c>
      <c r="F2291" t="s">
        <v>22</v>
      </c>
      <c r="G2291" s="9">
        <v>45096</v>
      </c>
      <c r="H2291" s="9">
        <v>45182</v>
      </c>
      <c r="I2291">
        <v>35</v>
      </c>
      <c r="J2291" t="s">
        <v>35</v>
      </c>
      <c r="K2291">
        <v>2</v>
      </c>
      <c r="L2291">
        <v>7</v>
      </c>
      <c r="M2291" s="11">
        <v>19353.47</v>
      </c>
      <c r="N2291" s="12">
        <v>10207.56</v>
      </c>
      <c r="O2291" s="12">
        <v>4533.07</v>
      </c>
    </row>
    <row r="2292" spans="1:15">
      <c r="A2292" t="s">
        <v>2466</v>
      </c>
      <c r="B2292" t="s">
        <v>46</v>
      </c>
      <c r="C2292" s="9">
        <v>30317</v>
      </c>
      <c r="D2292">
        <v>43</v>
      </c>
      <c r="E2292" t="s">
        <v>21</v>
      </c>
      <c r="F2292" t="s">
        <v>49</v>
      </c>
      <c r="G2292" s="9">
        <v>44982</v>
      </c>
      <c r="H2292" s="9">
        <v>45383</v>
      </c>
      <c r="I2292">
        <v>1</v>
      </c>
      <c r="J2292" t="s">
        <v>26</v>
      </c>
      <c r="K2292">
        <v>2</v>
      </c>
      <c r="L2292">
        <v>4</v>
      </c>
      <c r="M2292" s="11">
        <v>15169.38</v>
      </c>
      <c r="N2292" s="12">
        <v>8320.31</v>
      </c>
      <c r="O2292" s="12">
        <v>44.59</v>
      </c>
    </row>
    <row r="2293" spans="1:15">
      <c r="A2293" t="s">
        <v>2467</v>
      </c>
      <c r="B2293" t="s">
        <v>338</v>
      </c>
      <c r="C2293" s="9">
        <v>29951</v>
      </c>
      <c r="D2293">
        <v>44</v>
      </c>
      <c r="E2293" t="s">
        <v>17</v>
      </c>
      <c r="F2293" t="s">
        <v>22</v>
      </c>
      <c r="G2293" s="9">
        <v>45251</v>
      </c>
      <c r="H2293" s="9">
        <v>45570</v>
      </c>
      <c r="I2293">
        <v>6</v>
      </c>
      <c r="J2293" t="s">
        <v>26</v>
      </c>
      <c r="K2293">
        <v>1</v>
      </c>
      <c r="L2293">
        <v>4</v>
      </c>
      <c r="M2293" s="11">
        <v>20513.72</v>
      </c>
      <c r="N2293" s="12">
        <v>8349.67</v>
      </c>
      <c r="O2293" s="12">
        <v>13229.23</v>
      </c>
    </row>
    <row r="2294" spans="1:15">
      <c r="A2294" t="s">
        <v>2468</v>
      </c>
      <c r="B2294" t="s">
        <v>550</v>
      </c>
      <c r="C2294" s="9">
        <v>29221</v>
      </c>
      <c r="D2294">
        <v>46</v>
      </c>
      <c r="E2294" t="s">
        <v>17</v>
      </c>
      <c r="F2294" t="s">
        <v>74</v>
      </c>
      <c r="G2294" s="9">
        <v>45584</v>
      </c>
      <c r="H2294" s="9">
        <v>45488</v>
      </c>
      <c r="I2294">
        <v>2</v>
      </c>
      <c r="J2294" t="s">
        <v>26</v>
      </c>
      <c r="K2294">
        <v>1</v>
      </c>
      <c r="L2294">
        <v>2</v>
      </c>
      <c r="M2294" s="11">
        <v>14299.16</v>
      </c>
      <c r="N2294" s="12">
        <v>1475.67</v>
      </c>
      <c r="O2294" s="12">
        <v>8761.06</v>
      </c>
    </row>
    <row r="2295" spans="1:15">
      <c r="A2295" t="s">
        <v>2469</v>
      </c>
      <c r="B2295" t="s">
        <v>444</v>
      </c>
      <c r="C2295" s="9">
        <v>41639</v>
      </c>
      <c r="D2295">
        <f ca="1">DATEDIF(C2246,TODAY(),"Y")</f>
        <v>14</v>
      </c>
      <c r="E2295" t="s">
        <v>17</v>
      </c>
      <c r="F2295" t="s">
        <v>49</v>
      </c>
      <c r="G2295" s="9">
        <v>45186</v>
      </c>
      <c r="H2295" s="9">
        <v>45460</v>
      </c>
      <c r="I2295">
        <v>8</v>
      </c>
      <c r="J2295" t="s">
        <v>32</v>
      </c>
      <c r="K2295">
        <v>5</v>
      </c>
      <c r="L2295">
        <v>2</v>
      </c>
      <c r="M2295" s="11">
        <v>15655.39</v>
      </c>
      <c r="N2295" s="12">
        <v>11899.12</v>
      </c>
      <c r="O2295" s="12">
        <v>3332.82</v>
      </c>
    </row>
    <row r="2296" spans="1:15">
      <c r="A2296" t="s">
        <v>2470</v>
      </c>
      <c r="B2296" t="s">
        <v>110</v>
      </c>
      <c r="C2296" s="9">
        <v>38352</v>
      </c>
      <c r="D2296">
        <v>21</v>
      </c>
      <c r="E2296" t="s">
        <v>21</v>
      </c>
      <c r="F2296" t="s">
        <v>49</v>
      </c>
      <c r="G2296" s="9">
        <v>45567</v>
      </c>
      <c r="H2296" s="9">
        <v>45319</v>
      </c>
      <c r="I2296">
        <v>26</v>
      </c>
      <c r="J2296" t="s">
        <v>32</v>
      </c>
      <c r="K2296">
        <v>2</v>
      </c>
      <c r="L2296">
        <v>7</v>
      </c>
      <c r="M2296" s="11">
        <v>28193.65</v>
      </c>
      <c r="N2296" s="12">
        <v>8033.59</v>
      </c>
      <c r="O2296" s="12">
        <v>19441.7</v>
      </c>
    </row>
    <row r="2297" spans="1:15">
      <c r="A2297" t="s">
        <v>2471</v>
      </c>
      <c r="B2297" t="s">
        <v>84</v>
      </c>
      <c r="C2297" s="9">
        <v>38717</v>
      </c>
      <c r="D2297">
        <v>20</v>
      </c>
      <c r="E2297" t="s">
        <v>17</v>
      </c>
      <c r="F2297" t="s">
        <v>18</v>
      </c>
      <c r="G2297" s="9">
        <v>45488</v>
      </c>
      <c r="H2297" s="9">
        <v>45247</v>
      </c>
      <c r="I2297">
        <v>23</v>
      </c>
      <c r="J2297" t="s">
        <v>26</v>
      </c>
      <c r="K2297">
        <v>0</v>
      </c>
      <c r="L2297">
        <v>0</v>
      </c>
      <c r="M2297" s="11">
        <v>11369.32</v>
      </c>
      <c r="N2297" s="12">
        <v>1364.54</v>
      </c>
      <c r="O2297" s="12">
        <v>6951.92</v>
      </c>
    </row>
    <row r="2298" spans="1:15">
      <c r="A2298" t="s">
        <v>2472</v>
      </c>
      <c r="B2298" t="s">
        <v>284</v>
      </c>
      <c r="C2298" s="9">
        <v>14976</v>
      </c>
      <c r="D2298">
        <v>85</v>
      </c>
      <c r="E2298" t="s">
        <v>17</v>
      </c>
      <c r="F2298" t="s">
        <v>22</v>
      </c>
      <c r="G2298" s="9">
        <v>45266</v>
      </c>
      <c r="H2298" s="9">
        <v>45147</v>
      </c>
      <c r="I2298">
        <v>24</v>
      </c>
      <c r="J2298" t="s">
        <v>26</v>
      </c>
      <c r="K2298">
        <v>6</v>
      </c>
      <c r="L2298">
        <v>3</v>
      </c>
      <c r="M2298" s="11">
        <v>22549.07</v>
      </c>
      <c r="N2298" s="12">
        <v>11206.96</v>
      </c>
      <c r="O2298" s="12">
        <v>5991.5</v>
      </c>
    </row>
    <row r="2299" spans="1:15">
      <c r="A2299" t="s">
        <v>2473</v>
      </c>
      <c r="B2299" t="s">
        <v>123</v>
      </c>
      <c r="C2299" s="9">
        <v>12785</v>
      </c>
      <c r="D2299">
        <v>91</v>
      </c>
      <c r="E2299" t="s">
        <v>17</v>
      </c>
      <c r="F2299" t="s">
        <v>18</v>
      </c>
      <c r="G2299" s="9">
        <v>45330</v>
      </c>
      <c r="H2299" s="9">
        <v>45626</v>
      </c>
      <c r="I2299">
        <v>35</v>
      </c>
      <c r="J2299" t="s">
        <v>26</v>
      </c>
      <c r="K2299">
        <v>9</v>
      </c>
      <c r="L2299">
        <v>8</v>
      </c>
      <c r="M2299" s="11">
        <v>9707.6299999999992</v>
      </c>
      <c r="N2299" s="12">
        <v>14719.47</v>
      </c>
      <c r="O2299" s="12">
        <v>10157.32</v>
      </c>
    </row>
    <row r="2300" spans="1:15">
      <c r="A2300" t="s">
        <v>2474</v>
      </c>
      <c r="B2300" t="s">
        <v>139</v>
      </c>
      <c r="C2300" s="9">
        <v>43100</v>
      </c>
      <c r="D2300">
        <v>8</v>
      </c>
      <c r="E2300" t="s">
        <v>21</v>
      </c>
      <c r="F2300" t="s">
        <v>22</v>
      </c>
      <c r="G2300" s="9">
        <v>45458</v>
      </c>
      <c r="H2300" s="9">
        <v>45341</v>
      </c>
      <c r="I2300">
        <v>26</v>
      </c>
      <c r="J2300" t="s">
        <v>35</v>
      </c>
      <c r="K2300">
        <v>1</v>
      </c>
      <c r="L2300">
        <v>5</v>
      </c>
      <c r="M2300" s="11">
        <v>0</v>
      </c>
      <c r="N2300" s="12">
        <v>6617.71</v>
      </c>
      <c r="O2300" s="12">
        <v>5471.86</v>
      </c>
    </row>
    <row r="2301" spans="1:15">
      <c r="A2301" t="s">
        <v>2475</v>
      </c>
      <c r="B2301" t="s">
        <v>61</v>
      </c>
      <c r="C2301" s="9">
        <v>36891</v>
      </c>
      <c r="D2301">
        <v>25</v>
      </c>
      <c r="E2301" t="s">
        <v>21</v>
      </c>
      <c r="F2301" t="s">
        <v>49</v>
      </c>
      <c r="G2301" s="9">
        <v>45100</v>
      </c>
      <c r="H2301" s="9">
        <v>44959</v>
      </c>
      <c r="I2301">
        <v>30</v>
      </c>
      <c r="J2301" t="s">
        <v>26</v>
      </c>
      <c r="K2301">
        <v>11</v>
      </c>
      <c r="L2301">
        <v>5</v>
      </c>
      <c r="M2301" s="11">
        <v>27763.48</v>
      </c>
      <c r="N2301" s="12">
        <v>1734.82</v>
      </c>
      <c r="O2301" s="12">
        <v>5382.52</v>
      </c>
    </row>
    <row r="2302" spans="1:15">
      <c r="A2302" t="s">
        <v>2476</v>
      </c>
      <c r="B2302" t="s">
        <v>196</v>
      </c>
      <c r="C2302" s="9">
        <v>43100</v>
      </c>
      <c r="D2302">
        <v>8</v>
      </c>
      <c r="E2302" t="s">
        <v>17</v>
      </c>
      <c r="F2302" t="s">
        <v>18</v>
      </c>
      <c r="G2302" s="9">
        <v>45464</v>
      </c>
      <c r="H2302" s="9">
        <v>45642</v>
      </c>
      <c r="I2302">
        <v>25</v>
      </c>
      <c r="J2302" t="s">
        <v>35</v>
      </c>
      <c r="K2302">
        <v>14</v>
      </c>
      <c r="L2302">
        <v>9</v>
      </c>
      <c r="M2302" s="11">
        <v>20809.48</v>
      </c>
      <c r="N2302" s="12">
        <v>1520.99</v>
      </c>
      <c r="O2302" s="12">
        <v>19322.36</v>
      </c>
    </row>
    <row r="2303" spans="1:15">
      <c r="A2303" t="s">
        <v>2477</v>
      </c>
      <c r="B2303" t="s">
        <v>444</v>
      </c>
      <c r="C2303" s="9">
        <v>40909</v>
      </c>
      <c r="D2303">
        <v>14</v>
      </c>
      <c r="E2303" t="s">
        <v>21</v>
      </c>
      <c r="F2303" t="s">
        <v>5184</v>
      </c>
      <c r="G2303" s="9">
        <v>45086</v>
      </c>
      <c r="H2303" s="9">
        <v>45715</v>
      </c>
      <c r="I2303">
        <v>28</v>
      </c>
      <c r="J2303" t="s">
        <v>35</v>
      </c>
      <c r="K2303">
        <v>7</v>
      </c>
      <c r="L2303">
        <v>6</v>
      </c>
      <c r="M2303" s="11">
        <v>27833.23</v>
      </c>
      <c r="N2303" s="12">
        <v>388.19</v>
      </c>
      <c r="O2303" s="12">
        <v>5149.07</v>
      </c>
    </row>
    <row r="2304" spans="1:15">
      <c r="A2304" t="s">
        <v>2478</v>
      </c>
      <c r="B2304" t="s">
        <v>166</v>
      </c>
      <c r="C2304" s="9">
        <v>42735</v>
      </c>
      <c r="D2304">
        <v>9</v>
      </c>
      <c r="E2304" t="s">
        <v>17</v>
      </c>
      <c r="F2304" t="s">
        <v>29</v>
      </c>
      <c r="G2304" s="9">
        <v>44936</v>
      </c>
      <c r="H2304" s="9">
        <v>45681</v>
      </c>
      <c r="I2304">
        <v>16</v>
      </c>
      <c r="J2304" t="s">
        <v>32</v>
      </c>
      <c r="K2304">
        <v>3</v>
      </c>
      <c r="L2304">
        <v>6</v>
      </c>
      <c r="M2304" s="11">
        <v>29834.73</v>
      </c>
      <c r="N2304" s="12">
        <v>11555.97</v>
      </c>
      <c r="O2304" s="12">
        <v>12069.88</v>
      </c>
    </row>
    <row r="2305" spans="1:15">
      <c r="A2305" t="s">
        <v>2479</v>
      </c>
      <c r="B2305" t="s">
        <v>153</v>
      </c>
      <c r="C2305" s="9">
        <v>14246</v>
      </c>
      <c r="D2305">
        <v>87</v>
      </c>
      <c r="E2305" t="s">
        <v>21</v>
      </c>
      <c r="F2305" t="s">
        <v>22</v>
      </c>
      <c r="G2305" s="9">
        <v>45520</v>
      </c>
      <c r="H2305" s="9">
        <v>44943</v>
      </c>
      <c r="I2305">
        <v>23</v>
      </c>
      <c r="J2305" t="s">
        <v>26</v>
      </c>
      <c r="K2305">
        <v>0</v>
      </c>
      <c r="L2305">
        <v>5</v>
      </c>
      <c r="M2305" s="11">
        <v>493.8</v>
      </c>
      <c r="N2305" s="12">
        <v>10410.01</v>
      </c>
      <c r="O2305" s="12">
        <v>652.67999999999995</v>
      </c>
    </row>
    <row r="2306" spans="1:15">
      <c r="A2306" t="s">
        <v>2480</v>
      </c>
      <c r="B2306" t="s">
        <v>20</v>
      </c>
      <c r="C2306" s="9">
        <v>31047</v>
      </c>
      <c r="D2306">
        <v>41</v>
      </c>
      <c r="E2306" t="s">
        <v>17</v>
      </c>
      <c r="F2306" t="s">
        <v>22</v>
      </c>
      <c r="G2306" s="9">
        <v>45182</v>
      </c>
      <c r="H2306" s="9">
        <v>45336</v>
      </c>
      <c r="I2306">
        <v>26</v>
      </c>
      <c r="J2306" t="s">
        <v>32</v>
      </c>
      <c r="K2306">
        <v>11</v>
      </c>
      <c r="L2306">
        <v>8</v>
      </c>
      <c r="M2306" s="11">
        <v>29486.080000000002</v>
      </c>
      <c r="N2306" s="12">
        <v>8763.59</v>
      </c>
      <c r="O2306" s="12">
        <v>3002.42</v>
      </c>
    </row>
    <row r="2307" spans="1:15">
      <c r="A2307" t="s">
        <v>2481</v>
      </c>
      <c r="B2307" t="s">
        <v>240</v>
      </c>
      <c r="C2307" s="9">
        <v>20090</v>
      </c>
      <c r="D2307">
        <v>71</v>
      </c>
      <c r="E2307" t="s">
        <v>17</v>
      </c>
      <c r="F2307" t="s">
        <v>18</v>
      </c>
      <c r="G2307" s="9">
        <v>45543</v>
      </c>
      <c r="H2307" s="9">
        <v>45755</v>
      </c>
      <c r="I2307">
        <v>8</v>
      </c>
      <c r="J2307" t="s">
        <v>26</v>
      </c>
      <c r="K2307">
        <v>12</v>
      </c>
      <c r="L2307">
        <v>7</v>
      </c>
      <c r="M2307" s="11">
        <v>2576.56</v>
      </c>
      <c r="N2307" s="12">
        <v>11484.44</v>
      </c>
      <c r="O2307" s="12">
        <v>343.81</v>
      </c>
    </row>
    <row r="2308" spans="1:15">
      <c r="A2308" t="s">
        <v>2482</v>
      </c>
      <c r="B2308" t="s">
        <v>1148</v>
      </c>
      <c r="C2308" s="9">
        <v>37622</v>
      </c>
      <c r="D2308">
        <v>23</v>
      </c>
      <c r="E2308" t="s">
        <v>17</v>
      </c>
      <c r="F2308" t="s">
        <v>22</v>
      </c>
      <c r="G2308" s="9">
        <v>45578</v>
      </c>
      <c r="H2308" s="9">
        <v>45100</v>
      </c>
      <c r="I2308">
        <v>38</v>
      </c>
      <c r="J2308" t="s">
        <v>32</v>
      </c>
      <c r="K2308">
        <v>2</v>
      </c>
      <c r="L2308">
        <v>7</v>
      </c>
      <c r="M2308" s="11">
        <v>1647.55</v>
      </c>
      <c r="N2308" s="12">
        <v>14989.47</v>
      </c>
      <c r="O2308" s="12">
        <v>10642.98</v>
      </c>
    </row>
    <row r="2309" spans="1:15">
      <c r="A2309" t="s">
        <v>2483</v>
      </c>
      <c r="B2309" t="s">
        <v>209</v>
      </c>
      <c r="C2309" s="9">
        <v>17168</v>
      </c>
      <c r="D2309">
        <v>79</v>
      </c>
      <c r="E2309" t="s">
        <v>17</v>
      </c>
      <c r="F2309" t="s">
        <v>49</v>
      </c>
      <c r="G2309" s="9">
        <v>45640</v>
      </c>
      <c r="H2309" s="9">
        <v>45576</v>
      </c>
      <c r="I2309">
        <v>29</v>
      </c>
      <c r="J2309" t="s">
        <v>26</v>
      </c>
      <c r="K2309">
        <v>1</v>
      </c>
      <c r="L2309">
        <v>1</v>
      </c>
      <c r="M2309" s="11">
        <v>22918.2</v>
      </c>
      <c r="N2309" s="12">
        <v>6027.72</v>
      </c>
      <c r="O2309" s="12">
        <v>9781.2900000000009</v>
      </c>
    </row>
    <row r="2310" spans="1:15">
      <c r="A2310" t="s">
        <v>2484</v>
      </c>
      <c r="B2310" t="s">
        <v>57</v>
      </c>
      <c r="C2310" s="9">
        <v>28490</v>
      </c>
      <c r="D2310">
        <v>48</v>
      </c>
      <c r="E2310" t="s">
        <v>17</v>
      </c>
      <c r="F2310" t="s">
        <v>18</v>
      </c>
      <c r="G2310" s="9">
        <v>45270</v>
      </c>
      <c r="H2310" s="9">
        <v>45106</v>
      </c>
      <c r="I2310">
        <v>18</v>
      </c>
      <c r="J2310" t="s">
        <v>26</v>
      </c>
      <c r="K2310">
        <v>5</v>
      </c>
      <c r="L2310">
        <v>6</v>
      </c>
      <c r="M2310" s="11">
        <v>10180.629999999999</v>
      </c>
      <c r="N2310" s="12">
        <v>10587.15</v>
      </c>
      <c r="O2310" s="12">
        <v>6551.54</v>
      </c>
    </row>
    <row r="2311" spans="1:15">
      <c r="A2311" t="s">
        <v>2485</v>
      </c>
      <c r="B2311" t="s">
        <v>37</v>
      </c>
      <c r="C2311" s="9">
        <v>36891</v>
      </c>
      <c r="D2311">
        <v>25</v>
      </c>
      <c r="E2311" t="s">
        <v>21</v>
      </c>
      <c r="F2311" t="s">
        <v>18</v>
      </c>
      <c r="G2311" s="9">
        <v>45462</v>
      </c>
      <c r="H2311" s="9">
        <v>45798</v>
      </c>
      <c r="I2311">
        <v>35</v>
      </c>
      <c r="J2311" t="s">
        <v>26</v>
      </c>
      <c r="K2311">
        <v>4</v>
      </c>
      <c r="L2311">
        <v>0</v>
      </c>
      <c r="M2311" s="11">
        <v>27493.26</v>
      </c>
      <c r="N2311" s="12">
        <v>5657.42</v>
      </c>
      <c r="O2311" s="12">
        <v>13975.66</v>
      </c>
    </row>
    <row r="2312" spans="1:15">
      <c r="A2312" t="s">
        <v>2486</v>
      </c>
      <c r="B2312" t="s">
        <v>108</v>
      </c>
      <c r="C2312" s="9">
        <v>13150</v>
      </c>
      <c r="D2312">
        <v>90</v>
      </c>
      <c r="E2312" t="s">
        <v>17</v>
      </c>
      <c r="F2312" t="s">
        <v>25</v>
      </c>
      <c r="G2312" s="9">
        <v>45299</v>
      </c>
      <c r="H2312" s="9">
        <v>45500</v>
      </c>
      <c r="I2312">
        <v>31</v>
      </c>
      <c r="J2312" t="s">
        <v>26</v>
      </c>
      <c r="K2312">
        <v>9</v>
      </c>
      <c r="L2312">
        <v>9</v>
      </c>
      <c r="M2312" s="11">
        <v>16107.45</v>
      </c>
      <c r="N2312" s="12">
        <v>5280.87</v>
      </c>
      <c r="O2312" s="12">
        <v>12478.47</v>
      </c>
    </row>
    <row r="2313" spans="1:15">
      <c r="A2313" t="s">
        <v>2487</v>
      </c>
      <c r="B2313" t="s">
        <v>204</v>
      </c>
      <c r="C2313" s="9">
        <v>32873</v>
      </c>
      <c r="D2313">
        <v>36</v>
      </c>
      <c r="E2313" t="s">
        <v>21</v>
      </c>
      <c r="F2313" t="s">
        <v>5184</v>
      </c>
      <c r="G2313" s="9">
        <v>45361</v>
      </c>
      <c r="H2313" s="9">
        <v>45424</v>
      </c>
      <c r="I2313">
        <v>37</v>
      </c>
      <c r="J2313" t="s">
        <v>26</v>
      </c>
      <c r="K2313">
        <v>10</v>
      </c>
      <c r="L2313">
        <v>7</v>
      </c>
      <c r="M2313" s="11">
        <v>11276.41</v>
      </c>
      <c r="N2313" s="12">
        <v>12763.8</v>
      </c>
      <c r="O2313" s="12">
        <v>11966.87</v>
      </c>
    </row>
    <row r="2314" spans="1:15">
      <c r="A2314" t="s">
        <v>2488</v>
      </c>
      <c r="B2314" t="s">
        <v>172</v>
      </c>
      <c r="C2314" s="9">
        <v>21551</v>
      </c>
      <c r="D2314">
        <v>67</v>
      </c>
      <c r="E2314" t="s">
        <v>17</v>
      </c>
      <c r="F2314" t="s">
        <v>5184</v>
      </c>
      <c r="G2314" s="9">
        <v>44972</v>
      </c>
      <c r="H2314" s="9">
        <v>45031</v>
      </c>
      <c r="I2314">
        <v>19</v>
      </c>
      <c r="J2314" t="s">
        <v>26</v>
      </c>
      <c r="K2314">
        <v>9</v>
      </c>
      <c r="L2314">
        <v>2</v>
      </c>
      <c r="M2314" s="11">
        <v>1739.84</v>
      </c>
      <c r="N2314" s="12">
        <v>8621.4500000000007</v>
      </c>
      <c r="O2314" s="12">
        <v>6658.79</v>
      </c>
    </row>
    <row r="2315" spans="1:15">
      <c r="A2315" t="s">
        <v>2489</v>
      </c>
      <c r="B2315" t="s">
        <v>387</v>
      </c>
      <c r="C2315" s="9">
        <v>28125</v>
      </c>
      <c r="D2315">
        <v>49</v>
      </c>
      <c r="E2315" t="s">
        <v>21</v>
      </c>
      <c r="F2315" t="s">
        <v>25</v>
      </c>
      <c r="G2315" s="9">
        <v>45655</v>
      </c>
      <c r="H2315" s="9">
        <v>45244</v>
      </c>
      <c r="I2315">
        <v>24</v>
      </c>
      <c r="J2315" t="s">
        <v>32</v>
      </c>
      <c r="K2315">
        <v>7</v>
      </c>
      <c r="L2315">
        <v>8</v>
      </c>
      <c r="M2315" s="11">
        <v>13671.39</v>
      </c>
      <c r="N2315" s="12">
        <v>1809.2</v>
      </c>
      <c r="O2315" s="12">
        <v>6475.63</v>
      </c>
    </row>
    <row r="2316" spans="1:15">
      <c r="A2316" t="s">
        <v>2490</v>
      </c>
      <c r="B2316" t="s">
        <v>273</v>
      </c>
      <c r="C2316" s="9">
        <v>37622</v>
      </c>
      <c r="D2316">
        <v>23</v>
      </c>
      <c r="E2316" t="s">
        <v>17</v>
      </c>
      <c r="F2316" t="s">
        <v>49</v>
      </c>
      <c r="G2316" s="9">
        <v>44981</v>
      </c>
      <c r="H2316" s="9">
        <v>45634</v>
      </c>
      <c r="I2316">
        <v>5</v>
      </c>
      <c r="J2316" t="s">
        <v>32</v>
      </c>
      <c r="K2316">
        <v>2</v>
      </c>
      <c r="L2316">
        <v>4</v>
      </c>
      <c r="M2316" s="11">
        <v>7975.88</v>
      </c>
      <c r="N2316" s="12">
        <v>6052.74</v>
      </c>
      <c r="O2316" s="12">
        <v>17456.310000000001</v>
      </c>
    </row>
    <row r="2317" spans="1:15">
      <c r="A2317" t="s">
        <v>2491</v>
      </c>
      <c r="B2317" t="s">
        <v>16</v>
      </c>
      <c r="C2317" s="9">
        <v>39448</v>
      </c>
      <c r="D2317">
        <v>18</v>
      </c>
      <c r="E2317" t="s">
        <v>17</v>
      </c>
      <c r="F2317" t="s">
        <v>29</v>
      </c>
      <c r="G2317" s="9">
        <v>45004</v>
      </c>
      <c r="H2317" s="9">
        <v>45695</v>
      </c>
      <c r="I2317">
        <v>37</v>
      </c>
      <c r="J2317" t="s">
        <v>32</v>
      </c>
      <c r="K2317">
        <v>10</v>
      </c>
      <c r="L2317">
        <v>6</v>
      </c>
      <c r="M2317" s="11">
        <v>1836.7</v>
      </c>
      <c r="N2317" s="12">
        <v>11948.31</v>
      </c>
      <c r="O2317" s="12">
        <v>10833.69</v>
      </c>
    </row>
    <row r="2318" spans="1:15">
      <c r="A2318" t="s">
        <v>2492</v>
      </c>
      <c r="B2318" t="s">
        <v>268</v>
      </c>
      <c r="C2318" s="9">
        <v>24473</v>
      </c>
      <c r="D2318">
        <v>59</v>
      </c>
      <c r="E2318" t="s">
        <v>21</v>
      </c>
      <c r="F2318" t="s">
        <v>22</v>
      </c>
      <c r="G2318" s="9">
        <v>45417</v>
      </c>
      <c r="H2318" s="9">
        <v>45515</v>
      </c>
      <c r="I2318">
        <v>28</v>
      </c>
      <c r="J2318" t="s">
        <v>32</v>
      </c>
      <c r="K2318">
        <v>1</v>
      </c>
      <c r="L2318">
        <v>6</v>
      </c>
      <c r="M2318" s="11">
        <v>19946.849999999999</v>
      </c>
      <c r="N2318" s="12">
        <v>14099.97</v>
      </c>
      <c r="O2318" s="12">
        <v>5371.91</v>
      </c>
    </row>
    <row r="2319" spans="1:15">
      <c r="A2319" t="s">
        <v>2493</v>
      </c>
      <c r="B2319" t="s">
        <v>166</v>
      </c>
      <c r="C2319" s="9">
        <v>32143</v>
      </c>
      <c r="D2319">
        <v>38</v>
      </c>
      <c r="E2319" t="s">
        <v>21</v>
      </c>
      <c r="F2319" t="s">
        <v>74</v>
      </c>
      <c r="G2319" s="9">
        <v>45597</v>
      </c>
      <c r="H2319" s="9">
        <v>45710</v>
      </c>
      <c r="I2319">
        <v>2</v>
      </c>
      <c r="J2319" t="s">
        <v>32</v>
      </c>
      <c r="K2319">
        <v>5</v>
      </c>
      <c r="L2319">
        <v>8</v>
      </c>
      <c r="M2319" s="11">
        <v>29308.77</v>
      </c>
      <c r="N2319" s="12">
        <v>9216.42</v>
      </c>
      <c r="O2319" s="12">
        <v>10818.74</v>
      </c>
    </row>
    <row r="2320" spans="1:15">
      <c r="A2320" t="s">
        <v>2494</v>
      </c>
      <c r="B2320" t="s">
        <v>145</v>
      </c>
      <c r="C2320" s="9">
        <v>19359</v>
      </c>
      <c r="D2320">
        <v>73</v>
      </c>
      <c r="E2320" t="s">
        <v>5185</v>
      </c>
      <c r="F2320" t="s">
        <v>22</v>
      </c>
      <c r="G2320" s="9">
        <v>45198</v>
      </c>
      <c r="H2320" s="9">
        <v>45108</v>
      </c>
      <c r="I2320">
        <v>36</v>
      </c>
      <c r="J2320" t="s">
        <v>32</v>
      </c>
      <c r="K2320">
        <v>4</v>
      </c>
      <c r="L2320">
        <v>1</v>
      </c>
      <c r="M2320" s="11">
        <v>11056.89</v>
      </c>
      <c r="N2320" s="12">
        <v>5913.21</v>
      </c>
      <c r="O2320" s="12">
        <v>5262.09</v>
      </c>
    </row>
    <row r="2321" spans="1:15">
      <c r="A2321" t="s">
        <v>2495</v>
      </c>
      <c r="B2321" t="s">
        <v>242</v>
      </c>
      <c r="C2321" s="9">
        <v>13880</v>
      </c>
      <c r="D2321">
        <v>88</v>
      </c>
      <c r="E2321" t="s">
        <v>21</v>
      </c>
      <c r="F2321" t="s">
        <v>74</v>
      </c>
      <c r="G2321" s="9">
        <v>45586</v>
      </c>
      <c r="H2321" s="9">
        <v>45059</v>
      </c>
      <c r="I2321">
        <v>31</v>
      </c>
      <c r="J2321" t="s">
        <v>26</v>
      </c>
      <c r="K2321">
        <v>3</v>
      </c>
      <c r="L2321">
        <v>3</v>
      </c>
      <c r="M2321" s="11">
        <v>8566.58</v>
      </c>
      <c r="N2321" s="12">
        <v>3779.74</v>
      </c>
      <c r="O2321" s="12">
        <v>3624.51</v>
      </c>
    </row>
    <row r="2322" spans="1:15">
      <c r="A2322" t="s">
        <v>2496</v>
      </c>
      <c r="B2322" t="s">
        <v>596</v>
      </c>
      <c r="C2322" s="9">
        <v>39813</v>
      </c>
      <c r="D2322">
        <v>17</v>
      </c>
      <c r="E2322" t="s">
        <v>21</v>
      </c>
      <c r="F2322" t="s">
        <v>5184</v>
      </c>
      <c r="G2322" s="9">
        <v>45476</v>
      </c>
      <c r="H2322" s="9">
        <v>45590</v>
      </c>
      <c r="I2322">
        <v>21</v>
      </c>
      <c r="J2322" t="s">
        <v>32</v>
      </c>
      <c r="K2322">
        <v>13</v>
      </c>
      <c r="L2322">
        <v>7</v>
      </c>
      <c r="M2322" s="11">
        <v>2243.79</v>
      </c>
      <c r="N2322" s="12">
        <v>6330.36</v>
      </c>
      <c r="O2322" s="12">
        <v>5571.75</v>
      </c>
    </row>
    <row r="2323" spans="1:15">
      <c r="A2323" t="s">
        <v>2497</v>
      </c>
      <c r="B2323" t="s">
        <v>69</v>
      </c>
      <c r="C2323" s="9">
        <v>39448</v>
      </c>
      <c r="D2323">
        <v>18</v>
      </c>
      <c r="E2323" t="s">
        <v>21</v>
      </c>
      <c r="F2323" t="s">
        <v>49</v>
      </c>
      <c r="G2323" s="9">
        <v>45037</v>
      </c>
      <c r="H2323" s="9">
        <v>45082</v>
      </c>
      <c r="I2323">
        <v>25</v>
      </c>
      <c r="J2323" t="s">
        <v>32</v>
      </c>
      <c r="K2323">
        <v>13</v>
      </c>
      <c r="L2323">
        <v>4</v>
      </c>
      <c r="M2323" s="11">
        <v>6305.93</v>
      </c>
      <c r="N2323" s="12">
        <v>8484.82</v>
      </c>
      <c r="O2323" s="12">
        <v>12540.74</v>
      </c>
    </row>
    <row r="2324" spans="1:15">
      <c r="A2324" t="s">
        <v>2498</v>
      </c>
      <c r="B2324" t="s">
        <v>80</v>
      </c>
      <c r="C2324" s="9">
        <v>33239</v>
      </c>
      <c r="D2324">
        <v>35</v>
      </c>
      <c r="E2324" t="s">
        <v>5185</v>
      </c>
      <c r="F2324" t="s">
        <v>29</v>
      </c>
      <c r="G2324" s="9">
        <v>44941</v>
      </c>
      <c r="H2324" s="9">
        <v>45286</v>
      </c>
      <c r="I2324">
        <v>1</v>
      </c>
      <c r="J2324" t="s">
        <v>35</v>
      </c>
      <c r="K2324">
        <v>8</v>
      </c>
      <c r="L2324">
        <v>4</v>
      </c>
      <c r="M2324" s="11">
        <v>0</v>
      </c>
      <c r="N2324" s="12">
        <v>66.25</v>
      </c>
      <c r="O2324" s="12">
        <v>10268.34</v>
      </c>
    </row>
    <row r="2325" spans="1:15">
      <c r="A2325" t="s">
        <v>2499</v>
      </c>
      <c r="B2325" t="s">
        <v>82</v>
      </c>
      <c r="C2325" s="9">
        <f>DATE(2026-D2285,1,1)</f>
        <v>25934</v>
      </c>
      <c r="D2325">
        <v>73</v>
      </c>
      <c r="E2325" t="s">
        <v>5185</v>
      </c>
      <c r="F2325" t="s">
        <v>29</v>
      </c>
      <c r="G2325" s="9">
        <v>45004</v>
      </c>
      <c r="H2325" s="9">
        <v>45162</v>
      </c>
      <c r="I2325">
        <v>15</v>
      </c>
      <c r="J2325" t="s">
        <v>32</v>
      </c>
      <c r="K2325">
        <v>5</v>
      </c>
      <c r="L2325">
        <v>2</v>
      </c>
      <c r="M2325" s="11">
        <v>9997.36</v>
      </c>
      <c r="N2325" s="12">
        <v>4030.17</v>
      </c>
      <c r="O2325" s="12">
        <v>3206.46</v>
      </c>
    </row>
    <row r="2326" spans="1:15">
      <c r="A2326" t="s">
        <v>2500</v>
      </c>
      <c r="B2326" t="s">
        <v>131</v>
      </c>
      <c r="C2326" s="9">
        <v>26299</v>
      </c>
      <c r="D2326">
        <v>54</v>
      </c>
      <c r="E2326" t="s">
        <v>17</v>
      </c>
      <c r="F2326" t="s">
        <v>29</v>
      </c>
      <c r="G2326" s="9">
        <v>45427</v>
      </c>
      <c r="H2326" s="9">
        <v>45687</v>
      </c>
      <c r="I2326">
        <v>26</v>
      </c>
      <c r="J2326" t="s">
        <v>32</v>
      </c>
      <c r="K2326">
        <v>3</v>
      </c>
      <c r="L2326">
        <v>4</v>
      </c>
      <c r="M2326" s="11">
        <v>18835.990000000002</v>
      </c>
      <c r="N2326" s="12">
        <v>10072.74</v>
      </c>
      <c r="O2326" s="12">
        <v>18149.05</v>
      </c>
    </row>
    <row r="2327" spans="1:15">
      <c r="A2327" t="s">
        <v>2501</v>
      </c>
      <c r="B2327" t="s">
        <v>46</v>
      </c>
      <c r="C2327" s="9">
        <v>21185</v>
      </c>
      <c r="D2327">
        <v>68</v>
      </c>
      <c r="E2327" t="s">
        <v>17</v>
      </c>
      <c r="F2327" t="s">
        <v>25</v>
      </c>
      <c r="G2327" s="9">
        <v>45514</v>
      </c>
      <c r="H2327" s="9">
        <v>45092</v>
      </c>
      <c r="I2327">
        <v>20</v>
      </c>
      <c r="J2327" t="s">
        <v>35</v>
      </c>
      <c r="K2327">
        <v>7</v>
      </c>
      <c r="L2327">
        <v>6</v>
      </c>
      <c r="M2327" s="11">
        <v>3003.62</v>
      </c>
      <c r="N2327" s="12">
        <v>10098.44</v>
      </c>
      <c r="O2327" s="12">
        <v>9915.75</v>
      </c>
    </row>
    <row r="2328" spans="1:15">
      <c r="A2328" t="s">
        <v>2502</v>
      </c>
      <c r="B2328" t="s">
        <v>44</v>
      </c>
      <c r="C2328" s="9">
        <v>29221</v>
      </c>
      <c r="D2328">
        <v>46</v>
      </c>
      <c r="E2328" t="s">
        <v>21</v>
      </c>
      <c r="F2328" t="s">
        <v>49</v>
      </c>
      <c r="G2328" s="9">
        <v>45344</v>
      </c>
      <c r="H2328" s="9">
        <v>45644</v>
      </c>
      <c r="I2328">
        <v>34</v>
      </c>
      <c r="J2328" t="s">
        <v>26</v>
      </c>
      <c r="K2328">
        <v>10</v>
      </c>
      <c r="L2328">
        <v>3</v>
      </c>
      <c r="M2328" s="11">
        <v>1281.93</v>
      </c>
      <c r="N2328" s="12">
        <v>9795.1</v>
      </c>
      <c r="O2328" s="12">
        <v>15853.88</v>
      </c>
    </row>
    <row r="2329" spans="1:15">
      <c r="A2329" t="s">
        <v>2503</v>
      </c>
      <c r="B2329" t="s">
        <v>184</v>
      </c>
      <c r="C2329" s="9">
        <v>28490</v>
      </c>
      <c r="D2329">
        <v>48</v>
      </c>
      <c r="E2329" t="s">
        <v>5185</v>
      </c>
      <c r="F2329" t="s">
        <v>74</v>
      </c>
      <c r="G2329" s="9">
        <v>45201</v>
      </c>
      <c r="H2329" s="9">
        <v>45354</v>
      </c>
      <c r="I2329">
        <v>24</v>
      </c>
      <c r="J2329" t="s">
        <v>35</v>
      </c>
      <c r="K2329">
        <v>2</v>
      </c>
      <c r="L2329">
        <v>7</v>
      </c>
      <c r="M2329" s="11">
        <v>27882.75</v>
      </c>
      <c r="N2329" s="12">
        <v>14249.14</v>
      </c>
      <c r="O2329" s="12">
        <v>6546.84</v>
      </c>
    </row>
    <row r="2330" spans="1:15">
      <c r="A2330" t="s">
        <v>2504</v>
      </c>
      <c r="B2330" t="s">
        <v>137</v>
      </c>
      <c r="C2330" s="9">
        <v>34334</v>
      </c>
      <c r="D2330">
        <v>32</v>
      </c>
      <c r="E2330" t="s">
        <v>21</v>
      </c>
      <c r="F2330" t="s">
        <v>29</v>
      </c>
      <c r="G2330" s="9">
        <v>45420</v>
      </c>
      <c r="H2330" s="9">
        <v>45604</v>
      </c>
      <c r="I2330">
        <v>13</v>
      </c>
      <c r="J2330" t="s">
        <v>26</v>
      </c>
      <c r="K2330">
        <v>1</v>
      </c>
      <c r="L2330">
        <v>5</v>
      </c>
      <c r="M2330" s="11">
        <v>23875.26</v>
      </c>
      <c r="N2330" s="12">
        <v>8528.18</v>
      </c>
      <c r="O2330" s="12">
        <v>19146.939999999999</v>
      </c>
    </row>
    <row r="2331" spans="1:15">
      <c r="A2331" t="s">
        <v>2505</v>
      </c>
      <c r="B2331" t="s">
        <v>53</v>
      </c>
      <c r="C2331" s="9">
        <v>38717</v>
      </c>
      <c r="D2331">
        <v>20</v>
      </c>
      <c r="E2331" t="s">
        <v>21</v>
      </c>
      <c r="F2331" t="s">
        <v>49</v>
      </c>
      <c r="G2331" s="9">
        <v>45123</v>
      </c>
      <c r="H2331" s="9">
        <v>45415</v>
      </c>
      <c r="I2331">
        <v>24</v>
      </c>
      <c r="J2331" t="s">
        <v>32</v>
      </c>
      <c r="K2331">
        <v>8</v>
      </c>
      <c r="L2331">
        <v>5</v>
      </c>
      <c r="M2331" s="11">
        <v>7985.77</v>
      </c>
      <c r="N2331" s="12">
        <v>4045.92</v>
      </c>
      <c r="O2331" s="12">
        <v>15017.07</v>
      </c>
    </row>
    <row r="2332" spans="1:15">
      <c r="A2332" t="s">
        <v>2506</v>
      </c>
      <c r="B2332" t="s">
        <v>123</v>
      </c>
      <c r="C2332" s="9">
        <v>16802</v>
      </c>
      <c r="D2332">
        <v>80</v>
      </c>
      <c r="E2332" t="s">
        <v>21</v>
      </c>
      <c r="F2332" t="s">
        <v>22</v>
      </c>
      <c r="G2332" s="9">
        <v>45302</v>
      </c>
      <c r="H2332" s="9">
        <v>45140</v>
      </c>
      <c r="I2332">
        <v>6</v>
      </c>
      <c r="J2332" t="s">
        <v>35</v>
      </c>
      <c r="K2332">
        <v>10</v>
      </c>
      <c r="L2332">
        <v>5</v>
      </c>
      <c r="M2332" s="11">
        <v>18983.16</v>
      </c>
      <c r="N2332" s="12">
        <v>12174.19</v>
      </c>
      <c r="O2332" s="12">
        <v>9035.59</v>
      </c>
    </row>
    <row r="2333" spans="1:15">
      <c r="A2333" t="s">
        <v>2507</v>
      </c>
      <c r="B2333" t="s">
        <v>341</v>
      </c>
      <c r="C2333" s="9">
        <v>38352</v>
      </c>
      <c r="D2333">
        <v>21</v>
      </c>
      <c r="E2333" t="s">
        <v>17</v>
      </c>
      <c r="F2333" t="s">
        <v>74</v>
      </c>
      <c r="G2333" s="9">
        <v>44989</v>
      </c>
      <c r="H2333" s="9">
        <v>45693</v>
      </c>
      <c r="I2333">
        <v>2</v>
      </c>
      <c r="J2333" t="s">
        <v>35</v>
      </c>
      <c r="K2333">
        <v>3</v>
      </c>
      <c r="L2333">
        <v>3</v>
      </c>
      <c r="M2333" s="11">
        <v>17571.009999999998</v>
      </c>
      <c r="N2333" s="12">
        <v>5840.66</v>
      </c>
      <c r="O2333" s="12">
        <v>18036.09</v>
      </c>
    </row>
    <row r="2334" spans="1:15">
      <c r="A2334" t="s">
        <v>2508</v>
      </c>
      <c r="B2334" t="s">
        <v>379</v>
      </c>
      <c r="C2334" s="9">
        <v>28856</v>
      </c>
      <c r="D2334">
        <v>47</v>
      </c>
      <c r="E2334" t="s">
        <v>17</v>
      </c>
      <c r="F2334" t="s">
        <v>5184</v>
      </c>
      <c r="G2334" s="9">
        <v>45287</v>
      </c>
      <c r="H2334" s="9">
        <v>45084</v>
      </c>
      <c r="I2334">
        <v>5</v>
      </c>
      <c r="J2334" t="s">
        <v>35</v>
      </c>
      <c r="K2334">
        <v>1</v>
      </c>
      <c r="L2334">
        <v>2</v>
      </c>
      <c r="M2334" s="11">
        <v>22161.82</v>
      </c>
      <c r="N2334" s="12">
        <v>3589.36</v>
      </c>
      <c r="O2334" s="12">
        <v>14321.08</v>
      </c>
    </row>
    <row r="2335" spans="1:15">
      <c r="A2335" t="s">
        <v>2509</v>
      </c>
      <c r="B2335" t="s">
        <v>372</v>
      </c>
      <c r="C2335" s="9">
        <v>32873</v>
      </c>
      <c r="D2335">
        <v>36</v>
      </c>
      <c r="E2335" t="s">
        <v>21</v>
      </c>
      <c r="F2335" t="s">
        <v>25</v>
      </c>
      <c r="G2335" s="9">
        <v>45470</v>
      </c>
      <c r="H2335" s="9">
        <v>45616</v>
      </c>
      <c r="I2335">
        <v>15</v>
      </c>
      <c r="J2335" t="s">
        <v>26</v>
      </c>
      <c r="K2335">
        <v>10</v>
      </c>
      <c r="L2335">
        <v>9</v>
      </c>
      <c r="M2335" s="11">
        <v>25708.48</v>
      </c>
      <c r="N2335" s="12">
        <v>8351.24</v>
      </c>
      <c r="O2335" s="12">
        <v>8553.6200000000008</v>
      </c>
    </row>
    <row r="2336" spans="1:15">
      <c r="A2336" t="s">
        <v>2510</v>
      </c>
      <c r="B2336" t="s">
        <v>73</v>
      </c>
      <c r="C2336" s="9">
        <v>40909</v>
      </c>
      <c r="D2336">
        <v>14</v>
      </c>
      <c r="E2336" t="s">
        <v>5185</v>
      </c>
      <c r="F2336" t="s">
        <v>18</v>
      </c>
      <c r="G2336" s="9">
        <v>45036</v>
      </c>
      <c r="H2336" s="9">
        <v>45002</v>
      </c>
      <c r="I2336">
        <v>32</v>
      </c>
      <c r="J2336" t="s">
        <v>26</v>
      </c>
      <c r="K2336">
        <v>11</v>
      </c>
      <c r="L2336">
        <v>5</v>
      </c>
      <c r="M2336" s="11">
        <v>10411.44</v>
      </c>
      <c r="N2336" s="12">
        <v>4335.5200000000004</v>
      </c>
      <c r="O2336" s="12">
        <v>19480.169999999998</v>
      </c>
    </row>
    <row r="2337" spans="1:15">
      <c r="A2337" t="s">
        <v>2511</v>
      </c>
      <c r="B2337" t="s">
        <v>249</v>
      </c>
      <c r="C2337" s="9">
        <f>DATE(2026-D2297,1,1)</f>
        <v>38718</v>
      </c>
      <c r="D2337">
        <v>34</v>
      </c>
      <c r="E2337" t="s">
        <v>21</v>
      </c>
      <c r="F2337" t="s">
        <v>74</v>
      </c>
      <c r="G2337" s="9">
        <v>45603</v>
      </c>
      <c r="H2337" s="9">
        <v>45362</v>
      </c>
      <c r="I2337">
        <v>3</v>
      </c>
      <c r="J2337" t="s">
        <v>32</v>
      </c>
      <c r="K2337">
        <v>1</v>
      </c>
      <c r="L2337">
        <v>5</v>
      </c>
      <c r="M2337" s="11">
        <v>19655.38</v>
      </c>
      <c r="N2337" s="12">
        <v>5942.4</v>
      </c>
      <c r="O2337" s="12">
        <v>5900.72</v>
      </c>
    </row>
    <row r="2338" spans="1:15">
      <c r="A2338" t="s">
        <v>2512</v>
      </c>
      <c r="B2338" t="s">
        <v>82</v>
      </c>
      <c r="C2338" s="9">
        <v>12785</v>
      </c>
      <c r="D2338">
        <v>91</v>
      </c>
      <c r="E2338" t="s">
        <v>21</v>
      </c>
      <c r="F2338" t="s">
        <v>5184</v>
      </c>
      <c r="G2338" s="9">
        <v>45120</v>
      </c>
      <c r="H2338" s="9">
        <v>45105</v>
      </c>
      <c r="I2338">
        <v>20</v>
      </c>
      <c r="J2338" t="s">
        <v>32</v>
      </c>
      <c r="K2338">
        <v>1</v>
      </c>
      <c r="L2338">
        <v>1</v>
      </c>
      <c r="M2338" s="11">
        <v>23962.25</v>
      </c>
      <c r="N2338" s="12">
        <v>10397.36</v>
      </c>
      <c r="O2338" s="12">
        <v>5057.07</v>
      </c>
    </row>
    <row r="2339" spans="1:15">
      <c r="A2339" t="s">
        <v>2513</v>
      </c>
      <c r="B2339" t="s">
        <v>242</v>
      </c>
      <c r="C2339" s="9">
        <v>20455</v>
      </c>
      <c r="D2339">
        <v>70</v>
      </c>
      <c r="E2339" t="s">
        <v>21</v>
      </c>
      <c r="F2339" t="s">
        <v>5184</v>
      </c>
      <c r="G2339" s="9">
        <v>45445</v>
      </c>
      <c r="H2339" s="9">
        <v>45723</v>
      </c>
      <c r="I2339">
        <v>23</v>
      </c>
      <c r="J2339" t="s">
        <v>32</v>
      </c>
      <c r="K2339">
        <v>1</v>
      </c>
      <c r="L2339">
        <v>9</v>
      </c>
      <c r="M2339" s="11">
        <v>20828.48</v>
      </c>
      <c r="N2339" s="12">
        <v>14939.22</v>
      </c>
      <c r="O2339" s="12">
        <v>17882.59</v>
      </c>
    </row>
    <row r="2340" spans="1:15">
      <c r="A2340" t="s">
        <v>2514</v>
      </c>
      <c r="B2340" t="s">
        <v>63</v>
      </c>
      <c r="C2340" s="9">
        <v>34700</v>
      </c>
      <c r="D2340">
        <v>31</v>
      </c>
      <c r="E2340" t="s">
        <v>17</v>
      </c>
      <c r="F2340" t="s">
        <v>5184</v>
      </c>
      <c r="G2340" s="9">
        <v>45577</v>
      </c>
      <c r="H2340" s="9">
        <v>45769</v>
      </c>
      <c r="I2340">
        <v>36</v>
      </c>
      <c r="J2340" t="s">
        <v>26</v>
      </c>
      <c r="K2340">
        <v>6</v>
      </c>
      <c r="L2340">
        <v>8</v>
      </c>
      <c r="M2340" s="11">
        <v>27625.14</v>
      </c>
      <c r="N2340" s="12">
        <v>9670.9699999999993</v>
      </c>
      <c r="O2340" s="12">
        <v>14118.17</v>
      </c>
    </row>
    <row r="2341" spans="1:15">
      <c r="A2341" t="s">
        <v>2515</v>
      </c>
      <c r="B2341" t="s">
        <v>176</v>
      </c>
      <c r="C2341" s="9">
        <v>42370</v>
      </c>
      <c r="D2341">
        <v>10</v>
      </c>
      <c r="E2341" t="s">
        <v>17</v>
      </c>
      <c r="F2341" t="s">
        <v>22</v>
      </c>
      <c r="G2341" s="9">
        <v>45385</v>
      </c>
      <c r="H2341" s="9">
        <v>45572</v>
      </c>
      <c r="I2341">
        <v>21</v>
      </c>
      <c r="J2341" t="s">
        <v>32</v>
      </c>
      <c r="K2341">
        <v>0</v>
      </c>
      <c r="L2341">
        <v>3</v>
      </c>
      <c r="M2341" s="11">
        <v>14587.97</v>
      </c>
      <c r="N2341" s="12">
        <v>4147.2</v>
      </c>
      <c r="O2341" s="12">
        <v>6844.75</v>
      </c>
    </row>
    <row r="2342" spans="1:15">
      <c r="A2342" t="s">
        <v>2516</v>
      </c>
      <c r="B2342" t="s">
        <v>242</v>
      </c>
      <c r="C2342" s="9">
        <v>42735</v>
      </c>
      <c r="D2342">
        <f ca="1">DATEDIF(C2293,TODAY(),"Y")</f>
        <v>44</v>
      </c>
      <c r="E2342" t="s">
        <v>21</v>
      </c>
      <c r="F2342" t="s">
        <v>74</v>
      </c>
      <c r="G2342" s="9">
        <v>45227</v>
      </c>
      <c r="H2342" s="9">
        <v>45564</v>
      </c>
      <c r="I2342">
        <v>7</v>
      </c>
      <c r="J2342" t="s">
        <v>35</v>
      </c>
      <c r="K2342">
        <v>7</v>
      </c>
      <c r="L2342">
        <v>3</v>
      </c>
      <c r="M2342" s="11">
        <v>23980.54</v>
      </c>
      <c r="N2342" s="12">
        <v>1356.98</v>
      </c>
      <c r="O2342" s="12">
        <v>4559.2299999999996</v>
      </c>
    </row>
    <row r="2343" spans="1:15">
      <c r="A2343" t="s">
        <v>2517</v>
      </c>
      <c r="B2343" t="s">
        <v>184</v>
      </c>
      <c r="C2343" s="9">
        <v>19724</v>
      </c>
      <c r="D2343">
        <v>72</v>
      </c>
      <c r="E2343" t="s">
        <v>17</v>
      </c>
      <c r="F2343" t="s">
        <v>74</v>
      </c>
      <c r="G2343" s="9">
        <v>45494</v>
      </c>
      <c r="H2343" s="9">
        <v>45239</v>
      </c>
      <c r="I2343">
        <v>12</v>
      </c>
      <c r="J2343" t="s">
        <v>35</v>
      </c>
      <c r="K2343">
        <v>5</v>
      </c>
      <c r="L2343">
        <v>9</v>
      </c>
      <c r="M2343" s="11">
        <v>27247.11</v>
      </c>
      <c r="N2343" s="12">
        <v>5429.51</v>
      </c>
      <c r="O2343" s="12">
        <v>3478.57</v>
      </c>
    </row>
    <row r="2344" spans="1:15">
      <c r="A2344" t="s">
        <v>2518</v>
      </c>
      <c r="B2344" t="s">
        <v>664</v>
      </c>
      <c r="C2344" s="9">
        <v>17898</v>
      </c>
      <c r="D2344">
        <v>77</v>
      </c>
      <c r="E2344" t="s">
        <v>21</v>
      </c>
      <c r="F2344" t="s">
        <v>18</v>
      </c>
      <c r="G2344" s="9">
        <v>45598</v>
      </c>
      <c r="H2344" s="9">
        <v>45759</v>
      </c>
      <c r="I2344">
        <v>35</v>
      </c>
      <c r="J2344" t="s">
        <v>35</v>
      </c>
      <c r="K2344">
        <v>12</v>
      </c>
      <c r="L2344">
        <v>7</v>
      </c>
      <c r="M2344" s="11">
        <v>0</v>
      </c>
      <c r="N2344" s="12">
        <v>289.66000000000003</v>
      </c>
      <c r="O2344" s="12">
        <v>6201.28</v>
      </c>
    </row>
    <row r="2345" spans="1:15">
      <c r="A2345" t="s">
        <v>2519</v>
      </c>
      <c r="B2345" t="s">
        <v>51</v>
      </c>
      <c r="C2345" s="9">
        <f>DATE(2026-D2305,1,1)</f>
        <v>14246</v>
      </c>
      <c r="D2345">
        <v>76</v>
      </c>
      <c r="E2345" t="s">
        <v>17</v>
      </c>
      <c r="F2345" t="s">
        <v>29</v>
      </c>
      <c r="G2345" s="9">
        <v>45422</v>
      </c>
      <c r="H2345" s="9">
        <v>45054</v>
      </c>
      <c r="I2345">
        <v>17</v>
      </c>
      <c r="J2345" t="s">
        <v>32</v>
      </c>
      <c r="K2345">
        <v>9</v>
      </c>
      <c r="L2345">
        <v>2</v>
      </c>
      <c r="M2345" s="11">
        <v>27.45</v>
      </c>
      <c r="N2345" s="12">
        <v>6971.32</v>
      </c>
      <c r="O2345" s="12">
        <v>2423.35</v>
      </c>
    </row>
    <row r="2346" spans="1:15">
      <c r="A2346" t="s">
        <v>2520</v>
      </c>
      <c r="B2346" t="s">
        <v>246</v>
      </c>
      <c r="C2346" s="9">
        <v>25568</v>
      </c>
      <c r="D2346">
        <v>56</v>
      </c>
      <c r="E2346" t="s">
        <v>5185</v>
      </c>
      <c r="F2346" t="s">
        <v>22</v>
      </c>
      <c r="G2346" s="9">
        <v>45075</v>
      </c>
      <c r="H2346" s="9">
        <v>45304</v>
      </c>
      <c r="I2346">
        <v>26</v>
      </c>
      <c r="J2346" t="s">
        <v>35</v>
      </c>
      <c r="K2346">
        <v>1</v>
      </c>
      <c r="L2346">
        <v>9</v>
      </c>
      <c r="M2346" s="11">
        <v>0</v>
      </c>
      <c r="N2346" s="12">
        <v>9899.76</v>
      </c>
      <c r="O2346" s="12">
        <v>2821.5</v>
      </c>
    </row>
    <row r="2347" spans="1:15">
      <c r="A2347" t="s">
        <v>2521</v>
      </c>
      <c r="B2347" t="s">
        <v>84</v>
      </c>
      <c r="C2347" s="9">
        <v>37256</v>
      </c>
      <c r="D2347">
        <v>24</v>
      </c>
      <c r="E2347" t="s">
        <v>21</v>
      </c>
      <c r="F2347" t="s">
        <v>5184</v>
      </c>
      <c r="G2347" s="9">
        <v>45387</v>
      </c>
      <c r="H2347" s="9">
        <v>45272</v>
      </c>
      <c r="I2347">
        <v>3</v>
      </c>
      <c r="J2347" t="s">
        <v>35</v>
      </c>
      <c r="K2347">
        <v>7</v>
      </c>
      <c r="L2347">
        <v>6</v>
      </c>
      <c r="M2347" s="11">
        <v>25304.04</v>
      </c>
      <c r="N2347" s="12">
        <v>7676.94</v>
      </c>
      <c r="O2347" s="12">
        <v>15510.15</v>
      </c>
    </row>
    <row r="2348" spans="1:15">
      <c r="A2348" t="s">
        <v>2522</v>
      </c>
      <c r="B2348" t="s">
        <v>147</v>
      </c>
      <c r="C2348" s="9">
        <v>45657</v>
      </c>
      <c r="D2348">
        <v>1</v>
      </c>
      <c r="E2348" t="s">
        <v>17</v>
      </c>
      <c r="F2348" t="s">
        <v>18</v>
      </c>
      <c r="G2348" s="9">
        <v>45065</v>
      </c>
      <c r="H2348" s="9">
        <v>45152</v>
      </c>
      <c r="I2348">
        <v>6</v>
      </c>
      <c r="J2348" t="s">
        <v>26</v>
      </c>
      <c r="K2348">
        <v>2</v>
      </c>
      <c r="L2348">
        <v>6</v>
      </c>
      <c r="M2348" s="11">
        <v>11695.45</v>
      </c>
      <c r="N2348" s="12">
        <v>12979.23</v>
      </c>
      <c r="O2348" s="12">
        <v>1181.58</v>
      </c>
    </row>
    <row r="2349" spans="1:15">
      <c r="A2349" t="s">
        <v>2523</v>
      </c>
      <c r="B2349" t="s">
        <v>147</v>
      </c>
      <c r="C2349" s="9">
        <v>23012</v>
      </c>
      <c r="D2349">
        <v>63</v>
      </c>
      <c r="E2349" t="s">
        <v>17</v>
      </c>
      <c r="F2349" t="s">
        <v>74</v>
      </c>
      <c r="G2349" s="9">
        <v>45218</v>
      </c>
      <c r="H2349" s="9">
        <v>44944</v>
      </c>
      <c r="I2349">
        <v>2</v>
      </c>
      <c r="J2349" t="s">
        <v>26</v>
      </c>
      <c r="K2349">
        <v>5</v>
      </c>
      <c r="L2349">
        <v>1</v>
      </c>
      <c r="M2349" s="11">
        <v>6486.88</v>
      </c>
      <c r="N2349" s="12">
        <v>7410.75</v>
      </c>
      <c r="O2349" s="12">
        <v>8729.69</v>
      </c>
    </row>
    <row r="2350" spans="1:15">
      <c r="A2350" t="s">
        <v>2524</v>
      </c>
      <c r="B2350" t="s">
        <v>163</v>
      </c>
      <c r="C2350" s="9">
        <v>33604</v>
      </c>
      <c r="D2350">
        <v>34</v>
      </c>
      <c r="E2350" t="s">
        <v>21</v>
      </c>
      <c r="F2350" t="s">
        <v>22</v>
      </c>
      <c r="G2350" s="9">
        <v>45261</v>
      </c>
      <c r="H2350" s="9">
        <v>45424</v>
      </c>
      <c r="I2350">
        <v>36</v>
      </c>
      <c r="J2350" t="s">
        <v>32</v>
      </c>
      <c r="K2350">
        <v>13</v>
      </c>
      <c r="L2350">
        <v>2</v>
      </c>
      <c r="M2350" s="11">
        <v>29333.55</v>
      </c>
      <c r="N2350" s="12">
        <v>6935.7</v>
      </c>
      <c r="O2350" s="12">
        <v>8040.48</v>
      </c>
    </row>
    <row r="2351" spans="1:15">
      <c r="A2351" t="s">
        <v>2525</v>
      </c>
      <c r="B2351" t="s">
        <v>127</v>
      </c>
      <c r="C2351" s="9">
        <v>43831</v>
      </c>
      <c r="D2351">
        <v>6</v>
      </c>
      <c r="E2351" t="s">
        <v>17</v>
      </c>
      <c r="F2351" t="s">
        <v>25</v>
      </c>
      <c r="G2351" s="9">
        <v>45625</v>
      </c>
      <c r="H2351" s="9">
        <v>45400</v>
      </c>
      <c r="I2351">
        <v>16</v>
      </c>
      <c r="J2351" t="s">
        <v>26</v>
      </c>
      <c r="K2351">
        <v>1</v>
      </c>
      <c r="L2351">
        <v>3</v>
      </c>
      <c r="M2351" s="11">
        <v>16324.52</v>
      </c>
      <c r="N2351" s="12">
        <v>4645.16</v>
      </c>
      <c r="O2351" s="12">
        <v>19199.84</v>
      </c>
    </row>
    <row r="2352" spans="1:15">
      <c r="A2352" t="s">
        <v>2526</v>
      </c>
      <c r="B2352" t="s">
        <v>292</v>
      </c>
      <c r="C2352" s="9">
        <v>15341</v>
      </c>
      <c r="D2352">
        <v>84</v>
      </c>
      <c r="E2352" t="s">
        <v>17</v>
      </c>
      <c r="F2352" t="s">
        <v>74</v>
      </c>
      <c r="G2352" s="9">
        <v>45110</v>
      </c>
      <c r="H2352" s="9">
        <v>45792</v>
      </c>
      <c r="I2352">
        <v>2</v>
      </c>
      <c r="J2352" t="s">
        <v>32</v>
      </c>
      <c r="K2352">
        <v>3</v>
      </c>
      <c r="L2352">
        <v>1</v>
      </c>
      <c r="M2352" s="11">
        <v>15243.48</v>
      </c>
      <c r="N2352" s="12">
        <v>12564.21</v>
      </c>
      <c r="O2352" s="12">
        <v>9257.39</v>
      </c>
    </row>
    <row r="2353" spans="1:15">
      <c r="A2353" t="s">
        <v>2527</v>
      </c>
      <c r="B2353" t="s">
        <v>524</v>
      </c>
      <c r="C2353" s="9">
        <f>DATE(2026-D2313,1,1)</f>
        <v>32874</v>
      </c>
      <c r="D2353">
        <v>17</v>
      </c>
      <c r="E2353" t="s">
        <v>21</v>
      </c>
      <c r="F2353" t="s">
        <v>25</v>
      </c>
      <c r="G2353" s="9">
        <v>45233</v>
      </c>
      <c r="H2353" s="9">
        <v>45238</v>
      </c>
      <c r="I2353">
        <v>17</v>
      </c>
      <c r="J2353" t="s">
        <v>32</v>
      </c>
      <c r="K2353">
        <v>11</v>
      </c>
      <c r="L2353">
        <v>8</v>
      </c>
      <c r="M2353" s="11">
        <v>28355.27</v>
      </c>
      <c r="N2353" s="12">
        <v>13553.98</v>
      </c>
      <c r="O2353" s="12">
        <v>3133.19</v>
      </c>
    </row>
    <row r="2354" spans="1:15">
      <c r="A2354" t="s">
        <v>2528</v>
      </c>
      <c r="B2354" t="s">
        <v>343</v>
      </c>
      <c r="C2354" s="9">
        <v>21916</v>
      </c>
      <c r="D2354">
        <v>66</v>
      </c>
      <c r="E2354" t="s">
        <v>21</v>
      </c>
      <c r="F2354" t="s">
        <v>49</v>
      </c>
      <c r="G2354" s="9">
        <v>45188</v>
      </c>
      <c r="H2354" s="9">
        <v>45685</v>
      </c>
      <c r="I2354">
        <v>8</v>
      </c>
      <c r="J2354" t="s">
        <v>32</v>
      </c>
      <c r="K2354">
        <v>2</v>
      </c>
      <c r="L2354">
        <v>9</v>
      </c>
      <c r="M2354" s="11">
        <v>11946.96</v>
      </c>
      <c r="N2354" s="12">
        <v>14668.78</v>
      </c>
      <c r="O2354" s="12">
        <v>1676.93</v>
      </c>
    </row>
    <row r="2355" spans="1:15">
      <c r="A2355" t="s">
        <v>2529</v>
      </c>
      <c r="B2355" t="s">
        <v>328</v>
      </c>
      <c r="C2355" s="9">
        <v>31047</v>
      </c>
      <c r="D2355">
        <v>41</v>
      </c>
      <c r="E2355" t="s">
        <v>21</v>
      </c>
      <c r="F2355" t="s">
        <v>25</v>
      </c>
      <c r="G2355" s="9">
        <v>45236</v>
      </c>
      <c r="H2355" s="9">
        <v>45064</v>
      </c>
      <c r="I2355">
        <v>24</v>
      </c>
      <c r="J2355" t="s">
        <v>32</v>
      </c>
      <c r="K2355">
        <v>11</v>
      </c>
      <c r="L2355">
        <v>5</v>
      </c>
      <c r="M2355" s="11">
        <v>25368.15</v>
      </c>
      <c r="N2355" s="12">
        <v>14718.13</v>
      </c>
      <c r="O2355" s="12">
        <v>14622.02</v>
      </c>
    </row>
    <row r="2356" spans="1:15">
      <c r="A2356" t="s">
        <v>2530</v>
      </c>
      <c r="B2356" t="s">
        <v>412</v>
      </c>
      <c r="C2356" s="9">
        <v>32143</v>
      </c>
      <c r="D2356">
        <v>38</v>
      </c>
      <c r="E2356" t="s">
        <v>17</v>
      </c>
      <c r="F2356" t="s">
        <v>74</v>
      </c>
      <c r="G2356" s="9">
        <v>45270</v>
      </c>
      <c r="H2356" s="9">
        <v>45402</v>
      </c>
      <c r="I2356">
        <v>26</v>
      </c>
      <c r="J2356" t="s">
        <v>32</v>
      </c>
      <c r="K2356">
        <v>4</v>
      </c>
      <c r="L2356">
        <v>0</v>
      </c>
      <c r="M2356" s="11">
        <v>20869.86</v>
      </c>
      <c r="N2356" s="12">
        <v>14706.35</v>
      </c>
      <c r="O2356" s="12">
        <v>2869.5</v>
      </c>
    </row>
    <row r="2357" spans="1:15">
      <c r="A2357" t="s">
        <v>2531</v>
      </c>
      <c r="B2357" t="s">
        <v>196</v>
      </c>
      <c r="C2357" s="9">
        <v>31412</v>
      </c>
      <c r="D2357">
        <v>40</v>
      </c>
      <c r="E2357" t="s">
        <v>17</v>
      </c>
      <c r="F2357" t="s">
        <v>18</v>
      </c>
      <c r="G2357" s="9">
        <v>45350</v>
      </c>
      <c r="H2357" s="9">
        <v>45144</v>
      </c>
      <c r="I2357">
        <v>4</v>
      </c>
      <c r="J2357" t="s">
        <v>26</v>
      </c>
      <c r="K2357">
        <v>10</v>
      </c>
      <c r="L2357">
        <v>0</v>
      </c>
      <c r="M2357" s="11">
        <v>29015.32</v>
      </c>
      <c r="N2357" s="12">
        <v>10679.38</v>
      </c>
      <c r="O2357" s="12">
        <v>18753.46</v>
      </c>
    </row>
    <row r="2358" spans="1:15">
      <c r="A2358" t="s">
        <v>2532</v>
      </c>
      <c r="B2358" t="s">
        <v>57</v>
      </c>
      <c r="C2358" s="9">
        <v>18994</v>
      </c>
      <c r="D2358">
        <v>74</v>
      </c>
      <c r="E2358" t="s">
        <v>17</v>
      </c>
      <c r="F2358" t="s">
        <v>74</v>
      </c>
      <c r="G2358" s="9">
        <v>45583</v>
      </c>
      <c r="H2358" s="9">
        <v>45123</v>
      </c>
      <c r="I2358">
        <v>0</v>
      </c>
      <c r="J2358" t="s">
        <v>26</v>
      </c>
      <c r="K2358">
        <v>11</v>
      </c>
      <c r="L2358">
        <v>7</v>
      </c>
      <c r="M2358" s="11">
        <v>12573.85</v>
      </c>
      <c r="N2358" s="12">
        <v>8439.7900000000009</v>
      </c>
      <c r="O2358" s="12">
        <v>11140.19</v>
      </c>
    </row>
    <row r="2359" spans="1:15">
      <c r="A2359" t="s">
        <v>2533</v>
      </c>
      <c r="B2359" t="s">
        <v>108</v>
      </c>
      <c r="C2359" s="9">
        <v>37622</v>
      </c>
      <c r="D2359">
        <v>23</v>
      </c>
      <c r="E2359" t="s">
        <v>21</v>
      </c>
      <c r="F2359" t="s">
        <v>74</v>
      </c>
      <c r="G2359" s="9">
        <v>45440</v>
      </c>
      <c r="H2359" s="9">
        <v>45128</v>
      </c>
      <c r="I2359">
        <v>2</v>
      </c>
      <c r="J2359" t="s">
        <v>32</v>
      </c>
      <c r="K2359">
        <v>7</v>
      </c>
      <c r="L2359">
        <v>5</v>
      </c>
      <c r="M2359" s="11">
        <v>27182.59</v>
      </c>
      <c r="N2359" s="12">
        <v>2585.17</v>
      </c>
      <c r="O2359" s="12">
        <v>7974.1</v>
      </c>
    </row>
    <row r="2360" spans="1:15">
      <c r="A2360" t="s">
        <v>2534</v>
      </c>
      <c r="B2360" t="s">
        <v>427</v>
      </c>
      <c r="C2360" s="9">
        <v>24473</v>
      </c>
      <c r="D2360">
        <v>59</v>
      </c>
      <c r="E2360" t="s">
        <v>21</v>
      </c>
      <c r="F2360" t="s">
        <v>49</v>
      </c>
      <c r="G2360" s="9">
        <v>45450</v>
      </c>
      <c r="H2360" s="9">
        <v>45293</v>
      </c>
      <c r="I2360">
        <v>10</v>
      </c>
      <c r="J2360" t="s">
        <v>32</v>
      </c>
      <c r="K2360">
        <v>13</v>
      </c>
      <c r="L2360">
        <v>9</v>
      </c>
      <c r="M2360" s="11">
        <v>16850.86</v>
      </c>
      <c r="N2360" s="12">
        <v>11505.95</v>
      </c>
      <c r="O2360" s="12">
        <v>13655.09</v>
      </c>
    </row>
    <row r="2361" spans="1:15">
      <c r="A2361" t="s">
        <v>2535</v>
      </c>
      <c r="B2361" t="s">
        <v>125</v>
      </c>
      <c r="C2361" s="9">
        <v>29586</v>
      </c>
      <c r="D2361">
        <v>45</v>
      </c>
      <c r="E2361" t="s">
        <v>21</v>
      </c>
      <c r="F2361" t="s">
        <v>5184</v>
      </c>
      <c r="G2361" s="9">
        <v>45187</v>
      </c>
      <c r="H2361" s="9">
        <v>45646</v>
      </c>
      <c r="I2361">
        <v>13</v>
      </c>
      <c r="J2361" t="s">
        <v>32</v>
      </c>
      <c r="K2361">
        <v>3</v>
      </c>
      <c r="L2361">
        <v>6</v>
      </c>
      <c r="M2361" s="11">
        <v>14014.23</v>
      </c>
      <c r="N2361" s="12">
        <v>11023.2</v>
      </c>
      <c r="O2361" s="12">
        <v>3898.45</v>
      </c>
    </row>
    <row r="2362" spans="1:15">
      <c r="A2362" t="s">
        <v>2536</v>
      </c>
      <c r="B2362" t="s">
        <v>95</v>
      </c>
      <c r="C2362" s="9">
        <v>39448</v>
      </c>
      <c r="D2362">
        <v>18</v>
      </c>
      <c r="E2362" t="s">
        <v>17</v>
      </c>
      <c r="F2362" t="s">
        <v>29</v>
      </c>
      <c r="G2362" s="9">
        <v>45288</v>
      </c>
      <c r="H2362" s="9">
        <v>45455</v>
      </c>
      <c r="I2362">
        <v>9</v>
      </c>
      <c r="J2362" t="s">
        <v>32</v>
      </c>
      <c r="K2362">
        <v>13</v>
      </c>
      <c r="L2362">
        <v>5</v>
      </c>
      <c r="M2362" s="11">
        <v>8822.74</v>
      </c>
      <c r="N2362" s="12">
        <v>12636.03</v>
      </c>
      <c r="O2362" s="12">
        <v>7583.38</v>
      </c>
    </row>
    <row r="2363" spans="1:15">
      <c r="A2363" t="s">
        <v>2537</v>
      </c>
      <c r="B2363" t="s">
        <v>135</v>
      </c>
      <c r="C2363" s="9">
        <v>21551</v>
      </c>
      <c r="D2363">
        <f ca="1">DATEDIF(C2314,TODAY(),"Y")</f>
        <v>67</v>
      </c>
      <c r="E2363" t="s">
        <v>5185</v>
      </c>
      <c r="F2363" t="s">
        <v>74</v>
      </c>
      <c r="G2363" s="9">
        <v>45095</v>
      </c>
      <c r="H2363" s="9">
        <v>45327</v>
      </c>
      <c r="I2363">
        <v>36</v>
      </c>
      <c r="J2363" t="s">
        <v>35</v>
      </c>
      <c r="K2363">
        <v>1</v>
      </c>
      <c r="L2363">
        <v>1</v>
      </c>
      <c r="M2363" s="11">
        <v>16357.29</v>
      </c>
      <c r="N2363" s="12">
        <v>6936.77</v>
      </c>
      <c r="O2363" s="12">
        <v>571.62</v>
      </c>
    </row>
    <row r="2364" spans="1:15">
      <c r="A2364" t="s">
        <v>2538</v>
      </c>
      <c r="B2364" t="s">
        <v>95</v>
      </c>
      <c r="C2364" s="9">
        <v>13515</v>
      </c>
      <c r="D2364">
        <v>89</v>
      </c>
      <c r="E2364" t="s">
        <v>17</v>
      </c>
      <c r="F2364" t="s">
        <v>49</v>
      </c>
      <c r="G2364" s="9">
        <v>45586</v>
      </c>
      <c r="H2364" s="9">
        <v>45452</v>
      </c>
      <c r="I2364">
        <v>24</v>
      </c>
      <c r="J2364" t="s">
        <v>35</v>
      </c>
      <c r="K2364">
        <v>11</v>
      </c>
      <c r="L2364">
        <v>2</v>
      </c>
      <c r="M2364" s="11">
        <v>16962.830000000002</v>
      </c>
      <c r="N2364" s="12">
        <v>13386.32</v>
      </c>
      <c r="O2364" s="12">
        <v>17541.330000000002</v>
      </c>
    </row>
    <row r="2365" spans="1:15">
      <c r="A2365" t="s">
        <v>2539</v>
      </c>
      <c r="B2365" t="s">
        <v>328</v>
      </c>
      <c r="C2365" s="9">
        <v>31047</v>
      </c>
      <c r="D2365">
        <v>41</v>
      </c>
      <c r="E2365" t="s">
        <v>21</v>
      </c>
      <c r="F2365" t="s">
        <v>18</v>
      </c>
      <c r="G2365" s="9">
        <v>45126</v>
      </c>
      <c r="H2365" s="9">
        <v>45517</v>
      </c>
      <c r="I2365">
        <v>30</v>
      </c>
      <c r="J2365" t="s">
        <v>32</v>
      </c>
      <c r="K2365">
        <v>3</v>
      </c>
      <c r="L2365">
        <v>7</v>
      </c>
      <c r="M2365" s="11">
        <v>26900.93</v>
      </c>
      <c r="N2365" s="12">
        <v>10780.12</v>
      </c>
      <c r="O2365" s="12">
        <v>8447.67</v>
      </c>
    </row>
    <row r="2366" spans="1:15">
      <c r="A2366" t="s">
        <v>2540</v>
      </c>
      <c r="B2366" t="s">
        <v>336</v>
      </c>
      <c r="C2366" s="9">
        <v>34700</v>
      </c>
      <c r="D2366">
        <v>31</v>
      </c>
      <c r="E2366" t="s">
        <v>17</v>
      </c>
      <c r="F2366" t="s">
        <v>49</v>
      </c>
      <c r="G2366" s="9">
        <v>45311</v>
      </c>
      <c r="H2366" s="9">
        <v>45141</v>
      </c>
      <c r="I2366">
        <v>12</v>
      </c>
      <c r="J2366" t="s">
        <v>26</v>
      </c>
      <c r="K2366">
        <v>3</v>
      </c>
      <c r="L2366">
        <v>3</v>
      </c>
      <c r="M2366" s="11">
        <v>20973.89</v>
      </c>
      <c r="N2366" s="12">
        <v>2566.88</v>
      </c>
      <c r="O2366" s="12">
        <v>15152.39</v>
      </c>
    </row>
    <row r="2367" spans="1:15">
      <c r="A2367" t="s">
        <v>2541</v>
      </c>
      <c r="B2367" t="s">
        <v>34</v>
      </c>
      <c r="C2367" s="9">
        <v>32143</v>
      </c>
      <c r="D2367">
        <v>38</v>
      </c>
      <c r="E2367" t="s">
        <v>17</v>
      </c>
      <c r="F2367" t="s">
        <v>49</v>
      </c>
      <c r="G2367" s="9">
        <v>45238</v>
      </c>
      <c r="H2367" s="9">
        <v>45268</v>
      </c>
      <c r="I2367">
        <v>18</v>
      </c>
      <c r="J2367" t="s">
        <v>35</v>
      </c>
      <c r="K2367">
        <v>7</v>
      </c>
      <c r="L2367">
        <v>7</v>
      </c>
      <c r="M2367" s="11">
        <v>24707.45</v>
      </c>
      <c r="N2367" s="12">
        <v>3103.55</v>
      </c>
      <c r="O2367" s="12">
        <v>18328.78</v>
      </c>
    </row>
    <row r="2368" spans="1:15">
      <c r="A2368" t="s">
        <v>2542</v>
      </c>
      <c r="B2368" t="s">
        <v>292</v>
      </c>
      <c r="C2368" s="9">
        <v>33239</v>
      </c>
      <c r="D2368">
        <f ca="1">DATEDIF(C2319,TODAY(),"Y")</f>
        <v>38</v>
      </c>
      <c r="E2368" t="s">
        <v>21</v>
      </c>
      <c r="F2368" t="s">
        <v>25</v>
      </c>
      <c r="G2368" s="9">
        <v>45508</v>
      </c>
      <c r="H2368" s="9">
        <v>45256</v>
      </c>
      <c r="I2368">
        <v>14</v>
      </c>
      <c r="J2368" t="s">
        <v>35</v>
      </c>
      <c r="K2368">
        <v>6</v>
      </c>
      <c r="L2368">
        <v>2</v>
      </c>
      <c r="M2368" s="11">
        <v>22958.47</v>
      </c>
      <c r="N2368" s="12">
        <v>12213.98</v>
      </c>
      <c r="O2368" s="12">
        <v>13021.14</v>
      </c>
    </row>
    <row r="2369" spans="1:15">
      <c r="A2369" t="s">
        <v>2543</v>
      </c>
      <c r="B2369" t="s">
        <v>16</v>
      </c>
      <c r="C2369" s="9">
        <v>33239</v>
      </c>
      <c r="D2369">
        <v>35</v>
      </c>
      <c r="E2369" t="s">
        <v>17</v>
      </c>
      <c r="F2369" t="s">
        <v>29</v>
      </c>
      <c r="G2369" s="9">
        <v>45238</v>
      </c>
      <c r="H2369" s="9">
        <v>45046</v>
      </c>
      <c r="I2369">
        <v>34</v>
      </c>
      <c r="J2369" t="s">
        <v>32</v>
      </c>
      <c r="K2369">
        <v>3</v>
      </c>
      <c r="L2369">
        <v>1</v>
      </c>
      <c r="M2369" s="11">
        <v>7937.72</v>
      </c>
      <c r="N2369" s="12">
        <v>6385.4</v>
      </c>
      <c r="O2369" s="12">
        <v>7452.51</v>
      </c>
    </row>
    <row r="2370" spans="1:15">
      <c r="A2370" t="s">
        <v>2544</v>
      </c>
      <c r="B2370" t="s">
        <v>289</v>
      </c>
      <c r="C2370" s="9">
        <v>45292</v>
      </c>
      <c r="D2370">
        <v>2</v>
      </c>
      <c r="E2370" t="s">
        <v>21</v>
      </c>
      <c r="F2370" t="s">
        <v>29</v>
      </c>
      <c r="G2370" s="9">
        <v>45492</v>
      </c>
      <c r="H2370" s="9">
        <v>45352</v>
      </c>
      <c r="I2370">
        <v>12</v>
      </c>
      <c r="J2370" t="s">
        <v>32</v>
      </c>
      <c r="K2370">
        <v>3</v>
      </c>
      <c r="L2370">
        <v>6</v>
      </c>
      <c r="M2370" s="11">
        <v>5776.83</v>
      </c>
      <c r="N2370" s="12">
        <v>3735.19</v>
      </c>
      <c r="O2370" s="12">
        <v>12352.52</v>
      </c>
    </row>
    <row r="2371" spans="1:15">
      <c r="A2371" t="s">
        <v>2545</v>
      </c>
      <c r="B2371" t="s">
        <v>264</v>
      </c>
      <c r="C2371" s="9">
        <v>19724</v>
      </c>
      <c r="D2371">
        <v>72</v>
      </c>
      <c r="E2371" t="s">
        <v>21</v>
      </c>
      <c r="F2371" t="s">
        <v>22</v>
      </c>
      <c r="G2371" s="9">
        <v>45321</v>
      </c>
      <c r="H2371" s="9">
        <v>45620</v>
      </c>
      <c r="I2371">
        <v>17</v>
      </c>
      <c r="J2371" t="s">
        <v>35</v>
      </c>
      <c r="K2371">
        <v>13</v>
      </c>
      <c r="L2371">
        <v>0</v>
      </c>
      <c r="M2371" s="11">
        <v>7383.68</v>
      </c>
      <c r="N2371" s="12">
        <v>6338.65</v>
      </c>
      <c r="O2371" s="12">
        <v>7142.65</v>
      </c>
    </row>
    <row r="2372" spans="1:15">
      <c r="A2372" t="s">
        <v>2546</v>
      </c>
      <c r="B2372" t="s">
        <v>273</v>
      </c>
      <c r="C2372" s="9">
        <v>43466</v>
      </c>
      <c r="D2372">
        <v>7</v>
      </c>
      <c r="E2372" t="s">
        <v>21</v>
      </c>
      <c r="F2372" t="s">
        <v>5184</v>
      </c>
      <c r="G2372" s="9">
        <v>45277</v>
      </c>
      <c r="H2372" s="9">
        <v>45763</v>
      </c>
      <c r="I2372">
        <v>16</v>
      </c>
      <c r="J2372" t="s">
        <v>26</v>
      </c>
      <c r="K2372">
        <v>12</v>
      </c>
      <c r="L2372">
        <v>2</v>
      </c>
      <c r="M2372" s="11">
        <v>3970.67</v>
      </c>
      <c r="N2372" s="12">
        <v>2420.67</v>
      </c>
      <c r="O2372" s="12">
        <v>11303.01</v>
      </c>
    </row>
    <row r="2373" spans="1:15">
      <c r="A2373" t="s">
        <v>2547</v>
      </c>
      <c r="B2373" t="s">
        <v>237</v>
      </c>
      <c r="C2373" s="9">
        <f>DATE(2026-D2333,1,1)</f>
        <v>38353</v>
      </c>
      <c r="D2373">
        <v>69</v>
      </c>
      <c r="E2373" t="s">
        <v>21</v>
      </c>
      <c r="F2373" t="s">
        <v>18</v>
      </c>
      <c r="G2373" s="9">
        <v>44954</v>
      </c>
      <c r="H2373" s="9">
        <v>45769</v>
      </c>
      <c r="I2373">
        <v>2</v>
      </c>
      <c r="J2373" t="s">
        <v>32</v>
      </c>
      <c r="K2373">
        <v>0</v>
      </c>
      <c r="L2373">
        <v>1</v>
      </c>
      <c r="M2373" s="11">
        <v>11271.84</v>
      </c>
      <c r="N2373" s="12">
        <v>13376.05</v>
      </c>
      <c r="O2373" s="12">
        <v>8586.52</v>
      </c>
    </row>
    <row r="2374" spans="1:15">
      <c r="A2374" t="s">
        <v>2548</v>
      </c>
      <c r="B2374" t="s">
        <v>125</v>
      </c>
      <c r="C2374" s="9">
        <v>31412</v>
      </c>
      <c r="D2374">
        <v>40</v>
      </c>
      <c r="E2374" t="s">
        <v>21</v>
      </c>
      <c r="F2374" t="s">
        <v>22</v>
      </c>
      <c r="G2374" s="9">
        <v>45558</v>
      </c>
      <c r="H2374" s="9">
        <v>45794</v>
      </c>
      <c r="I2374">
        <v>1</v>
      </c>
      <c r="J2374" t="s">
        <v>35</v>
      </c>
      <c r="K2374">
        <v>14</v>
      </c>
      <c r="L2374">
        <v>4</v>
      </c>
      <c r="M2374" s="11">
        <v>19443.97</v>
      </c>
      <c r="N2374" s="12">
        <v>1073.0899999999999</v>
      </c>
      <c r="O2374" s="12">
        <v>2912.36</v>
      </c>
    </row>
    <row r="2375" spans="1:15">
      <c r="A2375" t="s">
        <v>2549</v>
      </c>
      <c r="B2375" t="s">
        <v>397</v>
      </c>
      <c r="C2375" s="9">
        <v>21551</v>
      </c>
      <c r="D2375">
        <v>67</v>
      </c>
      <c r="E2375" t="s">
        <v>21</v>
      </c>
      <c r="F2375" t="s">
        <v>5184</v>
      </c>
      <c r="G2375" s="9">
        <v>45059</v>
      </c>
      <c r="H2375" s="9">
        <v>45300</v>
      </c>
      <c r="I2375">
        <v>0</v>
      </c>
      <c r="J2375" t="s">
        <v>32</v>
      </c>
      <c r="K2375">
        <v>7</v>
      </c>
      <c r="L2375">
        <v>1</v>
      </c>
      <c r="M2375" s="11">
        <v>15877.81</v>
      </c>
      <c r="N2375" s="12">
        <v>5298.62</v>
      </c>
      <c r="O2375" s="12">
        <v>15580.03</v>
      </c>
    </row>
    <row r="2376" spans="1:15">
      <c r="A2376" t="s">
        <v>2550</v>
      </c>
      <c r="B2376" t="s">
        <v>387</v>
      </c>
      <c r="C2376" s="9">
        <v>41639</v>
      </c>
      <c r="D2376">
        <v>12</v>
      </c>
      <c r="E2376" t="s">
        <v>21</v>
      </c>
      <c r="F2376" t="s">
        <v>5184</v>
      </c>
      <c r="G2376" s="9">
        <v>45306</v>
      </c>
      <c r="H2376" s="9">
        <v>45576</v>
      </c>
      <c r="I2376">
        <v>5</v>
      </c>
      <c r="J2376" t="s">
        <v>35</v>
      </c>
      <c r="K2376">
        <v>12</v>
      </c>
      <c r="L2376">
        <v>9</v>
      </c>
      <c r="M2376" s="11">
        <v>0</v>
      </c>
      <c r="N2376" s="12">
        <v>8353.93</v>
      </c>
      <c r="O2376" s="12">
        <v>9878.02</v>
      </c>
    </row>
    <row r="2377" spans="1:15">
      <c r="A2377" t="s">
        <v>2551</v>
      </c>
      <c r="B2377" t="s">
        <v>254</v>
      </c>
      <c r="C2377" s="9">
        <v>28490</v>
      </c>
      <c r="D2377">
        <v>48</v>
      </c>
      <c r="E2377" t="s">
        <v>17</v>
      </c>
      <c r="F2377" t="s">
        <v>49</v>
      </c>
      <c r="G2377" s="9">
        <v>45528</v>
      </c>
      <c r="H2377" s="9">
        <v>45106</v>
      </c>
      <c r="I2377">
        <v>38</v>
      </c>
      <c r="J2377" t="s">
        <v>35</v>
      </c>
      <c r="K2377">
        <v>9</v>
      </c>
      <c r="L2377">
        <v>4</v>
      </c>
      <c r="M2377" s="11">
        <v>10361</v>
      </c>
      <c r="N2377" s="12">
        <v>13104.68</v>
      </c>
      <c r="O2377" s="12">
        <v>3721.87</v>
      </c>
    </row>
    <row r="2378" spans="1:15">
      <c r="A2378" t="s">
        <v>2552</v>
      </c>
      <c r="B2378" t="s">
        <v>261</v>
      </c>
      <c r="C2378" s="9">
        <v>24473</v>
      </c>
      <c r="D2378">
        <v>59</v>
      </c>
      <c r="E2378" t="s">
        <v>5185</v>
      </c>
      <c r="F2378" t="s">
        <v>18</v>
      </c>
      <c r="G2378" s="9">
        <v>45454</v>
      </c>
      <c r="H2378" s="9">
        <v>45359</v>
      </c>
      <c r="I2378">
        <v>2</v>
      </c>
      <c r="J2378" t="s">
        <v>32</v>
      </c>
      <c r="K2378">
        <v>13</v>
      </c>
      <c r="L2378">
        <v>2</v>
      </c>
      <c r="M2378" s="11">
        <v>5760.97</v>
      </c>
      <c r="N2378" s="12">
        <v>11723.23</v>
      </c>
      <c r="O2378" s="12">
        <v>17825.78</v>
      </c>
    </row>
    <row r="2379" spans="1:15">
      <c r="A2379" t="s">
        <v>2553</v>
      </c>
      <c r="B2379" t="s">
        <v>490</v>
      </c>
      <c r="C2379" s="9">
        <v>45657</v>
      </c>
      <c r="D2379">
        <v>1</v>
      </c>
      <c r="E2379" t="s">
        <v>17</v>
      </c>
      <c r="F2379" t="s">
        <v>5184</v>
      </c>
      <c r="G2379" s="9">
        <v>45213</v>
      </c>
      <c r="H2379" s="9">
        <v>45647</v>
      </c>
      <c r="I2379">
        <v>6</v>
      </c>
      <c r="J2379" t="s">
        <v>26</v>
      </c>
      <c r="K2379">
        <v>2</v>
      </c>
      <c r="L2379">
        <v>8</v>
      </c>
      <c r="M2379" s="11">
        <v>5684.12</v>
      </c>
      <c r="N2379" s="12">
        <v>336.35</v>
      </c>
      <c r="O2379" s="12">
        <v>17049.7</v>
      </c>
    </row>
    <row r="2380" spans="1:15">
      <c r="A2380" t="s">
        <v>2554</v>
      </c>
      <c r="B2380" t="s">
        <v>654</v>
      </c>
      <c r="C2380" s="9">
        <v>24473</v>
      </c>
      <c r="D2380">
        <v>59</v>
      </c>
      <c r="E2380" t="s">
        <v>21</v>
      </c>
      <c r="F2380" t="s">
        <v>18</v>
      </c>
      <c r="G2380" s="9">
        <v>45210</v>
      </c>
      <c r="H2380" s="9">
        <v>45329</v>
      </c>
      <c r="I2380">
        <v>2</v>
      </c>
      <c r="J2380" t="s">
        <v>26</v>
      </c>
      <c r="K2380">
        <v>5</v>
      </c>
      <c r="L2380">
        <v>9</v>
      </c>
      <c r="M2380" s="11">
        <v>17826.310000000001</v>
      </c>
      <c r="N2380" s="12">
        <v>12378.72</v>
      </c>
      <c r="O2380" s="12">
        <v>11132.41</v>
      </c>
    </row>
    <row r="2381" spans="1:15">
      <c r="A2381" t="s">
        <v>2555</v>
      </c>
      <c r="B2381" t="s">
        <v>328</v>
      </c>
      <c r="C2381" s="9">
        <v>44561</v>
      </c>
      <c r="D2381">
        <v>4</v>
      </c>
      <c r="E2381" t="s">
        <v>21</v>
      </c>
      <c r="F2381" t="s">
        <v>29</v>
      </c>
      <c r="G2381" s="9">
        <v>45575</v>
      </c>
      <c r="H2381" s="9">
        <v>45321</v>
      </c>
      <c r="I2381">
        <v>27</v>
      </c>
      <c r="J2381" t="s">
        <v>32</v>
      </c>
      <c r="K2381">
        <v>8</v>
      </c>
      <c r="L2381">
        <v>8</v>
      </c>
      <c r="M2381" s="11">
        <v>4510.99</v>
      </c>
      <c r="N2381" s="12">
        <v>9571.7999999999993</v>
      </c>
      <c r="O2381" s="12">
        <v>19403.41</v>
      </c>
    </row>
    <row r="2382" spans="1:15">
      <c r="A2382" t="s">
        <v>2556</v>
      </c>
      <c r="B2382" t="s">
        <v>306</v>
      </c>
      <c r="C2382" s="9">
        <v>30317</v>
      </c>
      <c r="D2382">
        <v>43</v>
      </c>
      <c r="E2382" t="s">
        <v>21</v>
      </c>
      <c r="F2382" t="s">
        <v>29</v>
      </c>
      <c r="G2382" s="9">
        <v>45153</v>
      </c>
      <c r="H2382" s="9">
        <v>45810</v>
      </c>
      <c r="I2382">
        <v>4</v>
      </c>
      <c r="J2382" t="s">
        <v>35</v>
      </c>
      <c r="K2382">
        <v>4</v>
      </c>
      <c r="L2382">
        <v>7</v>
      </c>
      <c r="M2382" s="11">
        <v>11613.6</v>
      </c>
      <c r="N2382" s="12">
        <v>2000.23</v>
      </c>
      <c r="O2382" s="12">
        <v>18536.12</v>
      </c>
    </row>
    <row r="2383" spans="1:15">
      <c r="A2383" t="s">
        <v>2557</v>
      </c>
      <c r="B2383" t="s">
        <v>242</v>
      </c>
      <c r="C2383" s="9">
        <v>36526</v>
      </c>
      <c r="D2383">
        <v>26</v>
      </c>
      <c r="E2383" t="s">
        <v>21</v>
      </c>
      <c r="F2383" t="s">
        <v>29</v>
      </c>
      <c r="G2383" s="9">
        <v>45353</v>
      </c>
      <c r="H2383" s="9">
        <v>45493</v>
      </c>
      <c r="I2383">
        <v>19</v>
      </c>
      <c r="J2383" t="s">
        <v>32</v>
      </c>
      <c r="K2383">
        <v>12</v>
      </c>
      <c r="L2383">
        <v>4</v>
      </c>
      <c r="M2383" s="11">
        <v>5991.4</v>
      </c>
      <c r="N2383" s="12">
        <v>9262.16</v>
      </c>
      <c r="O2383" s="12">
        <v>17929.82</v>
      </c>
    </row>
    <row r="2384" spans="1:15">
      <c r="A2384" t="s">
        <v>2558</v>
      </c>
      <c r="B2384" t="s">
        <v>73</v>
      </c>
      <c r="C2384" s="9">
        <v>34700</v>
      </c>
      <c r="D2384">
        <v>31</v>
      </c>
      <c r="E2384" t="s">
        <v>17</v>
      </c>
      <c r="F2384" t="s">
        <v>74</v>
      </c>
      <c r="G2384" s="9">
        <v>44953</v>
      </c>
      <c r="H2384" s="9">
        <v>45006</v>
      </c>
      <c r="I2384">
        <v>17</v>
      </c>
      <c r="J2384" t="s">
        <v>32</v>
      </c>
      <c r="K2384">
        <v>3</v>
      </c>
      <c r="L2384">
        <v>9</v>
      </c>
      <c r="M2384" s="11">
        <v>19714.189999999999</v>
      </c>
      <c r="N2384" s="12">
        <v>12268.41</v>
      </c>
      <c r="O2384" s="12">
        <v>2579.16</v>
      </c>
    </row>
    <row r="2385" spans="1:15">
      <c r="A2385" t="s">
        <v>2559</v>
      </c>
      <c r="B2385" t="s">
        <v>502</v>
      </c>
      <c r="C2385" s="9">
        <v>38717</v>
      </c>
      <c r="D2385">
        <v>20</v>
      </c>
      <c r="E2385" t="s">
        <v>17</v>
      </c>
      <c r="F2385" t="s">
        <v>49</v>
      </c>
      <c r="G2385" s="9">
        <v>45258</v>
      </c>
      <c r="H2385" s="9">
        <v>45710</v>
      </c>
      <c r="I2385">
        <v>26</v>
      </c>
      <c r="J2385" t="s">
        <v>32</v>
      </c>
      <c r="K2385">
        <v>9</v>
      </c>
      <c r="L2385">
        <v>6</v>
      </c>
      <c r="M2385" s="11">
        <v>18270.34</v>
      </c>
      <c r="N2385" s="12">
        <v>9031.68</v>
      </c>
      <c r="O2385" s="12">
        <v>5822.05</v>
      </c>
    </row>
    <row r="2386" spans="1:15">
      <c r="A2386" t="s">
        <v>2560</v>
      </c>
      <c r="B2386" t="s">
        <v>198</v>
      </c>
      <c r="C2386" s="9">
        <v>43466</v>
      </c>
      <c r="D2386">
        <v>7</v>
      </c>
      <c r="E2386" t="s">
        <v>17</v>
      </c>
      <c r="F2386" t="s">
        <v>18</v>
      </c>
      <c r="G2386" s="9">
        <v>45043</v>
      </c>
      <c r="H2386" s="9">
        <v>45351</v>
      </c>
      <c r="I2386">
        <v>24</v>
      </c>
      <c r="J2386" t="s">
        <v>32</v>
      </c>
      <c r="K2386">
        <v>9</v>
      </c>
      <c r="L2386">
        <v>1</v>
      </c>
      <c r="M2386" s="11">
        <v>11124.31</v>
      </c>
      <c r="N2386" s="12">
        <v>14987.2</v>
      </c>
      <c r="O2386" s="12">
        <v>8144.82</v>
      </c>
    </row>
    <row r="2387" spans="1:15">
      <c r="A2387" t="s">
        <v>2561</v>
      </c>
      <c r="B2387" t="s">
        <v>34</v>
      </c>
      <c r="C2387" s="9">
        <v>20090</v>
      </c>
      <c r="D2387">
        <v>71</v>
      </c>
      <c r="E2387" t="s">
        <v>17</v>
      </c>
      <c r="F2387" t="s">
        <v>49</v>
      </c>
      <c r="G2387" s="9">
        <v>45015</v>
      </c>
      <c r="H2387" s="9">
        <v>45045</v>
      </c>
      <c r="I2387">
        <v>22</v>
      </c>
      <c r="J2387" t="s">
        <v>26</v>
      </c>
      <c r="K2387">
        <v>3</v>
      </c>
      <c r="L2387">
        <v>2</v>
      </c>
      <c r="M2387" s="11">
        <v>3425.88</v>
      </c>
      <c r="N2387" s="12">
        <v>7605.05</v>
      </c>
      <c r="O2387" s="12">
        <v>16621.38</v>
      </c>
    </row>
    <row r="2388" spans="1:15">
      <c r="A2388" t="s">
        <v>2562</v>
      </c>
      <c r="B2388" t="s">
        <v>28</v>
      </c>
      <c r="C2388" s="9">
        <v>28125</v>
      </c>
      <c r="D2388">
        <v>49</v>
      </c>
      <c r="E2388" t="s">
        <v>21</v>
      </c>
      <c r="F2388" t="s">
        <v>5184</v>
      </c>
      <c r="G2388" s="9">
        <v>45545</v>
      </c>
      <c r="H2388" s="9">
        <v>45295</v>
      </c>
      <c r="I2388">
        <v>32</v>
      </c>
      <c r="J2388" t="s">
        <v>32</v>
      </c>
      <c r="K2388">
        <v>12</v>
      </c>
      <c r="L2388">
        <v>1</v>
      </c>
      <c r="M2388" s="11">
        <v>5960.41</v>
      </c>
      <c r="N2388" s="12">
        <v>10096.969999999999</v>
      </c>
      <c r="O2388" s="12">
        <v>17411.84</v>
      </c>
    </row>
    <row r="2389" spans="1:15">
      <c r="A2389" t="s">
        <v>2563</v>
      </c>
      <c r="B2389" t="s">
        <v>93</v>
      </c>
      <c r="C2389" s="9">
        <v>21916</v>
      </c>
      <c r="D2389">
        <v>66</v>
      </c>
      <c r="E2389" t="s">
        <v>21</v>
      </c>
      <c r="F2389" t="s">
        <v>18</v>
      </c>
      <c r="G2389" s="9">
        <v>45048</v>
      </c>
      <c r="H2389" s="9">
        <v>45033</v>
      </c>
      <c r="I2389">
        <v>24</v>
      </c>
      <c r="J2389" t="s">
        <v>32</v>
      </c>
      <c r="K2389">
        <v>5</v>
      </c>
      <c r="L2389">
        <v>9</v>
      </c>
      <c r="M2389" s="11">
        <v>13902.38</v>
      </c>
      <c r="N2389" s="12">
        <v>1055.5999999999999</v>
      </c>
      <c r="O2389" s="12">
        <v>15004.85</v>
      </c>
    </row>
    <row r="2390" spans="1:15">
      <c r="A2390" t="s">
        <v>2564</v>
      </c>
      <c r="B2390" t="s">
        <v>264</v>
      </c>
      <c r="C2390" s="9">
        <v>30317</v>
      </c>
      <c r="D2390">
        <v>43</v>
      </c>
      <c r="E2390" t="s">
        <v>17</v>
      </c>
      <c r="F2390" t="s">
        <v>18</v>
      </c>
      <c r="G2390" s="9">
        <v>44959</v>
      </c>
      <c r="H2390" s="9">
        <v>45032</v>
      </c>
      <c r="I2390">
        <v>8</v>
      </c>
      <c r="J2390" t="s">
        <v>32</v>
      </c>
      <c r="K2390">
        <v>12</v>
      </c>
      <c r="L2390">
        <v>0</v>
      </c>
      <c r="M2390" s="11">
        <v>29148.51</v>
      </c>
      <c r="N2390" s="12">
        <v>12197.97</v>
      </c>
      <c r="O2390" s="12">
        <v>9395.23</v>
      </c>
    </row>
    <row r="2391" spans="1:15">
      <c r="A2391" t="s">
        <v>2565</v>
      </c>
      <c r="B2391" t="s">
        <v>348</v>
      </c>
      <c r="C2391" s="9">
        <v>25203</v>
      </c>
      <c r="D2391">
        <v>57</v>
      </c>
      <c r="E2391" t="s">
        <v>21</v>
      </c>
      <c r="F2391" t="s">
        <v>22</v>
      </c>
      <c r="G2391" s="9">
        <v>45529</v>
      </c>
      <c r="H2391" s="9">
        <v>45230</v>
      </c>
      <c r="I2391">
        <v>14</v>
      </c>
      <c r="J2391" t="s">
        <v>35</v>
      </c>
      <c r="K2391">
        <v>11</v>
      </c>
      <c r="L2391">
        <v>2</v>
      </c>
      <c r="M2391" s="11">
        <v>7758.63</v>
      </c>
      <c r="N2391" s="12">
        <v>9361.5499999999993</v>
      </c>
      <c r="O2391" s="12">
        <v>3154.21</v>
      </c>
    </row>
    <row r="2392" spans="1:15">
      <c r="A2392" t="s">
        <v>2566</v>
      </c>
      <c r="B2392" t="s">
        <v>135</v>
      </c>
      <c r="C2392" s="9">
        <f>DATE(2026-D2352,1,1)</f>
        <v>15342</v>
      </c>
      <c r="D2392">
        <v>2</v>
      </c>
      <c r="E2392" t="s">
        <v>21</v>
      </c>
      <c r="F2392" t="s">
        <v>18</v>
      </c>
      <c r="G2392" s="9">
        <v>45622</v>
      </c>
      <c r="H2392" s="9">
        <v>45557</v>
      </c>
      <c r="I2392">
        <v>28</v>
      </c>
      <c r="J2392" t="s">
        <v>32</v>
      </c>
      <c r="K2392">
        <v>0</v>
      </c>
      <c r="L2392">
        <v>3</v>
      </c>
      <c r="M2392" s="11">
        <v>5331.31</v>
      </c>
      <c r="N2392" s="12">
        <v>8418.64</v>
      </c>
      <c r="O2392" s="12">
        <v>607.44000000000005</v>
      </c>
    </row>
    <row r="2393" spans="1:15">
      <c r="A2393" t="s">
        <v>2567</v>
      </c>
      <c r="B2393" t="s">
        <v>226</v>
      </c>
      <c r="C2393" s="9">
        <v>14976</v>
      </c>
      <c r="D2393">
        <v>85</v>
      </c>
      <c r="E2393" t="s">
        <v>21</v>
      </c>
      <c r="F2393" t="s">
        <v>18</v>
      </c>
      <c r="G2393" s="9">
        <v>45324</v>
      </c>
      <c r="H2393" s="9">
        <v>45821</v>
      </c>
      <c r="I2393">
        <v>15</v>
      </c>
      <c r="J2393" t="s">
        <v>26</v>
      </c>
      <c r="K2393">
        <v>14</v>
      </c>
      <c r="L2393">
        <v>8</v>
      </c>
      <c r="M2393" s="11">
        <v>6230.84</v>
      </c>
      <c r="N2393" s="12">
        <v>10632.13</v>
      </c>
      <c r="O2393" s="12">
        <v>13955.98</v>
      </c>
    </row>
    <row r="2394" spans="1:15">
      <c r="A2394" t="s">
        <v>2568</v>
      </c>
      <c r="B2394" t="s">
        <v>159</v>
      </c>
      <c r="C2394" s="9">
        <v>20820</v>
      </c>
      <c r="D2394">
        <v>69</v>
      </c>
      <c r="E2394" t="s">
        <v>21</v>
      </c>
      <c r="F2394" t="s">
        <v>25</v>
      </c>
      <c r="G2394" s="9">
        <v>45451</v>
      </c>
      <c r="H2394" s="9">
        <v>45668</v>
      </c>
      <c r="I2394">
        <v>16</v>
      </c>
      <c r="J2394" t="s">
        <v>26</v>
      </c>
      <c r="K2394">
        <v>7</v>
      </c>
      <c r="L2394">
        <v>1</v>
      </c>
      <c r="M2394" s="11">
        <v>21098.240000000002</v>
      </c>
      <c r="N2394" s="12">
        <v>8407.65</v>
      </c>
      <c r="O2394" s="12">
        <v>19882.5</v>
      </c>
    </row>
    <row r="2395" spans="1:15">
      <c r="A2395" t="s">
        <v>2569</v>
      </c>
      <c r="B2395" t="s">
        <v>46</v>
      </c>
      <c r="C2395" s="9">
        <f t="shared" ref="C2395:C2397" si="12">DATE(2026-D2355,1,1)</f>
        <v>31048</v>
      </c>
      <c r="D2395">
        <v>1</v>
      </c>
      <c r="E2395" t="s">
        <v>21</v>
      </c>
      <c r="F2395" t="s">
        <v>25</v>
      </c>
      <c r="G2395" s="9">
        <v>44950</v>
      </c>
      <c r="H2395" s="9">
        <v>45075</v>
      </c>
      <c r="I2395">
        <v>35</v>
      </c>
      <c r="J2395" t="s">
        <v>26</v>
      </c>
      <c r="K2395">
        <v>0</v>
      </c>
      <c r="L2395">
        <v>8</v>
      </c>
      <c r="M2395" s="11">
        <v>27397.87</v>
      </c>
      <c r="N2395" s="12">
        <v>11496.77</v>
      </c>
      <c r="O2395" s="12">
        <v>6843.99</v>
      </c>
    </row>
    <row r="2396" spans="1:15">
      <c r="A2396" t="s">
        <v>2570</v>
      </c>
      <c r="B2396" t="s">
        <v>204</v>
      </c>
      <c r="C2396" s="9">
        <f t="shared" si="12"/>
        <v>32143</v>
      </c>
      <c r="D2396">
        <v>86</v>
      </c>
      <c r="E2396" t="s">
        <v>17</v>
      </c>
      <c r="F2396" t="s">
        <v>22</v>
      </c>
      <c r="G2396" s="9">
        <v>45251</v>
      </c>
      <c r="H2396" s="9">
        <v>45793</v>
      </c>
      <c r="I2396">
        <v>26</v>
      </c>
      <c r="J2396" t="s">
        <v>35</v>
      </c>
      <c r="K2396">
        <v>7</v>
      </c>
      <c r="L2396">
        <v>0</v>
      </c>
      <c r="M2396" s="11">
        <v>1792.73</v>
      </c>
      <c r="N2396" s="12">
        <v>8752.73</v>
      </c>
      <c r="O2396" s="12">
        <v>11331.51</v>
      </c>
    </row>
    <row r="2397" spans="1:15">
      <c r="A2397" t="s">
        <v>2571</v>
      </c>
      <c r="B2397" t="s">
        <v>39</v>
      </c>
      <c r="C2397" s="9">
        <f t="shared" si="12"/>
        <v>31413</v>
      </c>
      <c r="D2397">
        <v>43</v>
      </c>
      <c r="E2397" t="s">
        <v>17</v>
      </c>
      <c r="F2397" t="s">
        <v>74</v>
      </c>
      <c r="G2397" s="9">
        <v>44960</v>
      </c>
      <c r="H2397" s="9">
        <v>45077</v>
      </c>
      <c r="I2397">
        <v>12</v>
      </c>
      <c r="J2397" t="s">
        <v>32</v>
      </c>
      <c r="K2397">
        <v>9</v>
      </c>
      <c r="L2397">
        <v>8</v>
      </c>
      <c r="M2397" s="11">
        <v>22353.3</v>
      </c>
      <c r="N2397" s="12">
        <v>7800.81</v>
      </c>
      <c r="O2397" s="12">
        <v>16192.7</v>
      </c>
    </row>
    <row r="2398" spans="1:15">
      <c r="A2398" t="s">
        <v>2572</v>
      </c>
      <c r="B2398" t="s">
        <v>174</v>
      </c>
      <c r="C2398" s="9">
        <v>45657</v>
      </c>
      <c r="D2398">
        <v>1</v>
      </c>
      <c r="E2398" t="s">
        <v>21</v>
      </c>
      <c r="F2398" t="s">
        <v>29</v>
      </c>
      <c r="G2398" s="9">
        <v>45173</v>
      </c>
      <c r="H2398" s="9">
        <v>45743</v>
      </c>
      <c r="I2398">
        <v>4</v>
      </c>
      <c r="J2398" t="s">
        <v>32</v>
      </c>
      <c r="K2398">
        <v>2</v>
      </c>
      <c r="L2398">
        <v>5</v>
      </c>
      <c r="M2398" s="11">
        <v>14585.5</v>
      </c>
      <c r="N2398" s="12">
        <v>2025.29</v>
      </c>
      <c r="O2398" s="12">
        <v>3648.28</v>
      </c>
    </row>
    <row r="2399" spans="1:15">
      <c r="A2399" t="s">
        <v>2573</v>
      </c>
      <c r="B2399" t="s">
        <v>151</v>
      </c>
      <c r="C2399" s="9">
        <v>16802</v>
      </c>
      <c r="D2399">
        <v>80</v>
      </c>
      <c r="E2399" t="s">
        <v>21</v>
      </c>
      <c r="F2399" t="s">
        <v>5184</v>
      </c>
      <c r="G2399" s="9">
        <v>44945</v>
      </c>
      <c r="H2399" s="9">
        <v>45183</v>
      </c>
      <c r="I2399">
        <v>34</v>
      </c>
      <c r="J2399" t="s">
        <v>32</v>
      </c>
      <c r="K2399">
        <v>11</v>
      </c>
      <c r="L2399">
        <v>7</v>
      </c>
      <c r="M2399" s="11">
        <v>24668.31</v>
      </c>
      <c r="N2399" s="12">
        <v>7077.46</v>
      </c>
      <c r="O2399" s="12">
        <v>16574.099999999999</v>
      </c>
    </row>
    <row r="2400" spans="1:15">
      <c r="A2400" t="s">
        <v>2574</v>
      </c>
      <c r="B2400" t="s">
        <v>446</v>
      </c>
      <c r="C2400" s="9">
        <v>33604</v>
      </c>
      <c r="D2400">
        <v>34</v>
      </c>
      <c r="E2400" t="s">
        <v>17</v>
      </c>
      <c r="F2400" t="s">
        <v>5184</v>
      </c>
      <c r="G2400" s="9">
        <v>44956</v>
      </c>
      <c r="H2400" s="9">
        <v>45009</v>
      </c>
      <c r="I2400">
        <v>34</v>
      </c>
      <c r="J2400" t="s">
        <v>35</v>
      </c>
      <c r="K2400">
        <v>8</v>
      </c>
      <c r="L2400">
        <v>2</v>
      </c>
      <c r="M2400" s="11">
        <v>12355.91</v>
      </c>
      <c r="N2400" s="12">
        <v>8073.52</v>
      </c>
      <c r="O2400" s="12">
        <v>12469.4</v>
      </c>
    </row>
    <row r="2401" spans="1:15">
      <c r="A2401" t="s">
        <v>2575</v>
      </c>
      <c r="B2401" t="s">
        <v>196</v>
      </c>
      <c r="C2401" s="9">
        <v>14611</v>
      </c>
      <c r="D2401">
        <v>86</v>
      </c>
      <c r="E2401" t="s">
        <v>21</v>
      </c>
      <c r="F2401" t="s">
        <v>18</v>
      </c>
      <c r="G2401" s="9">
        <v>44975</v>
      </c>
      <c r="H2401" s="9">
        <v>44943</v>
      </c>
      <c r="I2401">
        <v>4</v>
      </c>
      <c r="J2401" t="s">
        <v>26</v>
      </c>
      <c r="K2401">
        <v>9</v>
      </c>
      <c r="L2401">
        <v>7</v>
      </c>
      <c r="M2401" s="11">
        <v>340.9</v>
      </c>
      <c r="N2401" s="12">
        <v>9368.61</v>
      </c>
      <c r="O2401" s="12">
        <v>11353.95</v>
      </c>
    </row>
    <row r="2402" spans="1:15">
      <c r="A2402" t="s">
        <v>2576</v>
      </c>
      <c r="B2402" t="s">
        <v>444</v>
      </c>
      <c r="C2402" s="9">
        <v>35430</v>
      </c>
      <c r="D2402">
        <v>29</v>
      </c>
      <c r="E2402" t="s">
        <v>21</v>
      </c>
      <c r="F2402" t="s">
        <v>49</v>
      </c>
      <c r="G2402" s="9">
        <v>45106</v>
      </c>
      <c r="H2402" s="9">
        <v>45120</v>
      </c>
      <c r="I2402">
        <v>19</v>
      </c>
      <c r="J2402" t="s">
        <v>35</v>
      </c>
      <c r="K2402">
        <v>8</v>
      </c>
      <c r="L2402">
        <v>8</v>
      </c>
      <c r="M2402" s="11">
        <v>20325.29</v>
      </c>
      <c r="N2402" s="12">
        <v>6838.38</v>
      </c>
      <c r="O2402" s="12">
        <v>15221.86</v>
      </c>
    </row>
    <row r="2403" spans="1:15">
      <c r="A2403" t="s">
        <v>2577</v>
      </c>
      <c r="B2403" t="s">
        <v>176</v>
      </c>
      <c r="C2403" s="9">
        <v>43466</v>
      </c>
      <c r="D2403">
        <v>7</v>
      </c>
      <c r="E2403" t="s">
        <v>21</v>
      </c>
      <c r="F2403" t="s">
        <v>5184</v>
      </c>
      <c r="G2403" s="9">
        <v>45296</v>
      </c>
      <c r="H2403" s="9">
        <v>45650</v>
      </c>
      <c r="I2403">
        <v>9</v>
      </c>
      <c r="J2403" t="s">
        <v>32</v>
      </c>
      <c r="K2403">
        <v>4</v>
      </c>
      <c r="L2403">
        <v>6</v>
      </c>
      <c r="M2403" s="11">
        <v>24143.13</v>
      </c>
      <c r="N2403" s="12">
        <v>2199.65</v>
      </c>
      <c r="O2403" s="12">
        <v>4743.07</v>
      </c>
    </row>
    <row r="2404" spans="1:15">
      <c r="A2404" t="s">
        <v>2578</v>
      </c>
      <c r="B2404" t="s">
        <v>28</v>
      </c>
      <c r="C2404" s="9">
        <v>38352</v>
      </c>
      <c r="D2404">
        <v>21</v>
      </c>
      <c r="E2404" t="s">
        <v>21</v>
      </c>
      <c r="F2404" t="s">
        <v>25</v>
      </c>
      <c r="G2404" s="9">
        <v>45321</v>
      </c>
      <c r="H2404" s="9">
        <v>45001</v>
      </c>
      <c r="I2404">
        <v>5</v>
      </c>
      <c r="J2404" t="s">
        <v>26</v>
      </c>
      <c r="K2404">
        <v>1</v>
      </c>
      <c r="L2404">
        <v>3</v>
      </c>
      <c r="M2404" s="11">
        <v>27011.64</v>
      </c>
      <c r="N2404" s="12">
        <v>2255.44</v>
      </c>
      <c r="O2404" s="12">
        <v>12257.09</v>
      </c>
    </row>
    <row r="2405" spans="1:15">
      <c r="A2405" t="s">
        <v>2579</v>
      </c>
      <c r="B2405" t="s">
        <v>273</v>
      </c>
      <c r="C2405" s="9">
        <v>30317</v>
      </c>
      <c r="D2405">
        <v>43</v>
      </c>
      <c r="E2405" t="s">
        <v>17</v>
      </c>
      <c r="F2405" t="s">
        <v>29</v>
      </c>
      <c r="G2405" s="9">
        <v>45516</v>
      </c>
      <c r="H2405" s="9">
        <v>45204</v>
      </c>
      <c r="I2405">
        <v>15</v>
      </c>
      <c r="J2405" t="s">
        <v>35</v>
      </c>
      <c r="K2405">
        <v>3</v>
      </c>
      <c r="L2405">
        <v>5</v>
      </c>
      <c r="M2405" s="11">
        <v>16856.060000000001</v>
      </c>
      <c r="N2405" s="12">
        <v>10814.82</v>
      </c>
      <c r="O2405" s="12">
        <v>4731.5600000000004</v>
      </c>
    </row>
    <row r="2406" spans="1:15">
      <c r="A2406" t="s">
        <v>2580</v>
      </c>
      <c r="B2406" t="s">
        <v>28</v>
      </c>
      <c r="C2406" s="9">
        <v>25203</v>
      </c>
      <c r="D2406">
        <v>57</v>
      </c>
      <c r="E2406" t="s">
        <v>17</v>
      </c>
      <c r="F2406" t="s">
        <v>74</v>
      </c>
      <c r="G2406" s="9">
        <v>45422</v>
      </c>
      <c r="H2406" s="9">
        <v>44988</v>
      </c>
      <c r="I2406">
        <v>25</v>
      </c>
      <c r="J2406" t="s">
        <v>32</v>
      </c>
      <c r="K2406">
        <v>4</v>
      </c>
      <c r="L2406">
        <v>5</v>
      </c>
      <c r="M2406" s="11">
        <v>3222.48</v>
      </c>
      <c r="N2406" s="12">
        <v>9921.7099999999991</v>
      </c>
      <c r="O2406" s="12">
        <v>3508.66</v>
      </c>
    </row>
    <row r="2407" spans="1:15">
      <c r="A2407" t="s">
        <v>2581</v>
      </c>
      <c r="B2407" t="s">
        <v>367</v>
      </c>
      <c r="C2407" s="9">
        <v>33239</v>
      </c>
      <c r="D2407">
        <v>35</v>
      </c>
      <c r="E2407" t="s">
        <v>21</v>
      </c>
      <c r="F2407" t="s">
        <v>29</v>
      </c>
      <c r="G2407" s="9">
        <v>45357</v>
      </c>
      <c r="H2407" s="9">
        <v>45463</v>
      </c>
      <c r="I2407">
        <v>15</v>
      </c>
      <c r="J2407" t="s">
        <v>32</v>
      </c>
      <c r="K2407">
        <v>7</v>
      </c>
      <c r="L2407">
        <v>1</v>
      </c>
      <c r="M2407" s="11">
        <v>10779.96</v>
      </c>
      <c r="N2407" s="12">
        <v>3892.49</v>
      </c>
      <c r="O2407" s="12">
        <v>12429.43</v>
      </c>
    </row>
    <row r="2408" spans="1:15">
      <c r="A2408" t="s">
        <v>2582</v>
      </c>
      <c r="B2408" t="s">
        <v>168</v>
      </c>
      <c r="C2408" s="9">
        <v>21185</v>
      </c>
      <c r="D2408">
        <v>68</v>
      </c>
      <c r="E2408" t="s">
        <v>21</v>
      </c>
      <c r="F2408" t="s">
        <v>18</v>
      </c>
      <c r="G2408" s="9">
        <v>45133</v>
      </c>
      <c r="H2408" s="9">
        <v>45462</v>
      </c>
      <c r="I2408">
        <v>28</v>
      </c>
      <c r="J2408" t="s">
        <v>35</v>
      </c>
      <c r="K2408">
        <v>12</v>
      </c>
      <c r="L2408">
        <v>1</v>
      </c>
      <c r="M2408" s="11">
        <v>23419.63</v>
      </c>
      <c r="N2408" s="12">
        <v>6687.86</v>
      </c>
      <c r="O2408" s="12">
        <v>5312.55</v>
      </c>
    </row>
    <row r="2409" spans="1:15">
      <c r="A2409" t="s">
        <v>2583</v>
      </c>
      <c r="B2409" t="s">
        <v>341</v>
      </c>
      <c r="C2409" s="9">
        <v>18263</v>
      </c>
      <c r="D2409">
        <v>76</v>
      </c>
      <c r="E2409" t="s">
        <v>21</v>
      </c>
      <c r="F2409" t="s">
        <v>29</v>
      </c>
      <c r="G2409" s="9">
        <v>44961</v>
      </c>
      <c r="H2409" s="9">
        <v>45270</v>
      </c>
      <c r="I2409">
        <v>14</v>
      </c>
      <c r="J2409" t="s">
        <v>32</v>
      </c>
      <c r="K2409">
        <v>7</v>
      </c>
      <c r="L2409">
        <v>4</v>
      </c>
      <c r="M2409" s="11">
        <v>14579.6</v>
      </c>
      <c r="N2409" s="12">
        <v>4604.37</v>
      </c>
      <c r="O2409" s="12">
        <v>14259.02</v>
      </c>
    </row>
    <row r="2410" spans="1:15">
      <c r="A2410" t="s">
        <v>2584</v>
      </c>
      <c r="B2410" t="s">
        <v>268</v>
      </c>
      <c r="C2410" s="9">
        <v>12419</v>
      </c>
      <c r="D2410">
        <f ca="1">DATEDIF(C2361,TODAY(),"Y")</f>
        <v>45</v>
      </c>
      <c r="E2410" t="s">
        <v>21</v>
      </c>
      <c r="F2410" t="s">
        <v>18</v>
      </c>
      <c r="G2410" s="9">
        <v>45509</v>
      </c>
      <c r="H2410" s="9">
        <v>45322</v>
      </c>
      <c r="I2410">
        <v>20</v>
      </c>
      <c r="J2410" t="s">
        <v>32</v>
      </c>
      <c r="K2410">
        <v>14</v>
      </c>
      <c r="L2410">
        <v>0</v>
      </c>
      <c r="M2410" s="11">
        <v>20826.96</v>
      </c>
      <c r="N2410" s="12">
        <v>2715.34</v>
      </c>
      <c r="O2410" s="12">
        <v>10241.16</v>
      </c>
    </row>
    <row r="2411" spans="1:15">
      <c r="A2411" t="s">
        <v>2585</v>
      </c>
      <c r="B2411" t="s">
        <v>681</v>
      </c>
      <c r="C2411" s="9">
        <v>35065</v>
      </c>
      <c r="D2411">
        <v>30</v>
      </c>
      <c r="E2411" t="s">
        <v>5185</v>
      </c>
      <c r="F2411" t="s">
        <v>22</v>
      </c>
      <c r="G2411" s="9">
        <v>45339</v>
      </c>
      <c r="H2411" s="9">
        <v>45185</v>
      </c>
      <c r="I2411">
        <v>8</v>
      </c>
      <c r="J2411" t="s">
        <v>32</v>
      </c>
      <c r="K2411">
        <v>7</v>
      </c>
      <c r="L2411">
        <v>4</v>
      </c>
      <c r="M2411" s="11">
        <v>356.96</v>
      </c>
      <c r="N2411" s="12">
        <v>4892.45</v>
      </c>
      <c r="O2411" s="12">
        <v>13868.57</v>
      </c>
    </row>
    <row r="2412" spans="1:15">
      <c r="A2412" t="s">
        <v>2586</v>
      </c>
      <c r="B2412" t="s">
        <v>37</v>
      </c>
      <c r="C2412" s="9">
        <f>DATE(2026-D2372,1,1)</f>
        <v>43466</v>
      </c>
      <c r="D2412">
        <v>46</v>
      </c>
      <c r="E2412" t="s">
        <v>17</v>
      </c>
      <c r="F2412" t="s">
        <v>25</v>
      </c>
      <c r="G2412" s="9">
        <v>45290</v>
      </c>
      <c r="H2412" s="9">
        <v>45125</v>
      </c>
      <c r="I2412">
        <v>12</v>
      </c>
      <c r="J2412" t="s">
        <v>26</v>
      </c>
      <c r="K2412">
        <v>12</v>
      </c>
      <c r="L2412">
        <v>9</v>
      </c>
      <c r="M2412" s="11">
        <v>1726.57</v>
      </c>
      <c r="N2412" s="12">
        <v>3940.34</v>
      </c>
      <c r="O2412" s="12">
        <v>17821.54</v>
      </c>
    </row>
    <row r="2413" spans="1:15">
      <c r="A2413" t="s">
        <v>2587</v>
      </c>
      <c r="B2413" t="s">
        <v>63</v>
      </c>
      <c r="C2413" s="9">
        <v>26299</v>
      </c>
      <c r="D2413">
        <v>54</v>
      </c>
      <c r="E2413" t="s">
        <v>17</v>
      </c>
      <c r="F2413" t="s">
        <v>25</v>
      </c>
      <c r="G2413" s="9">
        <v>45236</v>
      </c>
      <c r="H2413" s="9">
        <v>44980</v>
      </c>
      <c r="I2413">
        <v>27</v>
      </c>
      <c r="J2413" t="s">
        <v>32</v>
      </c>
      <c r="K2413">
        <v>1</v>
      </c>
      <c r="L2413">
        <v>2</v>
      </c>
      <c r="M2413" s="11">
        <v>20275.490000000002</v>
      </c>
      <c r="N2413" s="12">
        <v>1236.4100000000001</v>
      </c>
      <c r="O2413" s="12">
        <v>2678.75</v>
      </c>
    </row>
    <row r="2414" spans="1:15">
      <c r="A2414" t="s">
        <v>2588</v>
      </c>
      <c r="B2414" t="s">
        <v>209</v>
      </c>
      <c r="C2414" s="9">
        <v>17168</v>
      </c>
      <c r="D2414">
        <v>79</v>
      </c>
      <c r="E2414" t="s">
        <v>17</v>
      </c>
      <c r="F2414" t="s">
        <v>18</v>
      </c>
      <c r="G2414" s="9">
        <v>45205</v>
      </c>
      <c r="H2414" s="9">
        <v>45578</v>
      </c>
      <c r="I2414">
        <v>28</v>
      </c>
      <c r="J2414" t="s">
        <v>32</v>
      </c>
      <c r="K2414">
        <v>11</v>
      </c>
      <c r="L2414">
        <v>2</v>
      </c>
      <c r="M2414" s="11">
        <v>8351.16</v>
      </c>
      <c r="N2414" s="12">
        <v>7567.3</v>
      </c>
      <c r="O2414" s="12">
        <v>1241.45</v>
      </c>
    </row>
    <row r="2415" spans="1:15">
      <c r="A2415" t="s">
        <v>2589</v>
      </c>
      <c r="B2415" t="s">
        <v>348</v>
      </c>
      <c r="C2415" s="9">
        <v>23742</v>
      </c>
      <c r="D2415">
        <v>61</v>
      </c>
      <c r="E2415" t="s">
        <v>17</v>
      </c>
      <c r="F2415" t="s">
        <v>49</v>
      </c>
      <c r="G2415" s="9">
        <v>45078</v>
      </c>
      <c r="H2415" s="9">
        <v>45198</v>
      </c>
      <c r="I2415">
        <v>3</v>
      </c>
      <c r="J2415" t="s">
        <v>35</v>
      </c>
      <c r="K2415">
        <v>2</v>
      </c>
      <c r="L2415">
        <v>7</v>
      </c>
      <c r="M2415" s="11">
        <v>11339.69</v>
      </c>
      <c r="N2415" s="12">
        <v>6763.26</v>
      </c>
      <c r="O2415" s="12">
        <v>7938.33</v>
      </c>
    </row>
    <row r="2416" spans="1:15">
      <c r="A2416" t="s">
        <v>2590</v>
      </c>
      <c r="B2416" t="s">
        <v>302</v>
      </c>
      <c r="C2416" s="9">
        <v>35430</v>
      </c>
      <c r="D2416">
        <v>29</v>
      </c>
      <c r="E2416" t="s">
        <v>17</v>
      </c>
      <c r="F2416" t="s">
        <v>25</v>
      </c>
      <c r="G2416" s="9">
        <v>45153</v>
      </c>
      <c r="H2416" s="9">
        <v>45128</v>
      </c>
      <c r="I2416">
        <v>9</v>
      </c>
      <c r="J2416" t="s">
        <v>26</v>
      </c>
      <c r="K2416">
        <v>6</v>
      </c>
      <c r="L2416">
        <v>2</v>
      </c>
      <c r="M2416" s="11">
        <v>19085.05</v>
      </c>
      <c r="N2416" s="12">
        <v>10719.12</v>
      </c>
      <c r="O2416" s="12">
        <v>14305.82</v>
      </c>
    </row>
    <row r="2417" spans="1:15">
      <c r="A2417" t="s">
        <v>2591</v>
      </c>
      <c r="B2417" t="s">
        <v>226</v>
      </c>
      <c r="C2417" s="9">
        <v>26299</v>
      </c>
      <c r="D2417">
        <f ca="1">DATEDIF(C2368,TODAY(),"Y")</f>
        <v>35</v>
      </c>
      <c r="E2417" t="s">
        <v>21</v>
      </c>
      <c r="F2417" t="s">
        <v>49</v>
      </c>
      <c r="G2417" s="9">
        <v>45169</v>
      </c>
      <c r="H2417" s="9">
        <v>45323</v>
      </c>
      <c r="I2417">
        <v>20</v>
      </c>
      <c r="J2417" t="s">
        <v>35</v>
      </c>
      <c r="K2417">
        <v>6</v>
      </c>
      <c r="L2417">
        <v>2</v>
      </c>
      <c r="M2417" s="11">
        <v>2916.44</v>
      </c>
      <c r="N2417" s="12">
        <v>9304.59</v>
      </c>
      <c r="O2417" s="12">
        <v>17711.64</v>
      </c>
    </row>
    <row r="2418" spans="1:15">
      <c r="A2418" t="s">
        <v>2592</v>
      </c>
      <c r="B2418" t="s">
        <v>252</v>
      </c>
      <c r="C2418" s="9">
        <v>40544</v>
      </c>
      <c r="D2418">
        <v>15</v>
      </c>
      <c r="E2418" t="s">
        <v>21</v>
      </c>
      <c r="F2418" t="s">
        <v>18</v>
      </c>
      <c r="G2418" s="9">
        <v>44936</v>
      </c>
      <c r="H2418" s="9">
        <v>45305</v>
      </c>
      <c r="I2418">
        <v>36</v>
      </c>
      <c r="J2418" t="s">
        <v>35</v>
      </c>
      <c r="K2418">
        <v>14</v>
      </c>
      <c r="L2418">
        <v>0</v>
      </c>
      <c r="M2418" s="11">
        <v>24897.599999999999</v>
      </c>
      <c r="N2418" s="12">
        <v>5150.67</v>
      </c>
      <c r="O2418" s="12">
        <v>599.37</v>
      </c>
    </row>
    <row r="2419" spans="1:15">
      <c r="A2419" t="s">
        <v>2593</v>
      </c>
      <c r="B2419" t="s">
        <v>273</v>
      </c>
      <c r="C2419" s="9">
        <f>DATE(2026-D2379,1,1)</f>
        <v>45658</v>
      </c>
      <c r="D2419">
        <v>11</v>
      </c>
      <c r="E2419" t="s">
        <v>17</v>
      </c>
      <c r="F2419" t="s">
        <v>22</v>
      </c>
      <c r="G2419" s="9">
        <v>45318</v>
      </c>
      <c r="H2419" s="9">
        <v>45818</v>
      </c>
      <c r="I2419">
        <v>37</v>
      </c>
      <c r="J2419" t="s">
        <v>32</v>
      </c>
      <c r="K2419">
        <v>0</v>
      </c>
      <c r="L2419">
        <v>7</v>
      </c>
      <c r="M2419" s="11">
        <v>3905.24</v>
      </c>
      <c r="N2419" s="12">
        <v>7444.56</v>
      </c>
      <c r="O2419" s="12">
        <v>15838.46</v>
      </c>
    </row>
    <row r="2420" spans="1:15">
      <c r="A2420" t="s">
        <v>2594</v>
      </c>
      <c r="B2420" t="s">
        <v>65</v>
      </c>
      <c r="C2420" s="9">
        <v>40178</v>
      </c>
      <c r="D2420">
        <v>16</v>
      </c>
      <c r="E2420" t="s">
        <v>21</v>
      </c>
      <c r="F2420" t="s">
        <v>18</v>
      </c>
      <c r="G2420" s="9">
        <v>44974</v>
      </c>
      <c r="H2420" s="9">
        <v>45603</v>
      </c>
      <c r="I2420">
        <v>33</v>
      </c>
      <c r="J2420" t="s">
        <v>32</v>
      </c>
      <c r="K2420">
        <v>6</v>
      </c>
      <c r="L2420">
        <v>9</v>
      </c>
      <c r="M2420" s="11">
        <v>21865.119999999999</v>
      </c>
      <c r="N2420" s="12">
        <v>8041.25</v>
      </c>
      <c r="O2420" s="12">
        <v>1415.88</v>
      </c>
    </row>
    <row r="2421" spans="1:15">
      <c r="A2421" t="s">
        <v>2595</v>
      </c>
      <c r="B2421" t="s">
        <v>67</v>
      </c>
      <c r="C2421" s="9">
        <v>40544</v>
      </c>
      <c r="D2421">
        <v>15</v>
      </c>
      <c r="E2421" t="s">
        <v>5185</v>
      </c>
      <c r="F2421" t="s">
        <v>22</v>
      </c>
      <c r="G2421" s="9">
        <v>45550</v>
      </c>
      <c r="H2421" s="9">
        <v>45531</v>
      </c>
      <c r="I2421">
        <v>32</v>
      </c>
      <c r="J2421" t="s">
        <v>32</v>
      </c>
      <c r="K2421">
        <v>5</v>
      </c>
      <c r="L2421">
        <v>9</v>
      </c>
      <c r="M2421" s="11">
        <v>8428.92</v>
      </c>
      <c r="N2421" s="12">
        <v>13763.23</v>
      </c>
      <c r="O2421" s="12">
        <v>11569.57</v>
      </c>
    </row>
    <row r="2422" spans="1:15">
      <c r="A2422" t="s">
        <v>2596</v>
      </c>
      <c r="B2422" t="s">
        <v>201</v>
      </c>
      <c r="C2422" s="9">
        <v>42005</v>
      </c>
      <c r="D2422">
        <v>11</v>
      </c>
      <c r="E2422" t="s">
        <v>17</v>
      </c>
      <c r="F2422" t="s">
        <v>5184</v>
      </c>
      <c r="G2422" s="9">
        <v>45130</v>
      </c>
      <c r="H2422" s="9">
        <v>45462</v>
      </c>
      <c r="I2422">
        <v>0</v>
      </c>
      <c r="J2422" t="s">
        <v>32</v>
      </c>
      <c r="K2422">
        <v>7</v>
      </c>
      <c r="L2422">
        <v>5</v>
      </c>
      <c r="M2422" s="11">
        <v>7429.11</v>
      </c>
      <c r="N2422" s="12">
        <v>14725.42</v>
      </c>
      <c r="O2422" s="12">
        <v>6816.47</v>
      </c>
    </row>
    <row r="2423" spans="1:15">
      <c r="A2423" t="s">
        <v>2597</v>
      </c>
      <c r="B2423" t="s">
        <v>67</v>
      </c>
      <c r="C2423" s="9">
        <v>43466</v>
      </c>
      <c r="D2423">
        <v>7</v>
      </c>
      <c r="E2423" t="s">
        <v>17</v>
      </c>
      <c r="F2423" t="s">
        <v>25</v>
      </c>
      <c r="G2423" s="9">
        <v>45083</v>
      </c>
      <c r="H2423" s="9">
        <v>45015</v>
      </c>
      <c r="I2423">
        <v>39</v>
      </c>
      <c r="J2423" t="s">
        <v>26</v>
      </c>
      <c r="K2423">
        <v>14</v>
      </c>
      <c r="L2423">
        <v>7</v>
      </c>
      <c r="M2423" s="11">
        <v>24548.57</v>
      </c>
      <c r="N2423" s="12">
        <v>12233.14</v>
      </c>
      <c r="O2423" s="12">
        <v>254.85</v>
      </c>
    </row>
    <row r="2424" spans="1:15">
      <c r="A2424" t="s">
        <v>2598</v>
      </c>
      <c r="B2424" t="s">
        <v>57</v>
      </c>
      <c r="C2424" s="9">
        <v>15707</v>
      </c>
      <c r="D2424">
        <v>83</v>
      </c>
      <c r="E2424" t="s">
        <v>21</v>
      </c>
      <c r="F2424" t="s">
        <v>49</v>
      </c>
      <c r="G2424" s="9">
        <v>44952</v>
      </c>
      <c r="H2424" s="9">
        <v>45325</v>
      </c>
      <c r="I2424">
        <v>25</v>
      </c>
      <c r="J2424" t="s">
        <v>32</v>
      </c>
      <c r="K2424">
        <v>3</v>
      </c>
      <c r="L2424">
        <v>2</v>
      </c>
      <c r="M2424" s="11">
        <v>16342.15</v>
      </c>
      <c r="N2424" s="12">
        <v>8431.57</v>
      </c>
      <c r="O2424" s="12">
        <v>1851.58</v>
      </c>
    </row>
    <row r="2425" spans="1:15">
      <c r="A2425" t="s">
        <v>2599</v>
      </c>
      <c r="B2425" t="s">
        <v>215</v>
      </c>
      <c r="C2425" s="9">
        <v>45292</v>
      </c>
      <c r="D2425">
        <v>2</v>
      </c>
      <c r="E2425" t="s">
        <v>17</v>
      </c>
      <c r="F2425" t="s">
        <v>18</v>
      </c>
      <c r="G2425" s="9">
        <v>45347</v>
      </c>
      <c r="H2425" s="9">
        <v>45109</v>
      </c>
      <c r="I2425">
        <v>12</v>
      </c>
      <c r="J2425" t="s">
        <v>32</v>
      </c>
      <c r="K2425">
        <v>0</v>
      </c>
      <c r="L2425">
        <v>5</v>
      </c>
      <c r="M2425" s="11">
        <v>5767.68</v>
      </c>
      <c r="N2425" s="12">
        <v>13921.6</v>
      </c>
      <c r="O2425" s="12">
        <v>7009.9</v>
      </c>
    </row>
    <row r="2426" spans="1:15">
      <c r="A2426" t="s">
        <v>2600</v>
      </c>
      <c r="B2426" t="s">
        <v>135</v>
      </c>
      <c r="C2426" s="9">
        <v>40544</v>
      </c>
      <c r="D2426">
        <v>15</v>
      </c>
      <c r="E2426" t="s">
        <v>21</v>
      </c>
      <c r="F2426" t="s">
        <v>5184</v>
      </c>
      <c r="G2426" s="9">
        <v>45604</v>
      </c>
      <c r="H2426" s="9">
        <v>45794</v>
      </c>
      <c r="I2426">
        <v>10</v>
      </c>
      <c r="J2426" t="s">
        <v>35</v>
      </c>
      <c r="K2426">
        <v>3</v>
      </c>
      <c r="L2426">
        <v>1</v>
      </c>
      <c r="M2426" s="11">
        <v>422.34</v>
      </c>
      <c r="N2426" s="12">
        <v>2671.69</v>
      </c>
      <c r="O2426" s="12">
        <v>19070.439999999999</v>
      </c>
    </row>
    <row r="2427" spans="1:15">
      <c r="A2427" t="s">
        <v>2601</v>
      </c>
      <c r="B2427" t="s">
        <v>127</v>
      </c>
      <c r="C2427" s="9">
        <v>35430</v>
      </c>
      <c r="D2427">
        <v>29</v>
      </c>
      <c r="E2427" t="s">
        <v>5185</v>
      </c>
      <c r="F2427" t="s">
        <v>25</v>
      </c>
      <c r="G2427" s="9">
        <v>45190</v>
      </c>
      <c r="H2427" s="9">
        <v>45210</v>
      </c>
      <c r="I2427">
        <v>16</v>
      </c>
      <c r="J2427" t="s">
        <v>32</v>
      </c>
      <c r="K2427">
        <v>12</v>
      </c>
      <c r="L2427">
        <v>2</v>
      </c>
      <c r="M2427" s="11">
        <v>29177.56</v>
      </c>
      <c r="N2427" s="12">
        <v>10447.44</v>
      </c>
      <c r="O2427" s="12">
        <v>3012.12</v>
      </c>
    </row>
    <row r="2428" spans="1:15">
      <c r="A2428" t="s">
        <v>2602</v>
      </c>
      <c r="B2428" t="s">
        <v>115</v>
      </c>
      <c r="C2428" s="9">
        <v>37987</v>
      </c>
      <c r="D2428">
        <v>22</v>
      </c>
      <c r="E2428" t="s">
        <v>21</v>
      </c>
      <c r="F2428" t="s">
        <v>5184</v>
      </c>
      <c r="G2428" s="9">
        <v>45455</v>
      </c>
      <c r="H2428" s="9">
        <v>45460</v>
      </c>
      <c r="I2428">
        <v>37</v>
      </c>
      <c r="J2428" t="s">
        <v>26</v>
      </c>
      <c r="K2428">
        <v>0</v>
      </c>
      <c r="L2428">
        <v>3</v>
      </c>
      <c r="M2428" s="11">
        <v>12657.28</v>
      </c>
      <c r="N2428" s="12">
        <v>6907.02</v>
      </c>
      <c r="O2428" s="12">
        <v>5366.74</v>
      </c>
    </row>
    <row r="2429" spans="1:15">
      <c r="A2429" t="s">
        <v>2603</v>
      </c>
      <c r="B2429" t="s">
        <v>578</v>
      </c>
      <c r="C2429" s="9">
        <v>12785</v>
      </c>
      <c r="D2429">
        <v>91</v>
      </c>
      <c r="E2429" t="s">
        <v>17</v>
      </c>
      <c r="F2429" t="s">
        <v>22</v>
      </c>
      <c r="G2429" s="9">
        <v>45514</v>
      </c>
      <c r="H2429" s="9">
        <v>45488</v>
      </c>
      <c r="I2429">
        <v>15</v>
      </c>
      <c r="J2429" t="s">
        <v>26</v>
      </c>
      <c r="K2429">
        <v>11</v>
      </c>
      <c r="L2429">
        <v>8</v>
      </c>
      <c r="M2429" s="11">
        <v>11621.4</v>
      </c>
      <c r="N2429" s="12">
        <v>2171.23</v>
      </c>
      <c r="O2429" s="12">
        <v>19882.07</v>
      </c>
    </row>
    <row r="2430" spans="1:15">
      <c r="A2430" t="s">
        <v>2604</v>
      </c>
      <c r="B2430" t="s">
        <v>166</v>
      </c>
      <c r="C2430" s="9">
        <v>44561</v>
      </c>
      <c r="D2430">
        <v>4</v>
      </c>
      <c r="E2430" t="s">
        <v>17</v>
      </c>
      <c r="F2430" t="s">
        <v>18</v>
      </c>
      <c r="G2430" s="9">
        <v>45396</v>
      </c>
      <c r="H2430" s="9">
        <v>45117</v>
      </c>
      <c r="I2430">
        <v>28</v>
      </c>
      <c r="J2430" t="s">
        <v>35</v>
      </c>
      <c r="K2430">
        <v>10</v>
      </c>
      <c r="L2430">
        <v>3</v>
      </c>
      <c r="M2430" s="11">
        <v>1034.5899999999999</v>
      </c>
      <c r="N2430" s="12">
        <v>1128.1500000000001</v>
      </c>
      <c r="O2430" s="12">
        <v>9560.4699999999993</v>
      </c>
    </row>
    <row r="2431" spans="1:15">
      <c r="A2431" t="s">
        <v>2605</v>
      </c>
      <c r="B2431" t="s">
        <v>168</v>
      </c>
      <c r="C2431" s="9">
        <v>15707</v>
      </c>
      <c r="D2431">
        <v>83</v>
      </c>
      <c r="E2431" t="s">
        <v>21</v>
      </c>
      <c r="F2431" t="s">
        <v>5184</v>
      </c>
      <c r="G2431" s="9">
        <v>45180</v>
      </c>
      <c r="H2431" s="9">
        <v>45132</v>
      </c>
      <c r="I2431">
        <v>34</v>
      </c>
      <c r="J2431" t="s">
        <v>32</v>
      </c>
      <c r="K2431">
        <v>13</v>
      </c>
      <c r="L2431">
        <v>6</v>
      </c>
      <c r="M2431" s="11">
        <v>26779.31</v>
      </c>
      <c r="N2431" s="12">
        <v>7211.13</v>
      </c>
      <c r="O2431" s="12">
        <v>5171.13</v>
      </c>
    </row>
    <row r="2432" spans="1:15">
      <c r="A2432" t="s">
        <v>2606</v>
      </c>
      <c r="B2432" t="s">
        <v>194</v>
      </c>
      <c r="C2432" s="9">
        <v>22646</v>
      </c>
      <c r="D2432">
        <v>64</v>
      </c>
      <c r="E2432" t="s">
        <v>21</v>
      </c>
      <c r="F2432" t="s">
        <v>5184</v>
      </c>
      <c r="G2432" s="9">
        <v>45644</v>
      </c>
      <c r="H2432" s="9">
        <v>44971</v>
      </c>
      <c r="I2432">
        <v>18</v>
      </c>
      <c r="J2432" t="s">
        <v>35</v>
      </c>
      <c r="K2432">
        <v>3</v>
      </c>
      <c r="L2432">
        <v>7</v>
      </c>
      <c r="M2432" s="11">
        <v>3787.92</v>
      </c>
      <c r="N2432" s="12">
        <v>3584.54</v>
      </c>
      <c r="O2432" s="12">
        <v>12280.38</v>
      </c>
    </row>
    <row r="2433" spans="1:15">
      <c r="A2433" t="s">
        <v>2607</v>
      </c>
      <c r="B2433" t="s">
        <v>244</v>
      </c>
      <c r="C2433" s="9">
        <v>35430</v>
      </c>
      <c r="D2433">
        <v>29</v>
      </c>
      <c r="E2433" t="s">
        <v>5185</v>
      </c>
      <c r="F2433" t="s">
        <v>22</v>
      </c>
      <c r="G2433" s="9">
        <v>45472</v>
      </c>
      <c r="H2433" s="9">
        <v>45227</v>
      </c>
      <c r="I2433">
        <v>36</v>
      </c>
      <c r="J2433" t="s">
        <v>32</v>
      </c>
      <c r="K2433">
        <v>13</v>
      </c>
      <c r="L2433">
        <v>4</v>
      </c>
      <c r="M2433" s="11">
        <v>9731.4</v>
      </c>
      <c r="N2433" s="12">
        <v>3757.59</v>
      </c>
      <c r="O2433" s="12">
        <v>8664.25</v>
      </c>
    </row>
    <row r="2434" spans="1:15">
      <c r="A2434" t="s">
        <v>2608</v>
      </c>
      <c r="B2434" t="s">
        <v>654</v>
      </c>
      <c r="C2434" s="9">
        <v>38717</v>
      </c>
      <c r="D2434">
        <v>20</v>
      </c>
      <c r="E2434" t="s">
        <v>21</v>
      </c>
      <c r="F2434" t="s">
        <v>29</v>
      </c>
      <c r="G2434" s="9">
        <v>45073</v>
      </c>
      <c r="H2434" s="9">
        <v>45567</v>
      </c>
      <c r="I2434">
        <v>2</v>
      </c>
      <c r="J2434" t="s">
        <v>32</v>
      </c>
      <c r="K2434">
        <v>11</v>
      </c>
      <c r="L2434">
        <v>1</v>
      </c>
      <c r="M2434" s="11">
        <v>0</v>
      </c>
      <c r="N2434" s="12">
        <v>4803.25</v>
      </c>
      <c r="O2434" s="12">
        <v>17151.990000000002</v>
      </c>
    </row>
    <row r="2435" spans="1:15">
      <c r="A2435" t="s">
        <v>2609</v>
      </c>
      <c r="B2435" t="s">
        <v>490</v>
      </c>
      <c r="C2435" s="9">
        <v>15707</v>
      </c>
      <c r="D2435">
        <v>83</v>
      </c>
      <c r="E2435" t="s">
        <v>17</v>
      </c>
      <c r="F2435" t="s">
        <v>22</v>
      </c>
      <c r="G2435" s="9">
        <v>45252</v>
      </c>
      <c r="H2435" s="9">
        <v>45628</v>
      </c>
      <c r="I2435">
        <v>14</v>
      </c>
      <c r="J2435" t="s">
        <v>26</v>
      </c>
      <c r="K2435">
        <v>13</v>
      </c>
      <c r="L2435">
        <v>7</v>
      </c>
      <c r="M2435" s="11">
        <v>24208.23</v>
      </c>
      <c r="N2435" s="12">
        <v>10775.46</v>
      </c>
      <c r="O2435" s="12">
        <v>60.38</v>
      </c>
    </row>
    <row r="2436" spans="1:15">
      <c r="A2436" t="s">
        <v>2610</v>
      </c>
      <c r="B2436" t="s">
        <v>119</v>
      </c>
      <c r="C2436" s="9">
        <v>20820</v>
      </c>
      <c r="D2436">
        <v>69</v>
      </c>
      <c r="E2436" t="s">
        <v>21</v>
      </c>
      <c r="F2436" t="s">
        <v>29</v>
      </c>
      <c r="G2436" s="9">
        <v>45264</v>
      </c>
      <c r="H2436" s="9">
        <v>45609</v>
      </c>
      <c r="I2436">
        <v>16</v>
      </c>
      <c r="J2436" t="s">
        <v>32</v>
      </c>
      <c r="K2436">
        <v>7</v>
      </c>
      <c r="L2436">
        <v>4</v>
      </c>
      <c r="M2436" s="11">
        <v>10463.73</v>
      </c>
      <c r="N2436" s="12">
        <v>2461.34</v>
      </c>
      <c r="O2436" s="12">
        <v>19935.21</v>
      </c>
    </row>
    <row r="2437" spans="1:15">
      <c r="A2437" t="s">
        <v>2611</v>
      </c>
      <c r="B2437" t="s">
        <v>46</v>
      </c>
      <c r="C2437" s="9">
        <v>38352</v>
      </c>
      <c r="D2437">
        <v>21</v>
      </c>
      <c r="E2437" t="s">
        <v>17</v>
      </c>
      <c r="F2437" t="s">
        <v>25</v>
      </c>
      <c r="G2437" s="9">
        <v>45044</v>
      </c>
      <c r="H2437" s="9">
        <v>45206</v>
      </c>
      <c r="I2437">
        <v>1</v>
      </c>
      <c r="J2437" t="s">
        <v>35</v>
      </c>
      <c r="K2437">
        <v>5</v>
      </c>
      <c r="L2437">
        <v>4</v>
      </c>
      <c r="M2437" s="11">
        <v>15709.61</v>
      </c>
      <c r="N2437" s="12">
        <v>10763.34</v>
      </c>
      <c r="O2437" s="12">
        <v>1232.8800000000001</v>
      </c>
    </row>
    <row r="2438" spans="1:15">
      <c r="A2438" t="s">
        <v>2612</v>
      </c>
      <c r="B2438" t="s">
        <v>284</v>
      </c>
      <c r="C2438" s="9">
        <v>16437</v>
      </c>
      <c r="D2438">
        <v>81</v>
      </c>
      <c r="E2438" t="s">
        <v>17</v>
      </c>
      <c r="F2438" t="s">
        <v>18</v>
      </c>
      <c r="G2438" s="9">
        <v>45091</v>
      </c>
      <c r="H2438" s="9">
        <v>45640</v>
      </c>
      <c r="I2438">
        <v>23</v>
      </c>
      <c r="J2438" t="s">
        <v>32</v>
      </c>
      <c r="K2438">
        <v>5</v>
      </c>
      <c r="L2438">
        <v>6</v>
      </c>
      <c r="M2438" s="11">
        <v>12576.31</v>
      </c>
      <c r="N2438" s="12">
        <v>11740.65</v>
      </c>
      <c r="O2438" s="12">
        <v>10696.19</v>
      </c>
    </row>
    <row r="2439" spans="1:15">
      <c r="A2439" t="s">
        <v>2613</v>
      </c>
      <c r="B2439" t="s">
        <v>89</v>
      </c>
      <c r="C2439" s="9">
        <v>20090</v>
      </c>
      <c r="D2439">
        <v>71</v>
      </c>
      <c r="E2439" t="s">
        <v>21</v>
      </c>
      <c r="F2439" t="s">
        <v>5184</v>
      </c>
      <c r="G2439" s="9">
        <v>45476</v>
      </c>
      <c r="H2439" s="9">
        <v>45312</v>
      </c>
      <c r="I2439">
        <v>21</v>
      </c>
      <c r="J2439" t="s">
        <v>32</v>
      </c>
      <c r="K2439">
        <v>1</v>
      </c>
      <c r="L2439">
        <v>5</v>
      </c>
      <c r="M2439" s="11">
        <v>9011.26</v>
      </c>
      <c r="N2439" s="12">
        <v>8917.2000000000007</v>
      </c>
      <c r="O2439" s="12">
        <v>13917.74</v>
      </c>
    </row>
    <row r="2440" spans="1:15">
      <c r="A2440" t="s">
        <v>2614</v>
      </c>
      <c r="B2440" t="s">
        <v>341</v>
      </c>
      <c r="C2440" s="9">
        <v>34700</v>
      </c>
      <c r="D2440">
        <v>31</v>
      </c>
      <c r="E2440" t="s">
        <v>21</v>
      </c>
      <c r="F2440" t="s">
        <v>25</v>
      </c>
      <c r="G2440" s="9">
        <v>45575</v>
      </c>
      <c r="H2440" s="9">
        <v>45564</v>
      </c>
      <c r="I2440">
        <v>36</v>
      </c>
      <c r="J2440" t="s">
        <v>32</v>
      </c>
      <c r="K2440">
        <v>7</v>
      </c>
      <c r="L2440">
        <v>2</v>
      </c>
      <c r="M2440" s="11">
        <v>0</v>
      </c>
      <c r="N2440" s="12">
        <v>3713.36</v>
      </c>
      <c r="O2440" s="12">
        <v>10951.59</v>
      </c>
    </row>
    <row r="2441" spans="1:15">
      <c r="A2441" t="s">
        <v>2615</v>
      </c>
      <c r="B2441" t="s">
        <v>53</v>
      </c>
      <c r="C2441" s="9">
        <v>34334</v>
      </c>
      <c r="D2441">
        <v>32</v>
      </c>
      <c r="E2441" t="s">
        <v>17</v>
      </c>
      <c r="F2441" t="s">
        <v>74</v>
      </c>
      <c r="G2441" s="9">
        <v>45124</v>
      </c>
      <c r="H2441" s="9">
        <v>45731</v>
      </c>
      <c r="I2441">
        <v>35</v>
      </c>
      <c r="J2441" t="s">
        <v>32</v>
      </c>
      <c r="K2441">
        <v>4</v>
      </c>
      <c r="L2441">
        <v>6</v>
      </c>
      <c r="M2441" s="11">
        <v>23804.74</v>
      </c>
      <c r="N2441" s="12">
        <v>772.99</v>
      </c>
      <c r="O2441" s="12">
        <v>5945.55</v>
      </c>
    </row>
    <row r="2442" spans="1:15">
      <c r="A2442" t="s">
        <v>2616</v>
      </c>
      <c r="B2442" t="s">
        <v>286</v>
      </c>
      <c r="C2442" s="9">
        <v>40544</v>
      </c>
      <c r="D2442">
        <v>15</v>
      </c>
      <c r="E2442" t="s">
        <v>21</v>
      </c>
      <c r="F2442" t="s">
        <v>22</v>
      </c>
      <c r="G2442" s="9">
        <v>45300</v>
      </c>
      <c r="H2442" s="9">
        <v>45238</v>
      </c>
      <c r="I2442">
        <v>16</v>
      </c>
      <c r="J2442" t="s">
        <v>35</v>
      </c>
      <c r="K2442">
        <v>5</v>
      </c>
      <c r="L2442">
        <v>0</v>
      </c>
      <c r="M2442" s="11">
        <v>4817.7700000000004</v>
      </c>
      <c r="N2442" s="12">
        <v>6119.18</v>
      </c>
      <c r="O2442" s="12">
        <v>17094.2</v>
      </c>
    </row>
    <row r="2443" spans="1:15">
      <c r="A2443" t="s">
        <v>2617</v>
      </c>
      <c r="B2443" t="s">
        <v>278</v>
      </c>
      <c r="C2443" s="9">
        <v>18629</v>
      </c>
      <c r="D2443">
        <v>75</v>
      </c>
      <c r="E2443" t="s">
        <v>21</v>
      </c>
      <c r="F2443" t="s">
        <v>25</v>
      </c>
      <c r="G2443" s="9">
        <v>45504</v>
      </c>
      <c r="H2443" s="9">
        <v>45805</v>
      </c>
      <c r="I2443">
        <v>27</v>
      </c>
      <c r="J2443" t="s">
        <v>35</v>
      </c>
      <c r="K2443">
        <v>11</v>
      </c>
      <c r="L2443">
        <v>3</v>
      </c>
      <c r="M2443" s="11">
        <v>16418.54</v>
      </c>
      <c r="N2443" s="12">
        <v>12711.68</v>
      </c>
      <c r="O2443" s="12">
        <v>8551.5</v>
      </c>
    </row>
    <row r="2444" spans="1:15">
      <c r="A2444" t="s">
        <v>2618</v>
      </c>
      <c r="B2444" t="s">
        <v>172</v>
      </c>
      <c r="C2444" s="9">
        <v>32508</v>
      </c>
      <c r="D2444">
        <v>37</v>
      </c>
      <c r="E2444" t="s">
        <v>17</v>
      </c>
      <c r="F2444" t="s">
        <v>25</v>
      </c>
      <c r="G2444" s="9">
        <v>45518</v>
      </c>
      <c r="H2444" s="9">
        <v>45455</v>
      </c>
      <c r="I2444">
        <v>23</v>
      </c>
      <c r="J2444" t="s">
        <v>32</v>
      </c>
      <c r="K2444">
        <v>14</v>
      </c>
      <c r="L2444">
        <v>3</v>
      </c>
      <c r="M2444" s="11">
        <v>23795.08</v>
      </c>
      <c r="N2444" s="12">
        <v>1528.05</v>
      </c>
      <c r="O2444" s="12">
        <v>5944.1</v>
      </c>
    </row>
    <row r="2445" spans="1:15">
      <c r="A2445" t="s">
        <v>2619</v>
      </c>
      <c r="B2445" t="s">
        <v>600</v>
      </c>
      <c r="C2445" s="9">
        <v>41274</v>
      </c>
      <c r="D2445">
        <v>13</v>
      </c>
      <c r="E2445" t="s">
        <v>21</v>
      </c>
      <c r="F2445" t="s">
        <v>5184</v>
      </c>
      <c r="G2445" s="9">
        <v>45490</v>
      </c>
      <c r="H2445" s="9">
        <v>45784</v>
      </c>
      <c r="I2445">
        <v>8</v>
      </c>
      <c r="J2445" t="s">
        <v>32</v>
      </c>
      <c r="K2445">
        <v>10</v>
      </c>
      <c r="L2445">
        <v>5</v>
      </c>
      <c r="M2445" s="11">
        <v>17183.59</v>
      </c>
      <c r="N2445" s="12">
        <v>11172.46</v>
      </c>
      <c r="O2445" s="12">
        <v>15343.51</v>
      </c>
    </row>
    <row r="2446" spans="1:15">
      <c r="A2446" t="s">
        <v>2620</v>
      </c>
      <c r="B2446" t="s">
        <v>131</v>
      </c>
      <c r="C2446" s="9">
        <v>33239</v>
      </c>
      <c r="D2446">
        <v>35</v>
      </c>
      <c r="E2446" t="s">
        <v>21</v>
      </c>
      <c r="F2446" t="s">
        <v>29</v>
      </c>
      <c r="G2446" s="9">
        <v>45055</v>
      </c>
      <c r="H2446" s="9">
        <v>45201</v>
      </c>
      <c r="I2446">
        <v>36</v>
      </c>
      <c r="J2446" t="s">
        <v>32</v>
      </c>
      <c r="K2446">
        <v>0</v>
      </c>
      <c r="L2446">
        <v>5</v>
      </c>
      <c r="M2446" s="11">
        <v>14560.27</v>
      </c>
      <c r="N2446" s="12">
        <v>7018.35</v>
      </c>
      <c r="O2446" s="12">
        <v>2831.7</v>
      </c>
    </row>
    <row r="2447" spans="1:15">
      <c r="A2447" t="s">
        <v>2621</v>
      </c>
      <c r="B2447" t="s">
        <v>596</v>
      </c>
      <c r="C2447" s="9">
        <v>37987</v>
      </c>
      <c r="D2447">
        <v>22</v>
      </c>
      <c r="E2447" t="s">
        <v>17</v>
      </c>
      <c r="F2447" t="s">
        <v>22</v>
      </c>
      <c r="G2447" s="9">
        <v>45340</v>
      </c>
      <c r="H2447" s="9">
        <v>45409</v>
      </c>
      <c r="I2447">
        <v>0</v>
      </c>
      <c r="J2447" t="s">
        <v>35</v>
      </c>
      <c r="K2447">
        <v>14</v>
      </c>
      <c r="L2447">
        <v>9</v>
      </c>
      <c r="M2447" s="11">
        <v>1697.81</v>
      </c>
      <c r="N2447" s="12">
        <v>13482.5</v>
      </c>
      <c r="O2447" s="12">
        <v>4020.68</v>
      </c>
    </row>
    <row r="2448" spans="1:15">
      <c r="A2448" t="s">
        <v>2622</v>
      </c>
      <c r="B2448" t="s">
        <v>204</v>
      </c>
      <c r="C2448" s="9">
        <v>22281</v>
      </c>
      <c r="D2448">
        <f ca="1">DATEDIF(C2399,TODAY(),"Y")</f>
        <v>80</v>
      </c>
      <c r="E2448" t="s">
        <v>21</v>
      </c>
      <c r="F2448" t="s">
        <v>29</v>
      </c>
      <c r="G2448" s="9">
        <v>45306</v>
      </c>
      <c r="H2448" s="9">
        <v>45733</v>
      </c>
      <c r="I2448">
        <v>19</v>
      </c>
      <c r="J2448" t="s">
        <v>32</v>
      </c>
      <c r="K2448">
        <v>1</v>
      </c>
      <c r="L2448">
        <v>7</v>
      </c>
      <c r="M2448" s="11">
        <v>2735.03</v>
      </c>
      <c r="N2448" s="12">
        <v>5342.97</v>
      </c>
      <c r="O2448" s="12">
        <v>4980.67</v>
      </c>
    </row>
    <row r="2449" spans="1:15">
      <c r="A2449" t="s">
        <v>2623</v>
      </c>
      <c r="B2449" t="s">
        <v>135</v>
      </c>
      <c r="C2449" s="9">
        <v>15341</v>
      </c>
      <c r="D2449">
        <v>84</v>
      </c>
      <c r="E2449" t="s">
        <v>21</v>
      </c>
      <c r="F2449" t="s">
        <v>18</v>
      </c>
      <c r="G2449" s="9">
        <v>44927</v>
      </c>
      <c r="H2449" s="9">
        <v>45378</v>
      </c>
      <c r="I2449">
        <v>14</v>
      </c>
      <c r="J2449" t="s">
        <v>26</v>
      </c>
      <c r="K2449">
        <v>9</v>
      </c>
      <c r="L2449">
        <v>0</v>
      </c>
      <c r="M2449" s="11">
        <v>6979.81</v>
      </c>
      <c r="N2449" s="12">
        <v>10571.23</v>
      </c>
      <c r="O2449" s="12">
        <v>8641.11</v>
      </c>
    </row>
    <row r="2450" spans="1:15">
      <c r="A2450" t="s">
        <v>2624</v>
      </c>
      <c r="B2450" t="s">
        <v>28</v>
      </c>
      <c r="C2450" s="9">
        <v>45657</v>
      </c>
      <c r="D2450">
        <v>1</v>
      </c>
      <c r="E2450" t="s">
        <v>21</v>
      </c>
      <c r="F2450" t="s">
        <v>25</v>
      </c>
      <c r="G2450" s="9">
        <v>45093</v>
      </c>
      <c r="H2450" s="9">
        <v>45459</v>
      </c>
      <c r="I2450">
        <v>8</v>
      </c>
      <c r="J2450" t="s">
        <v>32</v>
      </c>
      <c r="K2450">
        <v>11</v>
      </c>
      <c r="L2450">
        <v>6</v>
      </c>
      <c r="M2450" s="11">
        <v>15158.6</v>
      </c>
      <c r="N2450" s="12">
        <v>11101.79</v>
      </c>
      <c r="O2450" s="12">
        <v>308.76</v>
      </c>
    </row>
    <row r="2451" spans="1:15">
      <c r="A2451" t="s">
        <v>2625</v>
      </c>
      <c r="B2451" t="s">
        <v>143</v>
      </c>
      <c r="C2451" s="9">
        <v>13150</v>
      </c>
      <c r="D2451">
        <v>90</v>
      </c>
      <c r="E2451" t="s">
        <v>17</v>
      </c>
      <c r="F2451" t="s">
        <v>22</v>
      </c>
      <c r="G2451" s="9">
        <v>44942</v>
      </c>
      <c r="H2451" s="9">
        <v>45458</v>
      </c>
      <c r="I2451">
        <v>36</v>
      </c>
      <c r="J2451" t="s">
        <v>32</v>
      </c>
      <c r="K2451">
        <v>2</v>
      </c>
      <c r="L2451">
        <v>3</v>
      </c>
      <c r="M2451" s="11">
        <v>29612.55</v>
      </c>
      <c r="N2451" s="12">
        <v>2981.13</v>
      </c>
      <c r="O2451" s="12">
        <v>19834.689999999999</v>
      </c>
    </row>
    <row r="2452" spans="1:15">
      <c r="A2452" t="s">
        <v>2626</v>
      </c>
      <c r="B2452" t="s">
        <v>444</v>
      </c>
      <c r="C2452" s="9">
        <v>19724</v>
      </c>
      <c r="D2452">
        <v>72</v>
      </c>
      <c r="E2452" t="s">
        <v>17</v>
      </c>
      <c r="F2452" t="s">
        <v>25</v>
      </c>
      <c r="G2452" s="9">
        <v>45583</v>
      </c>
      <c r="H2452" s="9">
        <v>45452</v>
      </c>
      <c r="I2452">
        <v>24</v>
      </c>
      <c r="J2452" t="s">
        <v>26</v>
      </c>
      <c r="K2452">
        <v>10</v>
      </c>
      <c r="L2452">
        <v>5</v>
      </c>
      <c r="M2452" s="11">
        <v>23969.119999999999</v>
      </c>
      <c r="N2452" s="12">
        <v>2372.1999999999998</v>
      </c>
      <c r="O2452" s="12">
        <v>11963.03</v>
      </c>
    </row>
    <row r="2453" spans="1:15">
      <c r="A2453" t="s">
        <v>2627</v>
      </c>
      <c r="B2453" t="s">
        <v>48</v>
      </c>
      <c r="C2453" s="9">
        <v>22646</v>
      </c>
      <c r="D2453">
        <v>64</v>
      </c>
      <c r="E2453" t="s">
        <v>17</v>
      </c>
      <c r="F2453" t="s">
        <v>18</v>
      </c>
      <c r="G2453" s="9">
        <v>45038</v>
      </c>
      <c r="H2453" s="9">
        <v>44944</v>
      </c>
      <c r="I2453">
        <v>26</v>
      </c>
      <c r="J2453" t="s">
        <v>32</v>
      </c>
      <c r="K2453">
        <v>7</v>
      </c>
      <c r="L2453">
        <v>9</v>
      </c>
      <c r="M2453" s="11">
        <v>2856.56</v>
      </c>
      <c r="N2453" s="12">
        <v>1390.97</v>
      </c>
      <c r="O2453" s="12">
        <v>19411.46</v>
      </c>
    </row>
    <row r="2454" spans="1:15">
      <c r="A2454" t="s">
        <v>2628</v>
      </c>
      <c r="B2454" t="s">
        <v>246</v>
      </c>
      <c r="C2454" s="9">
        <v>18994</v>
      </c>
      <c r="D2454">
        <v>74</v>
      </c>
      <c r="E2454" t="s">
        <v>21</v>
      </c>
      <c r="F2454" t="s">
        <v>49</v>
      </c>
      <c r="G2454" s="9">
        <v>45294</v>
      </c>
      <c r="H2454" s="9">
        <v>45645</v>
      </c>
      <c r="I2454">
        <v>9</v>
      </c>
      <c r="J2454" t="s">
        <v>26</v>
      </c>
      <c r="K2454">
        <v>12</v>
      </c>
      <c r="L2454">
        <v>8</v>
      </c>
      <c r="M2454" s="11">
        <v>21376.41</v>
      </c>
      <c r="N2454" s="12">
        <v>10523.74</v>
      </c>
      <c r="O2454" s="12">
        <v>16129.81</v>
      </c>
    </row>
    <row r="2455" spans="1:15">
      <c r="A2455" t="s">
        <v>2629</v>
      </c>
      <c r="B2455" t="s">
        <v>252</v>
      </c>
      <c r="C2455" s="9">
        <v>21916</v>
      </c>
      <c r="D2455">
        <v>66</v>
      </c>
      <c r="E2455" t="s">
        <v>21</v>
      </c>
      <c r="F2455" t="s">
        <v>18</v>
      </c>
      <c r="G2455" s="9">
        <v>45028</v>
      </c>
      <c r="H2455" s="9">
        <v>44957</v>
      </c>
      <c r="I2455">
        <v>10</v>
      </c>
      <c r="J2455" t="s">
        <v>35</v>
      </c>
      <c r="K2455">
        <v>7</v>
      </c>
      <c r="L2455">
        <v>2</v>
      </c>
      <c r="M2455" s="11">
        <v>24219.38</v>
      </c>
      <c r="N2455" s="12">
        <v>8222.26</v>
      </c>
      <c r="O2455" s="12">
        <v>2599.63</v>
      </c>
    </row>
    <row r="2456" spans="1:15">
      <c r="A2456" t="s">
        <v>2630</v>
      </c>
      <c r="B2456" t="s">
        <v>157</v>
      </c>
      <c r="C2456" s="9">
        <v>27395</v>
      </c>
      <c r="D2456">
        <v>51</v>
      </c>
      <c r="E2456" t="s">
        <v>21</v>
      </c>
      <c r="F2456" t="s">
        <v>29</v>
      </c>
      <c r="G2456" s="9">
        <v>45520</v>
      </c>
      <c r="H2456" s="9">
        <v>45397</v>
      </c>
      <c r="I2456">
        <v>8</v>
      </c>
      <c r="J2456" t="s">
        <v>32</v>
      </c>
      <c r="K2456">
        <v>12</v>
      </c>
      <c r="L2456">
        <v>7</v>
      </c>
      <c r="M2456" s="11">
        <v>12135.03</v>
      </c>
      <c r="N2456" s="12">
        <v>1300.78</v>
      </c>
      <c r="O2456" s="12">
        <v>4102.2700000000004</v>
      </c>
    </row>
    <row r="2457" spans="1:15">
      <c r="A2457" t="s">
        <v>2631</v>
      </c>
      <c r="B2457" t="s">
        <v>278</v>
      </c>
      <c r="C2457" s="9">
        <v>23742</v>
      </c>
      <c r="D2457">
        <v>61</v>
      </c>
      <c r="E2457" t="s">
        <v>21</v>
      </c>
      <c r="F2457" t="s">
        <v>29</v>
      </c>
      <c r="G2457" s="9">
        <v>45332</v>
      </c>
      <c r="H2457" s="9">
        <v>45738</v>
      </c>
      <c r="I2457">
        <v>28</v>
      </c>
      <c r="J2457" t="s">
        <v>32</v>
      </c>
      <c r="K2457">
        <v>14</v>
      </c>
      <c r="L2457">
        <v>2</v>
      </c>
      <c r="M2457" s="11">
        <v>9569.5</v>
      </c>
      <c r="N2457" s="12">
        <v>4625.01</v>
      </c>
      <c r="O2457" s="12">
        <v>592.42999999999995</v>
      </c>
    </row>
    <row r="2458" spans="1:15">
      <c r="A2458" t="s">
        <v>2632</v>
      </c>
      <c r="B2458" t="s">
        <v>166</v>
      </c>
      <c r="C2458" s="9">
        <v>37987</v>
      </c>
      <c r="D2458">
        <v>22</v>
      </c>
      <c r="E2458" t="s">
        <v>17</v>
      </c>
      <c r="F2458" t="s">
        <v>25</v>
      </c>
      <c r="G2458" s="9">
        <v>45433</v>
      </c>
      <c r="H2458" s="9">
        <v>45231</v>
      </c>
      <c r="I2458">
        <v>8</v>
      </c>
      <c r="J2458" t="s">
        <v>35</v>
      </c>
      <c r="K2458">
        <v>9</v>
      </c>
      <c r="L2458">
        <v>5</v>
      </c>
      <c r="M2458" s="11">
        <v>17330.759999999998</v>
      </c>
      <c r="N2458" s="12">
        <v>2135.1999999999998</v>
      </c>
      <c r="O2458" s="12">
        <v>16659.189999999999</v>
      </c>
    </row>
    <row r="2459" spans="1:15">
      <c r="A2459" t="s">
        <v>2633</v>
      </c>
      <c r="B2459" t="s">
        <v>155</v>
      </c>
      <c r="C2459" s="9">
        <v>36891</v>
      </c>
      <c r="D2459">
        <v>25</v>
      </c>
      <c r="E2459" t="s">
        <v>21</v>
      </c>
      <c r="F2459" t="s">
        <v>29</v>
      </c>
      <c r="G2459" s="9">
        <v>45537</v>
      </c>
      <c r="H2459" s="9">
        <v>45482</v>
      </c>
      <c r="I2459">
        <v>38</v>
      </c>
      <c r="J2459" t="s">
        <v>32</v>
      </c>
      <c r="K2459">
        <v>1</v>
      </c>
      <c r="L2459">
        <v>1</v>
      </c>
      <c r="M2459" s="11">
        <v>15334.18</v>
      </c>
      <c r="N2459" s="12">
        <v>1390.22</v>
      </c>
      <c r="O2459" s="12">
        <v>11828.5</v>
      </c>
    </row>
    <row r="2460" spans="1:15">
      <c r="A2460" t="s">
        <v>2634</v>
      </c>
      <c r="B2460" t="s">
        <v>524</v>
      </c>
      <c r="C2460" s="9">
        <v>21551</v>
      </c>
      <c r="D2460">
        <v>67</v>
      </c>
      <c r="E2460" t="s">
        <v>21</v>
      </c>
      <c r="F2460" t="s">
        <v>22</v>
      </c>
      <c r="G2460" s="9">
        <v>45597</v>
      </c>
      <c r="H2460" s="9">
        <v>45020</v>
      </c>
      <c r="I2460">
        <v>33</v>
      </c>
      <c r="J2460" t="s">
        <v>26</v>
      </c>
      <c r="K2460">
        <v>1</v>
      </c>
      <c r="L2460">
        <v>8</v>
      </c>
      <c r="M2460" s="11">
        <v>7589.01</v>
      </c>
      <c r="N2460" s="12">
        <v>4481.57</v>
      </c>
      <c r="O2460" s="12">
        <v>4222.8100000000004</v>
      </c>
    </row>
    <row r="2461" spans="1:15">
      <c r="A2461" t="s">
        <v>2635</v>
      </c>
      <c r="B2461" t="s">
        <v>63</v>
      </c>
      <c r="C2461" s="9">
        <v>16437</v>
      </c>
      <c r="D2461">
        <v>81</v>
      </c>
      <c r="E2461" t="s">
        <v>21</v>
      </c>
      <c r="F2461" t="s">
        <v>18</v>
      </c>
      <c r="G2461" s="9">
        <v>44966</v>
      </c>
      <c r="H2461" s="9">
        <v>45809</v>
      </c>
      <c r="I2461">
        <v>1</v>
      </c>
      <c r="J2461" t="s">
        <v>35</v>
      </c>
      <c r="K2461">
        <v>0</v>
      </c>
      <c r="L2461">
        <v>1</v>
      </c>
      <c r="M2461" s="11">
        <v>11620.02</v>
      </c>
      <c r="N2461" s="12">
        <v>1444.44</v>
      </c>
      <c r="O2461" s="12">
        <v>19398.7</v>
      </c>
    </row>
    <row r="2462" spans="1:15">
      <c r="A2462" t="s">
        <v>2636</v>
      </c>
      <c r="B2462" t="s">
        <v>46</v>
      </c>
      <c r="C2462" s="9">
        <v>26299</v>
      </c>
      <c r="D2462">
        <v>54</v>
      </c>
      <c r="E2462" t="s">
        <v>17</v>
      </c>
      <c r="F2462" t="s">
        <v>25</v>
      </c>
      <c r="G2462" s="9">
        <v>45593</v>
      </c>
      <c r="H2462" s="9">
        <v>45505</v>
      </c>
      <c r="I2462">
        <v>20</v>
      </c>
      <c r="J2462" t="s">
        <v>26</v>
      </c>
      <c r="K2462">
        <v>14</v>
      </c>
      <c r="L2462">
        <v>4</v>
      </c>
      <c r="M2462" s="11">
        <v>16105.34</v>
      </c>
      <c r="N2462" s="12">
        <v>3902.79</v>
      </c>
      <c r="O2462" s="12">
        <v>14708.45</v>
      </c>
    </row>
    <row r="2463" spans="1:15">
      <c r="A2463" t="s">
        <v>2637</v>
      </c>
      <c r="B2463" t="s">
        <v>55</v>
      </c>
      <c r="C2463" s="9">
        <v>44196</v>
      </c>
      <c r="D2463">
        <v>5</v>
      </c>
      <c r="E2463" t="s">
        <v>17</v>
      </c>
      <c r="F2463" t="s">
        <v>18</v>
      </c>
      <c r="G2463" s="9">
        <v>45474</v>
      </c>
      <c r="H2463" s="9">
        <v>45558</v>
      </c>
      <c r="I2463">
        <v>33</v>
      </c>
      <c r="J2463" t="s">
        <v>32</v>
      </c>
      <c r="K2463">
        <v>13</v>
      </c>
      <c r="L2463">
        <v>5</v>
      </c>
      <c r="M2463" s="11">
        <v>17187.689999999999</v>
      </c>
      <c r="N2463" s="12">
        <v>8290.7900000000009</v>
      </c>
      <c r="O2463" s="12">
        <v>14080.93</v>
      </c>
    </row>
    <row r="2464" spans="1:15">
      <c r="A2464" t="s">
        <v>2638</v>
      </c>
      <c r="B2464" t="s">
        <v>427</v>
      </c>
      <c r="C2464" s="9">
        <v>33604</v>
      </c>
      <c r="D2464">
        <v>34</v>
      </c>
      <c r="E2464" t="s">
        <v>17</v>
      </c>
      <c r="F2464" t="s">
        <v>18</v>
      </c>
      <c r="G2464" s="9">
        <v>45307</v>
      </c>
      <c r="H2464" s="9">
        <v>45748</v>
      </c>
      <c r="I2464">
        <v>11</v>
      </c>
      <c r="J2464" t="s">
        <v>32</v>
      </c>
      <c r="K2464">
        <v>7</v>
      </c>
      <c r="L2464">
        <v>3</v>
      </c>
      <c r="M2464" s="11">
        <v>15718.36</v>
      </c>
      <c r="N2464" s="12">
        <v>8413.56</v>
      </c>
      <c r="O2464" s="12">
        <v>5266.58</v>
      </c>
    </row>
    <row r="2465" spans="1:15">
      <c r="A2465" t="s">
        <v>2639</v>
      </c>
      <c r="B2465" t="s">
        <v>207</v>
      </c>
      <c r="C2465" s="9">
        <v>38352</v>
      </c>
      <c r="D2465">
        <v>21</v>
      </c>
      <c r="E2465" t="s">
        <v>17</v>
      </c>
      <c r="F2465" t="s">
        <v>25</v>
      </c>
      <c r="G2465" s="9">
        <v>45442</v>
      </c>
      <c r="H2465" s="9">
        <v>45511</v>
      </c>
      <c r="I2465">
        <v>34</v>
      </c>
      <c r="J2465" t="s">
        <v>32</v>
      </c>
      <c r="K2465">
        <v>7</v>
      </c>
      <c r="L2465">
        <v>6</v>
      </c>
      <c r="M2465" s="11">
        <v>25306.28</v>
      </c>
      <c r="N2465" s="12">
        <v>2520.0300000000002</v>
      </c>
      <c r="O2465" s="12">
        <v>6198.81</v>
      </c>
    </row>
    <row r="2466" spans="1:15">
      <c r="A2466" t="s">
        <v>2640</v>
      </c>
      <c r="B2466" t="s">
        <v>189</v>
      </c>
      <c r="C2466" s="9">
        <v>30682</v>
      </c>
      <c r="D2466">
        <v>42</v>
      </c>
      <c r="E2466" t="s">
        <v>17</v>
      </c>
      <c r="F2466" t="s">
        <v>5184</v>
      </c>
      <c r="G2466" s="9">
        <v>45423</v>
      </c>
      <c r="H2466" s="9">
        <v>45773</v>
      </c>
      <c r="I2466">
        <v>24</v>
      </c>
      <c r="J2466" t="s">
        <v>32</v>
      </c>
      <c r="K2466">
        <v>14</v>
      </c>
      <c r="L2466">
        <v>6</v>
      </c>
      <c r="M2466" s="11">
        <v>468.22</v>
      </c>
      <c r="N2466" s="12">
        <v>2865.2</v>
      </c>
      <c r="O2466" s="12">
        <v>13326.37</v>
      </c>
    </row>
    <row r="2467" spans="1:15">
      <c r="A2467" t="s">
        <v>2641</v>
      </c>
      <c r="B2467" t="s">
        <v>550</v>
      </c>
      <c r="C2467" s="9">
        <v>40909</v>
      </c>
      <c r="D2467">
        <v>14</v>
      </c>
      <c r="E2467" t="s">
        <v>21</v>
      </c>
      <c r="F2467" t="s">
        <v>49</v>
      </c>
      <c r="G2467" s="9">
        <v>45207</v>
      </c>
      <c r="H2467" s="9">
        <v>45089</v>
      </c>
      <c r="I2467">
        <v>9</v>
      </c>
      <c r="J2467" t="s">
        <v>26</v>
      </c>
      <c r="K2467">
        <v>10</v>
      </c>
      <c r="L2467">
        <v>6</v>
      </c>
      <c r="M2467" s="11">
        <v>0</v>
      </c>
      <c r="N2467" s="12">
        <v>12824.57</v>
      </c>
      <c r="O2467" s="12">
        <v>11830.39</v>
      </c>
    </row>
    <row r="2468" spans="1:15">
      <c r="A2468" t="s">
        <v>2642</v>
      </c>
      <c r="B2468" t="s">
        <v>145</v>
      </c>
      <c r="C2468" s="9">
        <v>14976</v>
      </c>
      <c r="D2468">
        <f ca="1">DATEDIF(C2419,TODAY(),"Y")</f>
        <v>1</v>
      </c>
      <c r="E2468" t="s">
        <v>21</v>
      </c>
      <c r="F2468" t="s">
        <v>5184</v>
      </c>
      <c r="G2468" s="9">
        <v>45277</v>
      </c>
      <c r="H2468" s="9">
        <v>45769</v>
      </c>
      <c r="I2468">
        <v>26</v>
      </c>
      <c r="J2468" t="s">
        <v>32</v>
      </c>
      <c r="K2468">
        <v>1</v>
      </c>
      <c r="L2468">
        <v>6</v>
      </c>
      <c r="M2468" s="11">
        <v>22369.93</v>
      </c>
      <c r="N2468" s="12">
        <v>2504.02</v>
      </c>
      <c r="O2468" s="12">
        <v>12910.4</v>
      </c>
    </row>
    <row r="2469" spans="1:15">
      <c r="A2469" t="s">
        <v>2643</v>
      </c>
      <c r="B2469" t="s">
        <v>596</v>
      </c>
      <c r="C2469" s="9">
        <v>24473</v>
      </c>
      <c r="D2469">
        <v>59</v>
      </c>
      <c r="E2469" t="s">
        <v>17</v>
      </c>
      <c r="F2469" t="s">
        <v>29</v>
      </c>
      <c r="G2469" s="9">
        <v>45260</v>
      </c>
      <c r="H2469" s="9">
        <v>45255</v>
      </c>
      <c r="I2469">
        <v>3</v>
      </c>
      <c r="J2469" t="s">
        <v>35</v>
      </c>
      <c r="K2469">
        <v>7</v>
      </c>
      <c r="L2469">
        <v>9</v>
      </c>
      <c r="M2469" s="11">
        <v>19379.37</v>
      </c>
      <c r="N2469" s="12">
        <v>686.12</v>
      </c>
      <c r="O2469" s="12">
        <v>17564.34</v>
      </c>
    </row>
    <row r="2470" spans="1:15">
      <c r="A2470" t="s">
        <v>2644</v>
      </c>
      <c r="B2470" t="s">
        <v>16</v>
      </c>
      <c r="C2470" s="9">
        <v>42005</v>
      </c>
      <c r="D2470">
        <v>11</v>
      </c>
      <c r="E2470" t="s">
        <v>17</v>
      </c>
      <c r="F2470" t="s">
        <v>74</v>
      </c>
      <c r="G2470" s="9">
        <v>45450</v>
      </c>
      <c r="H2470" s="9">
        <v>45708</v>
      </c>
      <c r="I2470">
        <v>20</v>
      </c>
      <c r="J2470" t="s">
        <v>35</v>
      </c>
      <c r="K2470">
        <v>1</v>
      </c>
      <c r="L2470">
        <v>9</v>
      </c>
      <c r="M2470" s="11">
        <v>27507.13</v>
      </c>
      <c r="N2470" s="12">
        <v>3672.31</v>
      </c>
      <c r="O2470" s="12">
        <v>3124.06</v>
      </c>
    </row>
    <row r="2471" spans="1:15">
      <c r="A2471" t="s">
        <v>2645</v>
      </c>
      <c r="B2471" t="s">
        <v>615</v>
      </c>
      <c r="C2471" s="9">
        <v>28490</v>
      </c>
      <c r="D2471">
        <v>48</v>
      </c>
      <c r="E2471" t="s">
        <v>17</v>
      </c>
      <c r="F2471" t="s">
        <v>5184</v>
      </c>
      <c r="G2471" s="9">
        <v>45209</v>
      </c>
      <c r="H2471" s="9">
        <v>45657</v>
      </c>
      <c r="I2471">
        <v>7</v>
      </c>
      <c r="J2471" t="s">
        <v>32</v>
      </c>
      <c r="K2471">
        <v>8</v>
      </c>
      <c r="L2471">
        <v>8</v>
      </c>
      <c r="M2471" s="11">
        <v>17434.64</v>
      </c>
      <c r="N2471" s="12">
        <v>8646.4</v>
      </c>
      <c r="O2471" s="12">
        <v>2238.3000000000002</v>
      </c>
    </row>
    <row r="2472" spans="1:15">
      <c r="A2472" t="s">
        <v>2646</v>
      </c>
      <c r="B2472" t="s">
        <v>159</v>
      </c>
      <c r="C2472" s="9">
        <v>31047</v>
      </c>
      <c r="D2472">
        <v>41</v>
      </c>
      <c r="E2472" t="s">
        <v>17</v>
      </c>
      <c r="F2472" t="s">
        <v>74</v>
      </c>
      <c r="G2472" s="9">
        <v>45654</v>
      </c>
      <c r="H2472" s="9">
        <v>45181</v>
      </c>
      <c r="I2472">
        <v>31</v>
      </c>
      <c r="J2472" t="s">
        <v>35</v>
      </c>
      <c r="K2472">
        <v>2</v>
      </c>
      <c r="L2472">
        <v>1</v>
      </c>
      <c r="M2472" s="11">
        <v>18963.599999999999</v>
      </c>
      <c r="N2472" s="12">
        <v>108.37</v>
      </c>
      <c r="O2472" s="12">
        <v>11249.13</v>
      </c>
    </row>
    <row r="2473" spans="1:15">
      <c r="A2473" t="s">
        <v>2647</v>
      </c>
      <c r="B2473" t="s">
        <v>550</v>
      </c>
      <c r="C2473" s="9">
        <v>32508</v>
      </c>
      <c r="D2473">
        <f ca="1">DATEDIF(C2424,TODAY(),"Y")</f>
        <v>83</v>
      </c>
      <c r="E2473" t="s">
        <v>17</v>
      </c>
      <c r="F2473" t="s">
        <v>74</v>
      </c>
      <c r="G2473" s="9">
        <v>45245</v>
      </c>
      <c r="H2473" s="9">
        <v>45367</v>
      </c>
      <c r="I2473">
        <v>9</v>
      </c>
      <c r="J2473" t="s">
        <v>32</v>
      </c>
      <c r="K2473">
        <v>3</v>
      </c>
      <c r="L2473">
        <v>4</v>
      </c>
      <c r="M2473" s="11">
        <v>21000.89</v>
      </c>
      <c r="N2473" s="12">
        <v>14774.81</v>
      </c>
      <c r="O2473" s="12">
        <v>9953.1299999999992</v>
      </c>
    </row>
    <row r="2474" spans="1:15">
      <c r="A2474" t="s">
        <v>2648</v>
      </c>
      <c r="B2474" t="s">
        <v>514</v>
      </c>
      <c r="C2474" s="9">
        <v>16437</v>
      </c>
      <c r="D2474">
        <v>81</v>
      </c>
      <c r="E2474" t="s">
        <v>17</v>
      </c>
      <c r="F2474" t="s">
        <v>29</v>
      </c>
      <c r="G2474" s="9">
        <v>45340</v>
      </c>
      <c r="H2474" s="9">
        <v>45498</v>
      </c>
      <c r="I2474">
        <v>29</v>
      </c>
      <c r="J2474" t="s">
        <v>35</v>
      </c>
      <c r="K2474">
        <v>6</v>
      </c>
      <c r="L2474">
        <v>9</v>
      </c>
      <c r="M2474" s="11">
        <v>5179.12</v>
      </c>
      <c r="N2474" s="12">
        <v>3455.84</v>
      </c>
      <c r="O2474" s="12">
        <v>7997.68</v>
      </c>
    </row>
    <row r="2475" spans="1:15">
      <c r="A2475" t="s">
        <v>2649</v>
      </c>
      <c r="B2475" t="s">
        <v>539</v>
      </c>
      <c r="C2475" s="9">
        <v>29951</v>
      </c>
      <c r="D2475">
        <v>44</v>
      </c>
      <c r="E2475" t="s">
        <v>17</v>
      </c>
      <c r="F2475" t="s">
        <v>49</v>
      </c>
      <c r="G2475" s="9">
        <v>45520</v>
      </c>
      <c r="H2475" s="9">
        <v>45471</v>
      </c>
      <c r="I2475">
        <v>23</v>
      </c>
      <c r="J2475" t="s">
        <v>35</v>
      </c>
      <c r="K2475">
        <v>11</v>
      </c>
      <c r="L2475">
        <v>8</v>
      </c>
      <c r="M2475" s="11">
        <v>0</v>
      </c>
      <c r="N2475" s="12">
        <v>3571.76</v>
      </c>
      <c r="O2475" s="12">
        <v>18084.73</v>
      </c>
    </row>
    <row r="2476" spans="1:15">
      <c r="A2476" t="s">
        <v>2650</v>
      </c>
      <c r="B2476" t="s">
        <v>82</v>
      </c>
      <c r="C2476" s="9">
        <v>33604</v>
      </c>
      <c r="D2476">
        <v>34</v>
      </c>
      <c r="E2476" t="s">
        <v>17</v>
      </c>
      <c r="F2476" t="s">
        <v>18</v>
      </c>
      <c r="G2476" s="9">
        <v>44940</v>
      </c>
      <c r="H2476" s="9">
        <v>45778</v>
      </c>
      <c r="I2476">
        <v>4</v>
      </c>
      <c r="J2476" t="s">
        <v>32</v>
      </c>
      <c r="K2476">
        <v>3</v>
      </c>
      <c r="L2476">
        <v>1</v>
      </c>
      <c r="M2476" s="11">
        <v>8646.6299999999992</v>
      </c>
      <c r="N2476" s="12">
        <v>11079.26</v>
      </c>
      <c r="O2476" s="12">
        <v>11123.44</v>
      </c>
    </row>
    <row r="2477" spans="1:15">
      <c r="A2477" t="s">
        <v>2651</v>
      </c>
      <c r="B2477" t="s">
        <v>367</v>
      </c>
      <c r="C2477" s="9">
        <v>35430</v>
      </c>
      <c r="D2477">
        <v>29</v>
      </c>
      <c r="E2477" t="s">
        <v>21</v>
      </c>
      <c r="F2477" t="s">
        <v>25</v>
      </c>
      <c r="G2477" s="9">
        <v>44982</v>
      </c>
      <c r="H2477" s="9">
        <v>45047</v>
      </c>
      <c r="I2477">
        <v>29</v>
      </c>
      <c r="J2477" t="s">
        <v>35</v>
      </c>
      <c r="K2477">
        <v>3</v>
      </c>
      <c r="L2477">
        <v>2</v>
      </c>
      <c r="M2477" s="11">
        <v>12447.29</v>
      </c>
      <c r="N2477" s="12">
        <v>3722.69</v>
      </c>
      <c r="O2477" s="12">
        <v>11301.75</v>
      </c>
    </row>
    <row r="2478" spans="1:15">
      <c r="A2478" t="s">
        <v>2652</v>
      </c>
      <c r="B2478" t="s">
        <v>110</v>
      </c>
      <c r="C2478" s="9">
        <v>14246</v>
      </c>
      <c r="D2478">
        <v>87</v>
      </c>
      <c r="E2478" t="s">
        <v>17</v>
      </c>
      <c r="F2478" t="s">
        <v>49</v>
      </c>
      <c r="G2478" s="9">
        <v>45329</v>
      </c>
      <c r="H2478" s="9">
        <v>45749</v>
      </c>
      <c r="I2478">
        <v>30</v>
      </c>
      <c r="J2478" t="s">
        <v>32</v>
      </c>
      <c r="K2478">
        <v>2</v>
      </c>
      <c r="L2478">
        <v>6</v>
      </c>
      <c r="M2478" s="11">
        <v>72.8</v>
      </c>
      <c r="N2478" s="12">
        <v>5942.27</v>
      </c>
      <c r="O2478" s="12">
        <v>7265.23</v>
      </c>
    </row>
    <row r="2479" spans="1:15">
      <c r="A2479" t="s">
        <v>2653</v>
      </c>
      <c r="B2479" t="s">
        <v>145</v>
      </c>
      <c r="C2479" s="9">
        <v>35430</v>
      </c>
      <c r="D2479">
        <v>29</v>
      </c>
      <c r="E2479" t="s">
        <v>17</v>
      </c>
      <c r="F2479" t="s">
        <v>74</v>
      </c>
      <c r="G2479" s="9">
        <v>45268</v>
      </c>
      <c r="H2479" s="9">
        <v>45441</v>
      </c>
      <c r="I2479">
        <v>15</v>
      </c>
      <c r="J2479" t="s">
        <v>32</v>
      </c>
      <c r="K2479">
        <v>7</v>
      </c>
      <c r="L2479">
        <v>8</v>
      </c>
      <c r="M2479" s="11">
        <v>25228.76</v>
      </c>
      <c r="N2479" s="12">
        <v>8158.78</v>
      </c>
      <c r="O2479" s="12">
        <v>6815.84</v>
      </c>
    </row>
    <row r="2480" spans="1:15">
      <c r="A2480" t="s">
        <v>2654</v>
      </c>
      <c r="B2480" t="s">
        <v>242</v>
      </c>
      <c r="C2480" s="9">
        <v>17898</v>
      </c>
      <c r="D2480">
        <v>77</v>
      </c>
      <c r="E2480" t="s">
        <v>21</v>
      </c>
      <c r="F2480" t="s">
        <v>22</v>
      </c>
      <c r="G2480" s="9">
        <v>45125</v>
      </c>
      <c r="H2480" s="9">
        <v>45557</v>
      </c>
      <c r="I2480">
        <v>32</v>
      </c>
      <c r="J2480" t="s">
        <v>35</v>
      </c>
      <c r="K2480">
        <v>11</v>
      </c>
      <c r="L2480">
        <v>2</v>
      </c>
      <c r="M2480" s="11">
        <v>28581.53</v>
      </c>
      <c r="N2480" s="12">
        <v>328.09</v>
      </c>
      <c r="O2480" s="12">
        <v>19750.849999999999</v>
      </c>
    </row>
    <row r="2481" spans="1:15">
      <c r="A2481" t="s">
        <v>2655</v>
      </c>
      <c r="B2481" t="s">
        <v>20</v>
      </c>
      <c r="C2481" s="9">
        <v>44196</v>
      </c>
      <c r="D2481">
        <v>5</v>
      </c>
      <c r="E2481" t="s">
        <v>17</v>
      </c>
      <c r="F2481" t="s">
        <v>29</v>
      </c>
      <c r="G2481" s="9">
        <v>45604</v>
      </c>
      <c r="H2481" s="9">
        <v>45476</v>
      </c>
      <c r="I2481">
        <v>17</v>
      </c>
      <c r="J2481" t="s">
        <v>26</v>
      </c>
      <c r="K2481">
        <v>6</v>
      </c>
      <c r="L2481">
        <v>9</v>
      </c>
      <c r="M2481" s="11">
        <v>1335.82</v>
      </c>
      <c r="N2481" s="12">
        <v>12559.39</v>
      </c>
      <c r="O2481" s="12">
        <v>12423.76</v>
      </c>
    </row>
    <row r="2482" spans="1:15">
      <c r="A2482" t="s">
        <v>2656</v>
      </c>
      <c r="B2482" t="s">
        <v>367</v>
      </c>
      <c r="C2482" s="9">
        <v>21916</v>
      </c>
      <c r="D2482">
        <v>66</v>
      </c>
      <c r="E2482" t="s">
        <v>17</v>
      </c>
      <c r="F2482" t="s">
        <v>5184</v>
      </c>
      <c r="G2482" s="9">
        <v>45218</v>
      </c>
      <c r="H2482" s="9">
        <v>45024</v>
      </c>
      <c r="I2482">
        <v>28</v>
      </c>
      <c r="J2482" t="s">
        <v>32</v>
      </c>
      <c r="K2482">
        <v>7</v>
      </c>
      <c r="L2482">
        <v>7</v>
      </c>
      <c r="M2482" s="11">
        <v>18873.61</v>
      </c>
      <c r="N2482" s="12">
        <v>7680.76</v>
      </c>
      <c r="O2482" s="12">
        <v>16484.830000000002</v>
      </c>
    </row>
    <row r="2483" spans="1:15">
      <c r="A2483" t="s">
        <v>2657</v>
      </c>
      <c r="B2483" t="s">
        <v>194</v>
      </c>
      <c r="C2483" s="9">
        <v>17168</v>
      </c>
      <c r="D2483">
        <v>79</v>
      </c>
      <c r="E2483" t="s">
        <v>21</v>
      </c>
      <c r="F2483" t="s">
        <v>29</v>
      </c>
      <c r="G2483" s="9">
        <v>45584</v>
      </c>
      <c r="H2483" s="9">
        <v>45798</v>
      </c>
      <c r="I2483">
        <v>2</v>
      </c>
      <c r="J2483" t="s">
        <v>35</v>
      </c>
      <c r="K2483">
        <v>5</v>
      </c>
      <c r="L2483">
        <v>7</v>
      </c>
      <c r="M2483" s="11">
        <v>28803.75</v>
      </c>
      <c r="N2483" s="12">
        <v>4693.78</v>
      </c>
      <c r="O2483" s="12">
        <v>8893.91</v>
      </c>
    </row>
    <row r="2484" spans="1:15">
      <c r="A2484" t="s">
        <v>2658</v>
      </c>
      <c r="B2484" t="s">
        <v>170</v>
      </c>
      <c r="C2484" s="9">
        <v>43831</v>
      </c>
      <c r="D2484">
        <v>6</v>
      </c>
      <c r="E2484" t="s">
        <v>17</v>
      </c>
      <c r="F2484" t="s">
        <v>5184</v>
      </c>
      <c r="G2484" s="9">
        <v>45367</v>
      </c>
      <c r="H2484" s="9">
        <v>45297</v>
      </c>
      <c r="I2484">
        <v>29</v>
      </c>
      <c r="J2484" t="s">
        <v>26</v>
      </c>
      <c r="K2484">
        <v>5</v>
      </c>
      <c r="L2484">
        <v>3</v>
      </c>
      <c r="M2484" s="11">
        <v>18010.47</v>
      </c>
      <c r="N2484" s="12">
        <v>5996.8</v>
      </c>
      <c r="O2484" s="12">
        <v>3756.27</v>
      </c>
    </row>
    <row r="2485" spans="1:15">
      <c r="A2485" t="s">
        <v>2659</v>
      </c>
      <c r="B2485" t="s">
        <v>170</v>
      </c>
      <c r="C2485" s="9">
        <v>27395</v>
      </c>
      <c r="D2485">
        <v>51</v>
      </c>
      <c r="E2485" t="s">
        <v>21</v>
      </c>
      <c r="F2485" t="s">
        <v>25</v>
      </c>
      <c r="G2485" s="9">
        <v>45004</v>
      </c>
      <c r="H2485" s="9">
        <v>45344</v>
      </c>
      <c r="I2485">
        <v>39</v>
      </c>
      <c r="J2485" t="s">
        <v>35</v>
      </c>
      <c r="K2485">
        <v>3</v>
      </c>
      <c r="L2485">
        <v>5</v>
      </c>
      <c r="M2485" s="11">
        <v>23837.51</v>
      </c>
      <c r="N2485" s="12">
        <v>837.37</v>
      </c>
      <c r="O2485" s="12">
        <v>6429.3</v>
      </c>
    </row>
    <row r="2486" spans="1:15">
      <c r="A2486" t="s">
        <v>2660</v>
      </c>
      <c r="B2486" t="s">
        <v>237</v>
      </c>
      <c r="C2486" s="9">
        <v>41274</v>
      </c>
      <c r="D2486">
        <v>13</v>
      </c>
      <c r="E2486" t="s">
        <v>5185</v>
      </c>
      <c r="F2486" t="s">
        <v>22</v>
      </c>
      <c r="G2486" s="9">
        <v>45038</v>
      </c>
      <c r="H2486" s="9">
        <v>45184</v>
      </c>
      <c r="I2486">
        <v>16</v>
      </c>
      <c r="J2486" t="s">
        <v>35</v>
      </c>
      <c r="K2486">
        <v>8</v>
      </c>
      <c r="L2486">
        <v>7</v>
      </c>
      <c r="M2486" s="11">
        <v>3102.93</v>
      </c>
      <c r="N2486" s="12">
        <v>10769.72</v>
      </c>
      <c r="O2486" s="12">
        <v>6857.16</v>
      </c>
    </row>
    <row r="2487" spans="1:15">
      <c r="A2487" t="s">
        <v>2661</v>
      </c>
      <c r="B2487" t="s">
        <v>209</v>
      </c>
      <c r="C2487" s="9">
        <v>19724</v>
      </c>
      <c r="D2487">
        <v>72</v>
      </c>
      <c r="E2487" t="s">
        <v>17</v>
      </c>
      <c r="F2487" t="s">
        <v>18</v>
      </c>
      <c r="G2487" s="9">
        <v>45461</v>
      </c>
      <c r="H2487" s="9">
        <v>45055</v>
      </c>
      <c r="I2487">
        <v>2</v>
      </c>
      <c r="J2487" t="s">
        <v>26</v>
      </c>
      <c r="K2487">
        <v>14</v>
      </c>
      <c r="L2487">
        <v>8</v>
      </c>
      <c r="M2487" s="11">
        <v>6967.92</v>
      </c>
      <c r="N2487" s="12">
        <v>8092.57</v>
      </c>
      <c r="O2487" s="12">
        <v>11254.74</v>
      </c>
    </row>
    <row r="2488" spans="1:15">
      <c r="A2488" t="s">
        <v>2662</v>
      </c>
      <c r="B2488" t="s">
        <v>348</v>
      </c>
      <c r="C2488" s="9">
        <v>40909</v>
      </c>
      <c r="D2488">
        <v>14</v>
      </c>
      <c r="E2488" t="s">
        <v>21</v>
      </c>
      <c r="F2488" t="s">
        <v>49</v>
      </c>
      <c r="G2488" s="9">
        <v>45301</v>
      </c>
      <c r="H2488" s="9">
        <v>45286</v>
      </c>
      <c r="I2488">
        <v>4</v>
      </c>
      <c r="J2488" t="s">
        <v>35</v>
      </c>
      <c r="K2488">
        <v>1</v>
      </c>
      <c r="L2488">
        <v>1</v>
      </c>
      <c r="M2488" s="11">
        <v>10044.91</v>
      </c>
      <c r="N2488" s="12">
        <v>13709.87</v>
      </c>
      <c r="O2488" s="12">
        <v>3007.78</v>
      </c>
    </row>
    <row r="2489" spans="1:15">
      <c r="A2489" t="s">
        <v>2663</v>
      </c>
      <c r="B2489" t="s">
        <v>514</v>
      </c>
      <c r="C2489" s="9">
        <v>38717</v>
      </c>
      <c r="D2489">
        <v>20</v>
      </c>
      <c r="E2489" t="s">
        <v>21</v>
      </c>
      <c r="F2489" t="s">
        <v>22</v>
      </c>
      <c r="G2489" s="9">
        <v>45042</v>
      </c>
      <c r="H2489" s="9">
        <v>45083</v>
      </c>
      <c r="I2489">
        <v>19</v>
      </c>
      <c r="J2489" t="s">
        <v>32</v>
      </c>
      <c r="K2489">
        <v>10</v>
      </c>
      <c r="L2489">
        <v>0</v>
      </c>
      <c r="M2489" s="11">
        <v>29425.58</v>
      </c>
      <c r="N2489" s="12">
        <v>6962.8</v>
      </c>
      <c r="O2489" s="12">
        <v>7679.06</v>
      </c>
    </row>
    <row r="2490" spans="1:15">
      <c r="A2490" t="s">
        <v>2664</v>
      </c>
      <c r="B2490" t="s">
        <v>41</v>
      </c>
      <c r="C2490" s="9">
        <v>33604</v>
      </c>
      <c r="D2490">
        <f ca="1">DATEDIF(C2441,TODAY(),"Y")</f>
        <v>32</v>
      </c>
      <c r="E2490" t="s">
        <v>17</v>
      </c>
      <c r="F2490" t="s">
        <v>49</v>
      </c>
      <c r="G2490" s="9">
        <v>45068</v>
      </c>
      <c r="H2490" s="9">
        <v>45584</v>
      </c>
      <c r="I2490">
        <v>31</v>
      </c>
      <c r="J2490" t="s">
        <v>32</v>
      </c>
      <c r="K2490">
        <v>4</v>
      </c>
      <c r="L2490">
        <v>4</v>
      </c>
      <c r="M2490" s="11">
        <v>23344.23</v>
      </c>
      <c r="N2490" s="12">
        <v>12426.02</v>
      </c>
      <c r="O2490" s="12">
        <v>1921.6</v>
      </c>
    </row>
    <row r="2491" spans="1:15">
      <c r="A2491" t="s">
        <v>2665</v>
      </c>
      <c r="B2491" t="s">
        <v>112</v>
      </c>
      <c r="C2491" s="9">
        <v>22281</v>
      </c>
      <c r="D2491">
        <v>65</v>
      </c>
      <c r="E2491" t="s">
        <v>21</v>
      </c>
      <c r="F2491" t="s">
        <v>49</v>
      </c>
      <c r="G2491" s="9">
        <v>45123</v>
      </c>
      <c r="H2491" s="9">
        <v>44984</v>
      </c>
      <c r="I2491">
        <v>7</v>
      </c>
      <c r="J2491" t="s">
        <v>32</v>
      </c>
      <c r="K2491">
        <v>8</v>
      </c>
      <c r="L2491">
        <v>9</v>
      </c>
      <c r="M2491" s="11">
        <v>26512.720000000001</v>
      </c>
      <c r="N2491" s="12">
        <v>2824.93</v>
      </c>
      <c r="O2491" s="12">
        <v>9880.26</v>
      </c>
    </row>
    <row r="2492" spans="1:15">
      <c r="A2492" t="s">
        <v>2666</v>
      </c>
      <c r="B2492" t="s">
        <v>387</v>
      </c>
      <c r="C2492" s="9">
        <v>13150</v>
      </c>
      <c r="D2492">
        <v>90</v>
      </c>
      <c r="E2492" t="s">
        <v>21</v>
      </c>
      <c r="F2492" t="s">
        <v>18</v>
      </c>
      <c r="G2492" s="9">
        <v>45466</v>
      </c>
      <c r="H2492" s="9">
        <v>45509</v>
      </c>
      <c r="I2492">
        <v>39</v>
      </c>
      <c r="J2492" t="s">
        <v>35</v>
      </c>
      <c r="K2492">
        <v>14</v>
      </c>
      <c r="L2492">
        <v>2</v>
      </c>
      <c r="M2492" s="11">
        <v>14355.83</v>
      </c>
      <c r="N2492" s="12">
        <v>847.64</v>
      </c>
      <c r="O2492" s="12">
        <v>18943.23</v>
      </c>
    </row>
    <row r="2493" spans="1:15">
      <c r="A2493" t="s">
        <v>2667</v>
      </c>
      <c r="B2493" t="s">
        <v>300</v>
      </c>
      <c r="C2493" s="9">
        <v>45657</v>
      </c>
      <c r="D2493">
        <v>1</v>
      </c>
      <c r="E2493" t="s">
        <v>17</v>
      </c>
      <c r="F2493" t="s">
        <v>18</v>
      </c>
      <c r="G2493" s="9">
        <v>45225</v>
      </c>
      <c r="H2493" s="9">
        <v>45483</v>
      </c>
      <c r="I2493">
        <v>23</v>
      </c>
      <c r="J2493" t="s">
        <v>32</v>
      </c>
      <c r="K2493">
        <v>4</v>
      </c>
      <c r="L2493">
        <v>5</v>
      </c>
      <c r="M2493" s="11">
        <v>21362.560000000001</v>
      </c>
      <c r="N2493" s="12">
        <v>14226.6</v>
      </c>
      <c r="O2493" s="12">
        <v>6712.57</v>
      </c>
    </row>
    <row r="2494" spans="1:15">
      <c r="A2494" t="s">
        <v>2668</v>
      </c>
      <c r="B2494" t="s">
        <v>261</v>
      </c>
      <c r="C2494" s="9">
        <v>33604</v>
      </c>
      <c r="D2494">
        <v>34</v>
      </c>
      <c r="E2494" t="s">
        <v>21</v>
      </c>
      <c r="F2494" t="s">
        <v>5184</v>
      </c>
      <c r="G2494" s="9">
        <v>45002</v>
      </c>
      <c r="H2494" s="9">
        <v>45651</v>
      </c>
      <c r="I2494">
        <v>29</v>
      </c>
      <c r="J2494" t="s">
        <v>32</v>
      </c>
      <c r="K2494">
        <v>8</v>
      </c>
      <c r="L2494">
        <v>0</v>
      </c>
      <c r="M2494" s="11">
        <v>21812.73</v>
      </c>
      <c r="N2494" s="12">
        <v>3854.37</v>
      </c>
      <c r="O2494" s="12">
        <v>899.22</v>
      </c>
    </row>
    <row r="2495" spans="1:15">
      <c r="A2495" t="s">
        <v>2669</v>
      </c>
      <c r="B2495" t="s">
        <v>596</v>
      </c>
      <c r="C2495" s="9">
        <v>16437</v>
      </c>
      <c r="D2495">
        <v>81</v>
      </c>
      <c r="E2495" t="s">
        <v>21</v>
      </c>
      <c r="F2495" t="s">
        <v>18</v>
      </c>
      <c r="G2495" s="9">
        <v>45456</v>
      </c>
      <c r="H2495" s="9">
        <v>45614</v>
      </c>
      <c r="I2495">
        <v>39</v>
      </c>
      <c r="J2495" t="s">
        <v>32</v>
      </c>
      <c r="K2495">
        <v>2</v>
      </c>
      <c r="L2495">
        <v>3</v>
      </c>
      <c r="M2495" s="11">
        <v>16852.150000000001</v>
      </c>
      <c r="N2495" s="12">
        <v>12503.76</v>
      </c>
      <c r="O2495" s="12">
        <v>12136.09</v>
      </c>
    </row>
    <row r="2496" spans="1:15">
      <c r="A2496" t="s">
        <v>2670</v>
      </c>
      <c r="B2496" t="s">
        <v>615</v>
      </c>
      <c r="C2496" s="9">
        <v>17898</v>
      </c>
      <c r="D2496">
        <v>77</v>
      </c>
      <c r="E2496" t="s">
        <v>17</v>
      </c>
      <c r="F2496" t="s">
        <v>25</v>
      </c>
      <c r="G2496" s="9">
        <v>45026</v>
      </c>
      <c r="H2496" s="9">
        <v>45580</v>
      </c>
      <c r="I2496">
        <v>24</v>
      </c>
      <c r="J2496" t="s">
        <v>32</v>
      </c>
      <c r="K2496">
        <v>0</v>
      </c>
      <c r="L2496">
        <v>5</v>
      </c>
      <c r="M2496" s="11">
        <v>26278.06</v>
      </c>
      <c r="N2496" s="12">
        <v>3860.01</v>
      </c>
      <c r="O2496" s="12">
        <v>12658.07</v>
      </c>
    </row>
    <row r="2497" spans="1:15">
      <c r="A2497" t="s">
        <v>2671</v>
      </c>
      <c r="B2497" t="s">
        <v>615</v>
      </c>
      <c r="C2497" s="9">
        <v>39083</v>
      </c>
      <c r="D2497">
        <v>19</v>
      </c>
      <c r="E2497" t="s">
        <v>17</v>
      </c>
      <c r="F2497" t="s">
        <v>29</v>
      </c>
      <c r="G2497" s="9">
        <v>45405</v>
      </c>
      <c r="H2497" s="9">
        <v>45003</v>
      </c>
      <c r="I2497">
        <v>9</v>
      </c>
      <c r="J2497" t="s">
        <v>32</v>
      </c>
      <c r="K2497">
        <v>13</v>
      </c>
      <c r="L2497">
        <v>1</v>
      </c>
      <c r="M2497" s="11">
        <v>0</v>
      </c>
      <c r="N2497" s="12">
        <v>2337.63</v>
      </c>
      <c r="O2497" s="12">
        <v>9539.35</v>
      </c>
    </row>
    <row r="2498" spans="1:15">
      <c r="A2498" t="s">
        <v>2672</v>
      </c>
      <c r="B2498" t="s">
        <v>300</v>
      </c>
      <c r="C2498" s="9">
        <f>DATE(2026-D2458,1,1)</f>
        <v>37987</v>
      </c>
      <c r="D2498">
        <v>81</v>
      </c>
      <c r="E2498" t="s">
        <v>17</v>
      </c>
      <c r="F2498" t="s">
        <v>74</v>
      </c>
      <c r="G2498" s="9">
        <v>45394</v>
      </c>
      <c r="H2498" s="9">
        <v>45085</v>
      </c>
      <c r="I2498">
        <v>37</v>
      </c>
      <c r="J2498" t="s">
        <v>32</v>
      </c>
      <c r="K2498">
        <v>1</v>
      </c>
      <c r="L2498">
        <v>7</v>
      </c>
      <c r="M2498" s="11">
        <v>1254.3499999999999</v>
      </c>
      <c r="N2498" s="12">
        <v>10987.96</v>
      </c>
      <c r="O2498" s="12">
        <v>7876.88</v>
      </c>
    </row>
    <row r="2499" spans="1:15">
      <c r="A2499" t="s">
        <v>2673</v>
      </c>
      <c r="B2499" t="s">
        <v>137</v>
      </c>
      <c r="C2499" s="9">
        <v>42735</v>
      </c>
      <c r="D2499">
        <v>9</v>
      </c>
      <c r="E2499" t="s">
        <v>17</v>
      </c>
      <c r="F2499" t="s">
        <v>18</v>
      </c>
      <c r="G2499" s="9">
        <v>45562</v>
      </c>
      <c r="H2499" s="9">
        <v>45012</v>
      </c>
      <c r="I2499">
        <v>20</v>
      </c>
      <c r="J2499" t="s">
        <v>26</v>
      </c>
      <c r="K2499">
        <v>1</v>
      </c>
      <c r="L2499">
        <v>3</v>
      </c>
      <c r="M2499" s="11">
        <v>8773.7199999999993</v>
      </c>
      <c r="N2499" s="12">
        <v>11676.09</v>
      </c>
      <c r="O2499" s="12">
        <v>17842.560000000001</v>
      </c>
    </row>
    <row r="2500" spans="1:15">
      <c r="A2500" t="s">
        <v>2674</v>
      </c>
      <c r="B2500" t="s">
        <v>89</v>
      </c>
      <c r="C2500" s="9">
        <v>37256</v>
      </c>
      <c r="D2500">
        <v>24</v>
      </c>
      <c r="E2500" t="s">
        <v>21</v>
      </c>
      <c r="F2500" t="s">
        <v>29</v>
      </c>
      <c r="G2500" s="9">
        <v>45218</v>
      </c>
      <c r="H2500" s="9">
        <v>45249</v>
      </c>
      <c r="I2500">
        <v>11</v>
      </c>
      <c r="J2500" t="s">
        <v>26</v>
      </c>
      <c r="K2500">
        <v>9</v>
      </c>
      <c r="L2500">
        <v>1</v>
      </c>
      <c r="M2500" s="11">
        <v>2192.29</v>
      </c>
      <c r="N2500" s="12">
        <v>12654.19</v>
      </c>
      <c r="O2500" s="12">
        <v>18762.59</v>
      </c>
    </row>
    <row r="2501" spans="1:15">
      <c r="A2501" t="s">
        <v>2675</v>
      </c>
      <c r="B2501" t="s">
        <v>157</v>
      </c>
      <c r="C2501" s="9">
        <v>22281</v>
      </c>
      <c r="D2501">
        <v>65</v>
      </c>
      <c r="E2501" t="s">
        <v>21</v>
      </c>
      <c r="F2501" t="s">
        <v>5184</v>
      </c>
      <c r="G2501" s="9">
        <v>45051</v>
      </c>
      <c r="H2501" s="9">
        <v>45236</v>
      </c>
      <c r="I2501">
        <v>31</v>
      </c>
      <c r="J2501" t="s">
        <v>26</v>
      </c>
      <c r="K2501">
        <v>11</v>
      </c>
      <c r="L2501">
        <v>0</v>
      </c>
      <c r="M2501" s="11">
        <v>1339.64</v>
      </c>
      <c r="N2501" s="12">
        <v>12973.03</v>
      </c>
      <c r="O2501" s="12">
        <v>13430.55</v>
      </c>
    </row>
    <row r="2502" spans="1:15">
      <c r="A2502" t="s">
        <v>2676</v>
      </c>
      <c r="B2502" t="s">
        <v>137</v>
      </c>
      <c r="C2502" s="9">
        <v>37256</v>
      </c>
      <c r="D2502">
        <v>24</v>
      </c>
      <c r="E2502" t="s">
        <v>21</v>
      </c>
      <c r="F2502" t="s">
        <v>18</v>
      </c>
      <c r="G2502" s="9">
        <v>45445</v>
      </c>
      <c r="H2502" s="9">
        <v>45457</v>
      </c>
      <c r="I2502">
        <v>14</v>
      </c>
      <c r="J2502" t="s">
        <v>32</v>
      </c>
      <c r="K2502">
        <v>13</v>
      </c>
      <c r="L2502">
        <v>7</v>
      </c>
      <c r="M2502" s="11">
        <v>12282.24</v>
      </c>
      <c r="N2502" s="12">
        <v>7246.97</v>
      </c>
      <c r="O2502" s="12">
        <v>9974.6200000000008</v>
      </c>
    </row>
    <row r="2503" spans="1:15">
      <c r="A2503" t="s">
        <v>2677</v>
      </c>
      <c r="B2503" t="s">
        <v>176</v>
      </c>
      <c r="C2503" s="9">
        <v>26664</v>
      </c>
      <c r="D2503">
        <v>53</v>
      </c>
      <c r="E2503" t="s">
        <v>17</v>
      </c>
      <c r="F2503" t="s">
        <v>74</v>
      </c>
      <c r="G2503" s="9">
        <v>44949</v>
      </c>
      <c r="H2503" s="9">
        <v>45211</v>
      </c>
      <c r="I2503">
        <v>3</v>
      </c>
      <c r="J2503" t="s">
        <v>32</v>
      </c>
      <c r="K2503">
        <v>11</v>
      </c>
      <c r="L2503">
        <v>9</v>
      </c>
      <c r="M2503" s="11">
        <v>5615.42</v>
      </c>
      <c r="N2503" s="12">
        <v>6003.25</v>
      </c>
      <c r="O2503" s="12">
        <v>1257.71</v>
      </c>
    </row>
    <row r="2504" spans="1:15">
      <c r="A2504" t="s">
        <v>2678</v>
      </c>
      <c r="B2504" t="s">
        <v>343</v>
      </c>
      <c r="C2504" s="9">
        <v>34334</v>
      </c>
      <c r="D2504">
        <v>32</v>
      </c>
      <c r="E2504" t="s">
        <v>17</v>
      </c>
      <c r="F2504" t="s">
        <v>22</v>
      </c>
      <c r="G2504" s="9">
        <v>45088</v>
      </c>
      <c r="H2504" s="9">
        <v>44969</v>
      </c>
      <c r="I2504">
        <v>24</v>
      </c>
      <c r="J2504" t="s">
        <v>32</v>
      </c>
      <c r="K2504">
        <v>7</v>
      </c>
      <c r="L2504">
        <v>0</v>
      </c>
      <c r="M2504" s="11">
        <v>23599.5</v>
      </c>
      <c r="N2504" s="12">
        <v>11264.53</v>
      </c>
      <c r="O2504" s="12">
        <v>5950.87</v>
      </c>
    </row>
    <row r="2505" spans="1:15">
      <c r="A2505" t="s">
        <v>2679</v>
      </c>
      <c r="B2505" t="s">
        <v>119</v>
      </c>
      <c r="C2505" s="9">
        <v>33239</v>
      </c>
      <c r="D2505">
        <v>35</v>
      </c>
      <c r="E2505" t="s">
        <v>17</v>
      </c>
      <c r="F2505" t="s">
        <v>18</v>
      </c>
      <c r="G2505" s="9">
        <v>45555</v>
      </c>
      <c r="H2505" s="9">
        <v>45821</v>
      </c>
      <c r="I2505">
        <v>5</v>
      </c>
      <c r="J2505" t="s">
        <v>32</v>
      </c>
      <c r="K2505">
        <v>10</v>
      </c>
      <c r="L2505">
        <v>6</v>
      </c>
      <c r="M2505" s="11">
        <v>17183.419999999998</v>
      </c>
      <c r="N2505" s="12">
        <v>8540.7900000000009</v>
      </c>
      <c r="O2505" s="12">
        <v>5630.34</v>
      </c>
    </row>
    <row r="2506" spans="1:15">
      <c r="A2506" t="s">
        <v>2680</v>
      </c>
      <c r="B2506" t="s">
        <v>348</v>
      </c>
      <c r="C2506" s="9">
        <v>11689</v>
      </c>
      <c r="D2506">
        <f ca="1">DATEDIF(C2457,TODAY(),"Y")</f>
        <v>61</v>
      </c>
      <c r="E2506" t="s">
        <v>17</v>
      </c>
      <c r="F2506" t="s">
        <v>29</v>
      </c>
      <c r="G2506" s="9">
        <v>45432</v>
      </c>
      <c r="H2506" s="9">
        <v>45812</v>
      </c>
      <c r="I2506">
        <v>30</v>
      </c>
      <c r="J2506" t="s">
        <v>32</v>
      </c>
      <c r="K2506">
        <v>1</v>
      </c>
      <c r="L2506">
        <v>6</v>
      </c>
      <c r="M2506" s="11">
        <v>10498.08</v>
      </c>
      <c r="N2506" s="12">
        <v>14479.26</v>
      </c>
      <c r="O2506" s="12">
        <v>1070.67</v>
      </c>
    </row>
    <row r="2507" spans="1:15">
      <c r="A2507" t="s">
        <v>2681</v>
      </c>
      <c r="B2507" t="s">
        <v>479</v>
      </c>
      <c r="C2507" s="9">
        <v>41274</v>
      </c>
      <c r="D2507">
        <v>13</v>
      </c>
      <c r="E2507" t="s">
        <v>17</v>
      </c>
      <c r="F2507" t="s">
        <v>5184</v>
      </c>
      <c r="G2507" s="9">
        <v>44947</v>
      </c>
      <c r="H2507" s="9">
        <v>45061</v>
      </c>
      <c r="I2507">
        <v>32</v>
      </c>
      <c r="J2507" t="s">
        <v>32</v>
      </c>
      <c r="K2507">
        <v>3</v>
      </c>
      <c r="L2507">
        <v>5</v>
      </c>
      <c r="M2507" s="11">
        <v>0</v>
      </c>
      <c r="N2507" s="12">
        <v>5637.54</v>
      </c>
      <c r="O2507" s="12">
        <v>16851.599999999999</v>
      </c>
    </row>
    <row r="2508" spans="1:15">
      <c r="A2508" t="s">
        <v>2682</v>
      </c>
      <c r="B2508" t="s">
        <v>184</v>
      </c>
      <c r="C2508" s="9">
        <f ca="1">DATE(2026-D2468,1,1)</f>
        <v>45658</v>
      </c>
      <c r="D2508">
        <v>64</v>
      </c>
      <c r="E2508" t="s">
        <v>21</v>
      </c>
      <c r="F2508" t="s">
        <v>5184</v>
      </c>
      <c r="G2508" s="9">
        <v>45390</v>
      </c>
      <c r="H2508" s="9">
        <v>45541</v>
      </c>
      <c r="I2508">
        <v>14</v>
      </c>
      <c r="J2508" t="s">
        <v>32</v>
      </c>
      <c r="K2508">
        <v>8</v>
      </c>
      <c r="L2508">
        <v>7</v>
      </c>
      <c r="M2508" s="11">
        <v>16675.71</v>
      </c>
      <c r="N2508" s="12">
        <v>643.13</v>
      </c>
      <c r="O2508" s="12">
        <v>17327.66</v>
      </c>
    </row>
    <row r="2509" spans="1:15">
      <c r="A2509" t="s">
        <v>2683</v>
      </c>
      <c r="B2509" t="s">
        <v>69</v>
      </c>
      <c r="C2509" s="9">
        <v>17168</v>
      </c>
      <c r="D2509">
        <v>79</v>
      </c>
      <c r="E2509" t="s">
        <v>21</v>
      </c>
      <c r="F2509" t="s">
        <v>25</v>
      </c>
      <c r="G2509" s="9">
        <v>45409</v>
      </c>
      <c r="H2509" s="9">
        <v>45576</v>
      </c>
      <c r="I2509">
        <v>23</v>
      </c>
      <c r="J2509" t="s">
        <v>26</v>
      </c>
      <c r="K2509">
        <v>4</v>
      </c>
      <c r="L2509">
        <v>9</v>
      </c>
      <c r="M2509" s="11">
        <v>12737.06</v>
      </c>
      <c r="N2509" s="12">
        <v>8839.57</v>
      </c>
      <c r="O2509" s="12">
        <v>18238.650000000001</v>
      </c>
    </row>
    <row r="2510" spans="1:15">
      <c r="A2510" t="s">
        <v>2684</v>
      </c>
      <c r="B2510" t="s">
        <v>31</v>
      </c>
      <c r="C2510" s="9">
        <v>26664</v>
      </c>
      <c r="D2510">
        <v>53</v>
      </c>
      <c r="E2510" t="s">
        <v>21</v>
      </c>
      <c r="F2510" t="s">
        <v>5184</v>
      </c>
      <c r="G2510" s="9">
        <v>45428</v>
      </c>
      <c r="H2510" s="9">
        <v>45331</v>
      </c>
      <c r="I2510">
        <v>4</v>
      </c>
      <c r="J2510" t="s">
        <v>32</v>
      </c>
      <c r="K2510">
        <v>13</v>
      </c>
      <c r="L2510">
        <v>0</v>
      </c>
      <c r="M2510" s="11">
        <v>1199.92</v>
      </c>
      <c r="N2510" s="12">
        <v>5302.04</v>
      </c>
      <c r="O2510" s="12">
        <v>14810.37</v>
      </c>
    </row>
    <row r="2511" spans="1:15">
      <c r="A2511" t="s">
        <v>2685</v>
      </c>
      <c r="B2511" t="s">
        <v>546</v>
      </c>
      <c r="C2511" s="9">
        <v>27395</v>
      </c>
      <c r="D2511">
        <v>51</v>
      </c>
      <c r="E2511" t="s">
        <v>21</v>
      </c>
      <c r="F2511" t="s">
        <v>22</v>
      </c>
      <c r="G2511" s="9">
        <v>45235</v>
      </c>
      <c r="H2511" s="9">
        <v>45420</v>
      </c>
      <c r="I2511">
        <v>21</v>
      </c>
      <c r="J2511" t="s">
        <v>26</v>
      </c>
      <c r="K2511">
        <v>7</v>
      </c>
      <c r="L2511">
        <v>0</v>
      </c>
      <c r="M2511" s="11">
        <v>19788.310000000001</v>
      </c>
      <c r="N2511" s="12">
        <v>5140.1099999999997</v>
      </c>
      <c r="O2511" s="12">
        <v>14181.33</v>
      </c>
    </row>
    <row r="2512" spans="1:15">
      <c r="A2512" t="s">
        <v>2686</v>
      </c>
      <c r="B2512" t="s">
        <v>306</v>
      </c>
      <c r="C2512" s="9">
        <v>45292</v>
      </c>
      <c r="D2512">
        <v>2</v>
      </c>
      <c r="E2512" t="s">
        <v>17</v>
      </c>
      <c r="F2512" t="s">
        <v>5184</v>
      </c>
      <c r="G2512" s="9">
        <v>45522</v>
      </c>
      <c r="H2512" s="9">
        <v>45149</v>
      </c>
      <c r="I2512">
        <v>22</v>
      </c>
      <c r="J2512" t="s">
        <v>32</v>
      </c>
      <c r="K2512">
        <v>1</v>
      </c>
      <c r="L2512">
        <v>0</v>
      </c>
      <c r="M2512" s="11">
        <v>14742.61</v>
      </c>
      <c r="N2512" s="12">
        <v>8467.7900000000009</v>
      </c>
      <c r="O2512" s="12">
        <v>9504.31</v>
      </c>
    </row>
    <row r="2513" spans="1:15">
      <c r="A2513" t="s">
        <v>2687</v>
      </c>
      <c r="B2513" t="s">
        <v>119</v>
      </c>
      <c r="C2513" s="9">
        <v>31412</v>
      </c>
      <c r="D2513">
        <v>40</v>
      </c>
      <c r="E2513" t="s">
        <v>21</v>
      </c>
      <c r="F2513" t="s">
        <v>5184</v>
      </c>
      <c r="G2513" s="9">
        <v>45479</v>
      </c>
      <c r="H2513" s="9">
        <v>45156</v>
      </c>
      <c r="I2513">
        <v>32</v>
      </c>
      <c r="J2513" t="s">
        <v>26</v>
      </c>
      <c r="K2513">
        <v>10</v>
      </c>
      <c r="L2513">
        <v>5</v>
      </c>
      <c r="M2513" s="11">
        <v>7945.44</v>
      </c>
      <c r="N2513" s="12">
        <v>13826.72</v>
      </c>
      <c r="O2513" s="12">
        <v>17133.7</v>
      </c>
    </row>
    <row r="2514" spans="1:15">
      <c r="A2514" t="s">
        <v>2688</v>
      </c>
      <c r="B2514" t="s">
        <v>63</v>
      </c>
      <c r="C2514" s="9">
        <v>44196</v>
      </c>
      <c r="D2514">
        <v>5</v>
      </c>
      <c r="E2514" t="s">
        <v>17</v>
      </c>
      <c r="F2514" t="s">
        <v>22</v>
      </c>
      <c r="G2514" s="9">
        <v>45129</v>
      </c>
      <c r="H2514" s="9">
        <v>45733</v>
      </c>
      <c r="I2514">
        <v>23</v>
      </c>
      <c r="J2514" t="s">
        <v>26</v>
      </c>
      <c r="K2514">
        <v>3</v>
      </c>
      <c r="L2514">
        <v>6</v>
      </c>
      <c r="M2514" s="11">
        <v>8357.66</v>
      </c>
      <c r="N2514" s="12">
        <v>4004.37</v>
      </c>
      <c r="O2514" s="12">
        <v>10153.700000000001</v>
      </c>
    </row>
    <row r="2515" spans="1:15">
      <c r="A2515" t="s">
        <v>2689</v>
      </c>
      <c r="B2515" t="s">
        <v>117</v>
      </c>
      <c r="C2515" s="9">
        <f>DATE(2026-D2475,1,1)</f>
        <v>29952</v>
      </c>
      <c r="D2515">
        <v>24</v>
      </c>
      <c r="E2515" t="s">
        <v>17</v>
      </c>
      <c r="F2515" t="s">
        <v>22</v>
      </c>
      <c r="G2515" s="9">
        <v>45342</v>
      </c>
      <c r="H2515" s="9">
        <v>45379</v>
      </c>
      <c r="I2515">
        <v>2</v>
      </c>
      <c r="J2515" t="s">
        <v>32</v>
      </c>
      <c r="K2515">
        <v>14</v>
      </c>
      <c r="L2515">
        <v>9</v>
      </c>
      <c r="M2515" s="11">
        <v>13309.93</v>
      </c>
      <c r="N2515" s="12">
        <v>5693.9</v>
      </c>
      <c r="O2515" s="12">
        <v>495.79</v>
      </c>
    </row>
    <row r="2516" spans="1:15">
      <c r="A2516" t="s">
        <v>2690</v>
      </c>
      <c r="B2516" t="s">
        <v>129</v>
      </c>
      <c r="C2516" s="9">
        <v>41639</v>
      </c>
      <c r="D2516">
        <v>12</v>
      </c>
      <c r="E2516" t="s">
        <v>21</v>
      </c>
      <c r="F2516" t="s">
        <v>74</v>
      </c>
      <c r="G2516" s="9">
        <v>45566</v>
      </c>
      <c r="H2516" s="9">
        <v>45233</v>
      </c>
      <c r="I2516">
        <v>35</v>
      </c>
      <c r="J2516" t="s">
        <v>26</v>
      </c>
      <c r="K2516">
        <v>1</v>
      </c>
      <c r="L2516">
        <v>8</v>
      </c>
      <c r="M2516" s="11">
        <v>24741.57</v>
      </c>
      <c r="N2516" s="12">
        <v>13368.74</v>
      </c>
      <c r="O2516" s="12">
        <v>11656.7</v>
      </c>
    </row>
    <row r="2517" spans="1:15">
      <c r="A2517" t="s">
        <v>2691</v>
      </c>
      <c r="B2517" t="s">
        <v>240</v>
      </c>
      <c r="C2517" s="9">
        <v>43466</v>
      </c>
      <c r="D2517">
        <v>7</v>
      </c>
      <c r="E2517" t="s">
        <v>21</v>
      </c>
      <c r="F2517" t="s">
        <v>29</v>
      </c>
      <c r="G2517" s="9">
        <v>45068</v>
      </c>
      <c r="H2517" s="9">
        <v>45755</v>
      </c>
      <c r="I2517">
        <v>32</v>
      </c>
      <c r="J2517" t="s">
        <v>35</v>
      </c>
      <c r="K2517">
        <v>0</v>
      </c>
      <c r="L2517">
        <v>9</v>
      </c>
      <c r="M2517" s="11">
        <v>0</v>
      </c>
      <c r="N2517" s="12">
        <v>13428.29</v>
      </c>
      <c r="O2517" s="12">
        <v>7748.2</v>
      </c>
    </row>
    <row r="2518" spans="1:15">
      <c r="A2518" t="s">
        <v>2692</v>
      </c>
      <c r="B2518" t="s">
        <v>159</v>
      </c>
      <c r="C2518" s="9">
        <v>38717</v>
      </c>
      <c r="D2518">
        <v>20</v>
      </c>
      <c r="E2518" t="s">
        <v>21</v>
      </c>
      <c r="F2518" t="s">
        <v>49</v>
      </c>
      <c r="G2518" s="9">
        <v>45541</v>
      </c>
      <c r="H2518" s="9">
        <v>45046</v>
      </c>
      <c r="I2518">
        <v>27</v>
      </c>
      <c r="J2518" t="s">
        <v>26</v>
      </c>
      <c r="K2518">
        <v>12</v>
      </c>
      <c r="L2518">
        <v>4</v>
      </c>
      <c r="M2518" s="11">
        <v>25107.22</v>
      </c>
      <c r="N2518" s="12">
        <v>3518.84</v>
      </c>
      <c r="O2518" s="12">
        <v>10378.09</v>
      </c>
    </row>
    <row r="2519" spans="1:15">
      <c r="A2519" t="s">
        <v>2693</v>
      </c>
      <c r="B2519" t="s">
        <v>41</v>
      </c>
      <c r="C2519" s="9">
        <v>21551</v>
      </c>
      <c r="D2519">
        <v>67</v>
      </c>
      <c r="E2519" t="s">
        <v>21</v>
      </c>
      <c r="F2519" t="s">
        <v>5184</v>
      </c>
      <c r="G2519" s="9">
        <v>45033</v>
      </c>
      <c r="H2519" s="9">
        <v>45538</v>
      </c>
      <c r="I2519">
        <v>22</v>
      </c>
      <c r="J2519" t="s">
        <v>32</v>
      </c>
      <c r="K2519">
        <v>0</v>
      </c>
      <c r="L2519">
        <v>0</v>
      </c>
      <c r="M2519" s="11">
        <v>12458.33</v>
      </c>
      <c r="N2519" s="12">
        <v>10594.96</v>
      </c>
      <c r="O2519" s="12">
        <v>8758.19</v>
      </c>
    </row>
    <row r="2520" spans="1:15">
      <c r="A2520" t="s">
        <v>2694</v>
      </c>
      <c r="B2520" t="s">
        <v>397</v>
      </c>
      <c r="C2520" s="9">
        <v>37256</v>
      </c>
      <c r="D2520">
        <v>24</v>
      </c>
      <c r="E2520" t="s">
        <v>17</v>
      </c>
      <c r="F2520" t="s">
        <v>49</v>
      </c>
      <c r="G2520" s="9">
        <v>45455</v>
      </c>
      <c r="H2520" s="9">
        <v>45789</v>
      </c>
      <c r="I2520">
        <v>21</v>
      </c>
      <c r="J2520" t="s">
        <v>26</v>
      </c>
      <c r="K2520">
        <v>9</v>
      </c>
      <c r="L2520">
        <v>8</v>
      </c>
      <c r="M2520" s="11">
        <v>24812.35</v>
      </c>
      <c r="N2520" s="12">
        <v>6233.41</v>
      </c>
      <c r="O2520" s="12">
        <v>9885.64</v>
      </c>
    </row>
    <row r="2521" spans="1:15">
      <c r="A2521" t="s">
        <v>2695</v>
      </c>
      <c r="B2521" t="s">
        <v>39</v>
      </c>
      <c r="C2521" s="9">
        <v>17533</v>
      </c>
      <c r="D2521">
        <v>78</v>
      </c>
      <c r="E2521" t="s">
        <v>21</v>
      </c>
      <c r="F2521" t="s">
        <v>49</v>
      </c>
      <c r="G2521" s="9">
        <v>45463</v>
      </c>
      <c r="H2521" s="9">
        <v>45251</v>
      </c>
      <c r="I2521">
        <v>27</v>
      </c>
      <c r="J2521" t="s">
        <v>35</v>
      </c>
      <c r="K2521">
        <v>3</v>
      </c>
      <c r="L2521">
        <v>4</v>
      </c>
      <c r="M2521" s="11">
        <v>27911.66</v>
      </c>
      <c r="N2521" s="12">
        <v>14040.01</v>
      </c>
      <c r="O2521" s="12">
        <v>2082.31</v>
      </c>
    </row>
    <row r="2522" spans="1:15">
      <c r="A2522" t="s">
        <v>2696</v>
      </c>
      <c r="B2522" t="s">
        <v>275</v>
      </c>
      <c r="C2522" s="9">
        <v>21551</v>
      </c>
      <c r="D2522">
        <v>67</v>
      </c>
      <c r="E2522" t="s">
        <v>17</v>
      </c>
      <c r="F2522" t="s">
        <v>25</v>
      </c>
      <c r="G2522" s="9">
        <v>45502</v>
      </c>
      <c r="H2522" s="9">
        <v>45086</v>
      </c>
      <c r="I2522">
        <v>17</v>
      </c>
      <c r="J2522" t="s">
        <v>32</v>
      </c>
      <c r="K2522">
        <v>8</v>
      </c>
      <c r="L2522">
        <v>5</v>
      </c>
      <c r="M2522" s="11">
        <v>127.5</v>
      </c>
      <c r="N2522" s="12">
        <v>10983.68</v>
      </c>
      <c r="O2522" s="12">
        <v>192.12</v>
      </c>
    </row>
    <row r="2523" spans="1:15">
      <c r="A2523" t="s">
        <v>2697</v>
      </c>
      <c r="B2523" t="s">
        <v>131</v>
      </c>
      <c r="C2523" s="9">
        <v>29951</v>
      </c>
      <c r="D2523">
        <v>44</v>
      </c>
      <c r="E2523" t="s">
        <v>17</v>
      </c>
      <c r="F2523" t="s">
        <v>18</v>
      </c>
      <c r="G2523" s="9">
        <v>45614</v>
      </c>
      <c r="H2523" s="9">
        <v>45166</v>
      </c>
      <c r="I2523">
        <v>0</v>
      </c>
      <c r="J2523" t="s">
        <v>26</v>
      </c>
      <c r="K2523">
        <v>2</v>
      </c>
      <c r="L2523">
        <v>8</v>
      </c>
      <c r="M2523" s="11">
        <v>1398.64</v>
      </c>
      <c r="N2523" s="12">
        <v>7415.3</v>
      </c>
      <c r="O2523" s="12">
        <v>6737.77</v>
      </c>
    </row>
    <row r="2524" spans="1:15">
      <c r="A2524" t="s">
        <v>2698</v>
      </c>
      <c r="B2524" t="s">
        <v>273</v>
      </c>
      <c r="C2524" s="9">
        <v>24473</v>
      </c>
      <c r="D2524">
        <v>59</v>
      </c>
      <c r="E2524" t="s">
        <v>17</v>
      </c>
      <c r="F2524" t="s">
        <v>5184</v>
      </c>
      <c r="G2524" s="9">
        <v>45217</v>
      </c>
      <c r="H2524" s="9">
        <v>45323</v>
      </c>
      <c r="I2524">
        <v>29</v>
      </c>
      <c r="J2524" t="s">
        <v>35</v>
      </c>
      <c r="K2524">
        <v>4</v>
      </c>
      <c r="L2524">
        <v>1</v>
      </c>
      <c r="M2524" s="11">
        <v>3587.59</v>
      </c>
      <c r="N2524" s="12">
        <v>12261.17</v>
      </c>
      <c r="O2524" s="12">
        <v>5016.2299999999996</v>
      </c>
    </row>
    <row r="2525" spans="1:15">
      <c r="A2525" t="s">
        <v>2699</v>
      </c>
      <c r="B2525" t="s">
        <v>275</v>
      </c>
      <c r="C2525" s="9">
        <v>42005</v>
      </c>
      <c r="D2525">
        <v>11</v>
      </c>
      <c r="E2525" t="s">
        <v>17</v>
      </c>
      <c r="F2525" t="s">
        <v>18</v>
      </c>
      <c r="G2525" s="9">
        <v>45237</v>
      </c>
      <c r="H2525" s="9">
        <v>45247</v>
      </c>
      <c r="I2525">
        <v>5</v>
      </c>
      <c r="J2525" t="s">
        <v>32</v>
      </c>
      <c r="K2525">
        <v>3</v>
      </c>
      <c r="L2525">
        <v>2</v>
      </c>
      <c r="M2525" s="11">
        <v>3224.67</v>
      </c>
      <c r="N2525" s="12">
        <v>14968.18</v>
      </c>
      <c r="O2525" s="12">
        <v>4926.16</v>
      </c>
    </row>
    <row r="2526" spans="1:15">
      <c r="A2526" t="s">
        <v>2700</v>
      </c>
      <c r="B2526" t="s">
        <v>207</v>
      </c>
      <c r="C2526" s="9">
        <v>34700</v>
      </c>
      <c r="D2526">
        <v>31</v>
      </c>
      <c r="E2526" t="s">
        <v>21</v>
      </c>
      <c r="F2526" t="s">
        <v>18</v>
      </c>
      <c r="G2526" s="9">
        <v>45594</v>
      </c>
      <c r="H2526" s="9">
        <v>45774</v>
      </c>
      <c r="I2526">
        <v>20</v>
      </c>
      <c r="J2526" t="s">
        <v>32</v>
      </c>
      <c r="K2526">
        <v>0</v>
      </c>
      <c r="L2526">
        <v>6</v>
      </c>
      <c r="M2526" s="11">
        <v>13361.58</v>
      </c>
      <c r="N2526" s="12">
        <v>6705.65</v>
      </c>
      <c r="O2526" s="12">
        <v>18735.61</v>
      </c>
    </row>
    <row r="2527" spans="1:15">
      <c r="A2527" t="s">
        <v>2701</v>
      </c>
      <c r="B2527" t="s">
        <v>108</v>
      </c>
      <c r="C2527" s="9">
        <f>DATE(2026-D2487,1,1)</f>
        <v>19725</v>
      </c>
      <c r="D2527">
        <v>91</v>
      </c>
      <c r="E2527" t="s">
        <v>21</v>
      </c>
      <c r="F2527" t="s">
        <v>25</v>
      </c>
      <c r="G2527" s="9">
        <v>45311</v>
      </c>
      <c r="H2527" s="9">
        <v>45116</v>
      </c>
      <c r="I2527">
        <v>13</v>
      </c>
      <c r="J2527" t="s">
        <v>32</v>
      </c>
      <c r="K2527">
        <v>7</v>
      </c>
      <c r="L2527">
        <v>2</v>
      </c>
      <c r="M2527" s="11">
        <v>22803.040000000001</v>
      </c>
      <c r="N2527" s="12">
        <v>5602.69</v>
      </c>
      <c r="O2527" s="12">
        <v>16361.6</v>
      </c>
    </row>
    <row r="2528" spans="1:15">
      <c r="A2528" t="s">
        <v>2702</v>
      </c>
      <c r="B2528" t="s">
        <v>127</v>
      </c>
      <c r="C2528" s="9">
        <v>41639</v>
      </c>
      <c r="D2528">
        <v>12</v>
      </c>
      <c r="E2528" t="s">
        <v>21</v>
      </c>
      <c r="F2528" t="s">
        <v>49</v>
      </c>
      <c r="G2528" s="9">
        <v>44979</v>
      </c>
      <c r="H2528" s="9">
        <v>45236</v>
      </c>
      <c r="I2528">
        <v>32</v>
      </c>
      <c r="J2528" t="s">
        <v>32</v>
      </c>
      <c r="K2528">
        <v>11</v>
      </c>
      <c r="L2528">
        <v>1</v>
      </c>
      <c r="M2528" s="11">
        <v>28820.52</v>
      </c>
      <c r="N2528" s="12">
        <v>9105.5400000000009</v>
      </c>
      <c r="O2528" s="12">
        <v>168.75</v>
      </c>
    </row>
    <row r="2529" spans="1:15">
      <c r="A2529" t="s">
        <v>2703</v>
      </c>
      <c r="B2529" t="s">
        <v>163</v>
      </c>
      <c r="C2529" s="9">
        <v>35065</v>
      </c>
      <c r="D2529">
        <v>30</v>
      </c>
      <c r="E2529" t="s">
        <v>21</v>
      </c>
      <c r="F2529" t="s">
        <v>22</v>
      </c>
      <c r="G2529" s="9">
        <v>45511</v>
      </c>
      <c r="H2529" s="9">
        <v>45176</v>
      </c>
      <c r="I2529">
        <v>22</v>
      </c>
      <c r="J2529" t="s">
        <v>35</v>
      </c>
      <c r="K2529">
        <v>8</v>
      </c>
      <c r="L2529">
        <v>6</v>
      </c>
      <c r="M2529" s="11">
        <v>12242.31</v>
      </c>
      <c r="N2529" s="12">
        <v>10246.24</v>
      </c>
      <c r="O2529" s="12">
        <v>75.260000000000005</v>
      </c>
    </row>
    <row r="2530" spans="1:15">
      <c r="A2530" t="s">
        <v>2704</v>
      </c>
      <c r="B2530" t="s">
        <v>20</v>
      </c>
      <c r="C2530" s="9">
        <v>17898</v>
      </c>
      <c r="D2530">
        <v>77</v>
      </c>
      <c r="E2530" t="s">
        <v>17</v>
      </c>
      <c r="F2530" t="s">
        <v>18</v>
      </c>
      <c r="G2530" s="9">
        <v>45109</v>
      </c>
      <c r="H2530" s="9">
        <v>45465</v>
      </c>
      <c r="I2530">
        <v>12</v>
      </c>
      <c r="J2530" t="s">
        <v>26</v>
      </c>
      <c r="K2530">
        <v>6</v>
      </c>
      <c r="L2530">
        <v>7</v>
      </c>
      <c r="M2530" s="11">
        <v>20498.669999999998</v>
      </c>
      <c r="N2530" s="12">
        <v>10566.73</v>
      </c>
      <c r="O2530" s="12">
        <v>15515.69</v>
      </c>
    </row>
    <row r="2531" spans="1:15">
      <c r="A2531" t="s">
        <v>2705</v>
      </c>
      <c r="B2531" t="s">
        <v>664</v>
      </c>
      <c r="C2531" s="9">
        <v>39083</v>
      </c>
      <c r="D2531">
        <v>19</v>
      </c>
      <c r="E2531" t="s">
        <v>17</v>
      </c>
      <c r="F2531" t="s">
        <v>22</v>
      </c>
      <c r="G2531" s="9">
        <v>45295</v>
      </c>
      <c r="H2531" s="9">
        <v>45628</v>
      </c>
      <c r="I2531">
        <v>5</v>
      </c>
      <c r="J2531" t="s">
        <v>35</v>
      </c>
      <c r="K2531">
        <v>13</v>
      </c>
      <c r="L2531">
        <v>8</v>
      </c>
      <c r="M2531" s="11">
        <v>18882.96</v>
      </c>
      <c r="N2531" s="12">
        <v>7103.74</v>
      </c>
      <c r="O2531" s="12">
        <v>19695.7</v>
      </c>
    </row>
    <row r="2532" spans="1:15">
      <c r="A2532" t="s">
        <v>2706</v>
      </c>
      <c r="B2532" t="s">
        <v>252</v>
      </c>
      <c r="C2532" s="9">
        <v>39813</v>
      </c>
      <c r="D2532">
        <v>17</v>
      </c>
      <c r="E2532" t="s">
        <v>21</v>
      </c>
      <c r="F2532" t="s">
        <v>22</v>
      </c>
      <c r="G2532" s="9">
        <v>45627</v>
      </c>
      <c r="H2532" s="9">
        <v>45433</v>
      </c>
      <c r="I2532">
        <v>31</v>
      </c>
      <c r="J2532" t="s">
        <v>32</v>
      </c>
      <c r="K2532">
        <v>7</v>
      </c>
      <c r="L2532">
        <v>1</v>
      </c>
      <c r="M2532" s="11">
        <v>11492.1</v>
      </c>
      <c r="N2532" s="12">
        <v>4984.3900000000003</v>
      </c>
      <c r="O2532" s="12">
        <v>9250.65</v>
      </c>
    </row>
    <row r="2533" spans="1:15">
      <c r="A2533" t="s">
        <v>2707</v>
      </c>
      <c r="B2533" t="s">
        <v>143</v>
      </c>
      <c r="C2533" s="9">
        <v>12419</v>
      </c>
      <c r="D2533">
        <v>92</v>
      </c>
      <c r="E2533" t="s">
        <v>21</v>
      </c>
      <c r="F2533" t="s">
        <v>25</v>
      </c>
      <c r="G2533" s="9">
        <v>44939</v>
      </c>
      <c r="H2533" s="9">
        <v>45321</v>
      </c>
      <c r="I2533">
        <v>22</v>
      </c>
      <c r="J2533" t="s">
        <v>26</v>
      </c>
      <c r="K2533">
        <v>9</v>
      </c>
      <c r="L2533">
        <v>1</v>
      </c>
      <c r="M2533" s="11">
        <v>21494.27</v>
      </c>
      <c r="N2533" s="12">
        <v>12328.87</v>
      </c>
      <c r="O2533" s="12">
        <v>8605.91</v>
      </c>
    </row>
    <row r="2534" spans="1:15">
      <c r="A2534" t="s">
        <v>2708</v>
      </c>
      <c r="B2534" t="s">
        <v>170</v>
      </c>
      <c r="C2534" s="9">
        <v>24473</v>
      </c>
      <c r="D2534">
        <v>59</v>
      </c>
      <c r="E2534" t="s">
        <v>21</v>
      </c>
      <c r="F2534" t="s">
        <v>25</v>
      </c>
      <c r="G2534" s="9">
        <v>45485</v>
      </c>
      <c r="H2534" s="9">
        <v>45579</v>
      </c>
      <c r="I2534">
        <v>16</v>
      </c>
      <c r="J2534" t="s">
        <v>35</v>
      </c>
      <c r="K2534">
        <v>4</v>
      </c>
      <c r="L2534">
        <v>6</v>
      </c>
      <c r="M2534" s="11">
        <v>17554.509999999998</v>
      </c>
      <c r="N2534" s="12">
        <v>14373.9</v>
      </c>
      <c r="O2534" s="12">
        <v>5444.07</v>
      </c>
    </row>
    <row r="2535" spans="1:15">
      <c r="A2535" t="s">
        <v>2709</v>
      </c>
      <c r="B2535" t="s">
        <v>80</v>
      </c>
      <c r="C2535" s="9">
        <v>23377</v>
      </c>
      <c r="D2535">
        <v>62</v>
      </c>
      <c r="E2535" t="s">
        <v>17</v>
      </c>
      <c r="F2535" t="s">
        <v>29</v>
      </c>
      <c r="G2535" s="9">
        <v>45086</v>
      </c>
      <c r="H2535" s="9">
        <v>45333</v>
      </c>
      <c r="I2535">
        <v>10</v>
      </c>
      <c r="J2535" t="s">
        <v>32</v>
      </c>
      <c r="K2535">
        <v>3</v>
      </c>
      <c r="L2535">
        <v>3</v>
      </c>
      <c r="M2535" s="11">
        <v>22678.16</v>
      </c>
      <c r="N2535" s="12">
        <v>12959.73</v>
      </c>
      <c r="O2535" s="12">
        <v>13299.34</v>
      </c>
    </row>
    <row r="2536" spans="1:15">
      <c r="A2536" t="s">
        <v>2710</v>
      </c>
      <c r="B2536" t="s">
        <v>300</v>
      </c>
      <c r="C2536" s="9">
        <v>44196</v>
      </c>
      <c r="D2536">
        <v>5</v>
      </c>
      <c r="E2536" t="s">
        <v>17</v>
      </c>
      <c r="F2536" t="s">
        <v>5184</v>
      </c>
      <c r="G2536" s="9">
        <v>45210</v>
      </c>
      <c r="H2536" s="9">
        <v>45108</v>
      </c>
      <c r="I2536">
        <v>9</v>
      </c>
      <c r="J2536" t="s">
        <v>32</v>
      </c>
      <c r="K2536">
        <v>3</v>
      </c>
      <c r="L2536">
        <v>4</v>
      </c>
      <c r="M2536" s="11">
        <v>5406.29</v>
      </c>
      <c r="N2536" s="12">
        <v>10235.31</v>
      </c>
      <c r="O2536" s="12">
        <v>9380.15</v>
      </c>
    </row>
    <row r="2537" spans="1:15">
      <c r="A2537" t="s">
        <v>2711</v>
      </c>
      <c r="B2537" t="s">
        <v>268</v>
      </c>
      <c r="C2537" s="9">
        <v>34700</v>
      </c>
      <c r="D2537">
        <v>31</v>
      </c>
      <c r="E2537" t="s">
        <v>17</v>
      </c>
      <c r="F2537" t="s">
        <v>18</v>
      </c>
      <c r="G2537" s="9">
        <v>45491</v>
      </c>
      <c r="H2537" s="9">
        <v>44948</v>
      </c>
      <c r="I2537">
        <v>12</v>
      </c>
      <c r="J2537" t="s">
        <v>26</v>
      </c>
      <c r="K2537">
        <v>0</v>
      </c>
      <c r="L2537">
        <v>0</v>
      </c>
      <c r="M2537" s="11">
        <v>10488.28</v>
      </c>
      <c r="N2537" s="12">
        <v>5402.25</v>
      </c>
      <c r="O2537" s="12">
        <v>3267.13</v>
      </c>
    </row>
    <row r="2538" spans="1:15">
      <c r="A2538" t="s">
        <v>2712</v>
      </c>
      <c r="B2538" t="s">
        <v>246</v>
      </c>
      <c r="C2538" s="9">
        <v>12419</v>
      </c>
      <c r="D2538">
        <v>92</v>
      </c>
      <c r="E2538" t="s">
        <v>17</v>
      </c>
      <c r="F2538" t="s">
        <v>49</v>
      </c>
      <c r="G2538" s="9">
        <v>45213</v>
      </c>
      <c r="H2538" s="9">
        <v>45602</v>
      </c>
      <c r="I2538">
        <v>20</v>
      </c>
      <c r="J2538" t="s">
        <v>26</v>
      </c>
      <c r="K2538">
        <v>9</v>
      </c>
      <c r="L2538">
        <v>5</v>
      </c>
      <c r="M2538" s="11">
        <v>19972.27</v>
      </c>
      <c r="N2538" s="12">
        <v>9337.25</v>
      </c>
      <c r="O2538" s="12">
        <v>9575.6299999999992</v>
      </c>
    </row>
    <row r="2539" spans="1:15">
      <c r="A2539" t="s">
        <v>2713</v>
      </c>
      <c r="B2539" t="s">
        <v>89</v>
      </c>
      <c r="C2539" s="9">
        <v>30682</v>
      </c>
      <c r="D2539">
        <v>42</v>
      </c>
      <c r="E2539" t="s">
        <v>21</v>
      </c>
      <c r="F2539" t="s">
        <v>74</v>
      </c>
      <c r="G2539" s="9">
        <v>44934</v>
      </c>
      <c r="H2539" s="9">
        <v>45510</v>
      </c>
      <c r="I2539">
        <v>37</v>
      </c>
      <c r="J2539" t="s">
        <v>32</v>
      </c>
      <c r="K2539">
        <v>2</v>
      </c>
      <c r="L2539">
        <v>9</v>
      </c>
      <c r="M2539" s="11">
        <v>3306.51</v>
      </c>
      <c r="N2539" s="12">
        <v>1517.4</v>
      </c>
      <c r="O2539" s="12">
        <v>7465.06</v>
      </c>
    </row>
    <row r="2540" spans="1:15">
      <c r="A2540" t="s">
        <v>2714</v>
      </c>
      <c r="B2540" t="s">
        <v>112</v>
      </c>
      <c r="C2540" s="9">
        <v>45657</v>
      </c>
      <c r="D2540">
        <v>1</v>
      </c>
      <c r="E2540" t="s">
        <v>21</v>
      </c>
      <c r="F2540" t="s">
        <v>25</v>
      </c>
      <c r="G2540" s="9">
        <v>44998</v>
      </c>
      <c r="H2540" s="9">
        <v>45521</v>
      </c>
      <c r="I2540">
        <v>1</v>
      </c>
      <c r="J2540" t="s">
        <v>32</v>
      </c>
      <c r="K2540">
        <v>0</v>
      </c>
      <c r="L2540">
        <v>7</v>
      </c>
      <c r="M2540" s="11">
        <v>22997.13</v>
      </c>
      <c r="N2540" s="12">
        <v>8008.69</v>
      </c>
      <c r="O2540" s="12">
        <v>17785.099999999999</v>
      </c>
    </row>
    <row r="2541" spans="1:15">
      <c r="A2541" t="s">
        <v>2715</v>
      </c>
      <c r="B2541" t="s">
        <v>215</v>
      </c>
      <c r="C2541" s="9">
        <v>24473</v>
      </c>
      <c r="D2541">
        <v>59</v>
      </c>
      <c r="E2541" t="s">
        <v>21</v>
      </c>
      <c r="F2541" t="s">
        <v>22</v>
      </c>
      <c r="G2541" s="9">
        <v>45024</v>
      </c>
      <c r="H2541" s="9">
        <v>45082</v>
      </c>
      <c r="I2541">
        <v>37</v>
      </c>
      <c r="J2541" t="s">
        <v>26</v>
      </c>
      <c r="K2541">
        <v>0</v>
      </c>
      <c r="L2541">
        <v>0</v>
      </c>
      <c r="M2541" s="11">
        <v>3569.91</v>
      </c>
      <c r="N2541" s="12">
        <v>11718.26</v>
      </c>
      <c r="O2541" s="12">
        <v>15408.89</v>
      </c>
    </row>
    <row r="2542" spans="1:15">
      <c r="A2542" t="s">
        <v>2716</v>
      </c>
      <c r="B2542" t="s">
        <v>292</v>
      </c>
      <c r="C2542" s="9">
        <v>37987</v>
      </c>
      <c r="D2542">
        <f ca="1">DATEDIF(C2493,TODAY(),"Y")</f>
        <v>1</v>
      </c>
      <c r="E2542" t="s">
        <v>21</v>
      </c>
      <c r="F2542" t="s">
        <v>29</v>
      </c>
      <c r="G2542" s="9">
        <v>45013</v>
      </c>
      <c r="H2542" s="9">
        <v>45755</v>
      </c>
      <c r="I2542">
        <v>20</v>
      </c>
      <c r="J2542" t="s">
        <v>32</v>
      </c>
      <c r="K2542">
        <v>10</v>
      </c>
      <c r="L2542">
        <v>1</v>
      </c>
      <c r="M2542" s="11">
        <v>9395.85</v>
      </c>
      <c r="N2542" s="12">
        <v>3765.89</v>
      </c>
      <c r="O2542" s="12">
        <v>13995.07</v>
      </c>
    </row>
    <row r="2543" spans="1:15">
      <c r="A2543" t="s">
        <v>2717</v>
      </c>
      <c r="B2543" t="s">
        <v>654</v>
      </c>
      <c r="C2543" s="9">
        <v>16072</v>
      </c>
      <c r="D2543">
        <v>82</v>
      </c>
      <c r="E2543" t="s">
        <v>17</v>
      </c>
      <c r="F2543" t="s">
        <v>74</v>
      </c>
      <c r="G2543" s="9">
        <v>45027</v>
      </c>
      <c r="H2543" s="9">
        <v>45794</v>
      </c>
      <c r="I2543">
        <v>2</v>
      </c>
      <c r="J2543" t="s">
        <v>26</v>
      </c>
      <c r="K2543">
        <v>6</v>
      </c>
      <c r="L2543">
        <v>6</v>
      </c>
      <c r="M2543" s="11">
        <v>6744.62</v>
      </c>
      <c r="N2543" s="12">
        <v>7523.01</v>
      </c>
      <c r="O2543" s="12">
        <v>6475.92</v>
      </c>
    </row>
    <row r="2544" spans="1:15">
      <c r="A2544" t="s">
        <v>2718</v>
      </c>
      <c r="B2544" t="s">
        <v>444</v>
      </c>
      <c r="C2544" s="9">
        <f>DATE(2026-D2504,1,1)</f>
        <v>34335</v>
      </c>
      <c r="D2544">
        <v>30</v>
      </c>
      <c r="E2544" t="s">
        <v>17</v>
      </c>
      <c r="F2544" t="s">
        <v>25</v>
      </c>
      <c r="G2544" s="9">
        <v>45207</v>
      </c>
      <c r="H2544" s="9">
        <v>45486</v>
      </c>
      <c r="I2544">
        <v>31</v>
      </c>
      <c r="J2544" t="s">
        <v>32</v>
      </c>
      <c r="K2544">
        <v>2</v>
      </c>
      <c r="L2544">
        <v>1</v>
      </c>
      <c r="M2544" s="11">
        <v>1360.06</v>
      </c>
      <c r="N2544" s="12">
        <v>1099.1099999999999</v>
      </c>
      <c r="O2544" s="12">
        <v>2706.27</v>
      </c>
    </row>
    <row r="2545" spans="1:15">
      <c r="A2545" t="s">
        <v>2719</v>
      </c>
      <c r="B2545" t="s">
        <v>46</v>
      </c>
      <c r="C2545" s="9">
        <v>44561</v>
      </c>
      <c r="D2545">
        <v>4</v>
      </c>
      <c r="E2545" t="s">
        <v>17</v>
      </c>
      <c r="F2545" t="s">
        <v>29</v>
      </c>
      <c r="G2545" s="9">
        <v>45215</v>
      </c>
      <c r="H2545" s="9">
        <v>45121</v>
      </c>
      <c r="I2545">
        <v>7</v>
      </c>
      <c r="J2545" t="s">
        <v>35</v>
      </c>
      <c r="K2545">
        <v>10</v>
      </c>
      <c r="L2545">
        <v>8</v>
      </c>
      <c r="M2545" s="11">
        <v>0</v>
      </c>
      <c r="N2545" s="12">
        <v>12577.45</v>
      </c>
      <c r="O2545" s="12">
        <v>17280.05</v>
      </c>
    </row>
    <row r="2546" spans="1:15">
      <c r="A2546" t="s">
        <v>2720</v>
      </c>
      <c r="B2546" t="s">
        <v>176</v>
      </c>
      <c r="C2546" s="9">
        <v>16072</v>
      </c>
      <c r="D2546">
        <v>82</v>
      </c>
      <c r="E2546" t="s">
        <v>17</v>
      </c>
      <c r="F2546" t="s">
        <v>22</v>
      </c>
      <c r="G2546" s="9">
        <v>45122</v>
      </c>
      <c r="H2546" s="9">
        <v>45151</v>
      </c>
      <c r="I2546">
        <v>24</v>
      </c>
      <c r="J2546" t="s">
        <v>32</v>
      </c>
      <c r="K2546">
        <v>12</v>
      </c>
      <c r="L2546">
        <v>5</v>
      </c>
      <c r="M2546" s="11">
        <v>27301.09</v>
      </c>
      <c r="N2546" s="12">
        <v>5253.48</v>
      </c>
      <c r="O2546" s="12">
        <v>6789.22</v>
      </c>
    </row>
    <row r="2547" spans="1:15">
      <c r="A2547" t="s">
        <v>2721</v>
      </c>
      <c r="B2547" t="s">
        <v>51</v>
      </c>
      <c r="C2547" s="9">
        <v>33969</v>
      </c>
      <c r="D2547">
        <v>33</v>
      </c>
      <c r="E2547" t="s">
        <v>21</v>
      </c>
      <c r="F2547" t="s">
        <v>18</v>
      </c>
      <c r="G2547" s="9">
        <v>45317</v>
      </c>
      <c r="H2547" s="9">
        <v>45326</v>
      </c>
      <c r="I2547">
        <v>39</v>
      </c>
      <c r="J2547" t="s">
        <v>26</v>
      </c>
      <c r="K2547">
        <v>2</v>
      </c>
      <c r="L2547">
        <v>4</v>
      </c>
      <c r="M2547" s="11">
        <v>0</v>
      </c>
      <c r="N2547" s="12">
        <v>8733.1200000000008</v>
      </c>
      <c r="O2547" s="12">
        <v>11818.43</v>
      </c>
    </row>
    <row r="2548" spans="1:15">
      <c r="A2548" t="s">
        <v>2722</v>
      </c>
      <c r="B2548" t="s">
        <v>326</v>
      </c>
      <c r="C2548" s="9">
        <v>42735</v>
      </c>
      <c r="D2548">
        <v>9</v>
      </c>
      <c r="E2548" t="s">
        <v>21</v>
      </c>
      <c r="F2548" t="s">
        <v>5184</v>
      </c>
      <c r="G2548" s="9">
        <v>45535</v>
      </c>
      <c r="H2548" s="9">
        <v>45676</v>
      </c>
      <c r="I2548">
        <v>1</v>
      </c>
      <c r="J2548" t="s">
        <v>26</v>
      </c>
      <c r="K2548">
        <v>5</v>
      </c>
      <c r="L2548">
        <v>6</v>
      </c>
      <c r="M2548" s="11">
        <v>13.28</v>
      </c>
      <c r="N2548" s="12">
        <v>5678.02</v>
      </c>
      <c r="O2548" s="12">
        <v>11775.59</v>
      </c>
    </row>
    <row r="2549" spans="1:15">
      <c r="A2549" t="s">
        <v>2723</v>
      </c>
      <c r="B2549" t="s">
        <v>127</v>
      </c>
      <c r="C2549" s="9">
        <v>13880</v>
      </c>
      <c r="D2549">
        <v>88</v>
      </c>
      <c r="E2549" t="s">
        <v>17</v>
      </c>
      <c r="F2549" t="s">
        <v>5184</v>
      </c>
      <c r="G2549" s="9">
        <v>45376</v>
      </c>
      <c r="H2549" s="9">
        <v>45207</v>
      </c>
      <c r="I2549">
        <v>1</v>
      </c>
      <c r="J2549" t="s">
        <v>26</v>
      </c>
      <c r="K2549">
        <v>2</v>
      </c>
      <c r="L2549">
        <v>9</v>
      </c>
      <c r="M2549" s="11">
        <v>20980.14</v>
      </c>
      <c r="N2549" s="12">
        <v>8964.01</v>
      </c>
      <c r="O2549" s="12">
        <v>18553.87</v>
      </c>
    </row>
    <row r="2550" spans="1:15">
      <c r="A2550" t="s">
        <v>2724</v>
      </c>
      <c r="B2550" t="s">
        <v>387</v>
      </c>
      <c r="C2550" s="9">
        <v>45657</v>
      </c>
      <c r="D2550">
        <v>1</v>
      </c>
      <c r="E2550" t="s">
        <v>17</v>
      </c>
      <c r="F2550" t="s">
        <v>29</v>
      </c>
      <c r="G2550" s="9">
        <v>45294</v>
      </c>
      <c r="H2550" s="9">
        <v>44937</v>
      </c>
      <c r="I2550">
        <v>5</v>
      </c>
      <c r="J2550" t="s">
        <v>35</v>
      </c>
      <c r="K2550">
        <v>7</v>
      </c>
      <c r="L2550">
        <v>7</v>
      </c>
      <c r="M2550" s="11">
        <v>10689.53</v>
      </c>
      <c r="N2550" s="12">
        <v>11162.97</v>
      </c>
      <c r="O2550" s="12">
        <v>3351.65</v>
      </c>
    </row>
    <row r="2551" spans="1:15">
      <c r="A2551" t="s">
        <v>2725</v>
      </c>
      <c r="B2551" t="s">
        <v>264</v>
      </c>
      <c r="C2551" s="9">
        <v>42370</v>
      </c>
      <c r="D2551">
        <v>10</v>
      </c>
      <c r="E2551" t="s">
        <v>21</v>
      </c>
      <c r="F2551" t="s">
        <v>25</v>
      </c>
      <c r="G2551" s="9">
        <v>45356</v>
      </c>
      <c r="H2551" s="9">
        <v>45303</v>
      </c>
      <c r="I2551">
        <v>3</v>
      </c>
      <c r="J2551" t="s">
        <v>32</v>
      </c>
      <c r="K2551">
        <v>7</v>
      </c>
      <c r="L2551">
        <v>8</v>
      </c>
      <c r="M2551" s="11">
        <v>6507.1</v>
      </c>
      <c r="N2551" s="12">
        <v>4902.22</v>
      </c>
      <c r="O2551" s="12">
        <v>15410.07</v>
      </c>
    </row>
    <row r="2552" spans="1:15">
      <c r="A2552" t="s">
        <v>2726</v>
      </c>
      <c r="B2552" t="s">
        <v>198</v>
      </c>
      <c r="C2552" s="9">
        <v>28125</v>
      </c>
      <c r="D2552">
        <v>49</v>
      </c>
      <c r="E2552" t="s">
        <v>17</v>
      </c>
      <c r="F2552" t="s">
        <v>5184</v>
      </c>
      <c r="G2552" s="9">
        <v>45022</v>
      </c>
      <c r="H2552" s="9">
        <v>45399</v>
      </c>
      <c r="I2552">
        <v>22</v>
      </c>
      <c r="J2552" t="s">
        <v>32</v>
      </c>
      <c r="K2552">
        <v>10</v>
      </c>
      <c r="L2552">
        <v>5</v>
      </c>
      <c r="M2552" s="11">
        <v>15020.6</v>
      </c>
      <c r="N2552" s="12">
        <v>7788.92</v>
      </c>
      <c r="O2552" s="12">
        <v>9198.07</v>
      </c>
    </row>
    <row r="2553" spans="1:15">
      <c r="A2553" t="s">
        <v>2727</v>
      </c>
      <c r="B2553" t="s">
        <v>514</v>
      </c>
      <c r="C2553" s="9">
        <v>35065</v>
      </c>
      <c r="D2553">
        <v>30</v>
      </c>
      <c r="E2553" t="s">
        <v>17</v>
      </c>
      <c r="F2553" t="s">
        <v>5184</v>
      </c>
      <c r="G2553" s="9">
        <v>45187</v>
      </c>
      <c r="H2553" s="9">
        <v>45079</v>
      </c>
      <c r="I2553">
        <v>24</v>
      </c>
      <c r="J2553" t="s">
        <v>32</v>
      </c>
      <c r="K2553">
        <v>12</v>
      </c>
      <c r="L2553">
        <v>4</v>
      </c>
      <c r="M2553" s="11">
        <v>7633.6</v>
      </c>
      <c r="N2553" s="12">
        <v>11923.12</v>
      </c>
      <c r="O2553" s="12">
        <v>3412.52</v>
      </c>
    </row>
    <row r="2554" spans="1:15">
      <c r="A2554" t="s">
        <v>2728</v>
      </c>
      <c r="B2554" t="s">
        <v>139</v>
      </c>
      <c r="C2554" s="9">
        <v>25934</v>
      </c>
      <c r="D2554">
        <v>55</v>
      </c>
      <c r="E2554" t="s">
        <v>21</v>
      </c>
      <c r="F2554" t="s">
        <v>18</v>
      </c>
      <c r="G2554" s="9">
        <v>45438</v>
      </c>
      <c r="H2554" s="9">
        <v>45783</v>
      </c>
      <c r="I2554">
        <v>37</v>
      </c>
      <c r="J2554" t="s">
        <v>32</v>
      </c>
      <c r="K2554">
        <v>12</v>
      </c>
      <c r="L2554">
        <v>6</v>
      </c>
      <c r="M2554" s="11">
        <v>11456.55</v>
      </c>
      <c r="N2554" s="12">
        <v>10317.77</v>
      </c>
      <c r="O2554" s="12">
        <v>16696.34</v>
      </c>
    </row>
    <row r="2555" spans="1:15">
      <c r="A2555" t="s">
        <v>2729</v>
      </c>
      <c r="B2555" t="s">
        <v>1148</v>
      </c>
      <c r="C2555" s="9">
        <v>17533</v>
      </c>
      <c r="D2555">
        <v>78</v>
      </c>
      <c r="E2555" t="s">
        <v>17</v>
      </c>
      <c r="F2555" t="s">
        <v>22</v>
      </c>
      <c r="G2555" s="9">
        <v>45047</v>
      </c>
      <c r="H2555" s="9">
        <v>45543</v>
      </c>
      <c r="I2555">
        <v>17</v>
      </c>
      <c r="J2555" t="s">
        <v>32</v>
      </c>
      <c r="K2555">
        <v>1</v>
      </c>
      <c r="L2555">
        <v>1</v>
      </c>
      <c r="M2555" s="11">
        <v>21317.759999999998</v>
      </c>
      <c r="N2555" s="12">
        <v>856.09</v>
      </c>
      <c r="O2555" s="12">
        <v>16384.8</v>
      </c>
    </row>
    <row r="2556" spans="1:15">
      <c r="A2556" t="s">
        <v>2730</v>
      </c>
      <c r="B2556" t="s">
        <v>444</v>
      </c>
      <c r="C2556" s="9">
        <v>19724</v>
      </c>
      <c r="D2556">
        <v>72</v>
      </c>
      <c r="E2556" t="s">
        <v>21</v>
      </c>
      <c r="F2556" t="s">
        <v>49</v>
      </c>
      <c r="G2556" s="9">
        <v>45292</v>
      </c>
      <c r="H2556" s="9">
        <v>45051</v>
      </c>
      <c r="I2556">
        <v>24</v>
      </c>
      <c r="J2556" t="s">
        <v>26</v>
      </c>
      <c r="K2556">
        <v>4</v>
      </c>
      <c r="L2556">
        <v>7</v>
      </c>
      <c r="M2556" s="11">
        <v>3065.67</v>
      </c>
      <c r="N2556" s="12">
        <v>8531.3799999999992</v>
      </c>
      <c r="O2556" s="12">
        <v>707.67</v>
      </c>
    </row>
    <row r="2557" spans="1:15">
      <c r="A2557" t="s">
        <v>2731</v>
      </c>
      <c r="B2557" t="s">
        <v>192</v>
      </c>
      <c r="C2557" s="9">
        <v>14611</v>
      </c>
      <c r="D2557">
        <f ca="1">DATEDIF(C2508,TODAY(),"Y")</f>
        <v>1</v>
      </c>
      <c r="E2557" t="s">
        <v>17</v>
      </c>
      <c r="F2557" t="s">
        <v>5184</v>
      </c>
      <c r="G2557" s="9">
        <v>45258</v>
      </c>
      <c r="H2557" s="9">
        <v>45624</v>
      </c>
      <c r="I2557">
        <v>4</v>
      </c>
      <c r="J2557" t="s">
        <v>32</v>
      </c>
      <c r="K2557">
        <v>13</v>
      </c>
      <c r="L2557">
        <v>3</v>
      </c>
      <c r="M2557" s="11">
        <v>28769.51</v>
      </c>
      <c r="N2557" s="12">
        <v>5645.01</v>
      </c>
      <c r="O2557" s="12">
        <v>14159.74</v>
      </c>
    </row>
    <row r="2558" spans="1:15">
      <c r="A2558" t="s">
        <v>2732</v>
      </c>
      <c r="B2558" t="s">
        <v>184</v>
      </c>
      <c r="C2558" s="9">
        <v>16072</v>
      </c>
      <c r="D2558">
        <v>82</v>
      </c>
      <c r="E2558" t="s">
        <v>17</v>
      </c>
      <c r="F2558" t="s">
        <v>29</v>
      </c>
      <c r="G2558" s="9">
        <v>44978</v>
      </c>
      <c r="H2558" s="9">
        <v>45729</v>
      </c>
      <c r="I2558">
        <v>20</v>
      </c>
      <c r="J2558" t="s">
        <v>35</v>
      </c>
      <c r="K2558">
        <v>5</v>
      </c>
      <c r="L2558">
        <v>0</v>
      </c>
      <c r="M2558" s="11">
        <v>797.12</v>
      </c>
      <c r="N2558" s="12">
        <v>10631.7</v>
      </c>
      <c r="O2558" s="12">
        <v>2985.75</v>
      </c>
    </row>
    <row r="2559" spans="1:15">
      <c r="A2559" t="s">
        <v>2733</v>
      </c>
      <c r="B2559" t="s">
        <v>232</v>
      </c>
      <c r="C2559" s="9">
        <v>43100</v>
      </c>
      <c r="D2559">
        <v>8</v>
      </c>
      <c r="E2559" t="s">
        <v>5185</v>
      </c>
      <c r="F2559" t="s">
        <v>74</v>
      </c>
      <c r="G2559" s="9">
        <v>45322</v>
      </c>
      <c r="H2559" s="9">
        <v>45480</v>
      </c>
      <c r="I2559">
        <v>17</v>
      </c>
      <c r="J2559" t="s">
        <v>32</v>
      </c>
      <c r="K2559">
        <v>1</v>
      </c>
      <c r="L2559">
        <v>2</v>
      </c>
      <c r="M2559" s="11">
        <v>24099.39</v>
      </c>
      <c r="N2559" s="12">
        <v>250.02</v>
      </c>
      <c r="O2559" s="12">
        <v>12168.24</v>
      </c>
    </row>
    <row r="2560" spans="1:15">
      <c r="A2560" t="s">
        <v>2734</v>
      </c>
      <c r="B2560" t="s">
        <v>309</v>
      </c>
      <c r="C2560" s="9">
        <v>38717</v>
      </c>
      <c r="D2560">
        <v>20</v>
      </c>
      <c r="E2560" t="s">
        <v>21</v>
      </c>
      <c r="F2560" t="s">
        <v>22</v>
      </c>
      <c r="G2560" s="9">
        <v>45244</v>
      </c>
      <c r="H2560" s="9">
        <v>45351</v>
      </c>
      <c r="I2560">
        <v>31</v>
      </c>
      <c r="J2560" t="s">
        <v>26</v>
      </c>
      <c r="K2560">
        <v>2</v>
      </c>
      <c r="L2560">
        <v>8</v>
      </c>
      <c r="M2560" s="11">
        <v>21600.03</v>
      </c>
      <c r="N2560" s="12">
        <v>4958.95</v>
      </c>
      <c r="O2560" s="12">
        <v>12840.43</v>
      </c>
    </row>
    <row r="2561" spans="1:15">
      <c r="A2561" t="s">
        <v>2735</v>
      </c>
      <c r="B2561" t="s">
        <v>664</v>
      </c>
      <c r="C2561" s="9">
        <v>19724</v>
      </c>
      <c r="D2561">
        <v>72</v>
      </c>
      <c r="E2561" t="s">
        <v>21</v>
      </c>
      <c r="F2561" t="s">
        <v>18</v>
      </c>
      <c r="G2561" s="9">
        <v>45601</v>
      </c>
      <c r="H2561" s="9">
        <v>45450</v>
      </c>
      <c r="I2561">
        <v>26</v>
      </c>
      <c r="J2561" t="s">
        <v>32</v>
      </c>
      <c r="K2561">
        <v>12</v>
      </c>
      <c r="L2561">
        <v>3</v>
      </c>
      <c r="M2561" s="11">
        <v>8103.73</v>
      </c>
      <c r="N2561" s="12">
        <v>1297.4000000000001</v>
      </c>
      <c r="O2561" s="12">
        <v>13271.42</v>
      </c>
    </row>
    <row r="2562" spans="1:15">
      <c r="A2562" t="s">
        <v>2736</v>
      </c>
      <c r="B2562" t="s">
        <v>153</v>
      </c>
      <c r="C2562" s="9">
        <v>36161</v>
      </c>
      <c r="D2562">
        <v>27</v>
      </c>
      <c r="E2562" t="s">
        <v>21</v>
      </c>
      <c r="F2562" t="s">
        <v>22</v>
      </c>
      <c r="G2562" s="9">
        <v>45628</v>
      </c>
      <c r="H2562" s="9">
        <v>45657</v>
      </c>
      <c r="I2562">
        <v>2</v>
      </c>
      <c r="J2562" t="s">
        <v>35</v>
      </c>
      <c r="K2562">
        <v>1</v>
      </c>
      <c r="L2562">
        <v>9</v>
      </c>
      <c r="M2562" s="11">
        <v>0</v>
      </c>
      <c r="N2562" s="12">
        <v>13807.38</v>
      </c>
      <c r="O2562" s="12">
        <v>2313.9499999999998</v>
      </c>
    </row>
    <row r="2563" spans="1:15">
      <c r="A2563" t="s">
        <v>2737</v>
      </c>
      <c r="B2563" t="s">
        <v>292</v>
      </c>
      <c r="C2563" s="9">
        <v>23742</v>
      </c>
      <c r="D2563">
        <v>61</v>
      </c>
      <c r="E2563" t="s">
        <v>21</v>
      </c>
      <c r="F2563" t="s">
        <v>18</v>
      </c>
      <c r="G2563" s="9">
        <v>45203</v>
      </c>
      <c r="H2563" s="9">
        <v>45440</v>
      </c>
      <c r="I2563">
        <v>24</v>
      </c>
      <c r="J2563" t="s">
        <v>35</v>
      </c>
      <c r="K2563">
        <v>9</v>
      </c>
      <c r="L2563">
        <v>9</v>
      </c>
      <c r="M2563" s="11">
        <v>25497.439999999999</v>
      </c>
      <c r="N2563" s="12">
        <v>13147.49</v>
      </c>
      <c r="O2563" s="12">
        <v>11926.15</v>
      </c>
    </row>
    <row r="2564" spans="1:15">
      <c r="A2564" t="s">
        <v>2738</v>
      </c>
      <c r="B2564" t="s">
        <v>53</v>
      </c>
      <c r="C2564" s="9">
        <v>43831</v>
      </c>
      <c r="D2564">
        <v>6</v>
      </c>
      <c r="E2564" t="s">
        <v>17</v>
      </c>
      <c r="F2564" t="s">
        <v>22</v>
      </c>
      <c r="G2564" s="9">
        <v>45523</v>
      </c>
      <c r="H2564" s="9">
        <v>45098</v>
      </c>
      <c r="I2564">
        <v>9</v>
      </c>
      <c r="J2564" t="s">
        <v>32</v>
      </c>
      <c r="K2564">
        <v>7</v>
      </c>
      <c r="L2564">
        <v>2</v>
      </c>
      <c r="M2564" s="11">
        <v>20228.150000000001</v>
      </c>
      <c r="N2564" s="12">
        <v>14521.33</v>
      </c>
      <c r="O2564" s="12">
        <v>1907.25</v>
      </c>
    </row>
    <row r="2565" spans="1:15">
      <c r="A2565" t="s">
        <v>2739</v>
      </c>
      <c r="B2565" t="s">
        <v>24</v>
      </c>
      <c r="C2565" s="9">
        <v>17168</v>
      </c>
      <c r="D2565">
        <v>79</v>
      </c>
      <c r="E2565" t="s">
        <v>17</v>
      </c>
      <c r="F2565" t="s">
        <v>49</v>
      </c>
      <c r="G2565" s="9">
        <v>45120</v>
      </c>
      <c r="H2565" s="9">
        <v>45777</v>
      </c>
      <c r="I2565">
        <v>14</v>
      </c>
      <c r="J2565" t="s">
        <v>32</v>
      </c>
      <c r="K2565">
        <v>5</v>
      </c>
      <c r="L2565">
        <v>3</v>
      </c>
      <c r="M2565" s="11">
        <v>8371.8799999999992</v>
      </c>
      <c r="N2565" s="12">
        <v>9652.02</v>
      </c>
      <c r="O2565" s="12">
        <v>14885.64</v>
      </c>
    </row>
    <row r="2566" spans="1:15">
      <c r="A2566" t="s">
        <v>2740</v>
      </c>
      <c r="B2566" t="s">
        <v>143</v>
      </c>
      <c r="C2566" s="9">
        <v>40544</v>
      </c>
      <c r="D2566">
        <v>15</v>
      </c>
      <c r="E2566" t="s">
        <v>21</v>
      </c>
      <c r="F2566" t="s">
        <v>29</v>
      </c>
      <c r="G2566" s="9">
        <v>45619</v>
      </c>
      <c r="H2566" s="9">
        <v>45721</v>
      </c>
      <c r="I2566">
        <v>34</v>
      </c>
      <c r="J2566" t="s">
        <v>32</v>
      </c>
      <c r="K2566">
        <v>8</v>
      </c>
      <c r="L2566">
        <v>2</v>
      </c>
      <c r="M2566" s="11">
        <v>16.34</v>
      </c>
      <c r="N2566" s="12">
        <v>12105.73</v>
      </c>
      <c r="O2566" s="12">
        <v>1181.27</v>
      </c>
    </row>
    <row r="2567" spans="1:15">
      <c r="A2567" t="s">
        <v>2741</v>
      </c>
      <c r="B2567" t="s">
        <v>578</v>
      </c>
      <c r="C2567" s="9">
        <v>44927</v>
      </c>
      <c r="D2567">
        <v>3</v>
      </c>
      <c r="E2567" t="s">
        <v>21</v>
      </c>
      <c r="F2567" t="s">
        <v>74</v>
      </c>
      <c r="G2567" s="9">
        <v>44947</v>
      </c>
      <c r="H2567" s="9">
        <v>45492</v>
      </c>
      <c r="I2567">
        <v>31</v>
      </c>
      <c r="J2567" t="s">
        <v>32</v>
      </c>
      <c r="K2567">
        <v>14</v>
      </c>
      <c r="L2567">
        <v>2</v>
      </c>
      <c r="M2567" s="11">
        <v>28123.96</v>
      </c>
      <c r="N2567" s="12">
        <v>9178.0300000000007</v>
      </c>
      <c r="O2567" s="12">
        <v>15132</v>
      </c>
    </row>
    <row r="2568" spans="1:15">
      <c r="A2568" t="s">
        <v>2742</v>
      </c>
      <c r="B2568" t="s">
        <v>427</v>
      </c>
      <c r="C2568" s="9">
        <v>44927</v>
      </c>
      <c r="D2568">
        <v>3</v>
      </c>
      <c r="E2568" t="s">
        <v>21</v>
      </c>
      <c r="F2568" t="s">
        <v>5184</v>
      </c>
      <c r="G2568" s="9">
        <v>45325</v>
      </c>
      <c r="H2568" s="9">
        <v>45052</v>
      </c>
      <c r="I2568">
        <v>27</v>
      </c>
      <c r="J2568" t="s">
        <v>26</v>
      </c>
      <c r="K2568">
        <v>5</v>
      </c>
      <c r="L2568">
        <v>1</v>
      </c>
      <c r="M2568" s="11">
        <v>11829.72</v>
      </c>
      <c r="N2568" s="12">
        <v>7380.66</v>
      </c>
      <c r="O2568" s="12">
        <v>17658.2</v>
      </c>
    </row>
    <row r="2569" spans="1:15">
      <c r="A2569" t="s">
        <v>2743</v>
      </c>
      <c r="B2569" t="s">
        <v>147</v>
      </c>
      <c r="C2569" s="9">
        <f>DATE(2026-D2529,1,1)</f>
        <v>35065</v>
      </c>
      <c r="D2569">
        <f ca="1">DATEDIF(C2520,TODAY(),"Y")</f>
        <v>24</v>
      </c>
      <c r="E2569" t="s">
        <v>21</v>
      </c>
      <c r="F2569" t="s">
        <v>49</v>
      </c>
      <c r="G2569" s="9">
        <v>45641</v>
      </c>
      <c r="H2569" s="9">
        <v>45102</v>
      </c>
      <c r="I2569">
        <v>33</v>
      </c>
      <c r="J2569" t="s">
        <v>32</v>
      </c>
      <c r="K2569">
        <v>13</v>
      </c>
      <c r="L2569">
        <v>5</v>
      </c>
      <c r="M2569" s="11">
        <v>4876.1400000000003</v>
      </c>
      <c r="N2569" s="12">
        <v>12507.31</v>
      </c>
      <c r="O2569" s="12">
        <v>5900.69</v>
      </c>
    </row>
    <row r="2570" spans="1:15">
      <c r="A2570" t="s">
        <v>2744</v>
      </c>
      <c r="B2570" t="s">
        <v>159</v>
      </c>
      <c r="C2570" s="9">
        <v>40178</v>
      </c>
      <c r="D2570">
        <v>16</v>
      </c>
      <c r="E2570" t="s">
        <v>21</v>
      </c>
      <c r="F2570" t="s">
        <v>29</v>
      </c>
      <c r="G2570" s="9">
        <v>45128</v>
      </c>
      <c r="H2570" s="9">
        <v>45431</v>
      </c>
      <c r="I2570">
        <v>3</v>
      </c>
      <c r="J2570" t="s">
        <v>26</v>
      </c>
      <c r="K2570">
        <v>7</v>
      </c>
      <c r="L2570">
        <v>9</v>
      </c>
      <c r="M2570" s="11">
        <v>27310.94</v>
      </c>
      <c r="N2570" s="12">
        <v>11642.49</v>
      </c>
      <c r="O2570" s="12">
        <v>15543.67</v>
      </c>
    </row>
    <row r="2571" spans="1:15">
      <c r="A2571" t="s">
        <v>2745</v>
      </c>
      <c r="B2571" t="s">
        <v>524</v>
      </c>
      <c r="C2571" s="9">
        <v>27395</v>
      </c>
      <c r="D2571">
        <v>51</v>
      </c>
      <c r="E2571" t="s">
        <v>21</v>
      </c>
      <c r="F2571" t="s">
        <v>74</v>
      </c>
      <c r="G2571" s="9">
        <v>45392</v>
      </c>
      <c r="H2571" s="9">
        <v>45704</v>
      </c>
      <c r="I2571">
        <v>29</v>
      </c>
      <c r="J2571" t="s">
        <v>26</v>
      </c>
      <c r="K2571">
        <v>10</v>
      </c>
      <c r="L2571">
        <v>5</v>
      </c>
      <c r="M2571" s="11">
        <v>10450.129999999999</v>
      </c>
      <c r="N2571" s="12">
        <v>10999.15</v>
      </c>
      <c r="O2571" s="12">
        <v>8292.18</v>
      </c>
    </row>
    <row r="2572" spans="1:15">
      <c r="A2572" t="s">
        <v>2746</v>
      </c>
      <c r="B2572" t="s">
        <v>600</v>
      </c>
      <c r="C2572" s="9">
        <v>12419</v>
      </c>
      <c r="D2572">
        <v>92</v>
      </c>
      <c r="E2572" t="s">
        <v>17</v>
      </c>
      <c r="F2572" t="s">
        <v>22</v>
      </c>
      <c r="G2572" s="9">
        <v>45077</v>
      </c>
      <c r="H2572" s="9">
        <v>45704</v>
      </c>
      <c r="I2572">
        <v>29</v>
      </c>
      <c r="J2572" t="s">
        <v>32</v>
      </c>
      <c r="K2572">
        <v>12</v>
      </c>
      <c r="L2572">
        <v>9</v>
      </c>
      <c r="M2572" s="11">
        <v>13629.18</v>
      </c>
      <c r="N2572" s="12">
        <v>13408.66</v>
      </c>
      <c r="O2572" s="12">
        <v>15934.04</v>
      </c>
    </row>
    <row r="2573" spans="1:15">
      <c r="A2573" t="s">
        <v>2747</v>
      </c>
      <c r="B2573" t="s">
        <v>671</v>
      </c>
      <c r="C2573" s="9">
        <v>27395</v>
      </c>
      <c r="D2573">
        <v>51</v>
      </c>
      <c r="E2573" t="s">
        <v>21</v>
      </c>
      <c r="F2573" t="s">
        <v>5184</v>
      </c>
      <c r="G2573" s="9">
        <v>45085</v>
      </c>
      <c r="H2573" s="9">
        <v>45312</v>
      </c>
      <c r="I2573">
        <v>6</v>
      </c>
      <c r="J2573" t="s">
        <v>32</v>
      </c>
      <c r="K2573">
        <v>13</v>
      </c>
      <c r="L2573">
        <v>3</v>
      </c>
      <c r="M2573" s="11">
        <v>20807.87</v>
      </c>
      <c r="N2573" s="12">
        <v>13931.16</v>
      </c>
      <c r="O2573" s="12">
        <v>13693.67</v>
      </c>
    </row>
    <row r="2574" spans="1:15">
      <c r="A2574" t="s">
        <v>2748</v>
      </c>
      <c r="B2574" t="s">
        <v>115</v>
      </c>
      <c r="C2574" s="9">
        <v>33239</v>
      </c>
      <c r="D2574">
        <v>35</v>
      </c>
      <c r="E2574" t="s">
        <v>17</v>
      </c>
      <c r="F2574" t="s">
        <v>74</v>
      </c>
      <c r="G2574" s="9">
        <v>45236</v>
      </c>
      <c r="H2574" s="9">
        <v>45638</v>
      </c>
      <c r="I2574">
        <v>19</v>
      </c>
      <c r="J2574" t="s">
        <v>35</v>
      </c>
      <c r="K2574">
        <v>4</v>
      </c>
      <c r="L2574">
        <v>7</v>
      </c>
      <c r="M2574" s="11">
        <v>24492.27</v>
      </c>
      <c r="N2574" s="12">
        <v>6679.31</v>
      </c>
      <c r="O2574" s="12">
        <v>5711.72</v>
      </c>
    </row>
    <row r="2575" spans="1:15">
      <c r="A2575" t="s">
        <v>2749</v>
      </c>
      <c r="B2575" t="s">
        <v>198</v>
      </c>
      <c r="C2575" s="9">
        <v>32508</v>
      </c>
      <c r="D2575">
        <v>37</v>
      </c>
      <c r="E2575" t="s">
        <v>17</v>
      </c>
      <c r="F2575" t="s">
        <v>25</v>
      </c>
      <c r="G2575" s="9">
        <v>45430</v>
      </c>
      <c r="H2575" s="9">
        <v>45695</v>
      </c>
      <c r="I2575">
        <v>7</v>
      </c>
      <c r="J2575" t="s">
        <v>35</v>
      </c>
      <c r="K2575">
        <v>6</v>
      </c>
      <c r="L2575">
        <v>5</v>
      </c>
      <c r="M2575" s="11">
        <v>2555.42</v>
      </c>
      <c r="N2575" s="12">
        <v>4242.32</v>
      </c>
      <c r="O2575" s="12">
        <v>3794.05</v>
      </c>
    </row>
    <row r="2576" spans="1:15">
      <c r="A2576" t="s">
        <v>2750</v>
      </c>
      <c r="B2576" t="s">
        <v>204</v>
      </c>
      <c r="C2576" s="9">
        <f>DATE(2026-D2536,1,1)</f>
        <v>44197</v>
      </c>
      <c r="D2576">
        <v>49</v>
      </c>
      <c r="E2576" t="s">
        <v>21</v>
      </c>
      <c r="F2576" t="s">
        <v>74</v>
      </c>
      <c r="G2576" s="9">
        <v>44952</v>
      </c>
      <c r="H2576" s="9">
        <v>45611</v>
      </c>
      <c r="I2576">
        <v>26</v>
      </c>
      <c r="J2576" t="s">
        <v>32</v>
      </c>
      <c r="K2576">
        <v>3</v>
      </c>
      <c r="L2576">
        <v>7</v>
      </c>
      <c r="M2576" s="11">
        <v>26909.55</v>
      </c>
      <c r="N2576" s="12">
        <v>7676.78</v>
      </c>
      <c r="O2576" s="12">
        <v>18286.32</v>
      </c>
    </row>
    <row r="2577" spans="1:15">
      <c r="A2577" t="s">
        <v>2751</v>
      </c>
      <c r="B2577" t="s">
        <v>89</v>
      </c>
      <c r="C2577" s="9">
        <v>23377</v>
      </c>
      <c r="D2577">
        <v>62</v>
      </c>
      <c r="E2577" t="s">
        <v>17</v>
      </c>
      <c r="F2577" t="s">
        <v>29</v>
      </c>
      <c r="G2577" s="9">
        <v>44992</v>
      </c>
      <c r="H2577" s="9">
        <v>45498</v>
      </c>
      <c r="I2577">
        <v>8</v>
      </c>
      <c r="J2577" t="s">
        <v>35</v>
      </c>
      <c r="K2577">
        <v>14</v>
      </c>
      <c r="L2577">
        <v>5</v>
      </c>
      <c r="M2577" s="11">
        <v>27942.46</v>
      </c>
      <c r="N2577" s="12">
        <v>1395.99</v>
      </c>
      <c r="O2577" s="12">
        <v>16763.48</v>
      </c>
    </row>
    <row r="2578" spans="1:15">
      <c r="A2578" t="s">
        <v>2752</v>
      </c>
      <c r="B2578" t="s">
        <v>151</v>
      </c>
      <c r="C2578" s="9">
        <v>23377</v>
      </c>
      <c r="D2578">
        <f ca="1">DATEDIF(C2529,TODAY(),"Y")</f>
        <v>30</v>
      </c>
      <c r="E2578" t="s">
        <v>17</v>
      </c>
      <c r="F2578" t="s">
        <v>49</v>
      </c>
      <c r="G2578" s="9">
        <v>45189</v>
      </c>
      <c r="H2578" s="9">
        <v>45033</v>
      </c>
      <c r="I2578">
        <v>25</v>
      </c>
      <c r="J2578" t="s">
        <v>35</v>
      </c>
      <c r="K2578">
        <v>6</v>
      </c>
      <c r="L2578">
        <v>8</v>
      </c>
      <c r="M2578" s="11">
        <v>7407.73</v>
      </c>
      <c r="N2578" s="12">
        <v>14072.41</v>
      </c>
      <c r="O2578" s="12">
        <v>13164.03</v>
      </c>
    </row>
    <row r="2579" spans="1:15">
      <c r="A2579" t="s">
        <v>2753</v>
      </c>
      <c r="B2579" t="s">
        <v>242</v>
      </c>
      <c r="C2579" s="9">
        <v>23742</v>
      </c>
      <c r="D2579">
        <v>61</v>
      </c>
      <c r="E2579" t="s">
        <v>17</v>
      </c>
      <c r="F2579" t="s">
        <v>5184</v>
      </c>
      <c r="G2579" s="9">
        <v>45398</v>
      </c>
      <c r="H2579" s="9">
        <v>45564</v>
      </c>
      <c r="I2579">
        <v>1</v>
      </c>
      <c r="J2579" t="s">
        <v>32</v>
      </c>
      <c r="K2579">
        <v>10</v>
      </c>
      <c r="L2579">
        <v>2</v>
      </c>
      <c r="M2579" s="11">
        <v>14670.33</v>
      </c>
      <c r="N2579" s="12">
        <v>14757.8</v>
      </c>
      <c r="O2579" s="12">
        <v>6922.37</v>
      </c>
    </row>
    <row r="2580" spans="1:15">
      <c r="A2580" t="s">
        <v>2754</v>
      </c>
      <c r="B2580" t="s">
        <v>159</v>
      </c>
      <c r="C2580" s="9">
        <v>43831</v>
      </c>
      <c r="D2580">
        <v>6</v>
      </c>
      <c r="E2580" t="s">
        <v>21</v>
      </c>
      <c r="F2580" t="s">
        <v>49</v>
      </c>
      <c r="G2580" s="9">
        <v>45093</v>
      </c>
      <c r="H2580" s="9">
        <v>45455</v>
      </c>
      <c r="I2580">
        <v>18</v>
      </c>
      <c r="J2580" t="s">
        <v>35</v>
      </c>
      <c r="K2580">
        <v>14</v>
      </c>
      <c r="L2580">
        <v>2</v>
      </c>
      <c r="M2580" s="11">
        <v>25665.200000000001</v>
      </c>
      <c r="N2580" s="12">
        <v>9790.57</v>
      </c>
      <c r="O2580" s="12">
        <v>10160.23</v>
      </c>
    </row>
    <row r="2581" spans="1:15">
      <c r="A2581" t="s">
        <v>2755</v>
      </c>
      <c r="B2581" t="s">
        <v>194</v>
      </c>
      <c r="C2581" s="9">
        <v>36526</v>
      </c>
      <c r="D2581">
        <v>26</v>
      </c>
      <c r="E2581" t="s">
        <v>21</v>
      </c>
      <c r="F2581" t="s">
        <v>5184</v>
      </c>
      <c r="G2581" s="9">
        <v>45080</v>
      </c>
      <c r="H2581" s="9">
        <v>44965</v>
      </c>
      <c r="I2581">
        <v>28</v>
      </c>
      <c r="J2581" t="s">
        <v>32</v>
      </c>
      <c r="K2581">
        <v>8</v>
      </c>
      <c r="L2581">
        <v>1</v>
      </c>
      <c r="M2581" s="11">
        <v>14364.12</v>
      </c>
      <c r="N2581" s="12">
        <v>11192.43</v>
      </c>
      <c r="O2581" s="12">
        <v>11113.07</v>
      </c>
    </row>
    <row r="2582" spans="1:15">
      <c r="A2582" t="s">
        <v>2756</v>
      </c>
      <c r="B2582" t="s">
        <v>275</v>
      </c>
      <c r="C2582" s="9">
        <v>12785</v>
      </c>
      <c r="D2582">
        <v>91</v>
      </c>
      <c r="E2582" t="s">
        <v>17</v>
      </c>
      <c r="F2582" t="s">
        <v>25</v>
      </c>
      <c r="G2582" s="9">
        <v>45269</v>
      </c>
      <c r="H2582" s="9">
        <v>45322</v>
      </c>
      <c r="I2582">
        <v>38</v>
      </c>
      <c r="J2582" t="s">
        <v>26</v>
      </c>
      <c r="K2582">
        <v>12</v>
      </c>
      <c r="L2582">
        <v>9</v>
      </c>
      <c r="M2582" s="11">
        <v>14200.22</v>
      </c>
      <c r="N2582" s="12">
        <v>4855.08</v>
      </c>
      <c r="O2582" s="12">
        <v>1630.01</v>
      </c>
    </row>
    <row r="2583" spans="1:15">
      <c r="A2583" t="s">
        <v>2757</v>
      </c>
      <c r="B2583" t="s">
        <v>681</v>
      </c>
      <c r="C2583" s="9">
        <v>14976</v>
      </c>
      <c r="D2583">
        <f ca="1">DATEDIF(C2534,TODAY(),"Y")</f>
        <v>59</v>
      </c>
      <c r="E2583" t="s">
        <v>17</v>
      </c>
      <c r="F2583" t="s">
        <v>29</v>
      </c>
      <c r="G2583" s="9">
        <v>45644</v>
      </c>
      <c r="H2583" s="9">
        <v>45682</v>
      </c>
      <c r="I2583">
        <v>14</v>
      </c>
      <c r="J2583" t="s">
        <v>32</v>
      </c>
      <c r="K2583">
        <v>1</v>
      </c>
      <c r="L2583">
        <v>5</v>
      </c>
      <c r="M2583" s="11">
        <v>18364.96</v>
      </c>
      <c r="N2583" s="12">
        <v>12994.01</v>
      </c>
      <c r="O2583" s="12">
        <v>19441.900000000001</v>
      </c>
    </row>
    <row r="2584" spans="1:15">
      <c r="A2584" t="s">
        <v>2758</v>
      </c>
      <c r="B2584" t="s">
        <v>89</v>
      </c>
      <c r="C2584" s="9">
        <v>41274</v>
      </c>
      <c r="D2584">
        <v>13</v>
      </c>
      <c r="E2584" t="s">
        <v>21</v>
      </c>
      <c r="F2584" t="s">
        <v>74</v>
      </c>
      <c r="G2584" s="9">
        <v>45339</v>
      </c>
      <c r="H2584" s="9">
        <v>45404</v>
      </c>
      <c r="I2584">
        <v>24</v>
      </c>
      <c r="J2584" t="s">
        <v>35</v>
      </c>
      <c r="K2584">
        <v>1</v>
      </c>
      <c r="L2584">
        <v>6</v>
      </c>
      <c r="M2584" s="11">
        <v>22906.9</v>
      </c>
      <c r="N2584" s="12">
        <v>13504.54</v>
      </c>
      <c r="O2584" s="12">
        <v>1745.57</v>
      </c>
    </row>
    <row r="2585" spans="1:15">
      <c r="A2585" t="s">
        <v>2759</v>
      </c>
      <c r="B2585" t="s">
        <v>133</v>
      </c>
      <c r="C2585" s="9">
        <v>20455</v>
      </c>
      <c r="D2585">
        <v>70</v>
      </c>
      <c r="E2585" t="s">
        <v>21</v>
      </c>
      <c r="F2585" t="s">
        <v>25</v>
      </c>
      <c r="G2585" s="9">
        <v>45591</v>
      </c>
      <c r="H2585" s="9">
        <v>45394</v>
      </c>
      <c r="I2585">
        <v>27</v>
      </c>
      <c r="J2585" t="s">
        <v>32</v>
      </c>
      <c r="K2585">
        <v>13</v>
      </c>
      <c r="L2585">
        <v>6</v>
      </c>
      <c r="M2585" s="11">
        <v>19801.330000000002</v>
      </c>
      <c r="N2585" s="12">
        <v>1153.53</v>
      </c>
      <c r="O2585" s="12">
        <v>14405.84</v>
      </c>
    </row>
    <row r="2586" spans="1:15">
      <c r="A2586" t="s">
        <v>2760</v>
      </c>
      <c r="B2586" t="s">
        <v>181</v>
      </c>
      <c r="C2586" s="9">
        <v>14976</v>
      </c>
      <c r="D2586">
        <v>85</v>
      </c>
      <c r="E2586" t="s">
        <v>21</v>
      </c>
      <c r="F2586" t="s">
        <v>22</v>
      </c>
      <c r="G2586" s="9">
        <v>45110</v>
      </c>
      <c r="H2586" s="9">
        <v>45649</v>
      </c>
      <c r="I2586">
        <v>38</v>
      </c>
      <c r="J2586" t="s">
        <v>35</v>
      </c>
      <c r="K2586">
        <v>2</v>
      </c>
      <c r="L2586">
        <v>4</v>
      </c>
      <c r="M2586" s="11">
        <v>18610.28</v>
      </c>
      <c r="N2586" s="12">
        <v>1971.66</v>
      </c>
      <c r="O2586" s="12">
        <v>9805.31</v>
      </c>
    </row>
    <row r="2587" spans="1:15">
      <c r="A2587" t="s">
        <v>2761</v>
      </c>
      <c r="B2587" t="s">
        <v>163</v>
      </c>
      <c r="C2587" s="9">
        <v>44561</v>
      </c>
      <c r="D2587">
        <v>4</v>
      </c>
      <c r="E2587" t="s">
        <v>21</v>
      </c>
      <c r="F2587" t="s">
        <v>18</v>
      </c>
      <c r="G2587" s="9">
        <v>45597</v>
      </c>
      <c r="H2587" s="9">
        <v>45432</v>
      </c>
      <c r="I2587">
        <v>5</v>
      </c>
      <c r="J2587" t="s">
        <v>32</v>
      </c>
      <c r="K2587">
        <v>14</v>
      </c>
      <c r="L2587">
        <v>5</v>
      </c>
      <c r="M2587" s="11">
        <v>10835.98</v>
      </c>
      <c r="N2587" s="12">
        <v>3912.79</v>
      </c>
      <c r="O2587" s="12">
        <v>15173.56</v>
      </c>
    </row>
    <row r="2588" spans="1:15">
      <c r="A2588" t="s">
        <v>2762</v>
      </c>
      <c r="B2588" t="s">
        <v>1148</v>
      </c>
      <c r="C2588" s="9">
        <v>26299</v>
      </c>
      <c r="D2588">
        <v>54</v>
      </c>
      <c r="E2588" t="s">
        <v>17</v>
      </c>
      <c r="F2588" t="s">
        <v>22</v>
      </c>
      <c r="G2588" s="9">
        <v>45120</v>
      </c>
      <c r="H2588" s="9">
        <v>45242</v>
      </c>
      <c r="I2588">
        <v>34</v>
      </c>
      <c r="J2588" t="s">
        <v>35</v>
      </c>
      <c r="K2588">
        <v>12</v>
      </c>
      <c r="L2588">
        <v>6</v>
      </c>
      <c r="M2588" s="11">
        <v>18717.25</v>
      </c>
      <c r="N2588" s="12">
        <v>10555.12</v>
      </c>
      <c r="O2588" s="12">
        <v>5144.7</v>
      </c>
    </row>
    <row r="2589" spans="1:15">
      <c r="A2589" t="s">
        <v>2763</v>
      </c>
      <c r="B2589" t="s">
        <v>446</v>
      </c>
      <c r="C2589" s="9">
        <v>45657</v>
      </c>
      <c r="D2589">
        <v>1</v>
      </c>
      <c r="E2589" t="s">
        <v>21</v>
      </c>
      <c r="F2589" t="s">
        <v>29</v>
      </c>
      <c r="G2589" s="9">
        <v>44928</v>
      </c>
      <c r="H2589" s="9">
        <v>45212</v>
      </c>
      <c r="I2589">
        <v>2</v>
      </c>
      <c r="J2589" t="s">
        <v>26</v>
      </c>
      <c r="K2589">
        <v>9</v>
      </c>
      <c r="L2589">
        <v>1</v>
      </c>
      <c r="M2589" s="11">
        <v>2649.82</v>
      </c>
      <c r="N2589" s="12">
        <v>2750.47</v>
      </c>
      <c r="O2589" s="12">
        <v>7841.72</v>
      </c>
    </row>
    <row r="2590" spans="1:15">
      <c r="A2590" t="s">
        <v>2764</v>
      </c>
      <c r="B2590" t="s">
        <v>348</v>
      </c>
      <c r="C2590" s="9">
        <v>23742</v>
      </c>
      <c r="D2590">
        <v>61</v>
      </c>
      <c r="E2590" t="s">
        <v>21</v>
      </c>
      <c r="F2590" t="s">
        <v>25</v>
      </c>
      <c r="G2590" s="9">
        <v>45141</v>
      </c>
      <c r="H2590" s="9">
        <v>45391</v>
      </c>
      <c r="I2590">
        <v>23</v>
      </c>
      <c r="J2590" t="s">
        <v>32</v>
      </c>
      <c r="K2590">
        <v>7</v>
      </c>
      <c r="L2590">
        <v>9</v>
      </c>
      <c r="M2590" s="11">
        <v>11991.52</v>
      </c>
      <c r="N2590" s="12">
        <v>3301.2</v>
      </c>
      <c r="O2590" s="12">
        <v>10462.58</v>
      </c>
    </row>
    <row r="2591" spans="1:15">
      <c r="A2591" t="s">
        <v>2765</v>
      </c>
      <c r="B2591" t="s">
        <v>61</v>
      </c>
      <c r="C2591" s="9">
        <v>13150</v>
      </c>
      <c r="D2591">
        <v>90</v>
      </c>
      <c r="E2591" t="s">
        <v>17</v>
      </c>
      <c r="F2591" t="s">
        <v>49</v>
      </c>
      <c r="G2591" s="9">
        <v>45613</v>
      </c>
      <c r="H2591" s="9">
        <v>45607</v>
      </c>
      <c r="I2591">
        <v>3</v>
      </c>
      <c r="J2591" t="s">
        <v>32</v>
      </c>
      <c r="K2591">
        <v>6</v>
      </c>
      <c r="L2591">
        <v>6</v>
      </c>
      <c r="M2591" s="11">
        <v>5244.71</v>
      </c>
      <c r="N2591" s="12">
        <v>5727.95</v>
      </c>
      <c r="O2591" s="12">
        <v>2326.7600000000002</v>
      </c>
    </row>
    <row r="2592" spans="1:15">
      <c r="A2592" t="s">
        <v>2766</v>
      </c>
      <c r="B2592" t="s">
        <v>115</v>
      </c>
      <c r="C2592" s="9">
        <v>38717</v>
      </c>
      <c r="D2592">
        <f ca="1">DATEDIF(C2543,TODAY(),"Y")</f>
        <v>82</v>
      </c>
      <c r="E2592" t="s">
        <v>21</v>
      </c>
      <c r="F2592" t="s">
        <v>25</v>
      </c>
      <c r="G2592" s="9">
        <v>45513</v>
      </c>
      <c r="H2592" s="9">
        <v>45191</v>
      </c>
      <c r="I2592">
        <v>13</v>
      </c>
      <c r="J2592" t="s">
        <v>26</v>
      </c>
      <c r="K2592">
        <v>12</v>
      </c>
      <c r="L2592">
        <v>0</v>
      </c>
      <c r="M2592" s="11">
        <v>15895.82</v>
      </c>
      <c r="N2592" s="12">
        <v>9174.5499999999993</v>
      </c>
      <c r="O2592" s="12">
        <v>17021.93</v>
      </c>
    </row>
    <row r="2593" spans="1:15">
      <c r="A2593" t="s">
        <v>2767</v>
      </c>
      <c r="B2593" t="s">
        <v>159</v>
      </c>
      <c r="C2593" s="9">
        <v>17533</v>
      </c>
      <c r="D2593">
        <v>78</v>
      </c>
      <c r="E2593" t="s">
        <v>17</v>
      </c>
      <c r="F2593" t="s">
        <v>18</v>
      </c>
      <c r="G2593" s="9">
        <v>45565</v>
      </c>
      <c r="H2593" s="9">
        <v>45537</v>
      </c>
      <c r="I2593">
        <v>2</v>
      </c>
      <c r="J2593" t="s">
        <v>35</v>
      </c>
      <c r="K2593">
        <v>14</v>
      </c>
      <c r="L2593">
        <v>5</v>
      </c>
      <c r="M2593" s="11">
        <v>7492.38</v>
      </c>
      <c r="N2593" s="12">
        <v>14644.64</v>
      </c>
      <c r="O2593" s="12">
        <v>19829.900000000001</v>
      </c>
    </row>
    <row r="2594" spans="1:15">
      <c r="A2594" t="s">
        <v>2768</v>
      </c>
      <c r="B2594" t="s">
        <v>174</v>
      </c>
      <c r="C2594" s="9">
        <v>38717</v>
      </c>
      <c r="D2594">
        <v>20</v>
      </c>
      <c r="E2594" t="s">
        <v>17</v>
      </c>
      <c r="F2594" t="s">
        <v>29</v>
      </c>
      <c r="G2594" s="9">
        <v>45409</v>
      </c>
      <c r="H2594" s="9">
        <v>45573</v>
      </c>
      <c r="I2594">
        <v>6</v>
      </c>
      <c r="J2594" t="s">
        <v>35</v>
      </c>
      <c r="K2594">
        <v>6</v>
      </c>
      <c r="L2594">
        <v>7</v>
      </c>
      <c r="M2594" s="11">
        <v>14931.01</v>
      </c>
      <c r="N2594" s="12">
        <v>11758.42</v>
      </c>
      <c r="O2594" s="12">
        <v>8293.51</v>
      </c>
    </row>
    <row r="2595" spans="1:15">
      <c r="A2595" t="s">
        <v>2769</v>
      </c>
      <c r="B2595" t="s">
        <v>237</v>
      </c>
      <c r="C2595" s="9">
        <v>42735</v>
      </c>
      <c r="D2595">
        <v>9</v>
      </c>
      <c r="E2595" t="s">
        <v>21</v>
      </c>
      <c r="F2595" t="s">
        <v>25</v>
      </c>
      <c r="G2595" s="9">
        <v>45487</v>
      </c>
      <c r="H2595" s="9">
        <v>45356</v>
      </c>
      <c r="I2595">
        <v>18</v>
      </c>
      <c r="J2595" t="s">
        <v>35</v>
      </c>
      <c r="K2595">
        <v>0</v>
      </c>
      <c r="L2595">
        <v>0</v>
      </c>
      <c r="M2595" s="11">
        <v>23208.41</v>
      </c>
      <c r="N2595" s="12">
        <v>8374.5499999999993</v>
      </c>
      <c r="O2595" s="12">
        <v>7474.01</v>
      </c>
    </row>
    <row r="2596" spans="1:15">
      <c r="A2596" t="s">
        <v>2770</v>
      </c>
      <c r="B2596" t="s">
        <v>268</v>
      </c>
      <c r="C2596" s="9">
        <v>14611</v>
      </c>
      <c r="D2596">
        <v>86</v>
      </c>
      <c r="E2596" t="s">
        <v>17</v>
      </c>
      <c r="F2596" t="s">
        <v>5184</v>
      </c>
      <c r="G2596" s="9">
        <v>44958</v>
      </c>
      <c r="H2596" s="9">
        <v>45292</v>
      </c>
      <c r="I2596">
        <v>4</v>
      </c>
      <c r="J2596" t="s">
        <v>32</v>
      </c>
      <c r="K2596">
        <v>5</v>
      </c>
      <c r="L2596">
        <v>0</v>
      </c>
      <c r="M2596" s="11">
        <v>12736.78</v>
      </c>
      <c r="N2596" s="12">
        <v>740.79</v>
      </c>
      <c r="O2596" s="12">
        <v>11841.02</v>
      </c>
    </row>
    <row r="2597" spans="1:15">
      <c r="A2597" t="s">
        <v>2771</v>
      </c>
      <c r="B2597" t="s">
        <v>129</v>
      </c>
      <c r="C2597" s="9">
        <v>25203</v>
      </c>
      <c r="D2597">
        <v>57</v>
      </c>
      <c r="E2597" t="s">
        <v>17</v>
      </c>
      <c r="F2597" t="s">
        <v>22</v>
      </c>
      <c r="G2597" s="9">
        <v>45596</v>
      </c>
      <c r="H2597" s="9">
        <v>45108</v>
      </c>
      <c r="I2597">
        <v>12</v>
      </c>
      <c r="J2597" t="s">
        <v>32</v>
      </c>
      <c r="K2597">
        <v>13</v>
      </c>
      <c r="L2597">
        <v>5</v>
      </c>
      <c r="M2597" s="11">
        <v>6171.22</v>
      </c>
      <c r="N2597" s="12">
        <v>7752.6</v>
      </c>
      <c r="O2597" s="12">
        <v>13742.24</v>
      </c>
    </row>
    <row r="2598" spans="1:15">
      <c r="A2598" t="s">
        <v>2772</v>
      </c>
      <c r="B2598" t="s">
        <v>244</v>
      </c>
      <c r="C2598" s="9">
        <v>32143</v>
      </c>
      <c r="D2598">
        <v>38</v>
      </c>
      <c r="E2598" t="s">
        <v>21</v>
      </c>
      <c r="F2598" t="s">
        <v>74</v>
      </c>
      <c r="G2598" s="9">
        <v>44941</v>
      </c>
      <c r="H2598" s="9">
        <v>45661</v>
      </c>
      <c r="I2598">
        <v>21</v>
      </c>
      <c r="J2598" t="s">
        <v>32</v>
      </c>
      <c r="K2598">
        <v>10</v>
      </c>
      <c r="L2598">
        <v>4</v>
      </c>
      <c r="M2598" s="11">
        <v>6300.94</v>
      </c>
      <c r="N2598" s="12">
        <v>3061.28</v>
      </c>
      <c r="O2598" s="12">
        <v>17358.39</v>
      </c>
    </row>
    <row r="2599" spans="1:15">
      <c r="A2599" t="s">
        <v>2773</v>
      </c>
      <c r="B2599" t="s">
        <v>502</v>
      </c>
      <c r="C2599" s="9">
        <f>DATE(2026-D2559,1,1)</f>
        <v>43101</v>
      </c>
      <c r="D2599">
        <v>4</v>
      </c>
      <c r="E2599" t="s">
        <v>21</v>
      </c>
      <c r="F2599" t="s">
        <v>22</v>
      </c>
      <c r="G2599" s="9">
        <v>45244</v>
      </c>
      <c r="H2599" s="9">
        <v>45803</v>
      </c>
      <c r="I2599">
        <v>2</v>
      </c>
      <c r="J2599" t="s">
        <v>26</v>
      </c>
      <c r="K2599">
        <v>1</v>
      </c>
      <c r="L2599">
        <v>2</v>
      </c>
      <c r="M2599" s="11">
        <v>27140.76</v>
      </c>
      <c r="N2599" s="12">
        <v>4501.04</v>
      </c>
      <c r="O2599" s="12">
        <v>7395.11</v>
      </c>
    </row>
    <row r="2600" spans="1:15">
      <c r="A2600" t="s">
        <v>2774</v>
      </c>
      <c r="B2600" t="s">
        <v>153</v>
      </c>
      <c r="C2600" s="9">
        <v>22646</v>
      </c>
      <c r="D2600">
        <v>64</v>
      </c>
      <c r="E2600" t="s">
        <v>17</v>
      </c>
      <c r="F2600" t="s">
        <v>29</v>
      </c>
      <c r="G2600" s="9">
        <v>45169</v>
      </c>
      <c r="H2600" s="9">
        <v>45588</v>
      </c>
      <c r="I2600">
        <v>35</v>
      </c>
      <c r="J2600" t="s">
        <v>32</v>
      </c>
      <c r="K2600">
        <v>4</v>
      </c>
      <c r="L2600">
        <v>9</v>
      </c>
      <c r="M2600" s="11">
        <v>23317.599999999999</v>
      </c>
      <c r="N2600" s="12">
        <v>3762.91</v>
      </c>
      <c r="O2600" s="12">
        <v>15273.03</v>
      </c>
    </row>
    <row r="2601" spans="1:15">
      <c r="A2601" t="s">
        <v>2775</v>
      </c>
      <c r="B2601" t="s">
        <v>119</v>
      </c>
      <c r="C2601" s="9">
        <v>41639</v>
      </c>
      <c r="D2601">
        <v>12</v>
      </c>
      <c r="E2601" t="s">
        <v>17</v>
      </c>
      <c r="F2601" t="s">
        <v>25</v>
      </c>
      <c r="G2601" s="9">
        <v>44943</v>
      </c>
      <c r="H2601" s="9">
        <v>45171</v>
      </c>
      <c r="I2601">
        <v>26</v>
      </c>
      <c r="J2601" t="s">
        <v>32</v>
      </c>
      <c r="K2601">
        <v>13</v>
      </c>
      <c r="L2601">
        <v>9</v>
      </c>
      <c r="M2601" s="11">
        <v>615.47</v>
      </c>
      <c r="N2601" s="12">
        <v>5211.72</v>
      </c>
      <c r="O2601" s="12">
        <v>4725.62</v>
      </c>
    </row>
    <row r="2602" spans="1:15">
      <c r="A2602" t="s">
        <v>2776</v>
      </c>
      <c r="B2602" t="s">
        <v>55</v>
      </c>
      <c r="C2602" s="9">
        <v>15341</v>
      </c>
      <c r="D2602">
        <v>84</v>
      </c>
      <c r="E2602" t="s">
        <v>17</v>
      </c>
      <c r="F2602" t="s">
        <v>22</v>
      </c>
      <c r="G2602" s="9">
        <v>45460</v>
      </c>
      <c r="H2602" s="9">
        <v>45240</v>
      </c>
      <c r="I2602">
        <v>8</v>
      </c>
      <c r="J2602" t="s">
        <v>35</v>
      </c>
      <c r="K2602">
        <v>2</v>
      </c>
      <c r="L2602">
        <v>6</v>
      </c>
      <c r="M2602" s="11">
        <v>28253.05</v>
      </c>
      <c r="N2602" s="12">
        <v>933.9</v>
      </c>
      <c r="O2602" s="12">
        <v>13577</v>
      </c>
    </row>
    <row r="2603" spans="1:15">
      <c r="A2603" t="s">
        <v>2777</v>
      </c>
      <c r="B2603" t="s">
        <v>172</v>
      </c>
      <c r="C2603" s="9">
        <v>13515</v>
      </c>
      <c r="D2603">
        <v>89</v>
      </c>
      <c r="E2603" t="s">
        <v>21</v>
      </c>
      <c r="F2603" t="s">
        <v>25</v>
      </c>
      <c r="G2603" s="9">
        <v>45007</v>
      </c>
      <c r="H2603" s="9">
        <v>45003</v>
      </c>
      <c r="I2603">
        <v>1</v>
      </c>
      <c r="J2603" t="s">
        <v>26</v>
      </c>
      <c r="K2603">
        <v>14</v>
      </c>
      <c r="L2603">
        <v>6</v>
      </c>
      <c r="M2603" s="11">
        <v>2933.24</v>
      </c>
      <c r="N2603" s="12">
        <v>8652.57</v>
      </c>
      <c r="O2603" s="12">
        <v>9281.58</v>
      </c>
    </row>
    <row r="2604" spans="1:15">
      <c r="A2604" t="s">
        <v>2778</v>
      </c>
      <c r="B2604" t="s">
        <v>367</v>
      </c>
      <c r="C2604" s="9">
        <v>15341</v>
      </c>
      <c r="D2604">
        <v>84</v>
      </c>
      <c r="E2604" t="s">
        <v>17</v>
      </c>
      <c r="F2604" t="s">
        <v>22</v>
      </c>
      <c r="G2604" s="9">
        <v>45582</v>
      </c>
      <c r="H2604" s="9">
        <v>45808</v>
      </c>
      <c r="I2604">
        <v>7</v>
      </c>
      <c r="J2604" t="s">
        <v>35</v>
      </c>
      <c r="K2604">
        <v>4</v>
      </c>
      <c r="L2604">
        <v>6</v>
      </c>
      <c r="M2604" s="11">
        <v>19414.740000000002</v>
      </c>
      <c r="N2604" s="12">
        <v>686.3</v>
      </c>
      <c r="O2604" s="12">
        <v>13199.78</v>
      </c>
    </row>
    <row r="2605" spans="1:15">
      <c r="A2605" t="s">
        <v>2779</v>
      </c>
      <c r="B2605" t="s">
        <v>539</v>
      </c>
      <c r="C2605" s="9">
        <v>27029</v>
      </c>
      <c r="D2605">
        <v>52</v>
      </c>
      <c r="E2605" t="s">
        <v>21</v>
      </c>
      <c r="F2605" t="s">
        <v>29</v>
      </c>
      <c r="G2605" s="9">
        <v>45362</v>
      </c>
      <c r="H2605" s="9">
        <v>45189</v>
      </c>
      <c r="I2605">
        <v>31</v>
      </c>
      <c r="J2605" t="s">
        <v>32</v>
      </c>
      <c r="K2605">
        <v>2</v>
      </c>
      <c r="L2605">
        <v>5</v>
      </c>
      <c r="M2605" s="11">
        <v>16320.84</v>
      </c>
      <c r="N2605" s="12">
        <v>9908.75</v>
      </c>
      <c r="O2605" s="12">
        <v>7534.13</v>
      </c>
    </row>
    <row r="2606" spans="1:15">
      <c r="A2606" t="s">
        <v>2780</v>
      </c>
      <c r="B2606" t="s">
        <v>31</v>
      </c>
      <c r="C2606" s="9">
        <v>16437</v>
      </c>
      <c r="D2606">
        <v>81</v>
      </c>
      <c r="E2606" t="s">
        <v>17</v>
      </c>
      <c r="F2606" t="s">
        <v>49</v>
      </c>
      <c r="G2606" s="9">
        <v>44934</v>
      </c>
      <c r="H2606" s="9">
        <v>45158</v>
      </c>
      <c r="I2606">
        <v>1</v>
      </c>
      <c r="J2606" t="s">
        <v>26</v>
      </c>
      <c r="K2606">
        <v>1</v>
      </c>
      <c r="L2606">
        <v>3</v>
      </c>
      <c r="M2606" s="11">
        <v>923.52</v>
      </c>
      <c r="N2606" s="12">
        <v>10962.03</v>
      </c>
      <c r="O2606" s="12">
        <v>5816.22</v>
      </c>
    </row>
    <row r="2607" spans="1:15">
      <c r="A2607" t="s">
        <v>2781</v>
      </c>
      <c r="B2607" t="s">
        <v>24</v>
      </c>
      <c r="C2607" s="9">
        <v>29951</v>
      </c>
      <c r="D2607">
        <v>44</v>
      </c>
      <c r="E2607" t="s">
        <v>17</v>
      </c>
      <c r="F2607" t="s">
        <v>22</v>
      </c>
      <c r="G2607" s="9">
        <v>45605</v>
      </c>
      <c r="H2607" s="9">
        <v>45630</v>
      </c>
      <c r="I2607">
        <v>7</v>
      </c>
      <c r="J2607" t="s">
        <v>32</v>
      </c>
      <c r="K2607">
        <v>0</v>
      </c>
      <c r="L2607">
        <v>8</v>
      </c>
      <c r="M2607" s="11">
        <v>8502.7800000000007</v>
      </c>
      <c r="N2607" s="12">
        <v>7290.96</v>
      </c>
      <c r="O2607" s="12">
        <v>9668.4</v>
      </c>
    </row>
    <row r="2608" spans="1:15">
      <c r="A2608" t="s">
        <v>2782</v>
      </c>
      <c r="B2608" t="s">
        <v>254</v>
      </c>
      <c r="C2608" s="9">
        <v>34700</v>
      </c>
      <c r="D2608">
        <v>31</v>
      </c>
      <c r="E2608" t="s">
        <v>17</v>
      </c>
      <c r="F2608" t="s">
        <v>74</v>
      </c>
      <c r="G2608" s="9">
        <v>45213</v>
      </c>
      <c r="H2608" s="9">
        <v>45307</v>
      </c>
      <c r="I2608">
        <v>30</v>
      </c>
      <c r="J2608" t="s">
        <v>32</v>
      </c>
      <c r="K2608">
        <v>2</v>
      </c>
      <c r="L2608">
        <v>8</v>
      </c>
      <c r="M2608" s="11">
        <v>23163.53</v>
      </c>
      <c r="N2608" s="12">
        <v>11718.86</v>
      </c>
      <c r="O2608" s="12">
        <v>17891.560000000001</v>
      </c>
    </row>
    <row r="2609" spans="1:15">
      <c r="A2609" t="s">
        <v>2783</v>
      </c>
      <c r="B2609" t="s">
        <v>37</v>
      </c>
      <c r="C2609" s="9">
        <v>33239</v>
      </c>
      <c r="D2609">
        <v>35</v>
      </c>
      <c r="E2609" t="s">
        <v>17</v>
      </c>
      <c r="F2609" t="s">
        <v>22</v>
      </c>
      <c r="G2609" s="9">
        <v>45112</v>
      </c>
      <c r="H2609" s="9">
        <v>45573</v>
      </c>
      <c r="I2609">
        <v>15</v>
      </c>
      <c r="J2609" t="s">
        <v>32</v>
      </c>
      <c r="K2609">
        <v>8</v>
      </c>
      <c r="L2609">
        <v>6</v>
      </c>
      <c r="M2609" s="11">
        <v>8859.84</v>
      </c>
      <c r="N2609" s="12">
        <v>14510.86</v>
      </c>
      <c r="O2609" s="12">
        <v>13464.53</v>
      </c>
    </row>
    <row r="2610" spans="1:15">
      <c r="A2610" t="s">
        <v>2784</v>
      </c>
      <c r="B2610" t="s">
        <v>71</v>
      </c>
      <c r="C2610" s="9">
        <f>DATE(2026-D2570,1,1)</f>
        <v>40179</v>
      </c>
      <c r="D2610">
        <f ca="1">DATEDIF(C2561,TODAY(),"Y")</f>
        <v>72</v>
      </c>
      <c r="E2610" t="s">
        <v>17</v>
      </c>
      <c r="F2610" t="s">
        <v>29</v>
      </c>
      <c r="G2610" s="9">
        <v>45450</v>
      </c>
      <c r="H2610" s="9">
        <v>45236</v>
      </c>
      <c r="I2610">
        <v>9</v>
      </c>
      <c r="J2610" t="s">
        <v>32</v>
      </c>
      <c r="K2610">
        <v>0</v>
      </c>
      <c r="L2610">
        <v>6</v>
      </c>
      <c r="M2610" s="11">
        <v>14150.14</v>
      </c>
      <c r="N2610" s="12">
        <v>5100.79</v>
      </c>
      <c r="O2610" s="12">
        <v>12194.31</v>
      </c>
    </row>
    <row r="2611" spans="1:15">
      <c r="A2611" t="s">
        <v>2785</v>
      </c>
      <c r="B2611" t="s">
        <v>61</v>
      </c>
      <c r="C2611" s="9">
        <v>24473</v>
      </c>
      <c r="D2611">
        <v>59</v>
      </c>
      <c r="E2611" t="s">
        <v>17</v>
      </c>
      <c r="F2611" t="s">
        <v>22</v>
      </c>
      <c r="G2611" s="9">
        <v>45348</v>
      </c>
      <c r="H2611" s="9">
        <v>45691</v>
      </c>
      <c r="I2611">
        <v>20</v>
      </c>
      <c r="J2611" t="s">
        <v>32</v>
      </c>
      <c r="K2611">
        <v>5</v>
      </c>
      <c r="L2611">
        <v>7</v>
      </c>
      <c r="M2611" s="11">
        <v>20787.490000000002</v>
      </c>
      <c r="N2611" s="12">
        <v>9283.6</v>
      </c>
      <c r="O2611" s="12">
        <v>14369.29</v>
      </c>
    </row>
    <row r="2612" spans="1:15">
      <c r="A2612" t="s">
        <v>2786</v>
      </c>
      <c r="B2612" t="s">
        <v>184</v>
      </c>
      <c r="C2612" s="9">
        <v>42370</v>
      </c>
      <c r="D2612">
        <v>10</v>
      </c>
      <c r="E2612" t="s">
        <v>21</v>
      </c>
      <c r="F2612" t="s">
        <v>74</v>
      </c>
      <c r="G2612" s="9">
        <v>45392</v>
      </c>
      <c r="H2612" s="9">
        <v>45315</v>
      </c>
      <c r="I2612">
        <v>22</v>
      </c>
      <c r="J2612" t="s">
        <v>32</v>
      </c>
      <c r="K2612">
        <v>13</v>
      </c>
      <c r="L2612">
        <v>4</v>
      </c>
      <c r="M2612" s="11">
        <v>0</v>
      </c>
      <c r="N2612" s="12">
        <v>4855.9799999999996</v>
      </c>
      <c r="O2612" s="12">
        <v>14555.14</v>
      </c>
    </row>
    <row r="2613" spans="1:15">
      <c r="A2613" t="s">
        <v>2787</v>
      </c>
      <c r="B2613" t="s">
        <v>264</v>
      </c>
      <c r="C2613" s="9">
        <v>23377</v>
      </c>
      <c r="D2613">
        <v>62</v>
      </c>
      <c r="E2613" t="s">
        <v>17</v>
      </c>
      <c r="F2613" t="s">
        <v>5184</v>
      </c>
      <c r="G2613" s="9">
        <v>45009</v>
      </c>
      <c r="H2613" s="9">
        <v>45684</v>
      </c>
      <c r="I2613">
        <v>34</v>
      </c>
      <c r="J2613" t="s">
        <v>32</v>
      </c>
      <c r="K2613">
        <v>1</v>
      </c>
      <c r="L2613">
        <v>8</v>
      </c>
      <c r="M2613" s="11">
        <v>0</v>
      </c>
      <c r="N2613" s="12">
        <v>6650.78</v>
      </c>
      <c r="O2613" s="12">
        <v>5824.36</v>
      </c>
    </row>
    <row r="2614" spans="1:15">
      <c r="A2614" t="s">
        <v>2788</v>
      </c>
      <c r="B2614" t="s">
        <v>502</v>
      </c>
      <c r="C2614" s="9">
        <v>38717</v>
      </c>
      <c r="D2614">
        <v>20</v>
      </c>
      <c r="E2614" t="s">
        <v>17</v>
      </c>
      <c r="F2614" t="s">
        <v>74</v>
      </c>
      <c r="G2614" s="9">
        <v>45493</v>
      </c>
      <c r="H2614" s="9">
        <v>45704</v>
      </c>
      <c r="I2614">
        <v>1</v>
      </c>
      <c r="J2614" t="s">
        <v>32</v>
      </c>
      <c r="K2614">
        <v>12</v>
      </c>
      <c r="L2614">
        <v>5</v>
      </c>
      <c r="M2614" s="11">
        <v>768.23</v>
      </c>
      <c r="N2614" s="12">
        <v>312.38</v>
      </c>
      <c r="O2614" s="12">
        <v>4578.03</v>
      </c>
    </row>
    <row r="2615" spans="1:15">
      <c r="A2615" t="s">
        <v>2789</v>
      </c>
      <c r="B2615" t="s">
        <v>502</v>
      </c>
      <c r="C2615" s="9">
        <v>27395</v>
      </c>
      <c r="D2615">
        <v>51</v>
      </c>
      <c r="E2615" t="s">
        <v>21</v>
      </c>
      <c r="F2615" t="s">
        <v>29</v>
      </c>
      <c r="G2615" s="9">
        <v>45569</v>
      </c>
      <c r="H2615" s="9">
        <v>45252</v>
      </c>
      <c r="I2615">
        <v>10</v>
      </c>
      <c r="J2615" t="s">
        <v>26</v>
      </c>
      <c r="K2615">
        <v>9</v>
      </c>
      <c r="L2615">
        <v>6</v>
      </c>
      <c r="M2615" s="11">
        <v>7502.82</v>
      </c>
      <c r="N2615" s="12">
        <v>1115.25</v>
      </c>
      <c r="O2615" s="12">
        <v>10133.549999999999</v>
      </c>
    </row>
    <row r="2616" spans="1:15">
      <c r="A2616" t="s">
        <v>2790</v>
      </c>
      <c r="B2616" t="s">
        <v>469</v>
      </c>
      <c r="C2616" s="9">
        <v>26299</v>
      </c>
      <c r="D2616">
        <v>54</v>
      </c>
      <c r="E2616" t="s">
        <v>17</v>
      </c>
      <c r="F2616" t="s">
        <v>25</v>
      </c>
      <c r="G2616" s="9">
        <v>45563</v>
      </c>
      <c r="H2616" s="9">
        <v>45769</v>
      </c>
      <c r="I2616">
        <v>15</v>
      </c>
      <c r="J2616" t="s">
        <v>32</v>
      </c>
      <c r="K2616">
        <v>14</v>
      </c>
      <c r="L2616">
        <v>6</v>
      </c>
      <c r="M2616" s="11">
        <v>22773.55</v>
      </c>
      <c r="N2616" s="12">
        <v>11962.93</v>
      </c>
      <c r="O2616" s="12">
        <v>2871.52</v>
      </c>
    </row>
    <row r="2617" spans="1:15">
      <c r="A2617" t="s">
        <v>2791</v>
      </c>
      <c r="B2617" t="s">
        <v>201</v>
      </c>
      <c r="C2617" s="9">
        <v>36891</v>
      </c>
      <c r="D2617">
        <v>25</v>
      </c>
      <c r="E2617" t="s">
        <v>21</v>
      </c>
      <c r="F2617" t="s">
        <v>22</v>
      </c>
      <c r="G2617" s="9">
        <v>45409</v>
      </c>
      <c r="H2617" s="9">
        <v>45806</v>
      </c>
      <c r="I2617">
        <v>26</v>
      </c>
      <c r="J2617" t="s">
        <v>26</v>
      </c>
      <c r="K2617">
        <v>1</v>
      </c>
      <c r="L2617">
        <v>8</v>
      </c>
      <c r="M2617" s="11">
        <v>27312.19</v>
      </c>
      <c r="N2617" s="12">
        <v>2098.62</v>
      </c>
      <c r="O2617" s="12">
        <v>9442.2900000000009</v>
      </c>
    </row>
    <row r="2618" spans="1:15">
      <c r="A2618" t="s">
        <v>2792</v>
      </c>
      <c r="B2618" t="s">
        <v>84</v>
      </c>
      <c r="C2618" s="9">
        <v>21551</v>
      </c>
      <c r="D2618">
        <v>67</v>
      </c>
      <c r="E2618" t="s">
        <v>17</v>
      </c>
      <c r="F2618" t="s">
        <v>49</v>
      </c>
      <c r="G2618" s="9">
        <v>45251</v>
      </c>
      <c r="H2618" s="9">
        <v>45383</v>
      </c>
      <c r="I2618">
        <v>27</v>
      </c>
      <c r="J2618" t="s">
        <v>35</v>
      </c>
      <c r="K2618">
        <v>3</v>
      </c>
      <c r="L2618">
        <v>6</v>
      </c>
      <c r="M2618" s="11">
        <v>22690.48</v>
      </c>
      <c r="N2618" s="12">
        <v>10487.27</v>
      </c>
      <c r="O2618" s="12">
        <v>13830.21</v>
      </c>
    </row>
    <row r="2619" spans="1:15">
      <c r="A2619" t="s">
        <v>2793</v>
      </c>
      <c r="B2619" t="s">
        <v>135</v>
      </c>
      <c r="C2619" s="9">
        <v>33969</v>
      </c>
      <c r="D2619">
        <v>33</v>
      </c>
      <c r="E2619" t="s">
        <v>17</v>
      </c>
      <c r="F2619" t="s">
        <v>74</v>
      </c>
      <c r="G2619" s="9">
        <v>45345</v>
      </c>
      <c r="H2619" s="9">
        <v>45439</v>
      </c>
      <c r="I2619">
        <v>35</v>
      </c>
      <c r="J2619" t="s">
        <v>26</v>
      </c>
      <c r="K2619">
        <v>14</v>
      </c>
      <c r="L2619">
        <v>2</v>
      </c>
      <c r="M2619" s="11">
        <v>6423.48</v>
      </c>
      <c r="N2619" s="12">
        <v>10633.01</v>
      </c>
      <c r="O2619" s="12">
        <v>48.94</v>
      </c>
    </row>
    <row r="2620" spans="1:15">
      <c r="A2620" t="s">
        <v>2794</v>
      </c>
      <c r="B2620" t="s">
        <v>286</v>
      </c>
      <c r="C2620" s="9">
        <v>27395</v>
      </c>
      <c r="D2620">
        <v>51</v>
      </c>
      <c r="E2620" t="s">
        <v>21</v>
      </c>
      <c r="F2620" t="s">
        <v>5184</v>
      </c>
      <c r="G2620" s="9">
        <v>44977</v>
      </c>
      <c r="H2620" s="9">
        <v>45270</v>
      </c>
      <c r="I2620">
        <v>25</v>
      </c>
      <c r="J2620" t="s">
        <v>32</v>
      </c>
      <c r="K2620">
        <v>5</v>
      </c>
      <c r="L2620">
        <v>5</v>
      </c>
      <c r="M2620" s="11">
        <v>29564.58</v>
      </c>
      <c r="N2620" s="12">
        <v>14943.39</v>
      </c>
      <c r="O2620" s="12">
        <v>2134.06</v>
      </c>
    </row>
    <row r="2621" spans="1:15">
      <c r="A2621" t="s">
        <v>2795</v>
      </c>
      <c r="B2621" t="s">
        <v>192</v>
      </c>
      <c r="C2621" s="9">
        <v>16437</v>
      </c>
      <c r="D2621">
        <v>81</v>
      </c>
      <c r="E2621" t="s">
        <v>17</v>
      </c>
      <c r="F2621" t="s">
        <v>74</v>
      </c>
      <c r="G2621" s="9">
        <v>44953</v>
      </c>
      <c r="H2621" s="9">
        <v>45443</v>
      </c>
      <c r="I2621">
        <v>4</v>
      </c>
      <c r="J2621" t="s">
        <v>35</v>
      </c>
      <c r="K2621">
        <v>12</v>
      </c>
      <c r="L2621">
        <v>5</v>
      </c>
      <c r="M2621" s="11">
        <v>12106.69</v>
      </c>
      <c r="N2621" s="12">
        <v>10433.94</v>
      </c>
      <c r="O2621" s="12">
        <v>19239.29</v>
      </c>
    </row>
    <row r="2622" spans="1:15">
      <c r="A2622" t="s">
        <v>2796</v>
      </c>
      <c r="B2622" t="s">
        <v>671</v>
      </c>
      <c r="C2622" s="9">
        <v>12419</v>
      </c>
      <c r="D2622">
        <v>92</v>
      </c>
      <c r="E2622" t="s">
        <v>21</v>
      </c>
      <c r="F2622" t="s">
        <v>22</v>
      </c>
      <c r="G2622" s="9">
        <v>45603</v>
      </c>
      <c r="H2622" s="9">
        <v>45369</v>
      </c>
      <c r="I2622">
        <v>21</v>
      </c>
      <c r="J2622" t="s">
        <v>32</v>
      </c>
      <c r="K2622">
        <v>1</v>
      </c>
      <c r="L2622">
        <v>6</v>
      </c>
      <c r="M2622" s="11">
        <v>10981.76</v>
      </c>
      <c r="N2622" s="12">
        <v>1931.19</v>
      </c>
      <c r="O2622" s="12">
        <v>18551.63</v>
      </c>
    </row>
    <row r="2623" spans="1:15">
      <c r="A2623" t="s">
        <v>2797</v>
      </c>
      <c r="B2623" t="s">
        <v>514</v>
      </c>
      <c r="C2623" s="9">
        <v>27395</v>
      </c>
      <c r="D2623">
        <v>51</v>
      </c>
      <c r="E2623" t="s">
        <v>17</v>
      </c>
      <c r="F2623" t="s">
        <v>25</v>
      </c>
      <c r="G2623" s="9">
        <v>45471</v>
      </c>
      <c r="H2623" s="9">
        <v>45476</v>
      </c>
      <c r="I2623">
        <v>38</v>
      </c>
      <c r="J2623" t="s">
        <v>26</v>
      </c>
      <c r="K2623">
        <v>14</v>
      </c>
      <c r="L2623">
        <v>5</v>
      </c>
      <c r="M2623" s="11">
        <v>25889.68</v>
      </c>
      <c r="N2623" s="12">
        <v>9398.1200000000008</v>
      </c>
      <c r="O2623" s="12">
        <v>8300.1200000000008</v>
      </c>
    </row>
    <row r="2624" spans="1:15">
      <c r="A2624" t="s">
        <v>2798</v>
      </c>
      <c r="B2624" t="s">
        <v>619</v>
      </c>
      <c r="C2624" s="9">
        <v>35795</v>
      </c>
      <c r="D2624">
        <v>28</v>
      </c>
      <c r="E2624" t="s">
        <v>21</v>
      </c>
      <c r="F2624" t="s">
        <v>22</v>
      </c>
      <c r="G2624" s="9">
        <v>44988</v>
      </c>
      <c r="H2624" s="9">
        <v>45510</v>
      </c>
      <c r="I2624">
        <v>7</v>
      </c>
      <c r="J2624" t="s">
        <v>26</v>
      </c>
      <c r="K2624">
        <v>10</v>
      </c>
      <c r="L2624">
        <v>3</v>
      </c>
      <c r="M2624" s="11">
        <v>1519.37</v>
      </c>
      <c r="N2624" s="12">
        <v>7862.14</v>
      </c>
      <c r="O2624" s="12">
        <v>11759.66</v>
      </c>
    </row>
    <row r="2625" spans="1:15">
      <c r="A2625" t="s">
        <v>2799</v>
      </c>
      <c r="B2625" t="s">
        <v>487</v>
      </c>
      <c r="C2625" s="9">
        <v>32508</v>
      </c>
      <c r="D2625">
        <v>37</v>
      </c>
      <c r="E2625" t="s">
        <v>21</v>
      </c>
      <c r="F2625" t="s">
        <v>5184</v>
      </c>
      <c r="G2625" s="9">
        <v>45583</v>
      </c>
      <c r="H2625" s="9">
        <v>45189</v>
      </c>
      <c r="I2625">
        <v>34</v>
      </c>
      <c r="J2625" t="s">
        <v>32</v>
      </c>
      <c r="K2625">
        <v>10</v>
      </c>
      <c r="L2625">
        <v>5</v>
      </c>
      <c r="M2625" s="11">
        <v>16460.48</v>
      </c>
      <c r="N2625" s="12">
        <v>13760.86</v>
      </c>
      <c r="O2625" s="12">
        <v>3021.38</v>
      </c>
    </row>
    <row r="2626" spans="1:15">
      <c r="A2626" t="s">
        <v>2800</v>
      </c>
      <c r="B2626" t="s">
        <v>181</v>
      </c>
      <c r="C2626" s="9">
        <v>31047</v>
      </c>
      <c r="D2626">
        <v>41</v>
      </c>
      <c r="E2626" t="s">
        <v>21</v>
      </c>
      <c r="F2626" t="s">
        <v>5184</v>
      </c>
      <c r="G2626" s="9">
        <v>45097</v>
      </c>
      <c r="H2626" s="9">
        <v>45676</v>
      </c>
      <c r="I2626">
        <v>24</v>
      </c>
      <c r="J2626" t="s">
        <v>32</v>
      </c>
      <c r="K2626">
        <v>2</v>
      </c>
      <c r="L2626">
        <v>2</v>
      </c>
      <c r="M2626" s="11">
        <v>28951.59</v>
      </c>
      <c r="N2626" s="12">
        <v>10352.25</v>
      </c>
      <c r="O2626" s="12">
        <v>6553.34</v>
      </c>
    </row>
    <row r="2627" spans="1:15">
      <c r="A2627" t="s">
        <v>2801</v>
      </c>
      <c r="B2627" t="s">
        <v>51</v>
      </c>
      <c r="C2627" s="9">
        <v>38717</v>
      </c>
      <c r="D2627">
        <v>20</v>
      </c>
      <c r="E2627" t="s">
        <v>21</v>
      </c>
      <c r="F2627" t="s">
        <v>29</v>
      </c>
      <c r="G2627" s="9">
        <v>45212</v>
      </c>
      <c r="H2627" s="9">
        <v>45746</v>
      </c>
      <c r="I2627">
        <v>18</v>
      </c>
      <c r="J2627" t="s">
        <v>32</v>
      </c>
      <c r="K2627">
        <v>3</v>
      </c>
      <c r="L2627">
        <v>0</v>
      </c>
      <c r="M2627" s="11">
        <v>2553.98</v>
      </c>
      <c r="N2627" s="12">
        <v>7777.18</v>
      </c>
      <c r="O2627" s="12">
        <v>15837.94</v>
      </c>
    </row>
    <row r="2628" spans="1:15">
      <c r="A2628" t="s">
        <v>2802</v>
      </c>
      <c r="B2628" t="s">
        <v>163</v>
      </c>
      <c r="C2628" s="9">
        <v>31047</v>
      </c>
      <c r="D2628">
        <v>41</v>
      </c>
      <c r="E2628" t="s">
        <v>17</v>
      </c>
      <c r="F2628" t="s">
        <v>49</v>
      </c>
      <c r="G2628" s="9">
        <v>45043</v>
      </c>
      <c r="H2628" s="9">
        <v>45390</v>
      </c>
      <c r="I2628">
        <v>33</v>
      </c>
      <c r="J2628" t="s">
        <v>32</v>
      </c>
      <c r="K2628">
        <v>0</v>
      </c>
      <c r="L2628">
        <v>0</v>
      </c>
      <c r="M2628" s="11">
        <v>0</v>
      </c>
      <c r="N2628" s="12">
        <v>9363.2099999999991</v>
      </c>
      <c r="O2628" s="12">
        <v>17104.93</v>
      </c>
    </row>
    <row r="2629" spans="1:15">
      <c r="A2629" t="s">
        <v>2803</v>
      </c>
      <c r="B2629" t="s">
        <v>46</v>
      </c>
      <c r="C2629" s="9">
        <v>41639</v>
      </c>
      <c r="D2629">
        <v>12</v>
      </c>
      <c r="E2629" t="s">
        <v>17</v>
      </c>
      <c r="F2629" t="s">
        <v>22</v>
      </c>
      <c r="G2629" s="9">
        <v>44930</v>
      </c>
      <c r="H2629" s="9">
        <v>45794</v>
      </c>
      <c r="I2629">
        <v>26</v>
      </c>
      <c r="J2629" t="s">
        <v>32</v>
      </c>
      <c r="K2629">
        <v>5</v>
      </c>
      <c r="L2629">
        <v>4</v>
      </c>
      <c r="M2629" s="11">
        <v>3539.93</v>
      </c>
      <c r="N2629" s="12">
        <v>6651.9</v>
      </c>
      <c r="O2629" s="12">
        <v>8046.37</v>
      </c>
    </row>
    <row r="2630" spans="1:15">
      <c r="A2630" t="s">
        <v>2804</v>
      </c>
      <c r="B2630" t="s">
        <v>412</v>
      </c>
      <c r="C2630" s="9">
        <v>23012</v>
      </c>
      <c r="D2630">
        <v>63</v>
      </c>
      <c r="E2630" t="s">
        <v>21</v>
      </c>
      <c r="F2630" t="s">
        <v>74</v>
      </c>
      <c r="G2630" s="9">
        <v>44992</v>
      </c>
      <c r="H2630" s="9">
        <v>45617</v>
      </c>
      <c r="I2630">
        <v>4</v>
      </c>
      <c r="J2630" t="s">
        <v>32</v>
      </c>
      <c r="K2630">
        <v>2</v>
      </c>
      <c r="L2630">
        <v>7</v>
      </c>
      <c r="M2630" s="11">
        <v>26644.33</v>
      </c>
      <c r="N2630" s="12">
        <v>7626.11</v>
      </c>
      <c r="O2630" s="12">
        <v>6152.16</v>
      </c>
    </row>
    <row r="2631" spans="1:15">
      <c r="A2631" t="s">
        <v>2805</v>
      </c>
      <c r="B2631" t="s">
        <v>97</v>
      </c>
      <c r="C2631" s="9">
        <v>40178</v>
      </c>
      <c r="D2631">
        <v>16</v>
      </c>
      <c r="E2631" t="s">
        <v>21</v>
      </c>
      <c r="F2631" t="s">
        <v>74</v>
      </c>
      <c r="G2631" s="9">
        <v>44986</v>
      </c>
      <c r="H2631" s="9">
        <v>45535</v>
      </c>
      <c r="I2631">
        <v>10</v>
      </c>
      <c r="J2631" t="s">
        <v>35</v>
      </c>
      <c r="K2631">
        <v>6</v>
      </c>
      <c r="L2631">
        <v>2</v>
      </c>
      <c r="M2631" s="11">
        <v>17426.330000000002</v>
      </c>
      <c r="N2631" s="12">
        <v>10835.17</v>
      </c>
      <c r="O2631" s="12">
        <v>13601.81</v>
      </c>
    </row>
    <row r="2632" spans="1:15">
      <c r="A2632" t="s">
        <v>2806</v>
      </c>
      <c r="B2632" t="s">
        <v>82</v>
      </c>
      <c r="C2632" s="9">
        <v>43100</v>
      </c>
      <c r="D2632">
        <v>8</v>
      </c>
      <c r="E2632" t="s">
        <v>21</v>
      </c>
      <c r="F2632" t="s">
        <v>29</v>
      </c>
      <c r="G2632" s="9">
        <v>45428</v>
      </c>
      <c r="H2632" s="9">
        <v>45154</v>
      </c>
      <c r="I2632">
        <v>20</v>
      </c>
      <c r="J2632" t="s">
        <v>32</v>
      </c>
      <c r="K2632">
        <v>12</v>
      </c>
      <c r="L2632">
        <v>1</v>
      </c>
      <c r="M2632" s="11">
        <v>6655.4</v>
      </c>
      <c r="N2632" s="12">
        <v>1175.19</v>
      </c>
      <c r="O2632" s="12">
        <v>14329.85</v>
      </c>
    </row>
    <row r="2633" spans="1:15">
      <c r="A2633" t="s">
        <v>2807</v>
      </c>
      <c r="B2633" t="s">
        <v>181</v>
      </c>
      <c r="C2633" s="9">
        <v>31412</v>
      </c>
      <c r="D2633">
        <v>40</v>
      </c>
      <c r="E2633" t="s">
        <v>17</v>
      </c>
      <c r="F2633" t="s">
        <v>25</v>
      </c>
      <c r="G2633" s="9">
        <v>45155</v>
      </c>
      <c r="H2633" s="9">
        <v>45450</v>
      </c>
      <c r="I2633">
        <v>22</v>
      </c>
      <c r="J2633" t="s">
        <v>35</v>
      </c>
      <c r="K2633">
        <v>12</v>
      </c>
      <c r="L2633">
        <v>7</v>
      </c>
      <c r="M2633" s="11">
        <v>8864.81</v>
      </c>
      <c r="N2633" s="12">
        <v>9230.0300000000007</v>
      </c>
      <c r="O2633" s="12">
        <v>19674.52</v>
      </c>
    </row>
    <row r="2634" spans="1:15">
      <c r="A2634" t="s">
        <v>2808</v>
      </c>
      <c r="B2634" t="s">
        <v>55</v>
      </c>
      <c r="C2634" s="9">
        <v>46022</v>
      </c>
      <c r="D2634">
        <v>0</v>
      </c>
      <c r="E2634" t="s">
        <v>17</v>
      </c>
      <c r="F2634" t="s">
        <v>22</v>
      </c>
      <c r="G2634" s="9">
        <v>45026</v>
      </c>
      <c r="H2634" s="9">
        <v>45705</v>
      </c>
      <c r="I2634">
        <v>38</v>
      </c>
      <c r="J2634" t="s">
        <v>32</v>
      </c>
      <c r="K2634">
        <v>13</v>
      </c>
      <c r="L2634">
        <v>8</v>
      </c>
      <c r="M2634" s="11">
        <v>15257.24</v>
      </c>
      <c r="N2634" s="12">
        <v>1323.26</v>
      </c>
      <c r="O2634" s="12">
        <v>13916.31</v>
      </c>
    </row>
    <row r="2635" spans="1:15">
      <c r="A2635" t="s">
        <v>2809</v>
      </c>
      <c r="B2635" t="s">
        <v>268</v>
      </c>
      <c r="C2635" s="9">
        <v>45657</v>
      </c>
      <c r="D2635">
        <v>1</v>
      </c>
      <c r="E2635" t="s">
        <v>21</v>
      </c>
      <c r="F2635" t="s">
        <v>18</v>
      </c>
      <c r="G2635" s="9">
        <v>45045</v>
      </c>
      <c r="H2635" s="9">
        <v>45116</v>
      </c>
      <c r="I2635">
        <v>10</v>
      </c>
      <c r="J2635" t="s">
        <v>32</v>
      </c>
      <c r="K2635">
        <v>1</v>
      </c>
      <c r="L2635">
        <v>8</v>
      </c>
      <c r="M2635" s="11">
        <v>21623.119999999999</v>
      </c>
      <c r="N2635" s="12">
        <v>12826.15</v>
      </c>
      <c r="O2635" s="12">
        <v>4727.32</v>
      </c>
    </row>
    <row r="2636" spans="1:15">
      <c r="A2636" t="s">
        <v>2810</v>
      </c>
      <c r="B2636" t="s">
        <v>654</v>
      </c>
      <c r="C2636" s="9">
        <v>24473</v>
      </c>
      <c r="D2636">
        <v>59</v>
      </c>
      <c r="E2636" t="s">
        <v>17</v>
      </c>
      <c r="F2636" t="s">
        <v>25</v>
      </c>
      <c r="G2636" s="9">
        <v>44995</v>
      </c>
      <c r="H2636" s="9">
        <v>45136</v>
      </c>
      <c r="I2636">
        <v>34</v>
      </c>
      <c r="J2636" t="s">
        <v>32</v>
      </c>
      <c r="K2636">
        <v>8</v>
      </c>
      <c r="L2636">
        <v>1</v>
      </c>
      <c r="M2636" s="11">
        <v>14368.57</v>
      </c>
      <c r="N2636" s="12">
        <v>14136.95</v>
      </c>
      <c r="O2636" s="12">
        <v>1105.69</v>
      </c>
    </row>
    <row r="2637" spans="1:15">
      <c r="A2637" t="s">
        <v>2811</v>
      </c>
      <c r="B2637" t="s">
        <v>119</v>
      </c>
      <c r="C2637" s="9">
        <v>28856</v>
      </c>
      <c r="D2637">
        <v>47</v>
      </c>
      <c r="E2637" t="s">
        <v>21</v>
      </c>
      <c r="F2637" t="s">
        <v>74</v>
      </c>
      <c r="G2637" s="9">
        <v>45590</v>
      </c>
      <c r="H2637" s="9">
        <v>44940</v>
      </c>
      <c r="I2637">
        <v>27</v>
      </c>
      <c r="J2637" t="s">
        <v>26</v>
      </c>
      <c r="K2637">
        <v>1</v>
      </c>
      <c r="L2637">
        <v>7</v>
      </c>
      <c r="M2637" s="11">
        <v>5272.61</v>
      </c>
      <c r="N2637" s="12">
        <v>11703.04</v>
      </c>
      <c r="O2637" s="12">
        <v>5077.8599999999997</v>
      </c>
    </row>
    <row r="2638" spans="1:15">
      <c r="A2638" t="s">
        <v>2812</v>
      </c>
      <c r="B2638" t="s">
        <v>284</v>
      </c>
      <c r="C2638" s="9">
        <v>35795</v>
      </c>
      <c r="D2638">
        <v>28</v>
      </c>
      <c r="E2638" t="s">
        <v>17</v>
      </c>
      <c r="F2638" t="s">
        <v>5184</v>
      </c>
      <c r="G2638" s="9">
        <v>45147</v>
      </c>
      <c r="H2638" s="9">
        <v>45816</v>
      </c>
      <c r="I2638">
        <v>23</v>
      </c>
      <c r="J2638" t="s">
        <v>32</v>
      </c>
      <c r="K2638">
        <v>1</v>
      </c>
      <c r="L2638">
        <v>1</v>
      </c>
      <c r="M2638" s="11">
        <v>21098</v>
      </c>
      <c r="N2638" s="12">
        <v>10770.48</v>
      </c>
      <c r="O2638" s="12">
        <v>4455.72</v>
      </c>
    </row>
    <row r="2639" spans="1:15">
      <c r="A2639" t="s">
        <v>2813</v>
      </c>
      <c r="B2639" t="s">
        <v>209</v>
      </c>
      <c r="C2639" s="9">
        <v>42735</v>
      </c>
      <c r="D2639">
        <v>9</v>
      </c>
      <c r="E2639" t="s">
        <v>17</v>
      </c>
      <c r="F2639" t="s">
        <v>22</v>
      </c>
      <c r="G2639" s="9">
        <v>45149</v>
      </c>
      <c r="H2639" s="9">
        <v>45089</v>
      </c>
      <c r="I2639">
        <v>9</v>
      </c>
      <c r="J2639" t="s">
        <v>32</v>
      </c>
      <c r="K2639">
        <v>2</v>
      </c>
      <c r="L2639">
        <v>6</v>
      </c>
      <c r="M2639" s="11">
        <v>3110.09</v>
      </c>
      <c r="N2639" s="12">
        <v>14156.21</v>
      </c>
      <c r="O2639" s="12">
        <v>1765.97</v>
      </c>
    </row>
    <row r="2640" spans="1:15">
      <c r="A2640" t="s">
        <v>2814</v>
      </c>
      <c r="B2640" t="s">
        <v>78</v>
      </c>
      <c r="C2640" s="9">
        <v>25203</v>
      </c>
      <c r="D2640">
        <v>57</v>
      </c>
      <c r="E2640" t="s">
        <v>17</v>
      </c>
      <c r="F2640" t="s">
        <v>5184</v>
      </c>
      <c r="G2640" s="9">
        <v>45603</v>
      </c>
      <c r="H2640" s="9">
        <v>45499</v>
      </c>
      <c r="I2640">
        <v>2</v>
      </c>
      <c r="J2640" t="s">
        <v>26</v>
      </c>
      <c r="K2640">
        <v>1</v>
      </c>
      <c r="L2640">
        <v>7</v>
      </c>
      <c r="M2640" s="11">
        <v>24186.92</v>
      </c>
      <c r="N2640" s="12">
        <v>3277.92</v>
      </c>
      <c r="O2640" s="12">
        <v>8832.19</v>
      </c>
    </row>
    <row r="2641" spans="1:15">
      <c r="A2641" t="s">
        <v>2815</v>
      </c>
      <c r="B2641" t="s">
        <v>24</v>
      </c>
      <c r="C2641" s="9">
        <v>24473</v>
      </c>
      <c r="D2641">
        <v>59</v>
      </c>
      <c r="E2641" t="s">
        <v>17</v>
      </c>
      <c r="F2641" t="s">
        <v>74</v>
      </c>
      <c r="G2641" s="9">
        <v>45430</v>
      </c>
      <c r="H2641" s="9">
        <v>45420</v>
      </c>
      <c r="I2641">
        <v>15</v>
      </c>
      <c r="J2641" t="s">
        <v>32</v>
      </c>
      <c r="K2641">
        <v>14</v>
      </c>
      <c r="L2641">
        <v>0</v>
      </c>
      <c r="M2641" s="11">
        <v>11565.8</v>
      </c>
      <c r="N2641" s="12">
        <v>3432.49</v>
      </c>
      <c r="O2641" s="12">
        <v>5691.6</v>
      </c>
    </row>
    <row r="2642" spans="1:15">
      <c r="A2642" t="s">
        <v>2816</v>
      </c>
      <c r="B2642" t="s">
        <v>356</v>
      </c>
      <c r="C2642" s="9">
        <v>38717</v>
      </c>
      <c r="D2642">
        <v>20</v>
      </c>
      <c r="E2642" t="s">
        <v>17</v>
      </c>
      <c r="F2642" t="s">
        <v>49</v>
      </c>
      <c r="G2642" s="9">
        <v>45137</v>
      </c>
      <c r="H2642" s="9">
        <v>45362</v>
      </c>
      <c r="I2642">
        <v>18</v>
      </c>
      <c r="J2642" t="s">
        <v>32</v>
      </c>
      <c r="K2642">
        <v>14</v>
      </c>
      <c r="L2642">
        <v>7</v>
      </c>
      <c r="M2642" s="11">
        <v>19407.669999999998</v>
      </c>
      <c r="N2642" s="12">
        <v>7215.23</v>
      </c>
      <c r="O2642" s="12">
        <v>18494.32</v>
      </c>
    </row>
    <row r="2643" spans="1:15">
      <c r="A2643" t="s">
        <v>2817</v>
      </c>
      <c r="B2643" t="s">
        <v>444</v>
      </c>
      <c r="C2643" s="9">
        <v>36161</v>
      </c>
      <c r="D2643">
        <v>27</v>
      </c>
      <c r="E2643" t="s">
        <v>17</v>
      </c>
      <c r="F2643" t="s">
        <v>25</v>
      </c>
      <c r="G2643" s="9">
        <v>45501</v>
      </c>
      <c r="H2643" s="9">
        <v>44932</v>
      </c>
      <c r="I2643">
        <v>21</v>
      </c>
      <c r="J2643" t="s">
        <v>32</v>
      </c>
      <c r="K2643">
        <v>13</v>
      </c>
      <c r="L2643">
        <v>2</v>
      </c>
      <c r="M2643" s="11">
        <v>10013.35</v>
      </c>
      <c r="N2643" s="12">
        <v>111.95</v>
      </c>
      <c r="O2643" s="12">
        <v>8018.59</v>
      </c>
    </row>
    <row r="2644" spans="1:15">
      <c r="A2644" t="s">
        <v>2818</v>
      </c>
      <c r="B2644" t="s">
        <v>135</v>
      </c>
      <c r="C2644" s="9">
        <v>18994</v>
      </c>
      <c r="D2644">
        <v>74</v>
      </c>
      <c r="E2644" t="s">
        <v>17</v>
      </c>
      <c r="F2644" t="s">
        <v>18</v>
      </c>
      <c r="G2644" s="9">
        <v>45188</v>
      </c>
      <c r="H2644" s="9">
        <v>45129</v>
      </c>
      <c r="I2644">
        <v>14</v>
      </c>
      <c r="J2644" t="s">
        <v>32</v>
      </c>
      <c r="K2644">
        <v>3</v>
      </c>
      <c r="L2644">
        <v>0</v>
      </c>
      <c r="M2644" s="11">
        <v>19906.740000000002</v>
      </c>
      <c r="N2644" s="12">
        <v>14476.05</v>
      </c>
      <c r="O2644" s="12">
        <v>17519.990000000002</v>
      </c>
    </row>
    <row r="2645" spans="1:15">
      <c r="A2645" t="s">
        <v>2819</v>
      </c>
      <c r="B2645" t="s">
        <v>412</v>
      </c>
      <c r="C2645" s="9">
        <v>33969</v>
      </c>
      <c r="D2645">
        <v>33</v>
      </c>
      <c r="E2645" t="s">
        <v>21</v>
      </c>
      <c r="F2645" t="s">
        <v>49</v>
      </c>
      <c r="G2645" s="9">
        <v>45444</v>
      </c>
      <c r="H2645" s="9">
        <v>45343</v>
      </c>
      <c r="I2645">
        <v>39</v>
      </c>
      <c r="J2645" t="s">
        <v>32</v>
      </c>
      <c r="K2645">
        <v>12</v>
      </c>
      <c r="L2645">
        <v>6</v>
      </c>
      <c r="M2645" s="11">
        <v>26620.2</v>
      </c>
      <c r="N2645" s="12">
        <v>483.79</v>
      </c>
      <c r="O2645" s="12">
        <v>6065.31</v>
      </c>
    </row>
    <row r="2646" spans="1:15">
      <c r="A2646" t="s">
        <v>2820</v>
      </c>
      <c r="B2646" t="s">
        <v>37</v>
      </c>
      <c r="C2646" s="9">
        <v>43466</v>
      </c>
      <c r="D2646">
        <v>7</v>
      </c>
      <c r="E2646" t="s">
        <v>21</v>
      </c>
      <c r="F2646" t="s">
        <v>18</v>
      </c>
      <c r="G2646" s="9">
        <v>45174</v>
      </c>
      <c r="H2646" s="9">
        <v>44939</v>
      </c>
      <c r="I2646">
        <v>6</v>
      </c>
      <c r="J2646" t="s">
        <v>35</v>
      </c>
      <c r="K2646">
        <v>12</v>
      </c>
      <c r="L2646">
        <v>9</v>
      </c>
      <c r="M2646" s="11">
        <v>20892.830000000002</v>
      </c>
      <c r="N2646" s="12">
        <v>8941.68</v>
      </c>
      <c r="O2646" s="12">
        <v>16612.96</v>
      </c>
    </row>
    <row r="2647" spans="1:15">
      <c r="A2647" t="s">
        <v>2821</v>
      </c>
      <c r="B2647" t="s">
        <v>198</v>
      </c>
      <c r="C2647" s="9">
        <v>24838</v>
      </c>
      <c r="D2647">
        <v>58</v>
      </c>
      <c r="E2647" t="s">
        <v>21</v>
      </c>
      <c r="F2647" t="s">
        <v>49</v>
      </c>
      <c r="G2647" s="9">
        <v>45183</v>
      </c>
      <c r="H2647" s="9">
        <v>45324</v>
      </c>
      <c r="I2647">
        <v>37</v>
      </c>
      <c r="J2647" t="s">
        <v>26</v>
      </c>
      <c r="K2647">
        <v>4</v>
      </c>
      <c r="L2647">
        <v>2</v>
      </c>
      <c r="M2647" s="11">
        <v>19977.97</v>
      </c>
      <c r="N2647" s="12">
        <v>5309.61</v>
      </c>
      <c r="O2647" s="12">
        <v>9035.74</v>
      </c>
    </row>
    <row r="2648" spans="1:15">
      <c r="A2648" t="s">
        <v>2822</v>
      </c>
      <c r="B2648" t="s">
        <v>379</v>
      </c>
      <c r="C2648" s="9">
        <v>14976</v>
      </c>
      <c r="D2648">
        <v>85</v>
      </c>
      <c r="E2648" t="s">
        <v>17</v>
      </c>
      <c r="F2648" t="s">
        <v>25</v>
      </c>
      <c r="G2648" s="9">
        <v>44989</v>
      </c>
      <c r="H2648" s="9">
        <v>45268</v>
      </c>
      <c r="I2648">
        <v>25</v>
      </c>
      <c r="J2648" t="s">
        <v>32</v>
      </c>
      <c r="K2648">
        <v>5</v>
      </c>
      <c r="L2648">
        <v>7</v>
      </c>
      <c r="M2648" s="11">
        <v>22601.03</v>
      </c>
      <c r="N2648" s="12">
        <v>1544.49</v>
      </c>
      <c r="O2648" s="12">
        <v>550.4</v>
      </c>
    </row>
    <row r="2649" spans="1:15">
      <c r="A2649" t="s">
        <v>2823</v>
      </c>
      <c r="B2649" t="s">
        <v>127</v>
      </c>
      <c r="C2649" s="9">
        <v>20090</v>
      </c>
      <c r="D2649">
        <v>71</v>
      </c>
      <c r="E2649" t="s">
        <v>21</v>
      </c>
      <c r="F2649" t="s">
        <v>74</v>
      </c>
      <c r="G2649" s="9">
        <v>45318</v>
      </c>
      <c r="H2649" s="9">
        <v>45679</v>
      </c>
      <c r="I2649">
        <v>12</v>
      </c>
      <c r="J2649" t="s">
        <v>35</v>
      </c>
      <c r="K2649">
        <v>6</v>
      </c>
      <c r="L2649">
        <v>8</v>
      </c>
      <c r="M2649" s="11">
        <v>14756.47</v>
      </c>
      <c r="N2649" s="12">
        <v>369.22</v>
      </c>
      <c r="O2649" s="12">
        <v>9687.76</v>
      </c>
    </row>
    <row r="2650" spans="1:15">
      <c r="A2650" t="s">
        <v>2824</v>
      </c>
      <c r="B2650" t="s">
        <v>379</v>
      </c>
      <c r="C2650" s="9">
        <v>28490</v>
      </c>
      <c r="D2650">
        <v>48</v>
      </c>
      <c r="E2650" t="s">
        <v>21</v>
      </c>
      <c r="F2650" t="s">
        <v>18</v>
      </c>
      <c r="G2650" s="9">
        <v>45466</v>
      </c>
      <c r="H2650" s="9">
        <v>45300</v>
      </c>
      <c r="I2650">
        <v>10</v>
      </c>
      <c r="J2650" t="s">
        <v>35</v>
      </c>
      <c r="K2650">
        <v>6</v>
      </c>
      <c r="L2650">
        <v>1</v>
      </c>
      <c r="M2650" s="11">
        <v>6218.93</v>
      </c>
      <c r="N2650" s="12">
        <v>3936.28</v>
      </c>
      <c r="O2650" s="12">
        <v>4458.04</v>
      </c>
    </row>
    <row r="2651" spans="1:15">
      <c r="A2651" t="s">
        <v>2825</v>
      </c>
      <c r="B2651" t="s">
        <v>145</v>
      </c>
      <c r="C2651" s="9">
        <v>17533</v>
      </c>
      <c r="D2651">
        <f ca="1">DATEDIF(C2602,TODAY(),"Y")</f>
        <v>84</v>
      </c>
      <c r="E2651" t="s">
        <v>21</v>
      </c>
      <c r="F2651" t="s">
        <v>25</v>
      </c>
      <c r="G2651" s="9">
        <v>45343</v>
      </c>
      <c r="H2651" s="9">
        <v>45305</v>
      </c>
      <c r="I2651">
        <v>25</v>
      </c>
      <c r="J2651" t="s">
        <v>32</v>
      </c>
      <c r="K2651">
        <v>0</v>
      </c>
      <c r="L2651">
        <v>0</v>
      </c>
      <c r="M2651" s="11">
        <v>24373.42</v>
      </c>
      <c r="N2651" s="12">
        <v>1600.26</v>
      </c>
      <c r="O2651" s="12">
        <v>6079.59</v>
      </c>
    </row>
    <row r="2652" spans="1:15">
      <c r="A2652" t="s">
        <v>2826</v>
      </c>
      <c r="B2652" t="s">
        <v>487</v>
      </c>
      <c r="C2652" s="9">
        <v>40178</v>
      </c>
      <c r="D2652">
        <v>16</v>
      </c>
      <c r="E2652" t="s">
        <v>21</v>
      </c>
      <c r="F2652" t="s">
        <v>18</v>
      </c>
      <c r="G2652" s="9">
        <v>44979</v>
      </c>
      <c r="H2652" s="9">
        <v>45152</v>
      </c>
      <c r="I2652">
        <v>14</v>
      </c>
      <c r="J2652" t="s">
        <v>32</v>
      </c>
      <c r="K2652">
        <v>10</v>
      </c>
      <c r="L2652">
        <v>7</v>
      </c>
      <c r="M2652" s="11">
        <v>19278.7</v>
      </c>
      <c r="N2652" s="12">
        <v>14104.93</v>
      </c>
      <c r="O2652" s="12">
        <v>13655.58</v>
      </c>
    </row>
    <row r="2653" spans="1:15">
      <c r="A2653" t="s">
        <v>2827</v>
      </c>
      <c r="B2653" t="s">
        <v>84</v>
      </c>
      <c r="C2653" s="9">
        <v>24473</v>
      </c>
      <c r="D2653">
        <v>59</v>
      </c>
      <c r="E2653" t="s">
        <v>17</v>
      </c>
      <c r="F2653" t="s">
        <v>25</v>
      </c>
      <c r="G2653" s="9">
        <v>44964</v>
      </c>
      <c r="H2653" s="9">
        <v>45109</v>
      </c>
      <c r="I2653">
        <v>6</v>
      </c>
      <c r="J2653" t="s">
        <v>32</v>
      </c>
      <c r="K2653">
        <v>2</v>
      </c>
      <c r="L2653">
        <v>9</v>
      </c>
      <c r="M2653" s="11">
        <v>9071.5400000000009</v>
      </c>
      <c r="N2653" s="12">
        <v>3671.42</v>
      </c>
      <c r="O2653" s="12">
        <v>10543.04</v>
      </c>
    </row>
    <row r="2654" spans="1:15">
      <c r="A2654" t="s">
        <v>2828</v>
      </c>
      <c r="B2654" t="s">
        <v>211</v>
      </c>
      <c r="C2654" s="9">
        <v>14611</v>
      </c>
      <c r="D2654">
        <v>86</v>
      </c>
      <c r="E2654" t="s">
        <v>17</v>
      </c>
      <c r="F2654" t="s">
        <v>49</v>
      </c>
      <c r="G2654" s="9">
        <v>45234</v>
      </c>
      <c r="H2654" s="9">
        <v>45224</v>
      </c>
      <c r="I2654">
        <v>18</v>
      </c>
      <c r="J2654" t="s">
        <v>35</v>
      </c>
      <c r="K2654">
        <v>5</v>
      </c>
      <c r="L2654">
        <v>5</v>
      </c>
      <c r="M2654" s="11">
        <v>7914.04</v>
      </c>
      <c r="N2654" s="12">
        <v>1411.98</v>
      </c>
      <c r="O2654" s="12">
        <v>17761.11</v>
      </c>
    </row>
    <row r="2655" spans="1:15">
      <c r="A2655" t="s">
        <v>2829</v>
      </c>
      <c r="B2655" t="s">
        <v>157</v>
      </c>
      <c r="C2655" s="9">
        <v>14246</v>
      </c>
      <c r="D2655">
        <f ca="1">DATEDIF(C2606,TODAY(),"Y")</f>
        <v>81</v>
      </c>
      <c r="E2655" t="s">
        <v>17</v>
      </c>
      <c r="F2655" t="s">
        <v>25</v>
      </c>
      <c r="G2655" s="9">
        <v>45577</v>
      </c>
      <c r="H2655" s="9">
        <v>45743</v>
      </c>
      <c r="I2655">
        <v>27</v>
      </c>
      <c r="J2655" t="s">
        <v>32</v>
      </c>
      <c r="K2655">
        <v>7</v>
      </c>
      <c r="L2655">
        <v>9</v>
      </c>
      <c r="M2655" s="11">
        <v>14747.83</v>
      </c>
      <c r="N2655" s="12">
        <v>11545.23</v>
      </c>
      <c r="O2655" s="12">
        <v>18712.689999999999</v>
      </c>
    </row>
    <row r="2656" spans="1:15">
      <c r="A2656" t="s">
        <v>2830</v>
      </c>
      <c r="B2656" t="s">
        <v>469</v>
      </c>
      <c r="C2656" s="9">
        <v>29951</v>
      </c>
      <c r="D2656">
        <v>44</v>
      </c>
      <c r="E2656" t="s">
        <v>17</v>
      </c>
      <c r="F2656" t="s">
        <v>49</v>
      </c>
      <c r="G2656" s="9">
        <v>44979</v>
      </c>
      <c r="H2656" s="9">
        <v>45234</v>
      </c>
      <c r="I2656">
        <v>8</v>
      </c>
      <c r="J2656" t="s">
        <v>35</v>
      </c>
      <c r="K2656">
        <v>7</v>
      </c>
      <c r="L2656">
        <v>0</v>
      </c>
      <c r="M2656" s="11">
        <v>5822.82</v>
      </c>
      <c r="N2656" s="12">
        <v>6213.78</v>
      </c>
      <c r="O2656" s="12">
        <v>13788.24</v>
      </c>
    </row>
    <row r="2657" spans="1:15">
      <c r="A2657" t="s">
        <v>2831</v>
      </c>
      <c r="B2657" t="s">
        <v>422</v>
      </c>
      <c r="C2657" s="9">
        <v>16072</v>
      </c>
      <c r="D2657">
        <v>82</v>
      </c>
      <c r="E2657" t="s">
        <v>17</v>
      </c>
      <c r="F2657" t="s">
        <v>74</v>
      </c>
      <c r="G2657" s="9">
        <v>45532</v>
      </c>
      <c r="H2657" s="9">
        <v>45358</v>
      </c>
      <c r="I2657">
        <v>27</v>
      </c>
      <c r="J2657" t="s">
        <v>32</v>
      </c>
      <c r="K2657">
        <v>9</v>
      </c>
      <c r="L2657">
        <v>2</v>
      </c>
      <c r="M2657" s="11">
        <v>26286.28</v>
      </c>
      <c r="N2657" s="12">
        <v>12654.99</v>
      </c>
      <c r="O2657" s="12">
        <v>17257.060000000001</v>
      </c>
    </row>
    <row r="2658" spans="1:15">
      <c r="A2658" t="s">
        <v>2832</v>
      </c>
      <c r="B2658" t="s">
        <v>48</v>
      </c>
      <c r="C2658" s="9">
        <v>21185</v>
      </c>
      <c r="D2658">
        <v>68</v>
      </c>
      <c r="E2658" t="s">
        <v>17</v>
      </c>
      <c r="F2658" t="s">
        <v>49</v>
      </c>
      <c r="G2658" s="9">
        <v>45532</v>
      </c>
      <c r="H2658" s="9">
        <v>45617</v>
      </c>
      <c r="I2658">
        <v>33</v>
      </c>
      <c r="J2658" t="s">
        <v>35</v>
      </c>
      <c r="K2658">
        <v>1</v>
      </c>
      <c r="L2658">
        <v>8</v>
      </c>
      <c r="M2658" s="11">
        <v>23551.48</v>
      </c>
      <c r="N2658" s="12">
        <v>12576.46</v>
      </c>
      <c r="O2658" s="12">
        <v>3821</v>
      </c>
    </row>
    <row r="2659" spans="1:15">
      <c r="A2659" t="s">
        <v>2833</v>
      </c>
      <c r="B2659" t="s">
        <v>422</v>
      </c>
      <c r="C2659" s="9">
        <v>34700</v>
      </c>
      <c r="D2659">
        <v>31</v>
      </c>
      <c r="E2659" t="s">
        <v>21</v>
      </c>
      <c r="F2659" t="s">
        <v>29</v>
      </c>
      <c r="G2659" s="9">
        <v>45378</v>
      </c>
      <c r="H2659" s="9">
        <v>45045</v>
      </c>
      <c r="I2659">
        <v>22</v>
      </c>
      <c r="J2659" t="s">
        <v>32</v>
      </c>
      <c r="K2659">
        <v>10</v>
      </c>
      <c r="L2659">
        <v>8</v>
      </c>
      <c r="M2659" s="11">
        <v>8903.61</v>
      </c>
      <c r="N2659" s="12">
        <v>14885.71</v>
      </c>
      <c r="O2659" s="12">
        <v>1493.42</v>
      </c>
    </row>
    <row r="2660" spans="1:15">
      <c r="A2660" t="s">
        <v>2834</v>
      </c>
      <c r="B2660" t="s">
        <v>73</v>
      </c>
      <c r="C2660" s="9">
        <v>30317</v>
      </c>
      <c r="D2660">
        <v>43</v>
      </c>
      <c r="E2660" t="s">
        <v>17</v>
      </c>
      <c r="F2660" t="s">
        <v>74</v>
      </c>
      <c r="G2660" s="9">
        <v>45387</v>
      </c>
      <c r="H2660" s="9">
        <v>45279</v>
      </c>
      <c r="I2660">
        <v>4</v>
      </c>
      <c r="J2660" t="s">
        <v>32</v>
      </c>
      <c r="K2660">
        <v>5</v>
      </c>
      <c r="L2660">
        <v>5</v>
      </c>
      <c r="M2660" s="11">
        <v>1006.81</v>
      </c>
      <c r="N2660" s="12">
        <v>12057.42</v>
      </c>
      <c r="O2660" s="12">
        <v>6592.68</v>
      </c>
    </row>
    <row r="2661" spans="1:15">
      <c r="A2661" t="s">
        <v>2835</v>
      </c>
      <c r="B2661" t="s">
        <v>392</v>
      </c>
      <c r="C2661" s="9">
        <v>22646</v>
      </c>
      <c r="D2661">
        <v>64</v>
      </c>
      <c r="E2661" t="s">
        <v>21</v>
      </c>
      <c r="F2661" t="s">
        <v>5184</v>
      </c>
      <c r="G2661" s="9">
        <v>45412</v>
      </c>
      <c r="H2661" s="9">
        <v>45515</v>
      </c>
      <c r="I2661">
        <v>17</v>
      </c>
      <c r="J2661" t="s">
        <v>32</v>
      </c>
      <c r="K2661">
        <v>2</v>
      </c>
      <c r="L2661">
        <v>2</v>
      </c>
      <c r="M2661" s="11">
        <v>1081.98</v>
      </c>
      <c r="N2661" s="12">
        <v>3212.28</v>
      </c>
      <c r="O2661" s="12">
        <v>6446.9</v>
      </c>
    </row>
    <row r="2662" spans="1:15">
      <c r="A2662" t="s">
        <v>2836</v>
      </c>
      <c r="B2662" t="s">
        <v>514</v>
      </c>
      <c r="C2662" s="9">
        <v>14611</v>
      </c>
      <c r="D2662">
        <v>86</v>
      </c>
      <c r="E2662" t="s">
        <v>21</v>
      </c>
      <c r="F2662" t="s">
        <v>5184</v>
      </c>
      <c r="G2662" s="9">
        <v>45063</v>
      </c>
      <c r="H2662" s="9">
        <v>44973</v>
      </c>
      <c r="I2662">
        <v>32</v>
      </c>
      <c r="J2662" t="s">
        <v>35</v>
      </c>
      <c r="K2662">
        <v>7</v>
      </c>
      <c r="L2662">
        <v>7</v>
      </c>
      <c r="M2662" s="11">
        <v>8562.15</v>
      </c>
      <c r="N2662" s="12">
        <v>8796.73</v>
      </c>
      <c r="O2662" s="12">
        <v>13268.36</v>
      </c>
    </row>
    <row r="2663" spans="1:15">
      <c r="A2663" t="s">
        <v>2837</v>
      </c>
      <c r="B2663" t="s">
        <v>654</v>
      </c>
      <c r="C2663" s="9">
        <v>43466</v>
      </c>
      <c r="D2663">
        <v>7</v>
      </c>
      <c r="E2663" t="s">
        <v>17</v>
      </c>
      <c r="F2663" t="s">
        <v>5184</v>
      </c>
      <c r="G2663" s="9">
        <v>45298</v>
      </c>
      <c r="H2663" s="9">
        <v>45154</v>
      </c>
      <c r="I2663">
        <v>7</v>
      </c>
      <c r="J2663" t="s">
        <v>32</v>
      </c>
      <c r="K2663">
        <v>5</v>
      </c>
      <c r="L2663">
        <v>5</v>
      </c>
      <c r="M2663" s="11">
        <v>3998.98</v>
      </c>
      <c r="N2663" s="12">
        <v>7893.75</v>
      </c>
      <c r="O2663" s="12">
        <v>16791.23</v>
      </c>
    </row>
    <row r="2664" spans="1:15">
      <c r="A2664" t="s">
        <v>2838</v>
      </c>
      <c r="B2664" t="s">
        <v>123</v>
      </c>
      <c r="C2664" s="9">
        <v>18263</v>
      </c>
      <c r="D2664">
        <v>76</v>
      </c>
      <c r="E2664" t="s">
        <v>21</v>
      </c>
      <c r="F2664" t="s">
        <v>22</v>
      </c>
      <c r="G2664" s="9">
        <v>45182</v>
      </c>
      <c r="H2664" s="9">
        <v>45283</v>
      </c>
      <c r="I2664">
        <v>32</v>
      </c>
      <c r="J2664" t="s">
        <v>32</v>
      </c>
      <c r="K2664">
        <v>14</v>
      </c>
      <c r="L2664">
        <v>0</v>
      </c>
      <c r="M2664" s="11">
        <v>26136.63</v>
      </c>
      <c r="N2664" s="12">
        <v>7622.84</v>
      </c>
      <c r="O2664" s="12">
        <v>5867.34</v>
      </c>
    </row>
    <row r="2665" spans="1:15">
      <c r="A2665" t="s">
        <v>2839</v>
      </c>
      <c r="B2665" t="s">
        <v>61</v>
      </c>
      <c r="C2665" s="9">
        <v>20090</v>
      </c>
      <c r="D2665">
        <f ca="1">DATEDIF(C2616,TODAY(),"Y")</f>
        <v>54</v>
      </c>
      <c r="E2665" t="s">
        <v>21</v>
      </c>
      <c r="F2665" t="s">
        <v>22</v>
      </c>
      <c r="G2665" s="9">
        <v>45321</v>
      </c>
      <c r="H2665" s="9">
        <v>45221</v>
      </c>
      <c r="I2665">
        <v>2</v>
      </c>
      <c r="J2665" t="s">
        <v>26</v>
      </c>
      <c r="K2665">
        <v>11</v>
      </c>
      <c r="L2665">
        <v>5</v>
      </c>
      <c r="M2665" s="11">
        <v>12333.88</v>
      </c>
      <c r="N2665" s="12">
        <v>4452.1099999999997</v>
      </c>
      <c r="O2665" s="12">
        <v>8437.94</v>
      </c>
    </row>
    <row r="2666" spans="1:15">
      <c r="A2666" t="s">
        <v>2840</v>
      </c>
      <c r="B2666" t="s">
        <v>41</v>
      </c>
      <c r="C2666" s="9">
        <v>14611</v>
      </c>
      <c r="D2666">
        <v>86</v>
      </c>
      <c r="E2666" t="s">
        <v>21</v>
      </c>
      <c r="F2666" t="s">
        <v>25</v>
      </c>
      <c r="G2666" s="9">
        <v>44963</v>
      </c>
      <c r="H2666" s="9">
        <v>45167</v>
      </c>
      <c r="I2666">
        <v>11</v>
      </c>
      <c r="J2666" t="s">
        <v>32</v>
      </c>
      <c r="K2666">
        <v>11</v>
      </c>
      <c r="L2666">
        <v>4</v>
      </c>
      <c r="M2666" s="11">
        <v>10114.81</v>
      </c>
      <c r="N2666" s="12">
        <v>3152.11</v>
      </c>
      <c r="O2666" s="12">
        <v>2009.6</v>
      </c>
    </row>
    <row r="2667" spans="1:15">
      <c r="A2667" t="s">
        <v>2841</v>
      </c>
      <c r="B2667" t="s">
        <v>524</v>
      </c>
      <c r="C2667" s="9">
        <v>30682</v>
      </c>
      <c r="D2667">
        <v>42</v>
      </c>
      <c r="E2667" t="s">
        <v>21</v>
      </c>
      <c r="F2667" t="s">
        <v>25</v>
      </c>
      <c r="G2667" s="9">
        <v>45580</v>
      </c>
      <c r="H2667" s="9">
        <v>45275</v>
      </c>
      <c r="I2667">
        <v>2</v>
      </c>
      <c r="J2667" t="s">
        <v>32</v>
      </c>
      <c r="K2667">
        <v>4</v>
      </c>
      <c r="L2667">
        <v>7</v>
      </c>
      <c r="M2667" s="11">
        <v>6145.92</v>
      </c>
      <c r="N2667" s="12">
        <v>10753.42</v>
      </c>
      <c r="O2667" s="12">
        <v>8196.09</v>
      </c>
    </row>
    <row r="2668" spans="1:15">
      <c r="A2668" t="s">
        <v>2842</v>
      </c>
      <c r="B2668" t="s">
        <v>20</v>
      </c>
      <c r="C2668" s="9">
        <v>46022</v>
      </c>
      <c r="D2668">
        <v>0</v>
      </c>
      <c r="E2668" t="s">
        <v>21</v>
      </c>
      <c r="F2668" t="s">
        <v>29</v>
      </c>
      <c r="G2668" s="9">
        <v>45073</v>
      </c>
      <c r="H2668" s="9">
        <v>45068</v>
      </c>
      <c r="I2668">
        <v>37</v>
      </c>
      <c r="J2668" t="s">
        <v>32</v>
      </c>
      <c r="K2668">
        <v>7</v>
      </c>
      <c r="L2668">
        <v>1</v>
      </c>
      <c r="M2668" s="11">
        <v>25156.63</v>
      </c>
      <c r="N2668" s="12">
        <v>1526.43</v>
      </c>
      <c r="O2668" s="12">
        <v>4209.6099999999997</v>
      </c>
    </row>
    <row r="2669" spans="1:15">
      <c r="A2669" t="s">
        <v>2843</v>
      </c>
      <c r="B2669" t="s">
        <v>149</v>
      </c>
      <c r="C2669" s="9">
        <v>27760</v>
      </c>
      <c r="D2669">
        <v>50</v>
      </c>
      <c r="E2669" t="s">
        <v>21</v>
      </c>
      <c r="F2669" t="s">
        <v>25</v>
      </c>
      <c r="G2669" s="9">
        <v>44934</v>
      </c>
      <c r="H2669" s="9">
        <v>45131</v>
      </c>
      <c r="I2669">
        <v>35</v>
      </c>
      <c r="J2669" t="s">
        <v>32</v>
      </c>
      <c r="K2669">
        <v>5</v>
      </c>
      <c r="L2669">
        <v>6</v>
      </c>
      <c r="M2669" s="11">
        <v>23670.240000000002</v>
      </c>
      <c r="N2669" s="12">
        <v>744.24</v>
      </c>
      <c r="O2669" s="12">
        <v>7587.35</v>
      </c>
    </row>
    <row r="2670" spans="1:15">
      <c r="A2670" t="s">
        <v>2844</v>
      </c>
      <c r="B2670" t="s">
        <v>39</v>
      </c>
      <c r="C2670" s="9">
        <v>37622</v>
      </c>
      <c r="D2670">
        <v>23</v>
      </c>
      <c r="E2670" t="s">
        <v>17</v>
      </c>
      <c r="F2670" t="s">
        <v>74</v>
      </c>
      <c r="G2670" s="9">
        <v>45177</v>
      </c>
      <c r="H2670" s="9">
        <v>45589</v>
      </c>
      <c r="I2670">
        <v>31</v>
      </c>
      <c r="J2670" t="s">
        <v>35</v>
      </c>
      <c r="K2670">
        <v>9</v>
      </c>
      <c r="L2670">
        <v>5</v>
      </c>
      <c r="M2670" s="11">
        <v>11221.96</v>
      </c>
      <c r="N2670" s="12">
        <v>5718.65</v>
      </c>
      <c r="O2670" s="12">
        <v>5253.58</v>
      </c>
    </row>
    <row r="2671" spans="1:15">
      <c r="A2671" t="s">
        <v>2845</v>
      </c>
      <c r="B2671" t="s">
        <v>174</v>
      </c>
      <c r="C2671" s="9">
        <v>37622</v>
      </c>
      <c r="D2671">
        <v>23</v>
      </c>
      <c r="E2671" t="s">
        <v>17</v>
      </c>
      <c r="F2671" t="s">
        <v>74</v>
      </c>
      <c r="G2671" s="9">
        <v>45573</v>
      </c>
      <c r="H2671" s="9">
        <v>45569</v>
      </c>
      <c r="I2671">
        <v>21</v>
      </c>
      <c r="J2671" t="s">
        <v>32</v>
      </c>
      <c r="K2671">
        <v>6</v>
      </c>
      <c r="L2671">
        <v>0</v>
      </c>
      <c r="M2671" s="11">
        <v>4665.41</v>
      </c>
      <c r="N2671" s="12">
        <v>11158.88</v>
      </c>
      <c r="O2671" s="12">
        <v>16155.46</v>
      </c>
    </row>
    <row r="2672" spans="1:15">
      <c r="A2672" t="s">
        <v>2846</v>
      </c>
      <c r="B2672" t="s">
        <v>600</v>
      </c>
      <c r="C2672" s="9">
        <v>40178</v>
      </c>
      <c r="D2672">
        <v>16</v>
      </c>
      <c r="E2672" t="s">
        <v>21</v>
      </c>
      <c r="F2672" t="s">
        <v>5184</v>
      </c>
      <c r="G2672" s="9">
        <v>45497</v>
      </c>
      <c r="H2672" s="9">
        <v>45788</v>
      </c>
      <c r="I2672">
        <v>1</v>
      </c>
      <c r="J2672" t="s">
        <v>26</v>
      </c>
      <c r="K2672">
        <v>9</v>
      </c>
      <c r="L2672">
        <v>7</v>
      </c>
      <c r="M2672" s="11">
        <v>28535.64</v>
      </c>
      <c r="N2672" s="12">
        <v>13028</v>
      </c>
      <c r="O2672" s="12">
        <v>18.34</v>
      </c>
    </row>
    <row r="2673" spans="1:15">
      <c r="A2673" t="s">
        <v>2847</v>
      </c>
      <c r="B2673" t="s">
        <v>127</v>
      </c>
      <c r="C2673" s="9">
        <v>44561</v>
      </c>
      <c r="D2673">
        <v>4</v>
      </c>
      <c r="E2673" t="s">
        <v>17</v>
      </c>
      <c r="F2673" t="s">
        <v>49</v>
      </c>
      <c r="G2673" s="9">
        <v>45561</v>
      </c>
      <c r="H2673" s="9">
        <v>45772</v>
      </c>
      <c r="I2673">
        <v>24</v>
      </c>
      <c r="J2673" t="s">
        <v>26</v>
      </c>
      <c r="K2673">
        <v>3</v>
      </c>
      <c r="L2673">
        <v>5</v>
      </c>
      <c r="M2673" s="11">
        <v>9133.73</v>
      </c>
      <c r="N2673" s="12">
        <v>8101.9</v>
      </c>
      <c r="O2673" s="12">
        <v>6708.04</v>
      </c>
    </row>
    <row r="2674" spans="1:15">
      <c r="A2674" t="s">
        <v>2848</v>
      </c>
      <c r="B2674" t="s">
        <v>343</v>
      </c>
      <c r="C2674" s="9">
        <f>DATE(2026-D2634,1,1)</f>
        <v>46023</v>
      </c>
      <c r="D2674">
        <v>19</v>
      </c>
      <c r="E2674" t="s">
        <v>21</v>
      </c>
      <c r="F2674" t="s">
        <v>18</v>
      </c>
      <c r="G2674" s="9">
        <v>45373</v>
      </c>
      <c r="H2674" s="9">
        <v>45196</v>
      </c>
      <c r="I2674">
        <v>2</v>
      </c>
      <c r="J2674" t="s">
        <v>32</v>
      </c>
      <c r="K2674">
        <v>2</v>
      </c>
      <c r="L2674">
        <v>2</v>
      </c>
      <c r="M2674" s="11">
        <v>23018.3</v>
      </c>
      <c r="N2674" s="12">
        <v>12598.99</v>
      </c>
      <c r="O2674" s="12">
        <v>19381.64</v>
      </c>
    </row>
    <row r="2675" spans="1:15">
      <c r="A2675" t="s">
        <v>2849</v>
      </c>
      <c r="B2675" t="s">
        <v>89</v>
      </c>
      <c r="C2675" s="9">
        <v>38717</v>
      </c>
      <c r="D2675">
        <v>20</v>
      </c>
      <c r="E2675" t="s">
        <v>21</v>
      </c>
      <c r="F2675" t="s">
        <v>25</v>
      </c>
      <c r="G2675" s="9">
        <v>45189</v>
      </c>
      <c r="H2675" s="9">
        <v>45240</v>
      </c>
      <c r="I2675">
        <v>10</v>
      </c>
      <c r="J2675" t="s">
        <v>35</v>
      </c>
      <c r="K2675">
        <v>1</v>
      </c>
      <c r="L2675">
        <v>4</v>
      </c>
      <c r="M2675" s="11">
        <v>13623.01</v>
      </c>
      <c r="N2675" s="12">
        <v>379.37</v>
      </c>
      <c r="O2675" s="12">
        <v>13547.75</v>
      </c>
    </row>
    <row r="2676" spans="1:15">
      <c r="A2676" t="s">
        <v>2850</v>
      </c>
      <c r="B2676" t="s">
        <v>237</v>
      </c>
      <c r="C2676" s="9">
        <v>25203</v>
      </c>
      <c r="D2676">
        <v>57</v>
      </c>
      <c r="E2676" t="s">
        <v>21</v>
      </c>
      <c r="F2676" t="s">
        <v>29</v>
      </c>
      <c r="G2676" s="9">
        <v>45558</v>
      </c>
      <c r="H2676" s="9">
        <v>45345</v>
      </c>
      <c r="I2676">
        <v>37</v>
      </c>
      <c r="J2676" t="s">
        <v>35</v>
      </c>
      <c r="K2676">
        <v>12</v>
      </c>
      <c r="L2676">
        <v>6</v>
      </c>
      <c r="M2676" s="11">
        <v>23340.2</v>
      </c>
      <c r="N2676" s="12">
        <v>6830.54</v>
      </c>
      <c r="O2676" s="12">
        <v>15420.56</v>
      </c>
    </row>
    <row r="2677" spans="1:15">
      <c r="A2677" t="s">
        <v>2851</v>
      </c>
      <c r="B2677" t="s">
        <v>328</v>
      </c>
      <c r="C2677" s="9">
        <v>35065</v>
      </c>
      <c r="D2677">
        <v>30</v>
      </c>
      <c r="E2677" t="s">
        <v>17</v>
      </c>
      <c r="F2677" t="s">
        <v>5184</v>
      </c>
      <c r="G2677" s="9">
        <v>45365</v>
      </c>
      <c r="H2677" s="9">
        <v>45064</v>
      </c>
      <c r="I2677">
        <v>18</v>
      </c>
      <c r="J2677" t="s">
        <v>32</v>
      </c>
      <c r="K2677">
        <v>6</v>
      </c>
      <c r="L2677">
        <v>8</v>
      </c>
      <c r="M2677" s="11">
        <v>14189.08</v>
      </c>
      <c r="N2677" s="12">
        <v>2000.83</v>
      </c>
      <c r="O2677" s="12">
        <v>17183.46</v>
      </c>
    </row>
    <row r="2678" spans="1:15">
      <c r="A2678" t="s">
        <v>2852</v>
      </c>
      <c r="B2678" t="s">
        <v>63</v>
      </c>
      <c r="C2678" s="9">
        <v>42370</v>
      </c>
      <c r="D2678">
        <v>10</v>
      </c>
      <c r="E2678" t="s">
        <v>21</v>
      </c>
      <c r="F2678" t="s">
        <v>22</v>
      </c>
      <c r="G2678" s="9">
        <v>45185</v>
      </c>
      <c r="H2678" s="9">
        <v>45555</v>
      </c>
      <c r="I2678">
        <v>34</v>
      </c>
      <c r="J2678" t="s">
        <v>32</v>
      </c>
      <c r="K2678">
        <v>4</v>
      </c>
      <c r="L2678">
        <v>3</v>
      </c>
      <c r="M2678" s="11">
        <v>0</v>
      </c>
      <c r="N2678" s="12">
        <v>8740.76</v>
      </c>
      <c r="O2678" s="12">
        <v>7173.07</v>
      </c>
    </row>
    <row r="2679" spans="1:15">
      <c r="A2679" t="s">
        <v>2853</v>
      </c>
      <c r="B2679" t="s">
        <v>155</v>
      </c>
      <c r="C2679" s="9">
        <v>27395</v>
      </c>
      <c r="D2679">
        <v>51</v>
      </c>
      <c r="E2679" t="s">
        <v>17</v>
      </c>
      <c r="F2679" t="s">
        <v>74</v>
      </c>
      <c r="G2679" s="9">
        <v>45249</v>
      </c>
      <c r="H2679" s="9">
        <v>45278</v>
      </c>
      <c r="I2679">
        <v>29</v>
      </c>
      <c r="J2679" t="s">
        <v>32</v>
      </c>
      <c r="K2679">
        <v>2</v>
      </c>
      <c r="L2679">
        <v>1</v>
      </c>
      <c r="M2679" s="11">
        <v>23912.91</v>
      </c>
      <c r="N2679" s="12">
        <v>13814.82</v>
      </c>
      <c r="O2679" s="12">
        <v>1225.49</v>
      </c>
    </row>
    <row r="2680" spans="1:15">
      <c r="A2680" t="s">
        <v>2854</v>
      </c>
      <c r="B2680" t="s">
        <v>133</v>
      </c>
      <c r="C2680" s="9">
        <v>40909</v>
      </c>
      <c r="D2680">
        <v>14</v>
      </c>
      <c r="E2680" t="s">
        <v>17</v>
      </c>
      <c r="F2680" t="s">
        <v>74</v>
      </c>
      <c r="G2680" s="9">
        <v>45456</v>
      </c>
      <c r="H2680" s="9">
        <v>45088</v>
      </c>
      <c r="I2680">
        <v>35</v>
      </c>
      <c r="J2680" t="s">
        <v>35</v>
      </c>
      <c r="K2680">
        <v>1</v>
      </c>
      <c r="L2680">
        <v>2</v>
      </c>
      <c r="M2680" s="11">
        <v>7438.82</v>
      </c>
      <c r="N2680" s="12">
        <v>107.86</v>
      </c>
      <c r="O2680" s="12">
        <v>8154.87</v>
      </c>
    </row>
    <row r="2681" spans="1:15">
      <c r="A2681" t="s">
        <v>2855</v>
      </c>
      <c r="B2681" t="s">
        <v>89</v>
      </c>
      <c r="C2681" s="9">
        <v>16072</v>
      </c>
      <c r="D2681">
        <v>82</v>
      </c>
      <c r="E2681" t="s">
        <v>17</v>
      </c>
      <c r="F2681" t="s">
        <v>74</v>
      </c>
      <c r="G2681" s="9">
        <v>45227</v>
      </c>
      <c r="H2681" s="9">
        <v>45594</v>
      </c>
      <c r="I2681">
        <v>28</v>
      </c>
      <c r="J2681" t="s">
        <v>26</v>
      </c>
      <c r="K2681">
        <v>3</v>
      </c>
      <c r="L2681">
        <v>6</v>
      </c>
      <c r="M2681" s="11">
        <v>12626.52</v>
      </c>
      <c r="N2681" s="12">
        <v>10023.32</v>
      </c>
      <c r="O2681" s="12">
        <v>13019.4</v>
      </c>
    </row>
    <row r="2682" spans="1:15">
      <c r="A2682" t="s">
        <v>2856</v>
      </c>
      <c r="B2682" t="s">
        <v>123</v>
      </c>
      <c r="C2682" s="9">
        <v>43831</v>
      </c>
      <c r="D2682">
        <v>6</v>
      </c>
      <c r="E2682" t="s">
        <v>17</v>
      </c>
      <c r="F2682" t="s">
        <v>18</v>
      </c>
      <c r="G2682" s="9">
        <v>45411</v>
      </c>
      <c r="H2682" s="9">
        <v>45100</v>
      </c>
      <c r="I2682">
        <v>29</v>
      </c>
      <c r="J2682" t="s">
        <v>26</v>
      </c>
      <c r="K2682">
        <v>2</v>
      </c>
      <c r="L2682">
        <v>7</v>
      </c>
      <c r="M2682" s="11">
        <v>2567.9899999999998</v>
      </c>
      <c r="N2682" s="12">
        <v>11885.25</v>
      </c>
      <c r="O2682" s="12">
        <v>7352.91</v>
      </c>
    </row>
    <row r="2683" spans="1:15">
      <c r="A2683" t="s">
        <v>2857</v>
      </c>
      <c r="B2683" t="s">
        <v>502</v>
      </c>
      <c r="C2683" s="9">
        <v>36161</v>
      </c>
      <c r="D2683">
        <v>27</v>
      </c>
      <c r="E2683" t="s">
        <v>17</v>
      </c>
      <c r="F2683" t="s">
        <v>18</v>
      </c>
      <c r="G2683" s="9">
        <v>45018</v>
      </c>
      <c r="H2683" s="9">
        <v>45057</v>
      </c>
      <c r="I2683">
        <v>12</v>
      </c>
      <c r="J2683" t="s">
        <v>32</v>
      </c>
      <c r="K2683">
        <v>9</v>
      </c>
      <c r="L2683">
        <v>4</v>
      </c>
      <c r="M2683" s="11">
        <v>27055.88</v>
      </c>
      <c r="N2683" s="12">
        <v>11167.22</v>
      </c>
      <c r="O2683" s="12">
        <v>8911.08</v>
      </c>
    </row>
    <row r="2684" spans="1:15">
      <c r="A2684" t="s">
        <v>2858</v>
      </c>
      <c r="B2684" t="s">
        <v>153</v>
      </c>
      <c r="C2684" s="9">
        <v>27760</v>
      </c>
      <c r="D2684">
        <v>50</v>
      </c>
      <c r="E2684" t="s">
        <v>21</v>
      </c>
      <c r="F2684" t="s">
        <v>25</v>
      </c>
      <c r="G2684" s="9">
        <v>45090</v>
      </c>
      <c r="H2684" s="9">
        <v>45006</v>
      </c>
      <c r="I2684">
        <v>27</v>
      </c>
      <c r="J2684" t="s">
        <v>32</v>
      </c>
      <c r="K2684">
        <v>9</v>
      </c>
      <c r="L2684">
        <v>2</v>
      </c>
      <c r="M2684" s="11">
        <v>0</v>
      </c>
      <c r="N2684" s="12">
        <v>296.54000000000002</v>
      </c>
      <c r="O2684" s="12">
        <v>16492.63</v>
      </c>
    </row>
    <row r="2685" spans="1:15">
      <c r="A2685" t="s">
        <v>2859</v>
      </c>
      <c r="B2685" t="s">
        <v>89</v>
      </c>
      <c r="C2685" s="9">
        <v>25203</v>
      </c>
      <c r="D2685">
        <v>57</v>
      </c>
      <c r="E2685" t="s">
        <v>21</v>
      </c>
      <c r="F2685" t="s">
        <v>22</v>
      </c>
      <c r="G2685" s="9">
        <v>45582</v>
      </c>
      <c r="H2685" s="9">
        <v>45496</v>
      </c>
      <c r="I2685">
        <v>4</v>
      </c>
      <c r="J2685" t="s">
        <v>32</v>
      </c>
      <c r="K2685">
        <v>5</v>
      </c>
      <c r="L2685">
        <v>0</v>
      </c>
      <c r="M2685" s="11">
        <v>56.37</v>
      </c>
      <c r="N2685" s="12">
        <v>2608.25</v>
      </c>
      <c r="O2685" s="12">
        <v>628.37</v>
      </c>
    </row>
    <row r="2686" spans="1:15">
      <c r="A2686" t="s">
        <v>2860</v>
      </c>
      <c r="B2686" t="s">
        <v>356</v>
      </c>
      <c r="C2686" s="9">
        <v>44561</v>
      </c>
      <c r="D2686">
        <v>4</v>
      </c>
      <c r="E2686" t="s">
        <v>17</v>
      </c>
      <c r="F2686" t="s">
        <v>29</v>
      </c>
      <c r="G2686" s="9">
        <v>45261</v>
      </c>
      <c r="H2686" s="9">
        <v>45790</v>
      </c>
      <c r="I2686">
        <v>35</v>
      </c>
      <c r="J2686" t="s">
        <v>26</v>
      </c>
      <c r="K2686">
        <v>4</v>
      </c>
      <c r="L2686">
        <v>9</v>
      </c>
      <c r="M2686" s="11">
        <v>14641.21</v>
      </c>
      <c r="N2686" s="12">
        <v>1415.99</v>
      </c>
      <c r="O2686" s="12">
        <v>6627.89</v>
      </c>
    </row>
    <row r="2687" spans="1:15">
      <c r="A2687" t="s">
        <v>2861</v>
      </c>
      <c r="B2687" t="s">
        <v>192</v>
      </c>
      <c r="C2687" s="9">
        <v>44561</v>
      </c>
      <c r="D2687">
        <v>4</v>
      </c>
      <c r="E2687" t="s">
        <v>17</v>
      </c>
      <c r="F2687" t="s">
        <v>18</v>
      </c>
      <c r="G2687" s="9">
        <v>45241</v>
      </c>
      <c r="H2687" s="9">
        <v>44984</v>
      </c>
      <c r="I2687">
        <v>28</v>
      </c>
      <c r="J2687" t="s">
        <v>32</v>
      </c>
      <c r="K2687">
        <v>1</v>
      </c>
      <c r="L2687">
        <v>0</v>
      </c>
      <c r="M2687" s="11">
        <v>17895.439999999999</v>
      </c>
      <c r="N2687" s="12">
        <v>1281.81</v>
      </c>
      <c r="O2687" s="12">
        <v>9717.1</v>
      </c>
    </row>
    <row r="2688" spans="1:15">
      <c r="A2688" t="s">
        <v>2862</v>
      </c>
      <c r="B2688" t="s">
        <v>67</v>
      </c>
      <c r="C2688" s="9">
        <v>12054</v>
      </c>
      <c r="D2688">
        <v>93</v>
      </c>
      <c r="E2688" t="s">
        <v>21</v>
      </c>
      <c r="F2688" t="s">
        <v>49</v>
      </c>
      <c r="G2688" s="9">
        <v>45164</v>
      </c>
      <c r="H2688" s="9">
        <v>45327</v>
      </c>
      <c r="I2688">
        <v>23</v>
      </c>
      <c r="J2688" t="s">
        <v>32</v>
      </c>
      <c r="K2688">
        <v>10</v>
      </c>
      <c r="L2688">
        <v>1</v>
      </c>
      <c r="M2688" s="11">
        <v>6308.04</v>
      </c>
      <c r="N2688" s="12">
        <v>10952.76</v>
      </c>
      <c r="O2688" s="12">
        <v>5913.66</v>
      </c>
    </row>
    <row r="2689" spans="1:15">
      <c r="A2689" t="s">
        <v>2863</v>
      </c>
      <c r="B2689" t="s">
        <v>137</v>
      </c>
      <c r="C2689" s="9">
        <v>43466</v>
      </c>
      <c r="D2689">
        <v>7</v>
      </c>
      <c r="E2689" t="s">
        <v>21</v>
      </c>
      <c r="F2689" t="s">
        <v>18</v>
      </c>
      <c r="G2689" s="9">
        <v>45612</v>
      </c>
      <c r="H2689" s="9">
        <v>45290</v>
      </c>
      <c r="I2689">
        <v>33</v>
      </c>
      <c r="J2689" t="s">
        <v>35</v>
      </c>
      <c r="K2689">
        <v>8</v>
      </c>
      <c r="L2689">
        <v>4</v>
      </c>
      <c r="M2689" s="11">
        <v>16901.75</v>
      </c>
      <c r="N2689" s="12">
        <v>6371.84</v>
      </c>
      <c r="O2689" s="12">
        <v>8861.17</v>
      </c>
    </row>
    <row r="2690" spans="1:15">
      <c r="A2690" t="s">
        <v>2864</v>
      </c>
      <c r="B2690" t="s">
        <v>44</v>
      </c>
      <c r="C2690" s="9">
        <v>23012</v>
      </c>
      <c r="D2690">
        <v>63</v>
      </c>
      <c r="E2690" t="s">
        <v>21</v>
      </c>
      <c r="F2690" t="s">
        <v>74</v>
      </c>
      <c r="G2690" s="9">
        <v>45009</v>
      </c>
      <c r="H2690" s="9">
        <v>45262</v>
      </c>
      <c r="I2690">
        <v>23</v>
      </c>
      <c r="J2690" t="s">
        <v>32</v>
      </c>
      <c r="K2690">
        <v>11</v>
      </c>
      <c r="L2690">
        <v>2</v>
      </c>
      <c r="M2690" s="11">
        <v>26814.639999999999</v>
      </c>
      <c r="N2690" s="12">
        <v>10872.32</v>
      </c>
      <c r="O2690" s="12">
        <v>7975.46</v>
      </c>
    </row>
    <row r="2691" spans="1:15">
      <c r="A2691" t="s">
        <v>2865</v>
      </c>
      <c r="B2691" t="s">
        <v>137</v>
      </c>
      <c r="C2691" s="9">
        <v>42735</v>
      </c>
      <c r="D2691">
        <v>9</v>
      </c>
      <c r="E2691" t="s">
        <v>21</v>
      </c>
      <c r="F2691" t="s">
        <v>29</v>
      </c>
      <c r="G2691" s="9">
        <v>45595</v>
      </c>
      <c r="H2691" s="9">
        <v>45061</v>
      </c>
      <c r="I2691">
        <v>1</v>
      </c>
      <c r="J2691" t="s">
        <v>32</v>
      </c>
      <c r="K2691">
        <v>9</v>
      </c>
      <c r="L2691">
        <v>6</v>
      </c>
      <c r="M2691" s="11">
        <v>18596.509999999998</v>
      </c>
      <c r="N2691" s="12">
        <v>5411.29</v>
      </c>
      <c r="O2691" s="12">
        <v>18470.57</v>
      </c>
    </row>
    <row r="2692" spans="1:15">
      <c r="A2692" t="s">
        <v>2866</v>
      </c>
      <c r="B2692" t="s">
        <v>93</v>
      </c>
      <c r="C2692" s="9">
        <v>32508</v>
      </c>
      <c r="D2692">
        <v>37</v>
      </c>
      <c r="E2692" t="s">
        <v>21</v>
      </c>
      <c r="F2692" t="s">
        <v>25</v>
      </c>
      <c r="G2692" s="9">
        <v>45035</v>
      </c>
      <c r="H2692" s="9">
        <v>44941</v>
      </c>
      <c r="I2692">
        <v>6</v>
      </c>
      <c r="J2692" t="s">
        <v>32</v>
      </c>
      <c r="K2692">
        <v>10</v>
      </c>
      <c r="L2692">
        <v>1</v>
      </c>
      <c r="M2692" s="11">
        <v>13400.1</v>
      </c>
      <c r="N2692" s="12">
        <v>1755.74</v>
      </c>
      <c r="O2692" s="12">
        <v>9811.76</v>
      </c>
    </row>
    <row r="2693" spans="1:15">
      <c r="A2693" t="s">
        <v>2867</v>
      </c>
      <c r="B2693" t="s">
        <v>546</v>
      </c>
      <c r="C2693" s="9">
        <f t="shared" ref="C2693:C2694" si="13">DATE(2026-D2653,1,1)</f>
        <v>24473</v>
      </c>
      <c r="D2693">
        <v>91</v>
      </c>
      <c r="E2693" t="s">
        <v>17</v>
      </c>
      <c r="F2693" t="s">
        <v>18</v>
      </c>
      <c r="G2693" s="9">
        <v>45104</v>
      </c>
      <c r="H2693" s="9">
        <v>45210</v>
      </c>
      <c r="I2693">
        <v>2</v>
      </c>
      <c r="J2693" t="s">
        <v>35</v>
      </c>
      <c r="K2693">
        <v>14</v>
      </c>
      <c r="L2693">
        <v>1</v>
      </c>
      <c r="M2693" s="11">
        <v>3905.08</v>
      </c>
      <c r="N2693" s="12">
        <v>10776.78</v>
      </c>
      <c r="O2693" s="12">
        <v>9474.07</v>
      </c>
    </row>
    <row r="2694" spans="1:15">
      <c r="A2694" t="s">
        <v>2868</v>
      </c>
      <c r="B2694" t="s">
        <v>338</v>
      </c>
      <c r="C2694" s="9">
        <f t="shared" si="13"/>
        <v>14611</v>
      </c>
      <c r="D2694">
        <v>80</v>
      </c>
      <c r="E2694" t="s">
        <v>17</v>
      </c>
      <c r="F2694" t="s">
        <v>74</v>
      </c>
      <c r="G2694" s="9">
        <v>45176</v>
      </c>
      <c r="H2694" s="9">
        <v>45733</v>
      </c>
      <c r="I2694">
        <v>24</v>
      </c>
      <c r="J2694" t="s">
        <v>32</v>
      </c>
      <c r="K2694">
        <v>12</v>
      </c>
      <c r="L2694">
        <v>2</v>
      </c>
      <c r="M2694" s="11">
        <v>4652.72</v>
      </c>
      <c r="N2694" s="12">
        <v>9390.86</v>
      </c>
      <c r="O2694" s="12">
        <v>5015.21</v>
      </c>
    </row>
    <row r="2695" spans="1:15">
      <c r="A2695" t="s">
        <v>2869</v>
      </c>
      <c r="B2695" t="s">
        <v>242</v>
      </c>
      <c r="C2695" s="9">
        <v>11689</v>
      </c>
      <c r="D2695">
        <v>94</v>
      </c>
      <c r="E2695" t="s">
        <v>17</v>
      </c>
      <c r="F2695" t="s">
        <v>5184</v>
      </c>
      <c r="G2695" s="9">
        <v>45493</v>
      </c>
      <c r="H2695" s="9">
        <v>45586</v>
      </c>
      <c r="I2695">
        <v>9</v>
      </c>
      <c r="J2695" t="s">
        <v>32</v>
      </c>
      <c r="K2695">
        <v>1</v>
      </c>
      <c r="L2695">
        <v>0</v>
      </c>
      <c r="M2695" s="11">
        <v>14272.82</v>
      </c>
      <c r="N2695" s="12">
        <v>1694.64</v>
      </c>
      <c r="O2695" s="12">
        <v>831.09</v>
      </c>
    </row>
    <row r="2696" spans="1:15">
      <c r="A2696" t="s">
        <v>2870</v>
      </c>
      <c r="B2696" t="s">
        <v>73</v>
      </c>
      <c r="C2696" s="9">
        <v>43466</v>
      </c>
      <c r="D2696">
        <v>7</v>
      </c>
      <c r="E2696" t="s">
        <v>17</v>
      </c>
      <c r="F2696" t="s">
        <v>49</v>
      </c>
      <c r="G2696" s="9">
        <v>45593</v>
      </c>
      <c r="H2696" s="9">
        <v>45348</v>
      </c>
      <c r="I2696">
        <v>32</v>
      </c>
      <c r="J2696" t="s">
        <v>26</v>
      </c>
      <c r="K2696">
        <v>12</v>
      </c>
      <c r="L2696">
        <v>1</v>
      </c>
      <c r="M2696" s="11">
        <v>13625.2</v>
      </c>
      <c r="N2696" s="12">
        <v>13865.47</v>
      </c>
      <c r="O2696" s="12">
        <v>5919.51</v>
      </c>
    </row>
    <row r="2697" spans="1:15">
      <c r="A2697" t="s">
        <v>2871</v>
      </c>
      <c r="B2697" t="s">
        <v>681</v>
      </c>
      <c r="C2697" s="9">
        <v>37256</v>
      </c>
      <c r="D2697">
        <v>24</v>
      </c>
      <c r="E2697" t="s">
        <v>17</v>
      </c>
      <c r="F2697" t="s">
        <v>49</v>
      </c>
      <c r="G2697" s="9">
        <v>45017</v>
      </c>
      <c r="H2697" s="9">
        <v>45054</v>
      </c>
      <c r="I2697">
        <v>26</v>
      </c>
      <c r="J2697" t="s">
        <v>26</v>
      </c>
      <c r="K2697">
        <v>5</v>
      </c>
      <c r="L2697">
        <v>4</v>
      </c>
      <c r="M2697" s="11">
        <v>15432.85</v>
      </c>
      <c r="N2697" s="12">
        <v>4633.8100000000004</v>
      </c>
      <c r="O2697" s="12">
        <v>446.88</v>
      </c>
    </row>
    <row r="2698" spans="1:15">
      <c r="A2698" t="s">
        <v>2872</v>
      </c>
      <c r="B2698" t="s">
        <v>187</v>
      </c>
      <c r="C2698" s="9">
        <v>19724</v>
      </c>
      <c r="D2698">
        <v>72</v>
      </c>
      <c r="E2698" t="s">
        <v>21</v>
      </c>
      <c r="F2698" t="s">
        <v>5184</v>
      </c>
      <c r="G2698" s="9">
        <v>45265</v>
      </c>
      <c r="H2698" s="9">
        <v>45699</v>
      </c>
      <c r="I2698">
        <v>13</v>
      </c>
      <c r="J2698" t="s">
        <v>32</v>
      </c>
      <c r="K2698">
        <v>3</v>
      </c>
      <c r="L2698">
        <v>2</v>
      </c>
      <c r="M2698" s="11">
        <v>14990.66</v>
      </c>
      <c r="N2698" s="12">
        <v>9820.9500000000007</v>
      </c>
      <c r="O2698" s="12">
        <v>16518.16</v>
      </c>
    </row>
    <row r="2699" spans="1:15">
      <c r="A2699" t="s">
        <v>2873</v>
      </c>
      <c r="B2699" t="s">
        <v>348</v>
      </c>
      <c r="C2699" s="9">
        <v>22281</v>
      </c>
      <c r="D2699">
        <v>65</v>
      </c>
      <c r="E2699" t="s">
        <v>21</v>
      </c>
      <c r="F2699" t="s">
        <v>25</v>
      </c>
      <c r="G2699" s="9">
        <v>45564</v>
      </c>
      <c r="H2699" s="9">
        <v>45753</v>
      </c>
      <c r="I2699">
        <v>16</v>
      </c>
      <c r="J2699" t="s">
        <v>35</v>
      </c>
      <c r="K2699">
        <v>1</v>
      </c>
      <c r="L2699">
        <v>9</v>
      </c>
      <c r="M2699" s="11">
        <v>9909.01</v>
      </c>
      <c r="N2699" s="12">
        <v>479.71</v>
      </c>
      <c r="O2699" s="12">
        <v>4006.18</v>
      </c>
    </row>
    <row r="2700" spans="1:15">
      <c r="A2700" t="s">
        <v>2874</v>
      </c>
      <c r="B2700" t="s">
        <v>328</v>
      </c>
      <c r="C2700" s="9">
        <v>17533</v>
      </c>
      <c r="D2700">
        <v>78</v>
      </c>
      <c r="E2700" t="s">
        <v>17</v>
      </c>
      <c r="F2700" t="s">
        <v>25</v>
      </c>
      <c r="G2700" s="9">
        <v>45095</v>
      </c>
      <c r="H2700" s="9">
        <v>45145</v>
      </c>
      <c r="I2700">
        <v>24</v>
      </c>
      <c r="J2700" t="s">
        <v>35</v>
      </c>
      <c r="K2700">
        <v>1</v>
      </c>
      <c r="L2700">
        <v>5</v>
      </c>
      <c r="M2700" s="11">
        <v>0</v>
      </c>
      <c r="N2700" s="12">
        <v>6645.64</v>
      </c>
      <c r="O2700" s="12">
        <v>18214.990000000002</v>
      </c>
    </row>
    <row r="2701" spans="1:15">
      <c r="A2701" t="s">
        <v>2875</v>
      </c>
      <c r="B2701" t="s">
        <v>524</v>
      </c>
      <c r="C2701" s="9">
        <v>28125</v>
      </c>
      <c r="D2701">
        <v>49</v>
      </c>
      <c r="E2701" t="s">
        <v>17</v>
      </c>
      <c r="F2701" t="s">
        <v>18</v>
      </c>
      <c r="G2701" s="9">
        <v>45065</v>
      </c>
      <c r="H2701" s="9">
        <v>45672</v>
      </c>
      <c r="I2701">
        <v>15</v>
      </c>
      <c r="J2701" t="s">
        <v>35</v>
      </c>
      <c r="K2701">
        <v>4</v>
      </c>
      <c r="L2701">
        <v>1</v>
      </c>
      <c r="M2701" s="11">
        <v>5972.44</v>
      </c>
      <c r="N2701" s="12">
        <v>14465.46</v>
      </c>
      <c r="O2701" s="12">
        <v>17705.3</v>
      </c>
    </row>
    <row r="2702" spans="1:15">
      <c r="A2702" t="s">
        <v>2876</v>
      </c>
      <c r="B2702" t="s">
        <v>131</v>
      </c>
      <c r="C2702" s="9">
        <v>21916</v>
      </c>
      <c r="D2702">
        <v>66</v>
      </c>
      <c r="E2702" t="s">
        <v>21</v>
      </c>
      <c r="F2702" t="s">
        <v>25</v>
      </c>
      <c r="G2702" s="9">
        <v>45443</v>
      </c>
      <c r="H2702" s="9">
        <v>45808</v>
      </c>
      <c r="I2702">
        <v>38</v>
      </c>
      <c r="J2702" t="s">
        <v>32</v>
      </c>
      <c r="K2702">
        <v>2</v>
      </c>
      <c r="L2702">
        <v>7</v>
      </c>
      <c r="M2702" s="11">
        <v>25496.03</v>
      </c>
      <c r="N2702" s="12">
        <v>13297.63</v>
      </c>
      <c r="O2702" s="12">
        <v>13260.39</v>
      </c>
    </row>
    <row r="2703" spans="1:15">
      <c r="A2703" t="s">
        <v>2877</v>
      </c>
      <c r="B2703" t="s">
        <v>273</v>
      </c>
      <c r="C2703" s="9">
        <v>28490</v>
      </c>
      <c r="D2703">
        <v>48</v>
      </c>
      <c r="E2703" t="s">
        <v>5185</v>
      </c>
      <c r="F2703" t="s">
        <v>22</v>
      </c>
      <c r="G2703" s="9">
        <v>45504</v>
      </c>
      <c r="H2703" s="9">
        <v>45607</v>
      </c>
      <c r="I2703">
        <v>10</v>
      </c>
      <c r="J2703" t="s">
        <v>32</v>
      </c>
      <c r="K2703">
        <v>12</v>
      </c>
      <c r="L2703">
        <v>3</v>
      </c>
      <c r="M2703" s="11">
        <v>5429.08</v>
      </c>
      <c r="N2703" s="12">
        <v>3320.21</v>
      </c>
      <c r="O2703" s="12">
        <v>17237.13</v>
      </c>
    </row>
    <row r="2704" spans="1:15">
      <c r="A2704" t="s">
        <v>2878</v>
      </c>
      <c r="B2704" t="s">
        <v>129</v>
      </c>
      <c r="C2704" s="9">
        <v>33239</v>
      </c>
      <c r="D2704">
        <v>35</v>
      </c>
      <c r="E2704" t="s">
        <v>21</v>
      </c>
      <c r="F2704" t="s">
        <v>22</v>
      </c>
      <c r="G2704" s="9">
        <v>45549</v>
      </c>
      <c r="H2704" s="9">
        <v>45582</v>
      </c>
      <c r="I2704">
        <v>27</v>
      </c>
      <c r="J2704" t="s">
        <v>35</v>
      </c>
      <c r="K2704">
        <v>6</v>
      </c>
      <c r="L2704">
        <v>2</v>
      </c>
      <c r="M2704" s="11">
        <v>12184.57</v>
      </c>
      <c r="N2704" s="12">
        <v>13186.96</v>
      </c>
      <c r="O2704" s="12">
        <v>17546.09</v>
      </c>
    </row>
    <row r="2705" spans="1:15">
      <c r="A2705" t="s">
        <v>2879</v>
      </c>
      <c r="B2705" t="s">
        <v>326</v>
      </c>
      <c r="C2705" s="9">
        <v>21551</v>
      </c>
      <c r="D2705">
        <v>67</v>
      </c>
      <c r="E2705" t="s">
        <v>21</v>
      </c>
      <c r="F2705" t="s">
        <v>74</v>
      </c>
      <c r="G2705" s="9">
        <v>45110</v>
      </c>
      <c r="H2705" s="9">
        <v>45416</v>
      </c>
      <c r="I2705">
        <v>23</v>
      </c>
      <c r="J2705" t="s">
        <v>26</v>
      </c>
      <c r="K2705">
        <v>0</v>
      </c>
      <c r="L2705">
        <v>4</v>
      </c>
      <c r="M2705" s="11">
        <v>5927.68</v>
      </c>
      <c r="N2705" s="12">
        <v>4396.05</v>
      </c>
      <c r="O2705" s="12">
        <v>15504.56</v>
      </c>
    </row>
    <row r="2706" spans="1:15">
      <c r="A2706" t="s">
        <v>2880</v>
      </c>
      <c r="B2706" t="s">
        <v>110</v>
      </c>
      <c r="C2706" s="9">
        <v>17898</v>
      </c>
      <c r="D2706">
        <v>77</v>
      </c>
      <c r="E2706" t="s">
        <v>21</v>
      </c>
      <c r="F2706" t="s">
        <v>74</v>
      </c>
      <c r="G2706" s="9">
        <v>45096</v>
      </c>
      <c r="H2706" s="9">
        <v>45187</v>
      </c>
      <c r="I2706">
        <v>3</v>
      </c>
      <c r="J2706" t="s">
        <v>32</v>
      </c>
      <c r="K2706">
        <v>2</v>
      </c>
      <c r="L2706">
        <v>7</v>
      </c>
      <c r="M2706" s="11">
        <v>18362.810000000001</v>
      </c>
      <c r="N2706" s="12">
        <v>12783.52</v>
      </c>
      <c r="O2706" s="12">
        <v>10109.35</v>
      </c>
    </row>
    <row r="2707" spans="1:15">
      <c r="A2707" t="s">
        <v>2881</v>
      </c>
      <c r="B2707" t="s">
        <v>284</v>
      </c>
      <c r="C2707" s="9">
        <v>31412</v>
      </c>
      <c r="D2707">
        <v>40</v>
      </c>
      <c r="E2707" t="s">
        <v>21</v>
      </c>
      <c r="F2707" t="s">
        <v>74</v>
      </c>
      <c r="G2707" s="9">
        <v>45288</v>
      </c>
      <c r="H2707" s="9">
        <v>45145</v>
      </c>
      <c r="I2707">
        <v>0</v>
      </c>
      <c r="J2707" t="s">
        <v>35</v>
      </c>
      <c r="K2707">
        <v>10</v>
      </c>
      <c r="L2707">
        <v>8</v>
      </c>
      <c r="M2707" s="11">
        <v>14067.95</v>
      </c>
      <c r="N2707" s="12">
        <v>10938.4</v>
      </c>
      <c r="O2707" s="12">
        <v>18995.93</v>
      </c>
    </row>
    <row r="2708" spans="1:15">
      <c r="A2708" t="s">
        <v>2882</v>
      </c>
      <c r="B2708" t="s">
        <v>379</v>
      </c>
      <c r="C2708" s="9">
        <v>13880</v>
      </c>
      <c r="D2708">
        <v>88</v>
      </c>
      <c r="E2708" t="s">
        <v>17</v>
      </c>
      <c r="F2708" t="s">
        <v>22</v>
      </c>
      <c r="G2708" s="9">
        <v>45170</v>
      </c>
      <c r="H2708" s="9">
        <v>45747</v>
      </c>
      <c r="I2708">
        <v>20</v>
      </c>
      <c r="J2708" t="s">
        <v>32</v>
      </c>
      <c r="K2708">
        <v>11</v>
      </c>
      <c r="L2708">
        <v>0</v>
      </c>
      <c r="M2708" s="11">
        <v>0</v>
      </c>
      <c r="N2708" s="12">
        <v>5280.79</v>
      </c>
      <c r="O2708" s="12">
        <v>16336.6</v>
      </c>
    </row>
    <row r="2709" spans="1:15">
      <c r="A2709" t="s">
        <v>2883</v>
      </c>
      <c r="B2709" t="s">
        <v>151</v>
      </c>
      <c r="C2709" s="9">
        <v>23742</v>
      </c>
      <c r="D2709">
        <v>61</v>
      </c>
      <c r="E2709" t="s">
        <v>17</v>
      </c>
      <c r="F2709" t="s">
        <v>18</v>
      </c>
      <c r="G2709" s="9">
        <v>45064</v>
      </c>
      <c r="H2709" s="9">
        <v>45585</v>
      </c>
      <c r="I2709">
        <v>9</v>
      </c>
      <c r="J2709" t="s">
        <v>32</v>
      </c>
      <c r="K2709">
        <v>6</v>
      </c>
      <c r="L2709">
        <v>3</v>
      </c>
      <c r="M2709" s="11">
        <v>13991.57</v>
      </c>
      <c r="N2709" s="12">
        <v>13661.86</v>
      </c>
      <c r="O2709" s="12">
        <v>2452.4</v>
      </c>
    </row>
    <row r="2710" spans="1:15">
      <c r="A2710" t="s">
        <v>2884</v>
      </c>
      <c r="B2710" t="s">
        <v>137</v>
      </c>
      <c r="C2710" s="9">
        <v>42735</v>
      </c>
      <c r="D2710">
        <v>9</v>
      </c>
      <c r="E2710" t="s">
        <v>21</v>
      </c>
      <c r="F2710" t="s">
        <v>18</v>
      </c>
      <c r="G2710" s="9">
        <v>44954</v>
      </c>
      <c r="H2710" s="9">
        <v>45416</v>
      </c>
      <c r="I2710">
        <v>38</v>
      </c>
      <c r="J2710" t="s">
        <v>32</v>
      </c>
      <c r="K2710">
        <v>13</v>
      </c>
      <c r="L2710">
        <v>5</v>
      </c>
      <c r="M2710" s="11">
        <v>12347.83</v>
      </c>
      <c r="N2710" s="12">
        <v>7279.19</v>
      </c>
      <c r="O2710" s="12">
        <v>8340.16</v>
      </c>
    </row>
    <row r="2711" spans="1:15">
      <c r="A2711" t="s">
        <v>2885</v>
      </c>
      <c r="B2711" t="s">
        <v>306</v>
      </c>
      <c r="C2711" s="9">
        <f>DATE(2026-D2671,1,1)</f>
        <v>37622</v>
      </c>
      <c r="D2711">
        <f ca="1">DATEDIF(C2662,TODAY(),"Y")</f>
        <v>86</v>
      </c>
      <c r="E2711" t="s">
        <v>17</v>
      </c>
      <c r="F2711" t="s">
        <v>25</v>
      </c>
      <c r="G2711" s="9">
        <v>45445</v>
      </c>
      <c r="H2711" s="9">
        <v>45370</v>
      </c>
      <c r="I2711">
        <v>38</v>
      </c>
      <c r="J2711" t="s">
        <v>32</v>
      </c>
      <c r="K2711">
        <v>13</v>
      </c>
      <c r="L2711">
        <v>5</v>
      </c>
      <c r="M2711" s="11">
        <v>25582.55</v>
      </c>
      <c r="N2711" s="12">
        <v>4765.41</v>
      </c>
      <c r="O2711" s="12">
        <v>10747.79</v>
      </c>
    </row>
    <row r="2712" spans="1:15">
      <c r="A2712" t="s">
        <v>2886</v>
      </c>
      <c r="B2712" t="s">
        <v>264</v>
      </c>
      <c r="C2712" s="9">
        <v>33239</v>
      </c>
      <c r="D2712">
        <v>35</v>
      </c>
      <c r="E2712" t="s">
        <v>17</v>
      </c>
      <c r="F2712" t="s">
        <v>18</v>
      </c>
      <c r="G2712" s="9">
        <v>45324</v>
      </c>
      <c r="H2712" s="9">
        <v>45026</v>
      </c>
      <c r="I2712">
        <v>12</v>
      </c>
      <c r="J2712" t="s">
        <v>35</v>
      </c>
      <c r="K2712">
        <v>10</v>
      </c>
      <c r="L2712">
        <v>8</v>
      </c>
      <c r="M2712" s="11">
        <v>3290.13</v>
      </c>
      <c r="N2712" s="12">
        <v>4195.29</v>
      </c>
      <c r="O2712" s="12">
        <v>10541.23</v>
      </c>
    </row>
    <row r="2713" spans="1:15">
      <c r="A2713" t="s">
        <v>2887</v>
      </c>
      <c r="B2713" t="s">
        <v>103</v>
      </c>
      <c r="C2713" s="9">
        <v>42005</v>
      </c>
      <c r="D2713">
        <v>11</v>
      </c>
      <c r="E2713" t="s">
        <v>17</v>
      </c>
      <c r="F2713" t="s">
        <v>74</v>
      </c>
      <c r="G2713" s="9">
        <v>45259</v>
      </c>
      <c r="H2713" s="9">
        <v>45109</v>
      </c>
      <c r="I2713">
        <v>2</v>
      </c>
      <c r="J2713" t="s">
        <v>32</v>
      </c>
      <c r="K2713">
        <v>6</v>
      </c>
      <c r="L2713">
        <v>0</v>
      </c>
      <c r="M2713" s="11">
        <v>23692.03</v>
      </c>
      <c r="N2713" s="12">
        <v>14086.01</v>
      </c>
      <c r="O2713" s="12">
        <v>7528.65</v>
      </c>
    </row>
    <row r="2714" spans="1:15">
      <c r="A2714" t="s">
        <v>2888</v>
      </c>
      <c r="B2714" t="s">
        <v>125</v>
      </c>
      <c r="C2714" s="9">
        <v>13150</v>
      </c>
      <c r="D2714">
        <v>90</v>
      </c>
      <c r="E2714" t="s">
        <v>17</v>
      </c>
      <c r="F2714" t="s">
        <v>29</v>
      </c>
      <c r="G2714" s="9">
        <v>45243</v>
      </c>
      <c r="H2714" s="9">
        <v>45096</v>
      </c>
      <c r="I2714">
        <v>5</v>
      </c>
      <c r="J2714" t="s">
        <v>32</v>
      </c>
      <c r="K2714">
        <v>14</v>
      </c>
      <c r="L2714">
        <v>4</v>
      </c>
      <c r="M2714" s="11">
        <v>19487.55</v>
      </c>
      <c r="N2714" s="12">
        <v>11378.71</v>
      </c>
      <c r="O2714" s="12">
        <v>10585.97</v>
      </c>
    </row>
    <row r="2715" spans="1:15">
      <c r="A2715" t="s">
        <v>2889</v>
      </c>
      <c r="B2715" t="s">
        <v>53</v>
      </c>
      <c r="C2715" s="9">
        <v>45657</v>
      </c>
      <c r="D2715">
        <v>1</v>
      </c>
      <c r="E2715" t="s">
        <v>21</v>
      </c>
      <c r="F2715" t="s">
        <v>74</v>
      </c>
      <c r="G2715" s="9">
        <v>45489</v>
      </c>
      <c r="H2715" s="9">
        <v>45160</v>
      </c>
      <c r="I2715">
        <v>28</v>
      </c>
      <c r="J2715" t="s">
        <v>35</v>
      </c>
      <c r="K2715">
        <v>14</v>
      </c>
      <c r="L2715">
        <v>9</v>
      </c>
      <c r="M2715" s="11">
        <v>10123.77</v>
      </c>
      <c r="N2715" s="12">
        <v>5248.49</v>
      </c>
      <c r="O2715" s="12">
        <v>1769.14</v>
      </c>
    </row>
    <row r="2716" spans="1:15">
      <c r="A2716" t="s">
        <v>2890</v>
      </c>
      <c r="B2716" t="s">
        <v>546</v>
      </c>
      <c r="C2716" s="9">
        <f>DATE(2026-D2676,1,1)</f>
        <v>25204</v>
      </c>
      <c r="D2716">
        <v>12</v>
      </c>
      <c r="E2716" t="s">
        <v>17</v>
      </c>
      <c r="F2716" t="s">
        <v>22</v>
      </c>
      <c r="G2716" s="9">
        <v>45352</v>
      </c>
      <c r="H2716" s="9">
        <v>45020</v>
      </c>
      <c r="I2716">
        <v>8</v>
      </c>
      <c r="J2716" t="s">
        <v>35</v>
      </c>
      <c r="K2716">
        <v>3</v>
      </c>
      <c r="L2716">
        <v>0</v>
      </c>
      <c r="M2716" s="11">
        <v>27532.61</v>
      </c>
      <c r="N2716" s="12">
        <v>3812.53</v>
      </c>
      <c r="O2716" s="12">
        <v>13070.17</v>
      </c>
    </row>
    <row r="2717" spans="1:15">
      <c r="A2717" t="s">
        <v>2891</v>
      </c>
      <c r="B2717" t="s">
        <v>275</v>
      </c>
      <c r="C2717" s="9">
        <v>27029</v>
      </c>
      <c r="D2717">
        <v>52</v>
      </c>
      <c r="E2717" t="s">
        <v>21</v>
      </c>
      <c r="F2717" t="s">
        <v>5184</v>
      </c>
      <c r="G2717" s="9">
        <v>45062</v>
      </c>
      <c r="H2717" s="9">
        <v>45556</v>
      </c>
      <c r="I2717">
        <v>14</v>
      </c>
      <c r="J2717" t="s">
        <v>35</v>
      </c>
      <c r="K2717">
        <v>1</v>
      </c>
      <c r="L2717">
        <v>5</v>
      </c>
      <c r="M2717" s="11">
        <v>4896.84</v>
      </c>
      <c r="N2717" s="12">
        <v>3174.26</v>
      </c>
      <c r="O2717" s="12">
        <v>9904.6200000000008</v>
      </c>
    </row>
    <row r="2718" spans="1:15">
      <c r="A2718" t="s">
        <v>2892</v>
      </c>
      <c r="B2718" t="s">
        <v>278</v>
      </c>
      <c r="C2718" s="9">
        <v>34700</v>
      </c>
      <c r="D2718">
        <v>31</v>
      </c>
      <c r="E2718" t="s">
        <v>17</v>
      </c>
      <c r="F2718" t="s">
        <v>29</v>
      </c>
      <c r="G2718" s="9">
        <v>45616</v>
      </c>
      <c r="H2718" s="9">
        <v>45399</v>
      </c>
      <c r="I2718">
        <v>24</v>
      </c>
      <c r="J2718" t="s">
        <v>32</v>
      </c>
      <c r="K2718">
        <v>11</v>
      </c>
      <c r="L2718">
        <v>8</v>
      </c>
      <c r="M2718" s="11">
        <v>8963.7900000000009</v>
      </c>
      <c r="N2718" s="12">
        <v>3667.39</v>
      </c>
      <c r="O2718" s="12">
        <v>15731.82</v>
      </c>
    </row>
    <row r="2719" spans="1:15">
      <c r="A2719" t="s">
        <v>2893</v>
      </c>
      <c r="B2719" t="s">
        <v>59</v>
      </c>
      <c r="C2719" s="9">
        <v>11689</v>
      </c>
      <c r="D2719">
        <v>94</v>
      </c>
      <c r="E2719" t="s">
        <v>21</v>
      </c>
      <c r="F2719" t="s">
        <v>25</v>
      </c>
      <c r="G2719" s="9">
        <v>45567</v>
      </c>
      <c r="H2719" s="9">
        <v>45443</v>
      </c>
      <c r="I2719">
        <v>28</v>
      </c>
      <c r="J2719" t="s">
        <v>35</v>
      </c>
      <c r="K2719">
        <v>13</v>
      </c>
      <c r="L2719">
        <v>3</v>
      </c>
      <c r="M2719" s="11">
        <v>10932.65</v>
      </c>
      <c r="N2719" s="12">
        <v>1664.69</v>
      </c>
      <c r="O2719" s="12">
        <v>13837.09</v>
      </c>
    </row>
    <row r="2720" spans="1:15">
      <c r="A2720" t="s">
        <v>2894</v>
      </c>
      <c r="B2720" t="s">
        <v>192</v>
      </c>
      <c r="C2720" s="9">
        <v>40544</v>
      </c>
      <c r="D2720">
        <v>15</v>
      </c>
      <c r="E2720" t="s">
        <v>17</v>
      </c>
      <c r="F2720" t="s">
        <v>49</v>
      </c>
      <c r="G2720" s="9">
        <v>45635</v>
      </c>
      <c r="H2720" s="9">
        <v>45012</v>
      </c>
      <c r="I2720">
        <v>24</v>
      </c>
      <c r="J2720" t="s">
        <v>26</v>
      </c>
      <c r="K2720">
        <v>2</v>
      </c>
      <c r="L2720">
        <v>9</v>
      </c>
      <c r="M2720" s="11">
        <v>19257.79</v>
      </c>
      <c r="N2720" s="12">
        <v>7271.02</v>
      </c>
      <c r="O2720" s="12">
        <v>2166.67</v>
      </c>
    </row>
    <row r="2721" spans="1:15">
      <c r="A2721" t="s">
        <v>2895</v>
      </c>
      <c r="B2721" t="s">
        <v>264</v>
      </c>
      <c r="C2721" s="9">
        <v>34700</v>
      </c>
      <c r="D2721">
        <v>31</v>
      </c>
      <c r="E2721" t="s">
        <v>17</v>
      </c>
      <c r="F2721" t="s">
        <v>5184</v>
      </c>
      <c r="G2721" s="9">
        <v>45193</v>
      </c>
      <c r="H2721" s="9">
        <v>45606</v>
      </c>
      <c r="I2721">
        <v>11</v>
      </c>
      <c r="J2721" t="s">
        <v>32</v>
      </c>
      <c r="K2721">
        <v>1</v>
      </c>
      <c r="L2721">
        <v>9</v>
      </c>
      <c r="M2721" s="11">
        <v>28365.55</v>
      </c>
      <c r="N2721" s="12">
        <v>616.08000000000004</v>
      </c>
      <c r="O2721" s="12">
        <v>6949.26</v>
      </c>
    </row>
    <row r="2722" spans="1:15">
      <c r="A2722" t="s">
        <v>2896</v>
      </c>
      <c r="B2722" t="s">
        <v>254</v>
      </c>
      <c r="C2722" s="9">
        <v>34700</v>
      </c>
      <c r="D2722">
        <v>31</v>
      </c>
      <c r="E2722" t="s">
        <v>21</v>
      </c>
      <c r="F2722" t="s">
        <v>18</v>
      </c>
      <c r="G2722" s="9">
        <v>45033</v>
      </c>
      <c r="H2722" s="9">
        <v>45446</v>
      </c>
      <c r="I2722">
        <v>20</v>
      </c>
      <c r="J2722" t="s">
        <v>26</v>
      </c>
      <c r="K2722">
        <v>9</v>
      </c>
      <c r="L2722">
        <v>8</v>
      </c>
      <c r="M2722" s="11">
        <v>17600.16</v>
      </c>
      <c r="N2722" s="12">
        <v>172.72</v>
      </c>
      <c r="O2722" s="12">
        <v>14698.56</v>
      </c>
    </row>
    <row r="2723" spans="1:15">
      <c r="A2723" t="s">
        <v>2897</v>
      </c>
      <c r="B2723" t="s">
        <v>172</v>
      </c>
      <c r="C2723" s="9">
        <v>42370</v>
      </c>
      <c r="D2723">
        <v>10</v>
      </c>
      <c r="E2723" t="s">
        <v>21</v>
      </c>
      <c r="F2723" t="s">
        <v>18</v>
      </c>
      <c r="G2723" s="9">
        <v>45486</v>
      </c>
      <c r="H2723" s="9">
        <v>45308</v>
      </c>
      <c r="I2723">
        <v>2</v>
      </c>
      <c r="J2723" t="s">
        <v>32</v>
      </c>
      <c r="K2723">
        <v>0</v>
      </c>
      <c r="L2723">
        <v>2</v>
      </c>
      <c r="M2723" s="11">
        <v>25617.34</v>
      </c>
      <c r="N2723" s="12">
        <v>9271.09</v>
      </c>
      <c r="O2723" s="12">
        <v>6671.41</v>
      </c>
    </row>
    <row r="2724" spans="1:15">
      <c r="A2724" t="s">
        <v>2898</v>
      </c>
      <c r="B2724" t="s">
        <v>223</v>
      </c>
      <c r="C2724" s="9">
        <v>42735</v>
      </c>
      <c r="D2724">
        <v>9</v>
      </c>
      <c r="E2724" t="s">
        <v>17</v>
      </c>
      <c r="F2724" t="s">
        <v>22</v>
      </c>
      <c r="G2724" s="9">
        <v>45064</v>
      </c>
      <c r="H2724" s="9">
        <v>45334</v>
      </c>
      <c r="I2724">
        <v>27</v>
      </c>
      <c r="J2724" t="s">
        <v>32</v>
      </c>
      <c r="K2724">
        <v>12</v>
      </c>
      <c r="L2724">
        <v>6</v>
      </c>
      <c r="M2724" s="11">
        <v>27101.69</v>
      </c>
      <c r="N2724" s="12">
        <v>1327.19</v>
      </c>
      <c r="O2724" s="12">
        <v>11294.71</v>
      </c>
    </row>
    <row r="2725" spans="1:15">
      <c r="A2725" t="s">
        <v>2899</v>
      </c>
      <c r="B2725" t="s">
        <v>127</v>
      </c>
      <c r="C2725" s="9">
        <v>40909</v>
      </c>
      <c r="D2725">
        <v>14</v>
      </c>
      <c r="E2725" t="s">
        <v>17</v>
      </c>
      <c r="F2725" t="s">
        <v>74</v>
      </c>
      <c r="G2725" s="9">
        <v>45541</v>
      </c>
      <c r="H2725" s="9">
        <v>45159</v>
      </c>
      <c r="I2725">
        <v>31</v>
      </c>
      <c r="J2725" t="s">
        <v>32</v>
      </c>
      <c r="K2725">
        <v>2</v>
      </c>
      <c r="L2725">
        <v>4</v>
      </c>
      <c r="M2725" s="11">
        <v>13727.14</v>
      </c>
      <c r="N2725" s="12">
        <v>12678.14</v>
      </c>
      <c r="O2725" s="12">
        <v>19221.52</v>
      </c>
    </row>
    <row r="2726" spans="1:15">
      <c r="A2726" t="s">
        <v>2900</v>
      </c>
      <c r="B2726" t="s">
        <v>302</v>
      </c>
      <c r="C2726" s="9">
        <v>40178</v>
      </c>
      <c r="D2726">
        <v>16</v>
      </c>
      <c r="E2726" t="s">
        <v>21</v>
      </c>
      <c r="F2726" t="s">
        <v>74</v>
      </c>
      <c r="G2726" s="9">
        <v>44973</v>
      </c>
      <c r="H2726" s="9">
        <v>45178</v>
      </c>
      <c r="I2726">
        <v>16</v>
      </c>
      <c r="J2726" t="s">
        <v>32</v>
      </c>
      <c r="K2726">
        <v>7</v>
      </c>
      <c r="L2726">
        <v>9</v>
      </c>
      <c r="M2726" s="11">
        <v>0</v>
      </c>
      <c r="N2726" s="12">
        <v>1600.93</v>
      </c>
      <c r="O2726" s="12">
        <v>1506.4</v>
      </c>
    </row>
    <row r="2727" spans="1:15">
      <c r="A2727" t="s">
        <v>2901</v>
      </c>
      <c r="B2727" t="s">
        <v>196</v>
      </c>
      <c r="C2727" s="9">
        <v>31778</v>
      </c>
      <c r="D2727">
        <f ca="1">DATEDIF(C2678,TODAY(),"Y")</f>
        <v>10</v>
      </c>
      <c r="E2727" t="s">
        <v>17</v>
      </c>
      <c r="F2727" t="s">
        <v>29</v>
      </c>
      <c r="G2727" s="9">
        <v>45591</v>
      </c>
      <c r="H2727" s="9">
        <v>45012</v>
      </c>
      <c r="I2727">
        <v>28</v>
      </c>
      <c r="J2727" t="s">
        <v>32</v>
      </c>
      <c r="K2727">
        <v>4</v>
      </c>
      <c r="L2727">
        <v>0</v>
      </c>
      <c r="M2727" s="11">
        <v>7124.93</v>
      </c>
      <c r="N2727" s="12">
        <v>8140.03</v>
      </c>
      <c r="O2727" s="12">
        <v>3724.81</v>
      </c>
    </row>
    <row r="2728" spans="1:15">
      <c r="A2728" t="s">
        <v>2902</v>
      </c>
      <c r="B2728" t="s">
        <v>91</v>
      </c>
      <c r="C2728" s="9">
        <v>39813</v>
      </c>
      <c r="D2728">
        <v>17</v>
      </c>
      <c r="E2728" t="s">
        <v>21</v>
      </c>
      <c r="F2728" t="s">
        <v>18</v>
      </c>
      <c r="G2728" s="9">
        <v>45294</v>
      </c>
      <c r="H2728" s="9">
        <v>45246</v>
      </c>
      <c r="I2728">
        <v>13</v>
      </c>
      <c r="J2728" t="s">
        <v>26</v>
      </c>
      <c r="K2728">
        <v>2</v>
      </c>
      <c r="L2728">
        <v>6</v>
      </c>
      <c r="M2728" s="11">
        <v>17848.39</v>
      </c>
      <c r="N2728" s="12">
        <v>10132.549999999999</v>
      </c>
      <c r="O2728" s="12">
        <v>9560.25</v>
      </c>
    </row>
    <row r="2729" spans="1:15">
      <c r="A2729" t="s">
        <v>2903</v>
      </c>
      <c r="B2729" t="s">
        <v>341</v>
      </c>
      <c r="C2729" s="9">
        <v>26299</v>
      </c>
      <c r="D2729">
        <v>54</v>
      </c>
      <c r="E2729" t="s">
        <v>21</v>
      </c>
      <c r="F2729" t="s">
        <v>5184</v>
      </c>
      <c r="G2729" s="9">
        <v>44932</v>
      </c>
      <c r="H2729" s="9">
        <v>45120</v>
      </c>
      <c r="I2729">
        <v>24</v>
      </c>
      <c r="J2729" t="s">
        <v>32</v>
      </c>
      <c r="K2729">
        <v>1</v>
      </c>
      <c r="L2729">
        <v>7</v>
      </c>
      <c r="M2729" s="11">
        <v>3160.85</v>
      </c>
      <c r="N2729" s="12">
        <v>3437.33</v>
      </c>
      <c r="O2729" s="12">
        <v>14742.51</v>
      </c>
    </row>
    <row r="2730" spans="1:15">
      <c r="A2730" t="s">
        <v>2904</v>
      </c>
      <c r="B2730" t="s">
        <v>105</v>
      </c>
      <c r="C2730" s="9">
        <v>19724</v>
      </c>
      <c r="D2730">
        <v>72</v>
      </c>
      <c r="E2730" t="s">
        <v>21</v>
      </c>
      <c r="F2730" t="s">
        <v>22</v>
      </c>
      <c r="G2730" s="9">
        <v>45449</v>
      </c>
      <c r="H2730" s="9">
        <v>45562</v>
      </c>
      <c r="I2730">
        <v>23</v>
      </c>
      <c r="J2730" t="s">
        <v>35</v>
      </c>
      <c r="K2730">
        <v>12</v>
      </c>
      <c r="L2730">
        <v>5</v>
      </c>
      <c r="M2730" s="11">
        <v>18847.03</v>
      </c>
      <c r="N2730" s="12">
        <v>13323.96</v>
      </c>
      <c r="O2730" s="12">
        <v>6535.24</v>
      </c>
    </row>
    <row r="2731" spans="1:15">
      <c r="A2731" t="s">
        <v>2905</v>
      </c>
      <c r="B2731" t="s">
        <v>135</v>
      </c>
      <c r="C2731" s="9">
        <v>37256</v>
      </c>
      <c r="D2731">
        <v>24</v>
      </c>
      <c r="E2731" t="s">
        <v>21</v>
      </c>
      <c r="F2731" t="s">
        <v>5184</v>
      </c>
      <c r="G2731" s="9">
        <v>45455</v>
      </c>
      <c r="H2731" s="9">
        <v>45528</v>
      </c>
      <c r="I2731">
        <v>36</v>
      </c>
      <c r="J2731" t="s">
        <v>35</v>
      </c>
      <c r="K2731">
        <v>5</v>
      </c>
      <c r="L2731">
        <v>0</v>
      </c>
      <c r="M2731" s="11">
        <v>26733.360000000001</v>
      </c>
      <c r="N2731" s="12">
        <v>7220.8</v>
      </c>
      <c r="O2731" s="12">
        <v>2260.98</v>
      </c>
    </row>
    <row r="2732" spans="1:15">
      <c r="A2732" t="s">
        <v>2906</v>
      </c>
      <c r="B2732" t="s">
        <v>372</v>
      </c>
      <c r="C2732" s="9">
        <v>24838</v>
      </c>
      <c r="D2732">
        <v>58</v>
      </c>
      <c r="E2732" t="s">
        <v>17</v>
      </c>
      <c r="F2732" t="s">
        <v>25</v>
      </c>
      <c r="G2732" s="9">
        <v>45581</v>
      </c>
      <c r="H2732" s="9">
        <v>45534</v>
      </c>
      <c r="I2732">
        <v>26</v>
      </c>
      <c r="J2732" t="s">
        <v>32</v>
      </c>
      <c r="K2732">
        <v>0</v>
      </c>
      <c r="L2732">
        <v>8</v>
      </c>
      <c r="M2732" s="11">
        <v>22703.96</v>
      </c>
      <c r="N2732" s="12">
        <v>4729.79</v>
      </c>
      <c r="O2732" s="12">
        <v>6247.09</v>
      </c>
    </row>
    <row r="2733" spans="1:15">
      <c r="A2733" t="s">
        <v>2907</v>
      </c>
      <c r="B2733" t="s">
        <v>444</v>
      </c>
      <c r="C2733" s="9">
        <v>17898</v>
      </c>
      <c r="D2733">
        <v>77</v>
      </c>
      <c r="E2733" t="s">
        <v>5185</v>
      </c>
      <c r="F2733" t="s">
        <v>74</v>
      </c>
      <c r="G2733" s="9">
        <v>45198</v>
      </c>
      <c r="H2733" s="9">
        <v>45814</v>
      </c>
      <c r="I2733">
        <v>36</v>
      </c>
      <c r="J2733" t="s">
        <v>35</v>
      </c>
      <c r="K2733">
        <v>10</v>
      </c>
      <c r="L2733">
        <v>6</v>
      </c>
      <c r="M2733" s="11">
        <v>19300.25</v>
      </c>
      <c r="N2733" s="12">
        <v>13516.93</v>
      </c>
      <c r="O2733" s="12">
        <v>12853.09</v>
      </c>
    </row>
    <row r="2734" spans="1:15">
      <c r="A2734" t="s">
        <v>2908</v>
      </c>
      <c r="B2734" t="s">
        <v>246</v>
      </c>
      <c r="C2734" s="9">
        <v>13880</v>
      </c>
      <c r="D2734">
        <v>88</v>
      </c>
      <c r="E2734" t="s">
        <v>21</v>
      </c>
      <c r="F2734" t="s">
        <v>5184</v>
      </c>
      <c r="G2734" s="9">
        <v>44992</v>
      </c>
      <c r="H2734" s="9">
        <v>45227</v>
      </c>
      <c r="I2734">
        <v>26</v>
      </c>
      <c r="J2734" t="s">
        <v>32</v>
      </c>
      <c r="K2734">
        <v>4</v>
      </c>
      <c r="L2734">
        <v>5</v>
      </c>
      <c r="M2734" s="11">
        <v>25071.32</v>
      </c>
      <c r="N2734" s="12">
        <v>12875.1</v>
      </c>
      <c r="O2734" s="12">
        <v>15830.21</v>
      </c>
    </row>
    <row r="2735" spans="1:15">
      <c r="A2735" t="s">
        <v>2909</v>
      </c>
      <c r="B2735" t="s">
        <v>157</v>
      </c>
      <c r="C2735" s="9">
        <v>38352</v>
      </c>
      <c r="D2735">
        <v>21</v>
      </c>
      <c r="E2735" t="s">
        <v>17</v>
      </c>
      <c r="F2735" t="s">
        <v>18</v>
      </c>
      <c r="G2735" s="9">
        <v>45346</v>
      </c>
      <c r="H2735" s="9">
        <v>45285</v>
      </c>
      <c r="I2735">
        <v>28</v>
      </c>
      <c r="J2735" t="s">
        <v>35</v>
      </c>
      <c r="K2735">
        <v>8</v>
      </c>
      <c r="L2735">
        <v>3</v>
      </c>
      <c r="M2735" s="11">
        <v>21759.360000000001</v>
      </c>
      <c r="N2735" s="12">
        <v>10644.41</v>
      </c>
      <c r="O2735" s="12">
        <v>19537.96</v>
      </c>
    </row>
    <row r="2736" spans="1:15">
      <c r="A2736" t="s">
        <v>2910</v>
      </c>
      <c r="B2736" t="s">
        <v>176</v>
      </c>
      <c r="C2736" s="9">
        <v>35430</v>
      </c>
      <c r="D2736">
        <v>29</v>
      </c>
      <c r="E2736" t="s">
        <v>21</v>
      </c>
      <c r="F2736" t="s">
        <v>49</v>
      </c>
      <c r="G2736" s="9">
        <v>45265</v>
      </c>
      <c r="H2736" s="9">
        <v>45484</v>
      </c>
      <c r="I2736">
        <v>1</v>
      </c>
      <c r="J2736" t="s">
        <v>32</v>
      </c>
      <c r="K2736">
        <v>1</v>
      </c>
      <c r="L2736">
        <v>2</v>
      </c>
      <c r="M2736" s="11">
        <v>15654.69</v>
      </c>
      <c r="N2736" s="12">
        <v>4357.24</v>
      </c>
      <c r="O2736" s="12">
        <v>15203.05</v>
      </c>
    </row>
    <row r="2737" spans="1:15">
      <c r="A2737" t="s">
        <v>2911</v>
      </c>
      <c r="B2737" t="s">
        <v>71</v>
      </c>
      <c r="C2737" s="9">
        <v>15707</v>
      </c>
      <c r="D2737">
        <v>83</v>
      </c>
      <c r="E2737" t="s">
        <v>17</v>
      </c>
      <c r="F2737" t="s">
        <v>22</v>
      </c>
      <c r="G2737" s="9">
        <v>45424</v>
      </c>
      <c r="H2737" s="9">
        <v>45692</v>
      </c>
      <c r="I2737">
        <v>3</v>
      </c>
      <c r="J2737" t="s">
        <v>32</v>
      </c>
      <c r="K2737">
        <v>11</v>
      </c>
      <c r="L2737">
        <v>3</v>
      </c>
      <c r="M2737" s="11">
        <v>15392.46</v>
      </c>
      <c r="N2737" s="12">
        <v>5853.1</v>
      </c>
      <c r="O2737" s="12">
        <v>9794.4</v>
      </c>
    </row>
    <row r="2738" spans="1:15">
      <c r="A2738" t="s">
        <v>2912</v>
      </c>
      <c r="B2738" t="s">
        <v>268</v>
      </c>
      <c r="C2738" s="9">
        <f>DATE(2026-D2698,1,1)</f>
        <v>19725</v>
      </c>
      <c r="D2738">
        <v>84</v>
      </c>
      <c r="E2738" t="s">
        <v>21</v>
      </c>
      <c r="F2738" t="s">
        <v>29</v>
      </c>
      <c r="G2738" s="9">
        <v>45395</v>
      </c>
      <c r="H2738" s="9">
        <v>45380</v>
      </c>
      <c r="I2738">
        <v>6</v>
      </c>
      <c r="J2738" t="s">
        <v>32</v>
      </c>
      <c r="K2738">
        <v>5</v>
      </c>
      <c r="L2738">
        <v>0</v>
      </c>
      <c r="M2738" s="11">
        <v>2763.6</v>
      </c>
      <c r="N2738" s="12">
        <v>10346</v>
      </c>
      <c r="O2738" s="12">
        <v>5781.6</v>
      </c>
    </row>
    <row r="2739" spans="1:15">
      <c r="A2739" t="s">
        <v>2913</v>
      </c>
      <c r="B2739" t="s">
        <v>28</v>
      </c>
      <c r="C2739" s="9">
        <v>30317</v>
      </c>
      <c r="D2739">
        <v>43</v>
      </c>
      <c r="E2739" t="s">
        <v>17</v>
      </c>
      <c r="F2739" t="s">
        <v>74</v>
      </c>
      <c r="G2739" s="9">
        <v>45257</v>
      </c>
      <c r="H2739" s="9">
        <v>45812</v>
      </c>
      <c r="I2739">
        <v>12</v>
      </c>
      <c r="J2739" t="s">
        <v>32</v>
      </c>
      <c r="K2739">
        <v>2</v>
      </c>
      <c r="L2739">
        <v>8</v>
      </c>
      <c r="M2739" s="11">
        <v>12749.65</v>
      </c>
      <c r="N2739" s="12">
        <v>2779.26</v>
      </c>
      <c r="O2739" s="12">
        <v>18543.080000000002</v>
      </c>
    </row>
    <row r="2740" spans="1:15">
      <c r="A2740" t="s">
        <v>2914</v>
      </c>
      <c r="B2740" t="s">
        <v>151</v>
      </c>
      <c r="C2740" s="9">
        <v>34700</v>
      </c>
      <c r="D2740">
        <v>31</v>
      </c>
      <c r="E2740" t="s">
        <v>17</v>
      </c>
      <c r="F2740" t="s">
        <v>74</v>
      </c>
      <c r="G2740" s="9">
        <v>45565</v>
      </c>
      <c r="H2740" s="9">
        <v>45490</v>
      </c>
      <c r="I2740">
        <v>17</v>
      </c>
      <c r="J2740" t="s">
        <v>32</v>
      </c>
      <c r="K2740">
        <v>9</v>
      </c>
      <c r="L2740">
        <v>1</v>
      </c>
      <c r="M2740" s="11">
        <v>15434.71</v>
      </c>
      <c r="N2740" s="12">
        <v>7426.69</v>
      </c>
      <c r="O2740" s="12">
        <v>10637.63</v>
      </c>
    </row>
    <row r="2741" spans="1:15">
      <c r="A2741" t="s">
        <v>2915</v>
      </c>
      <c r="B2741" t="s">
        <v>681</v>
      </c>
      <c r="C2741" s="9">
        <v>27760</v>
      </c>
      <c r="D2741">
        <v>50</v>
      </c>
      <c r="E2741" t="s">
        <v>21</v>
      </c>
      <c r="F2741" t="s">
        <v>25</v>
      </c>
      <c r="G2741" s="9">
        <v>45057</v>
      </c>
      <c r="H2741" s="9">
        <v>45433</v>
      </c>
      <c r="I2741">
        <v>1</v>
      </c>
      <c r="J2741" t="s">
        <v>32</v>
      </c>
      <c r="K2741">
        <v>1</v>
      </c>
      <c r="L2741">
        <v>1</v>
      </c>
      <c r="M2741" s="11">
        <v>13832.47</v>
      </c>
      <c r="N2741" s="12">
        <v>11065.83</v>
      </c>
      <c r="O2741" s="12">
        <v>13744.75</v>
      </c>
    </row>
    <row r="2742" spans="1:15">
      <c r="A2742" t="s">
        <v>2916</v>
      </c>
      <c r="B2742" t="s">
        <v>422</v>
      </c>
      <c r="C2742" s="9">
        <v>29586</v>
      </c>
      <c r="D2742">
        <v>45</v>
      </c>
      <c r="E2742" t="s">
        <v>17</v>
      </c>
      <c r="F2742" t="s">
        <v>74</v>
      </c>
      <c r="G2742" s="9">
        <v>45456</v>
      </c>
      <c r="H2742" s="9">
        <v>44992</v>
      </c>
      <c r="I2742">
        <v>0</v>
      </c>
      <c r="J2742" t="s">
        <v>32</v>
      </c>
      <c r="K2742">
        <v>8</v>
      </c>
      <c r="L2742">
        <v>2</v>
      </c>
      <c r="M2742" s="11">
        <v>23168.42</v>
      </c>
      <c r="N2742" s="12">
        <v>9865.69</v>
      </c>
      <c r="O2742" s="12">
        <v>9396.0499999999993</v>
      </c>
    </row>
    <row r="2743" spans="1:15">
      <c r="A2743" t="s">
        <v>2917</v>
      </c>
      <c r="B2743" t="s">
        <v>189</v>
      </c>
      <c r="C2743" s="9">
        <v>38717</v>
      </c>
      <c r="D2743">
        <v>20</v>
      </c>
      <c r="E2743" t="s">
        <v>21</v>
      </c>
      <c r="F2743" t="s">
        <v>22</v>
      </c>
      <c r="G2743" s="9">
        <v>45645</v>
      </c>
      <c r="H2743" s="9">
        <v>45493</v>
      </c>
      <c r="I2743">
        <v>27</v>
      </c>
      <c r="J2743" t="s">
        <v>26</v>
      </c>
      <c r="K2743">
        <v>5</v>
      </c>
      <c r="L2743">
        <v>0</v>
      </c>
      <c r="M2743" s="11">
        <v>4409.34</v>
      </c>
      <c r="N2743" s="12">
        <v>10799</v>
      </c>
      <c r="O2743" s="12">
        <v>4766.3500000000004</v>
      </c>
    </row>
    <row r="2744" spans="1:15">
      <c r="A2744" t="s">
        <v>2918</v>
      </c>
      <c r="B2744" t="s">
        <v>135</v>
      </c>
      <c r="C2744" s="9">
        <v>34700</v>
      </c>
      <c r="D2744">
        <v>31</v>
      </c>
      <c r="E2744" t="s">
        <v>21</v>
      </c>
      <c r="F2744" t="s">
        <v>18</v>
      </c>
      <c r="G2744" s="9">
        <v>45527</v>
      </c>
      <c r="H2744" s="9">
        <v>45149</v>
      </c>
      <c r="I2744">
        <v>5</v>
      </c>
      <c r="J2744" t="s">
        <v>32</v>
      </c>
      <c r="K2744">
        <v>11</v>
      </c>
      <c r="L2744">
        <v>9</v>
      </c>
      <c r="M2744" s="11">
        <v>23744.42</v>
      </c>
      <c r="N2744" s="12">
        <v>13378.79</v>
      </c>
      <c r="O2744" s="12">
        <v>10893.46</v>
      </c>
    </row>
    <row r="2745" spans="1:15">
      <c r="A2745" t="s">
        <v>2919</v>
      </c>
      <c r="B2745" t="s">
        <v>137</v>
      </c>
      <c r="C2745" s="9">
        <v>12054</v>
      </c>
      <c r="D2745">
        <v>93</v>
      </c>
      <c r="E2745" t="s">
        <v>21</v>
      </c>
      <c r="F2745" t="s">
        <v>18</v>
      </c>
      <c r="G2745" s="9">
        <v>45364</v>
      </c>
      <c r="H2745" s="9">
        <v>45393</v>
      </c>
      <c r="I2745">
        <v>37</v>
      </c>
      <c r="J2745" t="s">
        <v>32</v>
      </c>
      <c r="K2745">
        <v>1</v>
      </c>
      <c r="L2745">
        <v>2</v>
      </c>
      <c r="M2745" s="11">
        <v>22120.71</v>
      </c>
      <c r="N2745" s="12">
        <v>14524.3</v>
      </c>
      <c r="O2745" s="12">
        <v>16782.07</v>
      </c>
    </row>
    <row r="2746" spans="1:15">
      <c r="A2746" t="s">
        <v>2920</v>
      </c>
      <c r="B2746" t="s">
        <v>93</v>
      </c>
      <c r="C2746" s="9">
        <v>32143</v>
      </c>
      <c r="D2746">
        <v>38</v>
      </c>
      <c r="E2746" t="s">
        <v>21</v>
      </c>
      <c r="F2746" t="s">
        <v>18</v>
      </c>
      <c r="G2746" s="9">
        <v>45169</v>
      </c>
      <c r="H2746" s="9">
        <v>44999</v>
      </c>
      <c r="I2746">
        <v>18</v>
      </c>
      <c r="J2746" t="s">
        <v>26</v>
      </c>
      <c r="K2746">
        <v>6</v>
      </c>
      <c r="L2746">
        <v>3</v>
      </c>
      <c r="M2746" s="11">
        <v>26975.08</v>
      </c>
      <c r="N2746" s="12">
        <v>6875.75</v>
      </c>
      <c r="O2746" s="12">
        <v>7604.75</v>
      </c>
    </row>
    <row r="2747" spans="1:15">
      <c r="A2747" t="s">
        <v>2921</v>
      </c>
      <c r="B2747" t="s">
        <v>444</v>
      </c>
      <c r="C2747" s="9">
        <v>42005</v>
      </c>
      <c r="D2747">
        <v>11</v>
      </c>
      <c r="E2747" t="s">
        <v>21</v>
      </c>
      <c r="F2747" t="s">
        <v>49</v>
      </c>
      <c r="G2747" s="9">
        <v>45389</v>
      </c>
      <c r="H2747" s="9">
        <v>45815</v>
      </c>
      <c r="I2747">
        <v>36</v>
      </c>
      <c r="J2747" t="s">
        <v>35</v>
      </c>
      <c r="K2747">
        <v>9</v>
      </c>
      <c r="L2747">
        <v>8</v>
      </c>
      <c r="M2747" s="11">
        <v>10890.38</v>
      </c>
      <c r="N2747" s="12">
        <v>899.73</v>
      </c>
      <c r="O2747" s="12">
        <v>13341.4</v>
      </c>
    </row>
    <row r="2748" spans="1:15">
      <c r="A2748" t="s">
        <v>2922</v>
      </c>
      <c r="B2748" t="s">
        <v>174</v>
      </c>
      <c r="C2748" s="9">
        <v>29221</v>
      </c>
      <c r="D2748">
        <v>46</v>
      </c>
      <c r="E2748" t="s">
        <v>21</v>
      </c>
      <c r="F2748" t="s">
        <v>49</v>
      </c>
      <c r="G2748" s="9">
        <v>45276</v>
      </c>
      <c r="H2748" s="9">
        <v>45401</v>
      </c>
      <c r="I2748">
        <v>10</v>
      </c>
      <c r="J2748" t="s">
        <v>26</v>
      </c>
      <c r="K2748">
        <v>14</v>
      </c>
      <c r="L2748">
        <v>4</v>
      </c>
      <c r="M2748" s="11">
        <v>4884.57</v>
      </c>
      <c r="N2748" s="12">
        <v>12515.25</v>
      </c>
      <c r="O2748" s="12">
        <v>751.36</v>
      </c>
    </row>
    <row r="2749" spans="1:15">
      <c r="A2749" t="s">
        <v>2923</v>
      </c>
      <c r="B2749" t="s">
        <v>469</v>
      </c>
      <c r="C2749" s="9">
        <f t="shared" ref="C2749:C2750" si="14">DATE(2026-D2709,1,1)</f>
        <v>23743</v>
      </c>
      <c r="D2749">
        <v>17</v>
      </c>
      <c r="E2749" t="s">
        <v>21</v>
      </c>
      <c r="F2749" t="s">
        <v>74</v>
      </c>
      <c r="G2749" s="9">
        <v>44943</v>
      </c>
      <c r="H2749" s="9">
        <v>45607</v>
      </c>
      <c r="I2749">
        <v>37</v>
      </c>
      <c r="J2749" t="s">
        <v>35</v>
      </c>
      <c r="K2749">
        <v>2</v>
      </c>
      <c r="L2749">
        <v>5</v>
      </c>
      <c r="M2749" s="11">
        <v>22638.17</v>
      </c>
      <c r="N2749" s="12">
        <v>1769.49</v>
      </c>
      <c r="O2749" s="12">
        <v>18724.41</v>
      </c>
    </row>
    <row r="2750" spans="1:15">
      <c r="A2750" t="s">
        <v>2924</v>
      </c>
      <c r="B2750" t="s">
        <v>143</v>
      </c>
      <c r="C2750" s="9">
        <f t="shared" si="14"/>
        <v>42736</v>
      </c>
      <c r="D2750">
        <v>20</v>
      </c>
      <c r="E2750" t="s">
        <v>21</v>
      </c>
      <c r="F2750" t="s">
        <v>5184</v>
      </c>
      <c r="G2750" s="9">
        <v>45392</v>
      </c>
      <c r="H2750" s="9">
        <v>45625</v>
      </c>
      <c r="I2750">
        <v>38</v>
      </c>
      <c r="J2750" t="s">
        <v>26</v>
      </c>
      <c r="K2750">
        <v>1</v>
      </c>
      <c r="L2750">
        <v>0</v>
      </c>
      <c r="M2750" s="11">
        <v>17447.14</v>
      </c>
      <c r="N2750" s="12">
        <v>3291.67</v>
      </c>
      <c r="O2750" s="12">
        <v>19395.62</v>
      </c>
    </row>
    <row r="2751" spans="1:15">
      <c r="A2751" t="s">
        <v>2925</v>
      </c>
      <c r="B2751" t="s">
        <v>338</v>
      </c>
      <c r="C2751" s="9">
        <v>41639</v>
      </c>
      <c r="D2751">
        <v>12</v>
      </c>
      <c r="E2751" t="s">
        <v>17</v>
      </c>
      <c r="F2751" t="s">
        <v>49</v>
      </c>
      <c r="G2751" s="9">
        <v>45289</v>
      </c>
      <c r="H2751" s="9">
        <v>45582</v>
      </c>
      <c r="I2751">
        <v>34</v>
      </c>
      <c r="J2751" t="s">
        <v>32</v>
      </c>
      <c r="K2751">
        <v>5</v>
      </c>
      <c r="L2751">
        <v>2</v>
      </c>
      <c r="M2751" s="11">
        <v>21231.02</v>
      </c>
      <c r="N2751" s="12">
        <v>9797.51</v>
      </c>
      <c r="O2751" s="12">
        <v>7664.52</v>
      </c>
    </row>
    <row r="2752" spans="1:15">
      <c r="A2752" t="s">
        <v>2926</v>
      </c>
      <c r="B2752" t="s">
        <v>524</v>
      </c>
      <c r="C2752" s="9">
        <v>38717</v>
      </c>
      <c r="D2752">
        <v>20</v>
      </c>
      <c r="E2752" t="s">
        <v>17</v>
      </c>
      <c r="F2752" t="s">
        <v>5184</v>
      </c>
      <c r="G2752" s="9">
        <v>45136</v>
      </c>
      <c r="H2752" s="9">
        <v>44946</v>
      </c>
      <c r="I2752">
        <v>29</v>
      </c>
      <c r="J2752" t="s">
        <v>32</v>
      </c>
      <c r="K2752">
        <v>5</v>
      </c>
      <c r="L2752">
        <v>6</v>
      </c>
      <c r="M2752" s="11">
        <v>29900.58</v>
      </c>
      <c r="N2752" s="12">
        <v>11186.03</v>
      </c>
      <c r="O2752" s="12">
        <v>9917.52</v>
      </c>
    </row>
    <row r="2753" spans="1:15">
      <c r="A2753" t="s">
        <v>2927</v>
      </c>
      <c r="B2753" t="s">
        <v>654</v>
      </c>
      <c r="C2753" s="9">
        <v>43466</v>
      </c>
      <c r="D2753">
        <v>7</v>
      </c>
      <c r="E2753" t="s">
        <v>21</v>
      </c>
      <c r="F2753" t="s">
        <v>5184</v>
      </c>
      <c r="G2753" s="9">
        <v>45537</v>
      </c>
      <c r="H2753" s="9">
        <v>45449</v>
      </c>
      <c r="I2753">
        <v>11</v>
      </c>
      <c r="J2753" t="s">
        <v>26</v>
      </c>
      <c r="K2753">
        <v>14</v>
      </c>
      <c r="L2753">
        <v>6</v>
      </c>
      <c r="M2753" s="11">
        <v>5433.46</v>
      </c>
      <c r="N2753" s="12">
        <v>10419.709999999999</v>
      </c>
      <c r="O2753" s="12">
        <v>3127.71</v>
      </c>
    </row>
    <row r="2754" spans="1:15">
      <c r="A2754" t="s">
        <v>2928</v>
      </c>
      <c r="B2754" t="s">
        <v>306</v>
      </c>
      <c r="C2754" s="9">
        <v>29586</v>
      </c>
      <c r="D2754">
        <v>45</v>
      </c>
      <c r="E2754" t="s">
        <v>21</v>
      </c>
      <c r="F2754" t="s">
        <v>49</v>
      </c>
      <c r="G2754" s="9">
        <v>45451</v>
      </c>
      <c r="H2754" s="9">
        <v>45711</v>
      </c>
      <c r="I2754">
        <v>2</v>
      </c>
      <c r="J2754" t="s">
        <v>32</v>
      </c>
      <c r="K2754">
        <v>7</v>
      </c>
      <c r="L2754">
        <v>9</v>
      </c>
      <c r="M2754" s="11">
        <v>12037.07</v>
      </c>
      <c r="N2754" s="12">
        <v>6577.38</v>
      </c>
      <c r="O2754" s="12">
        <v>3843.55</v>
      </c>
    </row>
    <row r="2755" spans="1:15">
      <c r="A2755" t="s">
        <v>2929</v>
      </c>
      <c r="B2755" t="s">
        <v>44</v>
      </c>
      <c r="C2755" s="9">
        <f>DATE(2026-D2715,1,1)</f>
        <v>45658</v>
      </c>
      <c r="D2755">
        <f ca="1">DATEDIF(C2706,TODAY(),"Y")</f>
        <v>77</v>
      </c>
      <c r="E2755" t="s">
        <v>21</v>
      </c>
      <c r="F2755" t="s">
        <v>25</v>
      </c>
      <c r="G2755" s="9">
        <v>45625</v>
      </c>
      <c r="H2755" s="9">
        <v>45610</v>
      </c>
      <c r="I2755">
        <v>24</v>
      </c>
      <c r="J2755" t="s">
        <v>35</v>
      </c>
      <c r="K2755">
        <v>8</v>
      </c>
      <c r="L2755">
        <v>0</v>
      </c>
      <c r="M2755" s="11">
        <v>5377.25</v>
      </c>
      <c r="N2755" s="12">
        <v>13771.01</v>
      </c>
      <c r="O2755" s="12">
        <v>12001.58</v>
      </c>
    </row>
    <row r="2756" spans="1:15">
      <c r="A2756" t="s">
        <v>2930</v>
      </c>
      <c r="B2756" t="s">
        <v>469</v>
      </c>
      <c r="C2756" s="9">
        <v>37987</v>
      </c>
      <c r="D2756">
        <v>22</v>
      </c>
      <c r="E2756" t="s">
        <v>17</v>
      </c>
      <c r="F2756" t="s">
        <v>49</v>
      </c>
      <c r="G2756" s="9">
        <v>45346</v>
      </c>
      <c r="H2756" s="9">
        <v>45342</v>
      </c>
      <c r="I2756">
        <v>21</v>
      </c>
      <c r="J2756" t="s">
        <v>32</v>
      </c>
      <c r="K2756">
        <v>5</v>
      </c>
      <c r="L2756">
        <v>8</v>
      </c>
      <c r="M2756" s="11">
        <v>25749.01</v>
      </c>
      <c r="N2756" s="12">
        <v>12482.94</v>
      </c>
      <c r="O2756" s="12">
        <v>12502.79</v>
      </c>
    </row>
    <row r="2757" spans="1:15">
      <c r="A2757" t="s">
        <v>2931</v>
      </c>
      <c r="B2757" t="s">
        <v>69</v>
      </c>
      <c r="C2757" s="9">
        <v>18994</v>
      </c>
      <c r="D2757">
        <v>74</v>
      </c>
      <c r="E2757" t="s">
        <v>17</v>
      </c>
      <c r="F2757" t="s">
        <v>29</v>
      </c>
      <c r="G2757" s="9">
        <v>45059</v>
      </c>
      <c r="H2757" s="9">
        <v>45291</v>
      </c>
      <c r="I2757">
        <v>19</v>
      </c>
      <c r="J2757" t="s">
        <v>32</v>
      </c>
      <c r="K2757">
        <v>4</v>
      </c>
      <c r="L2757">
        <v>0</v>
      </c>
      <c r="M2757" s="11">
        <v>17.920000000000002</v>
      </c>
      <c r="N2757" s="12">
        <v>9955.24</v>
      </c>
      <c r="O2757" s="12">
        <v>6766.3</v>
      </c>
    </row>
    <row r="2758" spans="1:15">
      <c r="A2758" t="s">
        <v>2932</v>
      </c>
      <c r="B2758" t="s">
        <v>242</v>
      </c>
      <c r="C2758" s="9">
        <v>14976</v>
      </c>
      <c r="D2758">
        <v>85</v>
      </c>
      <c r="E2758" t="s">
        <v>21</v>
      </c>
      <c r="F2758" t="s">
        <v>29</v>
      </c>
      <c r="G2758" s="9">
        <v>44940</v>
      </c>
      <c r="H2758" s="9">
        <v>45455</v>
      </c>
      <c r="I2758">
        <v>11</v>
      </c>
      <c r="J2758" t="s">
        <v>26</v>
      </c>
      <c r="K2758">
        <v>1</v>
      </c>
      <c r="L2758">
        <v>6</v>
      </c>
      <c r="M2758" s="11">
        <v>3624.31</v>
      </c>
      <c r="N2758" s="12">
        <v>6616.14</v>
      </c>
      <c r="O2758" s="12">
        <v>7417.97</v>
      </c>
    </row>
    <row r="2759" spans="1:15">
      <c r="A2759" t="s">
        <v>2933</v>
      </c>
      <c r="B2759" t="s">
        <v>479</v>
      </c>
      <c r="C2759" s="9">
        <v>38352</v>
      </c>
      <c r="D2759">
        <v>21</v>
      </c>
      <c r="E2759" t="s">
        <v>21</v>
      </c>
      <c r="F2759" t="s">
        <v>5184</v>
      </c>
      <c r="G2759" s="9">
        <v>44970</v>
      </c>
      <c r="H2759" s="9">
        <v>45007</v>
      </c>
      <c r="I2759">
        <v>5</v>
      </c>
      <c r="J2759" t="s">
        <v>26</v>
      </c>
      <c r="K2759">
        <v>2</v>
      </c>
      <c r="L2759">
        <v>1</v>
      </c>
      <c r="M2759" s="11">
        <v>7060.04</v>
      </c>
      <c r="N2759" s="12">
        <v>6957.39</v>
      </c>
      <c r="O2759" s="12">
        <v>10075.19</v>
      </c>
    </row>
    <row r="2760" spans="1:15">
      <c r="A2760" t="s">
        <v>2934</v>
      </c>
      <c r="B2760" t="s">
        <v>149</v>
      </c>
      <c r="C2760" s="9">
        <f>DATE(2026-D2720,1,1)</f>
        <v>40544</v>
      </c>
      <c r="D2760">
        <v>88</v>
      </c>
      <c r="E2760" t="s">
        <v>21</v>
      </c>
      <c r="F2760" t="s">
        <v>29</v>
      </c>
      <c r="G2760" s="9">
        <v>45303</v>
      </c>
      <c r="H2760" s="9">
        <v>45723</v>
      </c>
      <c r="I2760">
        <v>24</v>
      </c>
      <c r="J2760" t="s">
        <v>32</v>
      </c>
      <c r="K2760">
        <v>6</v>
      </c>
      <c r="L2760">
        <v>8</v>
      </c>
      <c r="M2760" s="11">
        <v>23025.360000000001</v>
      </c>
      <c r="N2760" s="12">
        <v>2639.5</v>
      </c>
      <c r="O2760" s="12">
        <v>18789.830000000002</v>
      </c>
    </row>
    <row r="2761" spans="1:15">
      <c r="A2761" t="s">
        <v>2935</v>
      </c>
      <c r="B2761" t="s">
        <v>87</v>
      </c>
      <c r="C2761" s="9">
        <v>38352</v>
      </c>
      <c r="D2761">
        <v>21</v>
      </c>
      <c r="E2761" t="s">
        <v>21</v>
      </c>
      <c r="F2761" t="s">
        <v>74</v>
      </c>
      <c r="G2761" s="9">
        <v>45221</v>
      </c>
      <c r="H2761" s="9">
        <v>45117</v>
      </c>
      <c r="I2761">
        <v>0</v>
      </c>
      <c r="J2761" t="s">
        <v>35</v>
      </c>
      <c r="K2761">
        <v>4</v>
      </c>
      <c r="L2761">
        <v>8</v>
      </c>
      <c r="M2761" s="11">
        <v>18667.849999999999</v>
      </c>
      <c r="N2761" s="12">
        <v>11695.57</v>
      </c>
      <c r="O2761" s="12">
        <v>2908.1</v>
      </c>
    </row>
    <row r="2762" spans="1:15">
      <c r="A2762" t="s">
        <v>2936</v>
      </c>
      <c r="B2762" t="s">
        <v>268</v>
      </c>
      <c r="C2762" s="9">
        <v>12785</v>
      </c>
      <c r="D2762">
        <v>91</v>
      </c>
      <c r="E2762" t="s">
        <v>17</v>
      </c>
      <c r="F2762" t="s">
        <v>18</v>
      </c>
      <c r="G2762" s="9">
        <v>45322</v>
      </c>
      <c r="H2762" s="9">
        <v>45075</v>
      </c>
      <c r="I2762">
        <v>30</v>
      </c>
      <c r="J2762" t="s">
        <v>32</v>
      </c>
      <c r="K2762">
        <v>7</v>
      </c>
      <c r="L2762">
        <v>8</v>
      </c>
      <c r="M2762" s="11">
        <v>11352.68</v>
      </c>
      <c r="N2762" s="12">
        <v>12989.45</v>
      </c>
      <c r="O2762" s="12">
        <v>10985.71</v>
      </c>
    </row>
    <row r="2763" spans="1:15">
      <c r="A2763" t="s">
        <v>2937</v>
      </c>
      <c r="B2763" t="s">
        <v>240</v>
      </c>
      <c r="C2763" s="9">
        <v>35795</v>
      </c>
      <c r="D2763">
        <v>28</v>
      </c>
      <c r="E2763" t="s">
        <v>17</v>
      </c>
      <c r="F2763" t="s">
        <v>25</v>
      </c>
      <c r="G2763" s="9">
        <v>45030</v>
      </c>
      <c r="H2763" s="9">
        <v>45602</v>
      </c>
      <c r="I2763">
        <v>18</v>
      </c>
      <c r="J2763" t="s">
        <v>32</v>
      </c>
      <c r="K2763">
        <v>6</v>
      </c>
      <c r="L2763">
        <v>3</v>
      </c>
      <c r="M2763" s="11">
        <v>4340.3599999999997</v>
      </c>
      <c r="N2763" s="12">
        <v>12409.22</v>
      </c>
      <c r="O2763" s="12">
        <v>1069.54</v>
      </c>
    </row>
    <row r="2764" spans="1:15">
      <c r="A2764" t="s">
        <v>2938</v>
      </c>
      <c r="B2764" t="s">
        <v>129</v>
      </c>
      <c r="C2764" s="9">
        <v>41639</v>
      </c>
      <c r="D2764">
        <v>12</v>
      </c>
      <c r="E2764" t="s">
        <v>21</v>
      </c>
      <c r="F2764" t="s">
        <v>74</v>
      </c>
      <c r="G2764" s="9">
        <v>45371</v>
      </c>
      <c r="H2764" s="9">
        <v>45370</v>
      </c>
      <c r="I2764">
        <v>29</v>
      </c>
      <c r="J2764" t="s">
        <v>32</v>
      </c>
      <c r="K2764">
        <v>12</v>
      </c>
      <c r="L2764">
        <v>5</v>
      </c>
      <c r="M2764" s="11">
        <v>9309.07</v>
      </c>
      <c r="N2764" s="12">
        <v>8206.4699999999993</v>
      </c>
      <c r="O2764" s="12">
        <v>9112.82</v>
      </c>
    </row>
    <row r="2765" spans="1:15">
      <c r="A2765" t="s">
        <v>2939</v>
      </c>
      <c r="B2765" t="s">
        <v>44</v>
      </c>
      <c r="C2765" s="9">
        <f>DATE(2026-D2725,1,1)</f>
        <v>40909</v>
      </c>
      <c r="D2765">
        <v>81</v>
      </c>
      <c r="E2765" t="s">
        <v>17</v>
      </c>
      <c r="F2765" t="s">
        <v>18</v>
      </c>
      <c r="G2765" s="9">
        <v>44988</v>
      </c>
      <c r="H2765" s="9">
        <v>45192</v>
      </c>
      <c r="I2765">
        <v>37</v>
      </c>
      <c r="J2765" t="s">
        <v>35</v>
      </c>
      <c r="K2765">
        <v>6</v>
      </c>
      <c r="L2765">
        <v>1</v>
      </c>
      <c r="M2765" s="11">
        <v>22174.32</v>
      </c>
      <c r="N2765" s="12">
        <v>12569.12</v>
      </c>
      <c r="O2765" s="12">
        <v>7883.97</v>
      </c>
    </row>
    <row r="2766" spans="1:15">
      <c r="A2766" t="s">
        <v>2940</v>
      </c>
      <c r="B2766" t="s">
        <v>681</v>
      </c>
      <c r="C2766" s="9">
        <v>45657</v>
      </c>
      <c r="D2766">
        <v>1</v>
      </c>
      <c r="E2766" t="s">
        <v>21</v>
      </c>
      <c r="F2766" t="s">
        <v>25</v>
      </c>
      <c r="G2766" s="9">
        <v>45491</v>
      </c>
      <c r="H2766" s="9">
        <v>45799</v>
      </c>
      <c r="I2766">
        <v>38</v>
      </c>
      <c r="J2766" t="s">
        <v>32</v>
      </c>
      <c r="K2766">
        <v>9</v>
      </c>
      <c r="L2766">
        <v>2</v>
      </c>
      <c r="M2766" s="11">
        <v>11149.53</v>
      </c>
      <c r="N2766" s="12">
        <v>11856.13</v>
      </c>
      <c r="O2766" s="12">
        <v>3200.4</v>
      </c>
    </row>
    <row r="2767" spans="1:15">
      <c r="A2767" t="s">
        <v>2941</v>
      </c>
      <c r="B2767" t="s">
        <v>348</v>
      </c>
      <c r="C2767" s="9">
        <v>35795</v>
      </c>
      <c r="D2767">
        <v>28</v>
      </c>
      <c r="E2767" t="s">
        <v>21</v>
      </c>
      <c r="F2767" t="s">
        <v>5184</v>
      </c>
      <c r="G2767" s="9">
        <v>45338</v>
      </c>
      <c r="H2767" s="9">
        <v>45577</v>
      </c>
      <c r="I2767">
        <v>38</v>
      </c>
      <c r="J2767" t="s">
        <v>32</v>
      </c>
      <c r="K2767">
        <v>8</v>
      </c>
      <c r="L2767">
        <v>5</v>
      </c>
      <c r="M2767" s="11">
        <v>13609.16</v>
      </c>
      <c r="N2767" s="12">
        <v>12485.39</v>
      </c>
      <c r="O2767" s="12">
        <v>3196.31</v>
      </c>
    </row>
    <row r="2768" spans="1:15">
      <c r="A2768" t="s">
        <v>2942</v>
      </c>
      <c r="B2768" t="s">
        <v>578</v>
      </c>
      <c r="C2768" s="9">
        <f>DATE(2026-D2728,1,1)</f>
        <v>39814</v>
      </c>
      <c r="D2768">
        <v>84</v>
      </c>
      <c r="E2768" t="s">
        <v>17</v>
      </c>
      <c r="F2768" t="s">
        <v>25</v>
      </c>
      <c r="G2768" s="9">
        <v>45556</v>
      </c>
      <c r="H2768" s="9">
        <v>45436</v>
      </c>
      <c r="I2768">
        <v>29</v>
      </c>
      <c r="J2768" t="s">
        <v>32</v>
      </c>
      <c r="K2768">
        <v>8</v>
      </c>
      <c r="L2768">
        <v>0</v>
      </c>
      <c r="M2768" s="11">
        <v>18063.09</v>
      </c>
      <c r="N2768" s="12">
        <v>14729</v>
      </c>
      <c r="O2768" s="12">
        <v>8946.94</v>
      </c>
    </row>
    <row r="2769" spans="1:15">
      <c r="A2769" t="s">
        <v>2943</v>
      </c>
      <c r="B2769" t="s">
        <v>444</v>
      </c>
      <c r="C2769" s="9">
        <v>17533</v>
      </c>
      <c r="D2769">
        <v>78</v>
      </c>
      <c r="E2769" t="s">
        <v>17</v>
      </c>
      <c r="F2769" t="s">
        <v>25</v>
      </c>
      <c r="G2769" s="9">
        <v>45247</v>
      </c>
      <c r="H2769" s="9">
        <v>45228</v>
      </c>
      <c r="I2769">
        <v>21</v>
      </c>
      <c r="J2769" t="s">
        <v>35</v>
      </c>
      <c r="K2769">
        <v>5</v>
      </c>
      <c r="L2769">
        <v>6</v>
      </c>
      <c r="M2769" s="11">
        <v>27343.07</v>
      </c>
      <c r="N2769" s="12">
        <v>12150</v>
      </c>
      <c r="O2769" s="12">
        <v>2444.56</v>
      </c>
    </row>
    <row r="2770" spans="1:15">
      <c r="A2770" t="s">
        <v>2944</v>
      </c>
      <c r="B2770" t="s">
        <v>232</v>
      </c>
      <c r="C2770" s="9">
        <v>27395</v>
      </c>
      <c r="D2770">
        <v>51</v>
      </c>
      <c r="E2770" t="s">
        <v>21</v>
      </c>
      <c r="F2770" t="s">
        <v>29</v>
      </c>
      <c r="G2770" s="9">
        <v>45057</v>
      </c>
      <c r="H2770" s="9">
        <v>45393</v>
      </c>
      <c r="I2770">
        <v>8</v>
      </c>
      <c r="J2770" t="s">
        <v>35</v>
      </c>
      <c r="K2770">
        <v>8</v>
      </c>
      <c r="L2770">
        <v>1</v>
      </c>
      <c r="M2770" s="11">
        <v>7128.21</v>
      </c>
      <c r="N2770" s="12">
        <v>4060.35</v>
      </c>
      <c r="O2770" s="12">
        <v>5825.05</v>
      </c>
    </row>
    <row r="2771" spans="1:15">
      <c r="A2771" t="s">
        <v>2945</v>
      </c>
      <c r="B2771" t="s">
        <v>187</v>
      </c>
      <c r="C2771" s="9">
        <v>36526</v>
      </c>
      <c r="D2771">
        <v>26</v>
      </c>
      <c r="E2771" t="s">
        <v>21</v>
      </c>
      <c r="F2771" t="s">
        <v>29</v>
      </c>
      <c r="G2771" s="9">
        <v>45125</v>
      </c>
      <c r="H2771" s="9">
        <v>45292</v>
      </c>
      <c r="I2771">
        <v>34</v>
      </c>
      <c r="J2771" t="s">
        <v>32</v>
      </c>
      <c r="K2771">
        <v>9</v>
      </c>
      <c r="L2771">
        <v>7</v>
      </c>
      <c r="M2771" s="11">
        <v>13163.9</v>
      </c>
      <c r="N2771" s="12">
        <v>12312.94</v>
      </c>
      <c r="O2771" s="12">
        <v>1331.49</v>
      </c>
    </row>
    <row r="2772" spans="1:15">
      <c r="A2772" t="s">
        <v>2946</v>
      </c>
      <c r="B2772" t="s">
        <v>422</v>
      </c>
      <c r="C2772" s="9">
        <v>28125</v>
      </c>
      <c r="D2772">
        <v>49</v>
      </c>
      <c r="E2772" t="s">
        <v>17</v>
      </c>
      <c r="F2772" t="s">
        <v>29</v>
      </c>
      <c r="G2772" s="9">
        <v>44962</v>
      </c>
      <c r="H2772" s="9">
        <v>45326</v>
      </c>
      <c r="I2772">
        <v>18</v>
      </c>
      <c r="J2772" t="s">
        <v>35</v>
      </c>
      <c r="K2772">
        <v>1</v>
      </c>
      <c r="L2772">
        <v>4</v>
      </c>
      <c r="M2772" s="11">
        <v>8964.7999999999993</v>
      </c>
      <c r="N2772" s="12">
        <v>5634.53</v>
      </c>
      <c r="O2772" s="12">
        <v>5875.6</v>
      </c>
    </row>
    <row r="2773" spans="1:15">
      <c r="A2773" t="s">
        <v>2947</v>
      </c>
      <c r="B2773" t="s">
        <v>249</v>
      </c>
      <c r="C2773" s="9">
        <v>11689</v>
      </c>
      <c r="D2773">
        <v>94</v>
      </c>
      <c r="E2773" t="s">
        <v>17</v>
      </c>
      <c r="F2773" t="s">
        <v>25</v>
      </c>
      <c r="G2773" s="9">
        <v>45142</v>
      </c>
      <c r="H2773" s="9">
        <v>45420</v>
      </c>
      <c r="I2773">
        <v>15</v>
      </c>
      <c r="J2773" t="s">
        <v>32</v>
      </c>
      <c r="K2773">
        <v>13</v>
      </c>
      <c r="L2773">
        <v>6</v>
      </c>
      <c r="M2773" s="11">
        <v>13718.7</v>
      </c>
      <c r="N2773" s="12">
        <v>7742.88</v>
      </c>
      <c r="O2773" s="12">
        <v>10627.22</v>
      </c>
    </row>
    <row r="2774" spans="1:15">
      <c r="A2774" t="s">
        <v>2948</v>
      </c>
      <c r="B2774" t="s">
        <v>502</v>
      </c>
      <c r="C2774" s="9">
        <v>17533</v>
      </c>
      <c r="D2774">
        <v>78</v>
      </c>
      <c r="E2774" t="s">
        <v>21</v>
      </c>
      <c r="F2774" t="s">
        <v>22</v>
      </c>
      <c r="G2774" s="9">
        <v>45512</v>
      </c>
      <c r="H2774" s="9">
        <v>45469</v>
      </c>
      <c r="I2774">
        <v>8</v>
      </c>
      <c r="J2774" t="s">
        <v>35</v>
      </c>
      <c r="K2774">
        <v>3</v>
      </c>
      <c r="L2774">
        <v>7</v>
      </c>
      <c r="M2774" s="11">
        <v>20742.080000000002</v>
      </c>
      <c r="N2774" s="12">
        <v>11945.99</v>
      </c>
      <c r="O2774" s="12">
        <v>14851.81</v>
      </c>
    </row>
    <row r="2775" spans="1:15">
      <c r="A2775" t="s">
        <v>2949</v>
      </c>
      <c r="B2775" t="s">
        <v>240</v>
      </c>
      <c r="C2775" s="9">
        <v>37987</v>
      </c>
      <c r="D2775">
        <v>22</v>
      </c>
      <c r="E2775" t="s">
        <v>21</v>
      </c>
      <c r="F2775" t="s">
        <v>25</v>
      </c>
      <c r="G2775" s="9">
        <v>45232</v>
      </c>
      <c r="H2775" s="9">
        <v>45743</v>
      </c>
      <c r="I2775">
        <v>24</v>
      </c>
      <c r="J2775" t="s">
        <v>35</v>
      </c>
      <c r="K2775">
        <v>12</v>
      </c>
      <c r="L2775">
        <v>2</v>
      </c>
      <c r="M2775" s="11">
        <v>14202.95</v>
      </c>
      <c r="N2775" s="12">
        <v>4750.78</v>
      </c>
      <c r="O2775" s="12">
        <v>16591.18</v>
      </c>
    </row>
    <row r="2776" spans="1:15">
      <c r="A2776" t="s">
        <v>2950</v>
      </c>
      <c r="B2776" t="s">
        <v>137</v>
      </c>
      <c r="C2776" s="9">
        <v>14246</v>
      </c>
      <c r="D2776">
        <v>87</v>
      </c>
      <c r="E2776" t="s">
        <v>21</v>
      </c>
      <c r="F2776" t="s">
        <v>29</v>
      </c>
      <c r="G2776" s="9">
        <v>45493</v>
      </c>
      <c r="H2776" s="9">
        <v>45407</v>
      </c>
      <c r="I2776">
        <v>35</v>
      </c>
      <c r="J2776" t="s">
        <v>35</v>
      </c>
      <c r="K2776">
        <v>5</v>
      </c>
      <c r="L2776">
        <v>5</v>
      </c>
      <c r="M2776" s="11">
        <v>24953.360000000001</v>
      </c>
      <c r="N2776" s="12">
        <v>391.25</v>
      </c>
      <c r="O2776" s="12">
        <v>6690.63</v>
      </c>
    </row>
    <row r="2777" spans="1:15">
      <c r="A2777" t="s">
        <v>2951</v>
      </c>
      <c r="B2777" t="s">
        <v>194</v>
      </c>
      <c r="C2777" s="9">
        <f>DATE(2026-D2737,1,1)</f>
        <v>15707</v>
      </c>
      <c r="D2777">
        <v>43</v>
      </c>
      <c r="E2777" t="s">
        <v>17</v>
      </c>
      <c r="F2777" t="s">
        <v>25</v>
      </c>
      <c r="G2777" s="9">
        <v>44938</v>
      </c>
      <c r="H2777" s="9">
        <v>45095</v>
      </c>
      <c r="I2777">
        <v>2</v>
      </c>
      <c r="J2777" t="s">
        <v>26</v>
      </c>
      <c r="K2777">
        <v>8</v>
      </c>
      <c r="L2777">
        <v>8</v>
      </c>
      <c r="M2777" s="11">
        <v>16374.37</v>
      </c>
      <c r="N2777" s="12">
        <v>10772.17</v>
      </c>
      <c r="O2777" s="12">
        <v>18769.82</v>
      </c>
    </row>
    <row r="2778" spans="1:15">
      <c r="A2778" t="s">
        <v>2952</v>
      </c>
      <c r="B2778" t="s">
        <v>184</v>
      </c>
      <c r="C2778" s="9">
        <v>18263</v>
      </c>
      <c r="D2778">
        <v>76</v>
      </c>
      <c r="E2778" t="s">
        <v>17</v>
      </c>
      <c r="F2778" t="s">
        <v>29</v>
      </c>
      <c r="G2778" s="9">
        <v>45009</v>
      </c>
      <c r="H2778" s="9">
        <v>45530</v>
      </c>
      <c r="I2778">
        <v>26</v>
      </c>
      <c r="J2778" t="s">
        <v>35</v>
      </c>
      <c r="K2778">
        <v>7</v>
      </c>
      <c r="L2778">
        <v>3</v>
      </c>
      <c r="M2778" s="11">
        <v>11265.84</v>
      </c>
      <c r="N2778" s="12">
        <v>13532.61</v>
      </c>
      <c r="O2778" s="12">
        <v>4736.5600000000004</v>
      </c>
    </row>
    <row r="2779" spans="1:15">
      <c r="A2779" t="s">
        <v>2953</v>
      </c>
      <c r="B2779" t="s">
        <v>172</v>
      </c>
      <c r="C2779" s="9">
        <v>38352</v>
      </c>
      <c r="D2779">
        <v>21</v>
      </c>
      <c r="E2779" t="s">
        <v>21</v>
      </c>
      <c r="F2779" t="s">
        <v>29</v>
      </c>
      <c r="G2779" s="9">
        <v>44958</v>
      </c>
      <c r="H2779" s="9">
        <v>45018</v>
      </c>
      <c r="I2779">
        <v>18</v>
      </c>
      <c r="J2779" t="s">
        <v>26</v>
      </c>
      <c r="K2779">
        <v>14</v>
      </c>
      <c r="L2779">
        <v>9</v>
      </c>
      <c r="M2779" s="11">
        <v>23360.79</v>
      </c>
      <c r="N2779" s="12">
        <v>13918.33</v>
      </c>
      <c r="O2779" s="12">
        <v>1519.58</v>
      </c>
    </row>
    <row r="2780" spans="1:15">
      <c r="A2780" t="s">
        <v>2954</v>
      </c>
      <c r="B2780" t="s">
        <v>28</v>
      </c>
      <c r="C2780" s="9">
        <v>30682</v>
      </c>
      <c r="D2780">
        <v>42</v>
      </c>
      <c r="E2780" t="s">
        <v>17</v>
      </c>
      <c r="F2780" t="s">
        <v>29</v>
      </c>
      <c r="G2780" s="9">
        <v>45334</v>
      </c>
      <c r="H2780" s="9">
        <v>45650</v>
      </c>
      <c r="I2780">
        <v>26</v>
      </c>
      <c r="J2780" t="s">
        <v>32</v>
      </c>
      <c r="K2780">
        <v>14</v>
      </c>
      <c r="L2780">
        <v>6</v>
      </c>
      <c r="M2780" s="11">
        <v>12655.38</v>
      </c>
      <c r="N2780" s="12">
        <v>11983.65</v>
      </c>
      <c r="O2780" s="12">
        <v>18492.689999999999</v>
      </c>
    </row>
    <row r="2781" spans="1:15">
      <c r="A2781" t="s">
        <v>2955</v>
      </c>
      <c r="B2781" t="s">
        <v>112</v>
      </c>
      <c r="C2781" s="9">
        <v>32873</v>
      </c>
      <c r="D2781">
        <v>36</v>
      </c>
      <c r="E2781" t="s">
        <v>17</v>
      </c>
      <c r="F2781" t="s">
        <v>5184</v>
      </c>
      <c r="G2781" s="9">
        <v>45012</v>
      </c>
      <c r="H2781" s="9">
        <v>45769</v>
      </c>
      <c r="I2781">
        <v>6</v>
      </c>
      <c r="J2781" t="s">
        <v>32</v>
      </c>
      <c r="K2781">
        <v>10</v>
      </c>
      <c r="L2781">
        <v>0</v>
      </c>
      <c r="M2781" s="11">
        <v>15224.36</v>
      </c>
      <c r="N2781" s="12">
        <v>14027.14</v>
      </c>
      <c r="O2781" s="12">
        <v>10750.19</v>
      </c>
    </row>
    <row r="2782" spans="1:15">
      <c r="A2782" t="s">
        <v>2956</v>
      </c>
      <c r="B2782" t="s">
        <v>147</v>
      </c>
      <c r="C2782" s="9">
        <v>24107</v>
      </c>
      <c r="D2782">
        <v>60</v>
      </c>
      <c r="E2782" t="s">
        <v>21</v>
      </c>
      <c r="F2782" t="s">
        <v>5184</v>
      </c>
      <c r="G2782" s="9">
        <v>45337</v>
      </c>
      <c r="H2782" s="9">
        <v>45227</v>
      </c>
      <c r="I2782">
        <v>4</v>
      </c>
      <c r="J2782" t="s">
        <v>32</v>
      </c>
      <c r="K2782">
        <v>2</v>
      </c>
      <c r="L2782">
        <v>6</v>
      </c>
      <c r="M2782" s="11">
        <v>29837.45</v>
      </c>
      <c r="N2782" s="12">
        <v>12309.84</v>
      </c>
      <c r="O2782" s="12">
        <v>6962.72</v>
      </c>
    </row>
    <row r="2783" spans="1:15">
      <c r="A2783" t="s">
        <v>2957</v>
      </c>
      <c r="B2783" t="s">
        <v>135</v>
      </c>
      <c r="C2783" s="9">
        <v>25934</v>
      </c>
      <c r="D2783">
        <v>55</v>
      </c>
      <c r="E2783" t="s">
        <v>21</v>
      </c>
      <c r="F2783" t="s">
        <v>22</v>
      </c>
      <c r="G2783" s="9">
        <v>45639</v>
      </c>
      <c r="H2783" s="9">
        <v>45101</v>
      </c>
      <c r="I2783">
        <v>35</v>
      </c>
      <c r="J2783" t="s">
        <v>32</v>
      </c>
      <c r="K2783">
        <v>6</v>
      </c>
      <c r="L2783">
        <v>8</v>
      </c>
      <c r="M2783" s="11">
        <v>23486.17</v>
      </c>
      <c r="N2783" s="12">
        <v>451.49</v>
      </c>
      <c r="O2783" s="12">
        <v>17952.03</v>
      </c>
    </row>
    <row r="2784" spans="1:15">
      <c r="A2784" t="s">
        <v>2958</v>
      </c>
      <c r="B2784" t="s">
        <v>229</v>
      </c>
      <c r="C2784" s="9">
        <v>45292</v>
      </c>
      <c r="D2784">
        <v>2</v>
      </c>
      <c r="E2784" t="s">
        <v>17</v>
      </c>
      <c r="F2784" t="s">
        <v>18</v>
      </c>
      <c r="G2784" s="9">
        <v>45489</v>
      </c>
      <c r="H2784" s="9">
        <v>45573</v>
      </c>
      <c r="I2784">
        <v>28</v>
      </c>
      <c r="J2784" t="s">
        <v>32</v>
      </c>
      <c r="K2784">
        <v>1</v>
      </c>
      <c r="L2784">
        <v>9</v>
      </c>
      <c r="M2784" s="11">
        <v>25581.84</v>
      </c>
      <c r="N2784" s="12">
        <v>5244.83</v>
      </c>
      <c r="O2784" s="12">
        <v>15492.49</v>
      </c>
    </row>
    <row r="2785" spans="1:15">
      <c r="A2785" t="s">
        <v>2959</v>
      </c>
      <c r="B2785" t="s">
        <v>292</v>
      </c>
      <c r="C2785" s="9">
        <v>23377</v>
      </c>
      <c r="D2785">
        <v>62</v>
      </c>
      <c r="E2785" t="s">
        <v>17</v>
      </c>
      <c r="F2785" t="s">
        <v>25</v>
      </c>
      <c r="G2785" s="9">
        <v>45182</v>
      </c>
      <c r="H2785" s="9">
        <v>45300</v>
      </c>
      <c r="I2785">
        <v>24</v>
      </c>
      <c r="J2785" t="s">
        <v>35</v>
      </c>
      <c r="K2785">
        <v>2</v>
      </c>
      <c r="L2785">
        <v>7</v>
      </c>
      <c r="M2785" s="11">
        <v>17581.96</v>
      </c>
      <c r="N2785" s="12">
        <v>5041.59</v>
      </c>
      <c r="O2785" s="12">
        <v>16632.12</v>
      </c>
    </row>
    <row r="2786" spans="1:15">
      <c r="A2786" t="s">
        <v>2960</v>
      </c>
      <c r="B2786" t="s">
        <v>48</v>
      </c>
      <c r="C2786" s="9">
        <v>39448</v>
      </c>
      <c r="D2786">
        <v>18</v>
      </c>
      <c r="E2786" t="s">
        <v>17</v>
      </c>
      <c r="F2786" t="s">
        <v>74</v>
      </c>
      <c r="G2786" s="9">
        <v>45167</v>
      </c>
      <c r="H2786" s="9">
        <v>44951</v>
      </c>
      <c r="I2786">
        <v>39</v>
      </c>
      <c r="J2786" t="s">
        <v>26</v>
      </c>
      <c r="K2786">
        <v>2</v>
      </c>
      <c r="L2786">
        <v>3</v>
      </c>
      <c r="M2786" s="11">
        <v>10120.6</v>
      </c>
      <c r="N2786" s="12">
        <v>3287.47</v>
      </c>
      <c r="O2786" s="12">
        <v>5776.1</v>
      </c>
    </row>
    <row r="2787" spans="1:15">
      <c r="A2787" t="s">
        <v>2961</v>
      </c>
      <c r="B2787" t="s">
        <v>166</v>
      </c>
      <c r="C2787" s="9">
        <v>37987</v>
      </c>
      <c r="D2787">
        <v>22</v>
      </c>
      <c r="E2787" t="s">
        <v>17</v>
      </c>
      <c r="F2787" t="s">
        <v>29</v>
      </c>
      <c r="G2787" s="9">
        <v>45643</v>
      </c>
      <c r="H2787" s="9">
        <v>45128</v>
      </c>
      <c r="I2787">
        <v>29</v>
      </c>
      <c r="J2787" t="s">
        <v>32</v>
      </c>
      <c r="K2787">
        <v>0</v>
      </c>
      <c r="L2787">
        <v>2</v>
      </c>
      <c r="M2787" s="11">
        <v>29733.72</v>
      </c>
      <c r="N2787" s="12">
        <v>11969.06</v>
      </c>
      <c r="O2787" s="12">
        <v>17457.05</v>
      </c>
    </row>
    <row r="2788" spans="1:15">
      <c r="A2788" t="s">
        <v>2962</v>
      </c>
      <c r="B2788" t="s">
        <v>84</v>
      </c>
      <c r="C2788" s="9">
        <v>35795</v>
      </c>
      <c r="D2788">
        <f ca="1">DATEDIF(C2739,TODAY(),"Y")</f>
        <v>43</v>
      </c>
      <c r="E2788" t="s">
        <v>21</v>
      </c>
      <c r="F2788" t="s">
        <v>22</v>
      </c>
      <c r="G2788" s="9">
        <v>45634</v>
      </c>
      <c r="H2788" s="9">
        <v>45658</v>
      </c>
      <c r="I2788">
        <v>2</v>
      </c>
      <c r="J2788" t="s">
        <v>32</v>
      </c>
      <c r="K2788">
        <v>9</v>
      </c>
      <c r="L2788">
        <v>6</v>
      </c>
      <c r="M2788" s="11">
        <v>0</v>
      </c>
      <c r="N2788" s="12">
        <v>7801.35</v>
      </c>
      <c r="O2788" s="12">
        <v>12960.43</v>
      </c>
    </row>
    <row r="2789" spans="1:15">
      <c r="A2789" t="s">
        <v>2963</v>
      </c>
      <c r="B2789" t="s">
        <v>306</v>
      </c>
      <c r="C2789" s="9">
        <v>35430</v>
      </c>
      <c r="D2789">
        <v>29</v>
      </c>
      <c r="E2789" t="s">
        <v>21</v>
      </c>
      <c r="F2789" t="s">
        <v>74</v>
      </c>
      <c r="G2789" s="9">
        <v>45378</v>
      </c>
      <c r="H2789" s="9">
        <v>44934</v>
      </c>
      <c r="I2789">
        <v>30</v>
      </c>
      <c r="J2789" t="s">
        <v>32</v>
      </c>
      <c r="K2789">
        <v>9</v>
      </c>
      <c r="L2789">
        <v>0</v>
      </c>
      <c r="M2789" s="11">
        <v>26120.92</v>
      </c>
      <c r="N2789" s="12">
        <v>12544.34</v>
      </c>
      <c r="O2789" s="12">
        <v>14734.12</v>
      </c>
    </row>
    <row r="2790" spans="1:15">
      <c r="A2790" t="s">
        <v>2964</v>
      </c>
      <c r="B2790" t="s">
        <v>28</v>
      </c>
      <c r="C2790" s="9">
        <v>32143</v>
      </c>
      <c r="D2790">
        <v>38</v>
      </c>
      <c r="E2790" t="s">
        <v>17</v>
      </c>
      <c r="F2790" t="s">
        <v>5184</v>
      </c>
      <c r="G2790" s="9">
        <v>44927</v>
      </c>
      <c r="H2790" s="9">
        <v>44933</v>
      </c>
      <c r="I2790">
        <v>12</v>
      </c>
      <c r="J2790" t="s">
        <v>32</v>
      </c>
      <c r="K2790">
        <v>1</v>
      </c>
      <c r="L2790">
        <v>7</v>
      </c>
      <c r="M2790" s="11">
        <v>27294.69</v>
      </c>
      <c r="N2790" s="12">
        <v>9020.24</v>
      </c>
      <c r="O2790" s="12">
        <v>6179.69</v>
      </c>
    </row>
    <row r="2791" spans="1:15">
      <c r="A2791" t="s">
        <v>2965</v>
      </c>
      <c r="B2791" t="s">
        <v>112</v>
      </c>
      <c r="C2791" s="9">
        <v>37256</v>
      </c>
      <c r="D2791">
        <v>24</v>
      </c>
      <c r="E2791" t="s">
        <v>21</v>
      </c>
      <c r="F2791" t="s">
        <v>18</v>
      </c>
      <c r="G2791" s="9">
        <v>45527</v>
      </c>
      <c r="H2791" s="9">
        <v>45557</v>
      </c>
      <c r="I2791">
        <v>2</v>
      </c>
      <c r="J2791" t="s">
        <v>32</v>
      </c>
      <c r="K2791">
        <v>1</v>
      </c>
      <c r="L2791">
        <v>0</v>
      </c>
      <c r="M2791" s="11">
        <v>24435.42</v>
      </c>
      <c r="N2791" s="12">
        <v>8859.14</v>
      </c>
      <c r="O2791" s="12">
        <v>4824.8100000000004</v>
      </c>
    </row>
    <row r="2792" spans="1:15">
      <c r="A2792" t="s">
        <v>2966</v>
      </c>
      <c r="B2792" t="s">
        <v>105</v>
      </c>
      <c r="C2792" s="9">
        <v>43466</v>
      </c>
      <c r="D2792">
        <v>7</v>
      </c>
      <c r="E2792" t="s">
        <v>17</v>
      </c>
      <c r="F2792" t="s">
        <v>25</v>
      </c>
      <c r="G2792" s="9">
        <v>45208</v>
      </c>
      <c r="H2792" s="9">
        <v>45088</v>
      </c>
      <c r="I2792">
        <v>17</v>
      </c>
      <c r="J2792" t="s">
        <v>26</v>
      </c>
      <c r="K2792">
        <v>7</v>
      </c>
      <c r="L2792">
        <v>6</v>
      </c>
      <c r="M2792" s="11">
        <v>2979.56</v>
      </c>
      <c r="N2792" s="12">
        <v>5762.23</v>
      </c>
      <c r="O2792" s="12">
        <v>8104.45</v>
      </c>
    </row>
    <row r="2793" spans="1:15">
      <c r="A2793" t="s">
        <v>2967</v>
      </c>
      <c r="B2793" t="s">
        <v>44</v>
      </c>
      <c r="C2793" s="9">
        <v>25203</v>
      </c>
      <c r="D2793">
        <v>57</v>
      </c>
      <c r="E2793" t="s">
        <v>17</v>
      </c>
      <c r="F2793" t="s">
        <v>5184</v>
      </c>
      <c r="G2793" s="9">
        <v>45577</v>
      </c>
      <c r="H2793" s="9">
        <v>45524</v>
      </c>
      <c r="I2793">
        <v>35</v>
      </c>
      <c r="J2793" t="s">
        <v>32</v>
      </c>
      <c r="K2793">
        <v>5</v>
      </c>
      <c r="L2793">
        <v>5</v>
      </c>
      <c r="M2793" s="11">
        <v>25550.45</v>
      </c>
      <c r="N2793" s="12">
        <v>11844.04</v>
      </c>
      <c r="O2793" s="12">
        <v>11461.78</v>
      </c>
    </row>
    <row r="2794" spans="1:15">
      <c r="A2794" t="s">
        <v>2968</v>
      </c>
      <c r="B2794" t="s">
        <v>37</v>
      </c>
      <c r="C2794" s="9">
        <v>40544</v>
      </c>
      <c r="D2794">
        <v>15</v>
      </c>
      <c r="E2794" t="s">
        <v>17</v>
      </c>
      <c r="F2794" t="s">
        <v>22</v>
      </c>
      <c r="G2794" s="9">
        <v>45525</v>
      </c>
      <c r="H2794" s="9">
        <v>45805</v>
      </c>
      <c r="I2794">
        <v>34</v>
      </c>
      <c r="J2794" t="s">
        <v>26</v>
      </c>
      <c r="K2794">
        <v>0</v>
      </c>
      <c r="L2794">
        <v>9</v>
      </c>
      <c r="M2794" s="11">
        <v>19745.23</v>
      </c>
      <c r="N2794" s="12">
        <v>10246.370000000001</v>
      </c>
      <c r="O2794" s="12">
        <v>13286.34</v>
      </c>
    </row>
    <row r="2795" spans="1:15">
      <c r="A2795" t="s">
        <v>2969</v>
      </c>
      <c r="B2795" t="s">
        <v>223</v>
      </c>
      <c r="C2795" s="9">
        <v>20090</v>
      </c>
      <c r="D2795">
        <v>71</v>
      </c>
      <c r="E2795" t="s">
        <v>21</v>
      </c>
      <c r="F2795" t="s">
        <v>29</v>
      </c>
      <c r="G2795" s="9">
        <v>45440</v>
      </c>
      <c r="H2795" s="9">
        <v>45175</v>
      </c>
      <c r="I2795">
        <v>14</v>
      </c>
      <c r="J2795" t="s">
        <v>32</v>
      </c>
      <c r="K2795">
        <v>7</v>
      </c>
      <c r="L2795">
        <v>7</v>
      </c>
      <c r="M2795" s="11">
        <v>20265.13</v>
      </c>
      <c r="N2795" s="12">
        <v>5081.28</v>
      </c>
      <c r="O2795" s="12">
        <v>9909.09</v>
      </c>
    </row>
    <row r="2796" spans="1:15">
      <c r="A2796" t="s">
        <v>2970</v>
      </c>
      <c r="B2796" t="s">
        <v>78</v>
      </c>
      <c r="C2796" s="9">
        <v>46022</v>
      </c>
      <c r="D2796">
        <v>0</v>
      </c>
      <c r="E2796" t="s">
        <v>17</v>
      </c>
      <c r="F2796" t="s">
        <v>29</v>
      </c>
      <c r="G2796" s="9">
        <v>45606</v>
      </c>
      <c r="H2796" s="9">
        <v>45093</v>
      </c>
      <c r="I2796">
        <v>1</v>
      </c>
      <c r="J2796" t="s">
        <v>32</v>
      </c>
      <c r="K2796">
        <v>6</v>
      </c>
      <c r="L2796">
        <v>5</v>
      </c>
      <c r="M2796" s="11">
        <v>23489.21</v>
      </c>
      <c r="N2796" s="12">
        <v>14903.6</v>
      </c>
      <c r="O2796" s="12">
        <v>13947.17</v>
      </c>
    </row>
    <row r="2797" spans="1:15">
      <c r="A2797" t="s">
        <v>2971</v>
      </c>
      <c r="B2797" t="s">
        <v>123</v>
      </c>
      <c r="C2797" s="9">
        <v>44561</v>
      </c>
      <c r="D2797">
        <v>4</v>
      </c>
      <c r="E2797" t="s">
        <v>17</v>
      </c>
      <c r="F2797" t="s">
        <v>29</v>
      </c>
      <c r="G2797" s="9">
        <v>45045</v>
      </c>
      <c r="H2797" s="9">
        <v>45355</v>
      </c>
      <c r="I2797">
        <v>18</v>
      </c>
      <c r="J2797" t="s">
        <v>26</v>
      </c>
      <c r="K2797">
        <v>4</v>
      </c>
      <c r="L2797">
        <v>4</v>
      </c>
      <c r="M2797" s="11">
        <v>14461.39</v>
      </c>
      <c r="N2797" s="12">
        <v>6941.84</v>
      </c>
      <c r="O2797" s="12">
        <v>14137.46</v>
      </c>
    </row>
    <row r="2798" spans="1:15">
      <c r="A2798" t="s">
        <v>2972</v>
      </c>
      <c r="B2798" t="s">
        <v>332</v>
      </c>
      <c r="C2798" s="9">
        <v>45292</v>
      </c>
      <c r="D2798">
        <v>2</v>
      </c>
      <c r="E2798" t="s">
        <v>17</v>
      </c>
      <c r="F2798" t="s">
        <v>22</v>
      </c>
      <c r="G2798" s="9">
        <v>45431</v>
      </c>
      <c r="H2798" s="9">
        <v>45072</v>
      </c>
      <c r="I2798">
        <v>31</v>
      </c>
      <c r="J2798" t="s">
        <v>26</v>
      </c>
      <c r="K2798">
        <v>4</v>
      </c>
      <c r="L2798">
        <v>8</v>
      </c>
      <c r="M2798" s="11">
        <v>7648.29</v>
      </c>
      <c r="N2798" s="12">
        <v>4748.8500000000004</v>
      </c>
      <c r="O2798" s="12">
        <v>13288.1</v>
      </c>
    </row>
    <row r="2799" spans="1:15">
      <c r="A2799" t="s">
        <v>2973</v>
      </c>
      <c r="B2799" t="s">
        <v>131</v>
      </c>
      <c r="C2799" s="9">
        <v>22646</v>
      </c>
      <c r="D2799">
        <v>64</v>
      </c>
      <c r="E2799" t="s">
        <v>17</v>
      </c>
      <c r="F2799" t="s">
        <v>5184</v>
      </c>
      <c r="G2799" s="9">
        <v>45006</v>
      </c>
      <c r="H2799" s="9">
        <v>45438</v>
      </c>
      <c r="I2799">
        <v>37</v>
      </c>
      <c r="J2799" t="s">
        <v>32</v>
      </c>
      <c r="K2799">
        <v>10</v>
      </c>
      <c r="L2799">
        <v>3</v>
      </c>
      <c r="M2799" s="11">
        <v>17035.43</v>
      </c>
      <c r="N2799" s="12">
        <v>10316.9</v>
      </c>
      <c r="O2799" s="12">
        <v>4946.88</v>
      </c>
    </row>
    <row r="2800" spans="1:15">
      <c r="A2800" t="s">
        <v>2974</v>
      </c>
      <c r="B2800" t="s">
        <v>82</v>
      </c>
      <c r="C2800" s="9">
        <v>44927</v>
      </c>
      <c r="D2800">
        <v>3</v>
      </c>
      <c r="E2800" t="s">
        <v>21</v>
      </c>
      <c r="F2800" t="s">
        <v>74</v>
      </c>
      <c r="G2800" s="9">
        <v>45549</v>
      </c>
      <c r="H2800" s="9">
        <v>45470</v>
      </c>
      <c r="I2800">
        <v>2</v>
      </c>
      <c r="J2800" t="s">
        <v>32</v>
      </c>
      <c r="K2800">
        <v>14</v>
      </c>
      <c r="L2800">
        <v>6</v>
      </c>
      <c r="M2800" s="11">
        <v>2814.6</v>
      </c>
      <c r="N2800" s="12">
        <v>3342.11</v>
      </c>
      <c r="O2800" s="12">
        <v>8871.2000000000007</v>
      </c>
    </row>
    <row r="2801" spans="1:15">
      <c r="A2801" t="s">
        <v>2975</v>
      </c>
      <c r="B2801" t="s">
        <v>97</v>
      </c>
      <c r="C2801" s="9">
        <v>23012</v>
      </c>
      <c r="D2801">
        <v>63</v>
      </c>
      <c r="E2801" t="s">
        <v>21</v>
      </c>
      <c r="F2801" t="s">
        <v>18</v>
      </c>
      <c r="G2801" s="9">
        <v>45603</v>
      </c>
      <c r="H2801" s="9">
        <v>45436</v>
      </c>
      <c r="I2801">
        <v>1</v>
      </c>
      <c r="J2801" t="s">
        <v>32</v>
      </c>
      <c r="K2801">
        <v>0</v>
      </c>
      <c r="L2801">
        <v>5</v>
      </c>
      <c r="M2801" s="11">
        <v>20081.560000000001</v>
      </c>
      <c r="N2801" s="12">
        <v>12459.66</v>
      </c>
      <c r="O2801" s="12">
        <v>15291.54</v>
      </c>
    </row>
    <row r="2802" spans="1:15">
      <c r="A2802" t="s">
        <v>2976</v>
      </c>
      <c r="B2802" t="s">
        <v>578</v>
      </c>
      <c r="C2802" s="9">
        <v>13880</v>
      </c>
      <c r="D2802">
        <v>88</v>
      </c>
      <c r="E2802" t="s">
        <v>21</v>
      </c>
      <c r="F2802" t="s">
        <v>25</v>
      </c>
      <c r="G2802" s="9">
        <v>45145</v>
      </c>
      <c r="H2802" s="9">
        <v>45147</v>
      </c>
      <c r="I2802">
        <v>19</v>
      </c>
      <c r="J2802" t="s">
        <v>35</v>
      </c>
      <c r="K2802">
        <v>11</v>
      </c>
      <c r="L2802">
        <v>9</v>
      </c>
      <c r="M2802" s="11">
        <v>14229.7</v>
      </c>
      <c r="N2802" s="12">
        <v>10205.450000000001</v>
      </c>
      <c r="O2802" s="12">
        <v>17727.93</v>
      </c>
    </row>
    <row r="2803" spans="1:15">
      <c r="A2803" t="s">
        <v>2977</v>
      </c>
      <c r="B2803" t="s">
        <v>328</v>
      </c>
      <c r="C2803" s="9">
        <v>42735</v>
      </c>
      <c r="D2803">
        <v>9</v>
      </c>
      <c r="E2803" t="s">
        <v>21</v>
      </c>
      <c r="F2803" t="s">
        <v>18</v>
      </c>
      <c r="G2803" s="9">
        <v>45443</v>
      </c>
      <c r="H2803" s="9">
        <v>45572</v>
      </c>
      <c r="I2803">
        <v>11</v>
      </c>
      <c r="J2803" t="s">
        <v>35</v>
      </c>
      <c r="K2803">
        <v>14</v>
      </c>
      <c r="L2803">
        <v>5</v>
      </c>
      <c r="M2803" s="11">
        <v>14821.09</v>
      </c>
      <c r="N2803" s="12">
        <v>13050.98</v>
      </c>
      <c r="O2803" s="12">
        <v>9973.5400000000009</v>
      </c>
    </row>
    <row r="2804" spans="1:15">
      <c r="A2804" t="s">
        <v>2978</v>
      </c>
      <c r="B2804" t="s">
        <v>123</v>
      </c>
      <c r="C2804" s="9">
        <v>38717</v>
      </c>
      <c r="D2804">
        <v>20</v>
      </c>
      <c r="E2804" t="s">
        <v>17</v>
      </c>
      <c r="F2804" t="s">
        <v>5184</v>
      </c>
      <c r="G2804" s="9">
        <v>45653</v>
      </c>
      <c r="H2804" s="9">
        <v>45503</v>
      </c>
      <c r="I2804">
        <v>1</v>
      </c>
      <c r="J2804" t="s">
        <v>26</v>
      </c>
      <c r="K2804">
        <v>1</v>
      </c>
      <c r="L2804">
        <v>4</v>
      </c>
      <c r="M2804" s="11">
        <v>5167.57</v>
      </c>
      <c r="N2804" s="12">
        <v>4935.7700000000004</v>
      </c>
      <c r="O2804" s="12">
        <v>19734.490000000002</v>
      </c>
    </row>
    <row r="2805" spans="1:15">
      <c r="A2805" t="s">
        <v>2979</v>
      </c>
      <c r="B2805" t="s">
        <v>397</v>
      </c>
      <c r="C2805" s="9">
        <v>29586</v>
      </c>
      <c r="D2805">
        <v>45</v>
      </c>
      <c r="E2805" t="s">
        <v>17</v>
      </c>
      <c r="F2805" t="s">
        <v>29</v>
      </c>
      <c r="G2805" s="9">
        <v>45633</v>
      </c>
      <c r="H2805" s="9">
        <v>45003</v>
      </c>
      <c r="I2805">
        <v>5</v>
      </c>
      <c r="J2805" t="s">
        <v>35</v>
      </c>
      <c r="K2805">
        <v>4</v>
      </c>
      <c r="L2805">
        <v>1</v>
      </c>
      <c r="M2805" s="11">
        <v>759.13</v>
      </c>
      <c r="N2805" s="12">
        <v>12816.38</v>
      </c>
      <c r="O2805" s="12">
        <v>3411.72</v>
      </c>
    </row>
    <row r="2806" spans="1:15">
      <c r="A2806" t="s">
        <v>2980</v>
      </c>
      <c r="B2806" t="s">
        <v>539</v>
      </c>
      <c r="C2806" s="9">
        <v>13150</v>
      </c>
      <c r="D2806">
        <v>90</v>
      </c>
      <c r="E2806" t="s">
        <v>17</v>
      </c>
      <c r="F2806" t="s">
        <v>18</v>
      </c>
      <c r="G2806" s="9">
        <v>45392</v>
      </c>
      <c r="H2806" s="9">
        <v>45570</v>
      </c>
      <c r="I2806">
        <v>0</v>
      </c>
      <c r="J2806" t="s">
        <v>32</v>
      </c>
      <c r="K2806">
        <v>12</v>
      </c>
      <c r="L2806">
        <v>3</v>
      </c>
      <c r="M2806" s="11">
        <v>18143.73</v>
      </c>
      <c r="N2806" s="12">
        <v>7513.97</v>
      </c>
      <c r="O2806" s="12">
        <v>4410.0200000000004</v>
      </c>
    </row>
    <row r="2807" spans="1:15">
      <c r="A2807" t="s">
        <v>2981</v>
      </c>
      <c r="B2807" t="s">
        <v>184</v>
      </c>
      <c r="C2807" s="9">
        <v>36526</v>
      </c>
      <c r="D2807">
        <v>26</v>
      </c>
      <c r="E2807" t="s">
        <v>17</v>
      </c>
      <c r="F2807" t="s">
        <v>74</v>
      </c>
      <c r="G2807" s="9">
        <v>45444</v>
      </c>
      <c r="H2807" s="9">
        <v>45751</v>
      </c>
      <c r="I2807">
        <v>26</v>
      </c>
      <c r="J2807" t="s">
        <v>32</v>
      </c>
      <c r="K2807">
        <v>14</v>
      </c>
      <c r="L2807">
        <v>0</v>
      </c>
      <c r="M2807" s="11">
        <v>19594.34</v>
      </c>
      <c r="N2807" s="12">
        <v>887.34</v>
      </c>
      <c r="O2807" s="12">
        <v>9161.1</v>
      </c>
    </row>
    <row r="2808" spans="1:15">
      <c r="A2808" t="s">
        <v>2982</v>
      </c>
      <c r="B2808" t="s">
        <v>20</v>
      </c>
      <c r="C2808" s="9">
        <v>22281</v>
      </c>
      <c r="D2808">
        <v>65</v>
      </c>
      <c r="E2808" t="s">
        <v>21</v>
      </c>
      <c r="F2808" t="s">
        <v>49</v>
      </c>
      <c r="G2808" s="9">
        <v>45428</v>
      </c>
      <c r="H2808" s="9">
        <v>45246</v>
      </c>
      <c r="I2808">
        <v>23</v>
      </c>
      <c r="J2808" t="s">
        <v>32</v>
      </c>
      <c r="K2808">
        <v>10</v>
      </c>
      <c r="L2808">
        <v>8</v>
      </c>
      <c r="M2808" s="11">
        <v>14697.9</v>
      </c>
      <c r="N2808" s="12">
        <v>2912.54</v>
      </c>
      <c r="O2808" s="12">
        <v>10125.69</v>
      </c>
    </row>
    <row r="2809" spans="1:15">
      <c r="A2809" t="s">
        <v>2983</v>
      </c>
      <c r="B2809" t="s">
        <v>181</v>
      </c>
      <c r="C2809" s="9">
        <v>31412</v>
      </c>
      <c r="D2809">
        <v>40</v>
      </c>
      <c r="E2809" t="s">
        <v>5185</v>
      </c>
      <c r="F2809" t="s">
        <v>5184</v>
      </c>
      <c r="G2809" s="9">
        <v>44984</v>
      </c>
      <c r="H2809" s="9">
        <v>45800</v>
      </c>
      <c r="I2809">
        <v>27</v>
      </c>
      <c r="J2809" t="s">
        <v>26</v>
      </c>
      <c r="K2809">
        <v>1</v>
      </c>
      <c r="L2809">
        <v>8</v>
      </c>
      <c r="M2809" s="11">
        <v>0</v>
      </c>
      <c r="N2809" s="12">
        <v>3264.74</v>
      </c>
      <c r="O2809" s="12">
        <v>8431.99</v>
      </c>
    </row>
    <row r="2810" spans="1:15">
      <c r="A2810" t="s">
        <v>2984</v>
      </c>
      <c r="B2810" t="s">
        <v>244</v>
      </c>
      <c r="C2810" s="9">
        <v>41639</v>
      </c>
      <c r="D2810">
        <v>12</v>
      </c>
      <c r="E2810" t="s">
        <v>21</v>
      </c>
      <c r="F2810" t="s">
        <v>49</v>
      </c>
      <c r="G2810" s="9">
        <v>45263</v>
      </c>
      <c r="H2810" s="9">
        <v>44965</v>
      </c>
      <c r="I2810">
        <v>9</v>
      </c>
      <c r="J2810" t="s">
        <v>32</v>
      </c>
      <c r="K2810">
        <v>9</v>
      </c>
      <c r="L2810">
        <v>7</v>
      </c>
      <c r="M2810" s="11">
        <v>16693.34</v>
      </c>
      <c r="N2810" s="12">
        <v>11519.86</v>
      </c>
      <c r="O2810" s="12">
        <v>8550.98</v>
      </c>
    </row>
    <row r="2811" spans="1:15">
      <c r="A2811" t="s">
        <v>2985</v>
      </c>
      <c r="B2811" t="s">
        <v>328</v>
      </c>
      <c r="C2811" s="9">
        <v>43100</v>
      </c>
      <c r="D2811">
        <v>8</v>
      </c>
      <c r="E2811" t="s">
        <v>21</v>
      </c>
      <c r="F2811" t="s">
        <v>25</v>
      </c>
      <c r="G2811" s="9">
        <v>45436</v>
      </c>
      <c r="H2811" s="9">
        <v>45493</v>
      </c>
      <c r="I2811">
        <v>12</v>
      </c>
      <c r="J2811" t="s">
        <v>26</v>
      </c>
      <c r="K2811">
        <v>9</v>
      </c>
      <c r="L2811">
        <v>3</v>
      </c>
      <c r="M2811" s="11">
        <v>25369.98</v>
      </c>
      <c r="N2811" s="12">
        <v>3046.88</v>
      </c>
      <c r="O2811" s="12">
        <v>9693.74</v>
      </c>
    </row>
    <row r="2812" spans="1:15">
      <c r="A2812" t="s">
        <v>2986</v>
      </c>
      <c r="B2812" t="s">
        <v>232</v>
      </c>
      <c r="C2812" s="9">
        <v>33239</v>
      </c>
      <c r="D2812">
        <v>35</v>
      </c>
      <c r="E2812" t="s">
        <v>17</v>
      </c>
      <c r="F2812" t="s">
        <v>25</v>
      </c>
      <c r="G2812" s="9">
        <v>45540</v>
      </c>
      <c r="H2812" s="9">
        <v>45569</v>
      </c>
      <c r="I2812">
        <v>38</v>
      </c>
      <c r="J2812" t="s">
        <v>26</v>
      </c>
      <c r="K2812">
        <v>5</v>
      </c>
      <c r="L2812">
        <v>4</v>
      </c>
      <c r="M2812" s="11">
        <v>8287.6200000000008</v>
      </c>
      <c r="N2812" s="12">
        <v>8428.76</v>
      </c>
      <c r="O2812" s="12">
        <v>6335.34</v>
      </c>
    </row>
    <row r="2813" spans="1:15">
      <c r="A2813" t="s">
        <v>2987</v>
      </c>
      <c r="B2813" t="s">
        <v>139</v>
      </c>
      <c r="C2813" s="9">
        <v>14976</v>
      </c>
      <c r="D2813">
        <v>85</v>
      </c>
      <c r="E2813" t="s">
        <v>17</v>
      </c>
      <c r="F2813" t="s">
        <v>18</v>
      </c>
      <c r="G2813" s="9">
        <v>45352</v>
      </c>
      <c r="H2813" s="9">
        <v>45657</v>
      </c>
      <c r="I2813">
        <v>1</v>
      </c>
      <c r="J2813" t="s">
        <v>32</v>
      </c>
      <c r="K2813">
        <v>12</v>
      </c>
      <c r="L2813">
        <v>0</v>
      </c>
      <c r="M2813" s="11">
        <v>6914.8</v>
      </c>
      <c r="N2813" s="12">
        <v>9788.1299999999992</v>
      </c>
      <c r="O2813" s="12">
        <v>2531.96</v>
      </c>
    </row>
    <row r="2814" spans="1:15">
      <c r="A2814" t="s">
        <v>2988</v>
      </c>
      <c r="B2814" t="s">
        <v>341</v>
      </c>
      <c r="C2814" s="9">
        <v>13515</v>
      </c>
      <c r="D2814">
        <v>89</v>
      </c>
      <c r="E2814" t="s">
        <v>17</v>
      </c>
      <c r="F2814" t="s">
        <v>25</v>
      </c>
      <c r="G2814" s="9">
        <v>45486</v>
      </c>
      <c r="H2814" s="9">
        <v>45441</v>
      </c>
      <c r="I2814">
        <v>2</v>
      </c>
      <c r="J2814" t="s">
        <v>32</v>
      </c>
      <c r="K2814">
        <v>14</v>
      </c>
      <c r="L2814">
        <v>3</v>
      </c>
      <c r="M2814" s="11">
        <v>7464.93</v>
      </c>
      <c r="N2814" s="12">
        <v>11607.86</v>
      </c>
      <c r="O2814" s="12">
        <v>19117.78</v>
      </c>
    </row>
    <row r="2815" spans="1:15">
      <c r="A2815" t="s">
        <v>2989</v>
      </c>
      <c r="B2815" t="s">
        <v>578</v>
      </c>
      <c r="C2815" s="9">
        <v>25203</v>
      </c>
      <c r="D2815">
        <v>57</v>
      </c>
      <c r="E2815" t="s">
        <v>21</v>
      </c>
      <c r="F2815" t="s">
        <v>5184</v>
      </c>
      <c r="G2815" s="9">
        <v>45296</v>
      </c>
      <c r="H2815" s="9">
        <v>45173</v>
      </c>
      <c r="I2815">
        <v>25</v>
      </c>
      <c r="J2815" t="s">
        <v>26</v>
      </c>
      <c r="K2815">
        <v>3</v>
      </c>
      <c r="L2815">
        <v>3</v>
      </c>
      <c r="M2815" s="11">
        <v>430.81</v>
      </c>
      <c r="N2815" s="12">
        <v>11758.2</v>
      </c>
      <c r="O2815" s="12">
        <v>15879.24</v>
      </c>
    </row>
    <row r="2816" spans="1:15">
      <c r="A2816" t="s">
        <v>2990</v>
      </c>
      <c r="B2816" t="s">
        <v>348</v>
      </c>
      <c r="C2816" s="9">
        <v>26664</v>
      </c>
      <c r="D2816">
        <v>53</v>
      </c>
      <c r="E2816" t="s">
        <v>17</v>
      </c>
      <c r="F2816" t="s">
        <v>22</v>
      </c>
      <c r="G2816" s="9">
        <v>45337</v>
      </c>
      <c r="H2816" s="9">
        <v>45067</v>
      </c>
      <c r="I2816">
        <v>37</v>
      </c>
      <c r="J2816" t="s">
        <v>32</v>
      </c>
      <c r="K2816">
        <v>2</v>
      </c>
      <c r="L2816">
        <v>4</v>
      </c>
      <c r="M2816" s="11">
        <v>26969.03</v>
      </c>
      <c r="N2816" s="12">
        <v>10764.06</v>
      </c>
      <c r="O2816" s="12">
        <v>16279.55</v>
      </c>
    </row>
    <row r="2817" spans="1:15">
      <c r="A2817" t="s">
        <v>2991</v>
      </c>
      <c r="B2817" t="s">
        <v>490</v>
      </c>
      <c r="C2817" s="9">
        <v>42005</v>
      </c>
      <c r="D2817">
        <v>11</v>
      </c>
      <c r="E2817" t="s">
        <v>21</v>
      </c>
      <c r="F2817" t="s">
        <v>74</v>
      </c>
      <c r="G2817" s="9">
        <v>45601</v>
      </c>
      <c r="H2817" s="9">
        <v>45735</v>
      </c>
      <c r="I2817">
        <v>32</v>
      </c>
      <c r="J2817" t="s">
        <v>35</v>
      </c>
      <c r="K2817">
        <v>6</v>
      </c>
      <c r="L2817">
        <v>1</v>
      </c>
      <c r="M2817" s="11">
        <v>29975.19</v>
      </c>
      <c r="N2817" s="12">
        <v>3197.76</v>
      </c>
      <c r="O2817" s="12">
        <v>7235.67</v>
      </c>
    </row>
    <row r="2818" spans="1:15">
      <c r="A2818" t="s">
        <v>2992</v>
      </c>
      <c r="B2818" t="s">
        <v>115</v>
      </c>
      <c r="C2818" s="9">
        <v>16802</v>
      </c>
      <c r="D2818">
        <f ca="1">DATEDIF(C2769,TODAY(),"Y")</f>
        <v>78</v>
      </c>
      <c r="E2818" t="s">
        <v>21</v>
      </c>
      <c r="F2818" t="s">
        <v>29</v>
      </c>
      <c r="G2818" s="9">
        <v>45358</v>
      </c>
      <c r="H2818" s="9">
        <v>45185</v>
      </c>
      <c r="I2818">
        <v>31</v>
      </c>
      <c r="J2818" t="s">
        <v>26</v>
      </c>
      <c r="K2818">
        <v>9</v>
      </c>
      <c r="L2818">
        <v>1</v>
      </c>
      <c r="M2818" s="11">
        <v>24403.94</v>
      </c>
      <c r="N2818" s="12">
        <v>8152.04</v>
      </c>
      <c r="O2818" s="12">
        <v>8018.07</v>
      </c>
    </row>
    <row r="2819" spans="1:15">
      <c r="A2819" t="s">
        <v>2993</v>
      </c>
      <c r="B2819" t="s">
        <v>95</v>
      </c>
      <c r="C2819" s="9">
        <v>17898</v>
      </c>
      <c r="D2819">
        <v>77</v>
      </c>
      <c r="E2819" t="s">
        <v>17</v>
      </c>
      <c r="F2819" t="s">
        <v>29</v>
      </c>
      <c r="G2819" s="9">
        <v>45122</v>
      </c>
      <c r="H2819" s="9">
        <v>45544</v>
      </c>
      <c r="I2819">
        <v>1</v>
      </c>
      <c r="J2819" t="s">
        <v>32</v>
      </c>
      <c r="K2819">
        <v>9</v>
      </c>
      <c r="L2819">
        <v>1</v>
      </c>
      <c r="M2819" s="11">
        <v>0</v>
      </c>
      <c r="N2819" s="12">
        <v>4352.54</v>
      </c>
      <c r="O2819" s="12">
        <v>18710.45</v>
      </c>
    </row>
    <row r="2820" spans="1:15">
      <c r="A2820" t="s">
        <v>2994</v>
      </c>
      <c r="B2820" t="s">
        <v>427</v>
      </c>
      <c r="C2820" s="9">
        <v>41274</v>
      </c>
      <c r="D2820">
        <v>13</v>
      </c>
      <c r="E2820" t="s">
        <v>17</v>
      </c>
      <c r="F2820" t="s">
        <v>18</v>
      </c>
      <c r="G2820" s="9">
        <v>45303</v>
      </c>
      <c r="H2820" s="9">
        <v>45308</v>
      </c>
      <c r="I2820">
        <v>15</v>
      </c>
      <c r="J2820" t="s">
        <v>26</v>
      </c>
      <c r="K2820">
        <v>0</v>
      </c>
      <c r="L2820">
        <v>7</v>
      </c>
      <c r="M2820" s="11">
        <v>10294.969999999999</v>
      </c>
      <c r="N2820" s="12">
        <v>11626.46</v>
      </c>
      <c r="O2820" s="12">
        <v>19455.560000000001</v>
      </c>
    </row>
    <row r="2821" spans="1:15">
      <c r="A2821" t="s">
        <v>2995</v>
      </c>
      <c r="B2821" t="s">
        <v>163</v>
      </c>
      <c r="C2821" s="9">
        <v>33969</v>
      </c>
      <c r="D2821">
        <v>33</v>
      </c>
      <c r="E2821" t="s">
        <v>17</v>
      </c>
      <c r="F2821" t="s">
        <v>29</v>
      </c>
      <c r="G2821" s="9">
        <v>45291</v>
      </c>
      <c r="H2821" s="9">
        <v>45775</v>
      </c>
      <c r="I2821">
        <v>9</v>
      </c>
      <c r="J2821" t="s">
        <v>32</v>
      </c>
      <c r="K2821">
        <v>1</v>
      </c>
      <c r="L2821">
        <v>1</v>
      </c>
      <c r="M2821" s="11">
        <v>23127.82</v>
      </c>
      <c r="N2821" s="12">
        <v>11221.39</v>
      </c>
      <c r="O2821" s="12">
        <v>18846.68</v>
      </c>
    </row>
    <row r="2822" spans="1:15">
      <c r="A2822" t="s">
        <v>2996</v>
      </c>
      <c r="B2822" t="s">
        <v>387</v>
      </c>
      <c r="C2822" s="9">
        <v>27029</v>
      </c>
      <c r="D2822">
        <v>52</v>
      </c>
      <c r="E2822" t="s">
        <v>17</v>
      </c>
      <c r="F2822" t="s">
        <v>18</v>
      </c>
      <c r="G2822" s="9">
        <v>45570</v>
      </c>
      <c r="H2822" s="9">
        <v>45405</v>
      </c>
      <c r="I2822">
        <v>18</v>
      </c>
      <c r="J2822" t="s">
        <v>32</v>
      </c>
      <c r="K2822">
        <v>8</v>
      </c>
      <c r="L2822">
        <v>5</v>
      </c>
      <c r="M2822" s="11">
        <v>15053.33</v>
      </c>
      <c r="N2822" s="12">
        <v>3444.71</v>
      </c>
      <c r="O2822" s="12">
        <v>12816.26</v>
      </c>
    </row>
    <row r="2823" spans="1:15">
      <c r="A2823" t="s">
        <v>2997</v>
      </c>
      <c r="B2823" t="s">
        <v>16</v>
      </c>
      <c r="C2823" s="9">
        <v>39083</v>
      </c>
      <c r="D2823">
        <f ca="1">DATEDIF(C2774,TODAY(),"Y")</f>
        <v>78</v>
      </c>
      <c r="E2823" t="s">
        <v>17</v>
      </c>
      <c r="F2823" t="s">
        <v>25</v>
      </c>
      <c r="G2823" s="9">
        <v>45331</v>
      </c>
      <c r="H2823" s="9">
        <v>45112</v>
      </c>
      <c r="I2823">
        <v>7</v>
      </c>
      <c r="J2823" t="s">
        <v>26</v>
      </c>
      <c r="K2823">
        <v>10</v>
      </c>
      <c r="L2823">
        <v>1</v>
      </c>
      <c r="M2823" s="11">
        <v>28153.46</v>
      </c>
      <c r="N2823" s="12">
        <v>9620.14</v>
      </c>
      <c r="O2823" s="12">
        <v>4778.59</v>
      </c>
    </row>
    <row r="2824" spans="1:15">
      <c r="A2824" t="s">
        <v>2998</v>
      </c>
      <c r="B2824" t="s">
        <v>97</v>
      </c>
      <c r="C2824" s="9">
        <v>18994</v>
      </c>
      <c r="D2824">
        <v>74</v>
      </c>
      <c r="E2824" t="s">
        <v>17</v>
      </c>
      <c r="F2824" t="s">
        <v>25</v>
      </c>
      <c r="G2824" s="9">
        <v>45418</v>
      </c>
      <c r="H2824" s="9">
        <v>45230</v>
      </c>
      <c r="I2824">
        <v>18</v>
      </c>
      <c r="J2824" t="s">
        <v>26</v>
      </c>
      <c r="K2824">
        <v>2</v>
      </c>
      <c r="L2824">
        <v>7</v>
      </c>
      <c r="M2824" s="11">
        <v>8027.18</v>
      </c>
      <c r="N2824" s="12">
        <v>876.42</v>
      </c>
      <c r="O2824" s="12">
        <v>12059.96</v>
      </c>
    </row>
    <row r="2825" spans="1:15">
      <c r="A2825" t="s">
        <v>2999</v>
      </c>
      <c r="B2825" t="s">
        <v>252</v>
      </c>
      <c r="C2825" s="9">
        <v>40544</v>
      </c>
      <c r="D2825">
        <v>15</v>
      </c>
      <c r="E2825" t="s">
        <v>17</v>
      </c>
      <c r="F2825" t="s">
        <v>22</v>
      </c>
      <c r="G2825" s="9">
        <v>44992</v>
      </c>
      <c r="H2825" s="9">
        <v>45421</v>
      </c>
      <c r="I2825">
        <v>37</v>
      </c>
      <c r="J2825" t="s">
        <v>32</v>
      </c>
      <c r="K2825">
        <v>10</v>
      </c>
      <c r="L2825">
        <v>0</v>
      </c>
      <c r="M2825" s="11">
        <v>9376.4500000000007</v>
      </c>
      <c r="N2825" s="12">
        <v>11528.23</v>
      </c>
      <c r="O2825" s="12">
        <v>11740.64</v>
      </c>
    </row>
    <row r="2826" spans="1:15">
      <c r="A2826" t="s">
        <v>3000</v>
      </c>
      <c r="B2826" t="s">
        <v>187</v>
      </c>
      <c r="C2826" s="9">
        <f>DATE(2026-D2786,1,1)</f>
        <v>39448</v>
      </c>
      <c r="D2826">
        <f ca="1">DATEDIF(C2777,TODAY(),"Y")</f>
        <v>83</v>
      </c>
      <c r="E2826" t="s">
        <v>17</v>
      </c>
      <c r="F2826" t="s">
        <v>22</v>
      </c>
      <c r="G2826" s="9">
        <v>45317</v>
      </c>
      <c r="H2826" s="9">
        <v>45683</v>
      </c>
      <c r="I2826">
        <v>22</v>
      </c>
      <c r="J2826" t="s">
        <v>32</v>
      </c>
      <c r="K2826">
        <v>8</v>
      </c>
      <c r="L2826">
        <v>1</v>
      </c>
      <c r="M2826" s="11">
        <v>29964.16</v>
      </c>
      <c r="N2826" s="12">
        <v>11703.03</v>
      </c>
      <c r="O2826" s="12">
        <v>18155.53</v>
      </c>
    </row>
    <row r="2827" spans="1:15">
      <c r="A2827" t="s">
        <v>3001</v>
      </c>
      <c r="B2827" t="s">
        <v>444</v>
      </c>
      <c r="C2827" s="9">
        <v>20820</v>
      </c>
      <c r="D2827">
        <v>69</v>
      </c>
      <c r="E2827" t="s">
        <v>5185</v>
      </c>
      <c r="F2827" t="s">
        <v>74</v>
      </c>
      <c r="G2827" s="9">
        <v>45009</v>
      </c>
      <c r="H2827" s="9">
        <v>45091</v>
      </c>
      <c r="I2827">
        <v>14</v>
      </c>
      <c r="J2827" t="s">
        <v>26</v>
      </c>
      <c r="K2827">
        <v>12</v>
      </c>
      <c r="L2827">
        <v>4</v>
      </c>
      <c r="M2827" s="11">
        <v>29334.33</v>
      </c>
      <c r="N2827" s="12">
        <v>5205.18</v>
      </c>
      <c r="O2827" s="12">
        <v>6164.54</v>
      </c>
    </row>
    <row r="2828" spans="1:15">
      <c r="A2828" t="s">
        <v>3002</v>
      </c>
      <c r="B2828" t="s">
        <v>65</v>
      </c>
      <c r="C2828" s="9">
        <v>25934</v>
      </c>
      <c r="D2828">
        <v>55</v>
      </c>
      <c r="E2828" t="s">
        <v>5185</v>
      </c>
      <c r="F2828" t="s">
        <v>29</v>
      </c>
      <c r="G2828" s="9">
        <v>45407</v>
      </c>
      <c r="H2828" s="9">
        <v>45571</v>
      </c>
      <c r="I2828">
        <v>3</v>
      </c>
      <c r="J2828" t="s">
        <v>32</v>
      </c>
      <c r="K2828">
        <v>4</v>
      </c>
      <c r="L2828">
        <v>5</v>
      </c>
      <c r="M2828" s="11">
        <v>26498.35</v>
      </c>
      <c r="N2828" s="12">
        <v>12093.85</v>
      </c>
      <c r="O2828" s="12">
        <v>3933.67</v>
      </c>
    </row>
    <row r="2829" spans="1:15">
      <c r="A2829" t="s">
        <v>3003</v>
      </c>
      <c r="B2829" t="s">
        <v>34</v>
      </c>
      <c r="C2829" s="9">
        <v>16072</v>
      </c>
      <c r="D2829">
        <v>82</v>
      </c>
      <c r="E2829" t="s">
        <v>21</v>
      </c>
      <c r="F2829" t="s">
        <v>5184</v>
      </c>
      <c r="G2829" s="9">
        <v>45155</v>
      </c>
      <c r="H2829" s="9">
        <v>45130</v>
      </c>
      <c r="I2829">
        <v>11</v>
      </c>
      <c r="J2829" t="s">
        <v>26</v>
      </c>
      <c r="K2829">
        <v>13</v>
      </c>
      <c r="L2829">
        <v>8</v>
      </c>
      <c r="M2829" s="11">
        <v>11841.17</v>
      </c>
      <c r="N2829" s="12">
        <v>12874.46</v>
      </c>
      <c r="O2829" s="12">
        <v>5242.72</v>
      </c>
    </row>
    <row r="2830" spans="1:15">
      <c r="A2830" t="s">
        <v>3004</v>
      </c>
      <c r="B2830" t="s">
        <v>524</v>
      </c>
      <c r="C2830" s="9">
        <v>25203</v>
      </c>
      <c r="D2830">
        <v>57</v>
      </c>
      <c r="E2830" t="s">
        <v>17</v>
      </c>
      <c r="F2830" t="s">
        <v>22</v>
      </c>
      <c r="G2830" s="9">
        <v>45151</v>
      </c>
      <c r="H2830" s="9">
        <v>45335</v>
      </c>
      <c r="I2830">
        <v>34</v>
      </c>
      <c r="J2830" t="s">
        <v>35</v>
      </c>
      <c r="K2830">
        <v>3</v>
      </c>
      <c r="L2830">
        <v>5</v>
      </c>
      <c r="M2830" s="11">
        <v>25047.19</v>
      </c>
      <c r="N2830" s="12">
        <v>2850.87</v>
      </c>
      <c r="O2830" s="12">
        <v>4787.22</v>
      </c>
    </row>
    <row r="2831" spans="1:15">
      <c r="A2831" t="s">
        <v>3005</v>
      </c>
      <c r="B2831" t="s">
        <v>264</v>
      </c>
      <c r="C2831" s="9">
        <v>44927</v>
      </c>
      <c r="D2831">
        <v>3</v>
      </c>
      <c r="E2831" t="s">
        <v>17</v>
      </c>
      <c r="F2831" t="s">
        <v>74</v>
      </c>
      <c r="G2831" s="9">
        <v>45039</v>
      </c>
      <c r="H2831" s="9">
        <v>45137</v>
      </c>
      <c r="I2831">
        <v>37</v>
      </c>
      <c r="J2831" t="s">
        <v>35</v>
      </c>
      <c r="K2831">
        <v>13</v>
      </c>
      <c r="L2831">
        <v>7</v>
      </c>
      <c r="M2831" s="11">
        <v>0</v>
      </c>
      <c r="N2831" s="12">
        <v>5263.43</v>
      </c>
      <c r="O2831" s="12">
        <v>12932.53</v>
      </c>
    </row>
    <row r="2832" spans="1:15">
      <c r="A2832" t="s">
        <v>3006</v>
      </c>
      <c r="B2832" t="s">
        <v>155</v>
      </c>
      <c r="C2832" s="9">
        <v>44927</v>
      </c>
      <c r="D2832">
        <v>3</v>
      </c>
      <c r="E2832" t="s">
        <v>21</v>
      </c>
      <c r="F2832" t="s">
        <v>49</v>
      </c>
      <c r="G2832" s="9">
        <v>45578</v>
      </c>
      <c r="H2832" s="9">
        <v>45786</v>
      </c>
      <c r="I2832">
        <v>37</v>
      </c>
      <c r="J2832" t="s">
        <v>32</v>
      </c>
      <c r="K2832">
        <v>3</v>
      </c>
      <c r="L2832">
        <v>6</v>
      </c>
      <c r="M2832" s="11">
        <v>7270.02</v>
      </c>
      <c r="N2832" s="12">
        <v>3916.21</v>
      </c>
      <c r="O2832" s="12">
        <v>16229.9</v>
      </c>
    </row>
    <row r="2833" spans="1:15">
      <c r="A2833" t="s">
        <v>3007</v>
      </c>
      <c r="B2833" t="s">
        <v>39</v>
      </c>
      <c r="C2833" s="9">
        <v>39083</v>
      </c>
      <c r="D2833">
        <v>19</v>
      </c>
      <c r="E2833" t="s">
        <v>17</v>
      </c>
      <c r="F2833" t="s">
        <v>22</v>
      </c>
      <c r="G2833" s="9">
        <v>45111</v>
      </c>
      <c r="H2833" s="9">
        <v>45028</v>
      </c>
      <c r="I2833">
        <v>15</v>
      </c>
      <c r="J2833" t="s">
        <v>26</v>
      </c>
      <c r="K2833">
        <v>5</v>
      </c>
      <c r="L2833">
        <v>0</v>
      </c>
      <c r="M2833" s="11">
        <v>16166.35</v>
      </c>
      <c r="N2833" s="12">
        <v>5615.37</v>
      </c>
      <c r="O2833" s="12">
        <v>7299.08</v>
      </c>
    </row>
    <row r="2834" spans="1:15">
      <c r="A2834" t="s">
        <v>3008</v>
      </c>
      <c r="B2834" t="s">
        <v>392</v>
      </c>
      <c r="C2834" s="9">
        <v>42735</v>
      </c>
      <c r="D2834">
        <v>9</v>
      </c>
      <c r="E2834" t="s">
        <v>21</v>
      </c>
      <c r="F2834" t="s">
        <v>74</v>
      </c>
      <c r="G2834" s="9">
        <v>45438</v>
      </c>
      <c r="H2834" s="9">
        <v>45373</v>
      </c>
      <c r="I2834">
        <v>27</v>
      </c>
      <c r="J2834" t="s">
        <v>26</v>
      </c>
      <c r="K2834">
        <v>6</v>
      </c>
      <c r="L2834">
        <v>1</v>
      </c>
      <c r="M2834" s="11">
        <v>25738.02</v>
      </c>
      <c r="N2834" s="12">
        <v>6703.56</v>
      </c>
      <c r="O2834" s="12">
        <v>3445.9</v>
      </c>
    </row>
    <row r="2835" spans="1:15">
      <c r="A2835" t="s">
        <v>3009</v>
      </c>
      <c r="B2835" t="s">
        <v>133</v>
      </c>
      <c r="C2835" s="9">
        <v>37622</v>
      </c>
      <c r="D2835">
        <v>23</v>
      </c>
      <c r="E2835" t="s">
        <v>17</v>
      </c>
      <c r="F2835" t="s">
        <v>18</v>
      </c>
      <c r="G2835" s="9">
        <v>45099</v>
      </c>
      <c r="H2835" s="9">
        <v>45825</v>
      </c>
      <c r="I2835">
        <v>6</v>
      </c>
      <c r="J2835" t="s">
        <v>35</v>
      </c>
      <c r="K2835">
        <v>4</v>
      </c>
      <c r="L2835">
        <v>3</v>
      </c>
      <c r="M2835" s="11">
        <v>2472.9299999999998</v>
      </c>
      <c r="N2835" s="12">
        <v>7649.53</v>
      </c>
      <c r="O2835" s="12">
        <v>6796.14</v>
      </c>
    </row>
    <row r="2836" spans="1:15">
      <c r="A2836" t="s">
        <v>3010</v>
      </c>
      <c r="B2836" t="s">
        <v>123</v>
      </c>
      <c r="C2836" s="9">
        <v>36891</v>
      </c>
      <c r="D2836">
        <v>25</v>
      </c>
      <c r="E2836" t="s">
        <v>17</v>
      </c>
      <c r="F2836" t="s">
        <v>18</v>
      </c>
      <c r="G2836" s="9">
        <v>45449</v>
      </c>
      <c r="H2836" s="9">
        <v>45710</v>
      </c>
      <c r="I2836">
        <v>11</v>
      </c>
      <c r="J2836" t="s">
        <v>26</v>
      </c>
      <c r="K2836">
        <v>13</v>
      </c>
      <c r="L2836">
        <v>0</v>
      </c>
      <c r="M2836" s="11">
        <v>16741.830000000002</v>
      </c>
      <c r="N2836" s="12">
        <v>526.55999999999995</v>
      </c>
      <c r="O2836" s="12">
        <v>10885.82</v>
      </c>
    </row>
    <row r="2837" spans="1:15">
      <c r="A2837" t="s">
        <v>3011</v>
      </c>
      <c r="B2837" t="s">
        <v>119</v>
      </c>
      <c r="C2837" s="9">
        <v>32873</v>
      </c>
      <c r="D2837">
        <v>36</v>
      </c>
      <c r="E2837" t="s">
        <v>21</v>
      </c>
      <c r="F2837" t="s">
        <v>74</v>
      </c>
      <c r="G2837" s="9">
        <v>45597</v>
      </c>
      <c r="H2837" s="9">
        <v>45488</v>
      </c>
      <c r="I2837">
        <v>14</v>
      </c>
      <c r="J2837" t="s">
        <v>32</v>
      </c>
      <c r="K2837">
        <v>12</v>
      </c>
      <c r="L2837">
        <v>7</v>
      </c>
      <c r="M2837" s="11">
        <v>18097.02</v>
      </c>
      <c r="N2837" s="12">
        <v>827.5</v>
      </c>
      <c r="O2837" s="12">
        <v>13256.17</v>
      </c>
    </row>
    <row r="2838" spans="1:15">
      <c r="A2838" t="s">
        <v>3012</v>
      </c>
      <c r="B2838" t="s">
        <v>422</v>
      </c>
      <c r="C2838" s="9">
        <v>15341</v>
      </c>
      <c r="D2838">
        <v>84</v>
      </c>
      <c r="E2838" t="s">
        <v>21</v>
      </c>
      <c r="F2838" t="s">
        <v>25</v>
      </c>
      <c r="G2838" s="9">
        <v>45131</v>
      </c>
      <c r="H2838" s="9">
        <v>45295</v>
      </c>
      <c r="I2838">
        <v>31</v>
      </c>
      <c r="J2838" t="s">
        <v>32</v>
      </c>
      <c r="K2838">
        <v>1</v>
      </c>
      <c r="L2838">
        <v>3</v>
      </c>
      <c r="M2838" s="11">
        <v>17183.830000000002</v>
      </c>
      <c r="N2838" s="12">
        <v>9828.52</v>
      </c>
      <c r="O2838" s="12">
        <v>10950.95</v>
      </c>
    </row>
    <row r="2839" spans="1:15">
      <c r="A2839" t="s">
        <v>3013</v>
      </c>
      <c r="B2839" t="s">
        <v>166</v>
      </c>
      <c r="C2839" s="9">
        <v>26664</v>
      </c>
      <c r="D2839">
        <v>53</v>
      </c>
      <c r="E2839" t="s">
        <v>17</v>
      </c>
      <c r="F2839" t="s">
        <v>49</v>
      </c>
      <c r="G2839" s="9">
        <v>45464</v>
      </c>
      <c r="H2839" s="9">
        <v>45166</v>
      </c>
      <c r="I2839">
        <v>19</v>
      </c>
      <c r="J2839" t="s">
        <v>32</v>
      </c>
      <c r="K2839">
        <v>2</v>
      </c>
      <c r="L2839">
        <v>6</v>
      </c>
      <c r="M2839" s="11">
        <v>0</v>
      </c>
      <c r="N2839" s="12">
        <v>6641.12</v>
      </c>
      <c r="O2839" s="12">
        <v>5060.28</v>
      </c>
    </row>
    <row r="2840" spans="1:15">
      <c r="A2840" t="s">
        <v>3014</v>
      </c>
      <c r="B2840" t="s">
        <v>343</v>
      </c>
      <c r="C2840" s="9">
        <v>38717</v>
      </c>
      <c r="D2840">
        <v>20</v>
      </c>
      <c r="E2840" t="s">
        <v>21</v>
      </c>
      <c r="F2840" t="s">
        <v>74</v>
      </c>
      <c r="G2840" s="9">
        <v>45245</v>
      </c>
      <c r="H2840" s="9">
        <v>45654</v>
      </c>
      <c r="I2840">
        <v>29</v>
      </c>
      <c r="J2840" t="s">
        <v>32</v>
      </c>
      <c r="K2840">
        <v>12</v>
      </c>
      <c r="L2840">
        <v>6</v>
      </c>
      <c r="M2840" s="11">
        <v>0</v>
      </c>
      <c r="N2840" s="12">
        <v>1346.06</v>
      </c>
      <c r="O2840" s="12">
        <v>18352.18</v>
      </c>
    </row>
    <row r="2841" spans="1:15">
      <c r="A2841" t="s">
        <v>3015</v>
      </c>
      <c r="B2841" t="s">
        <v>664</v>
      </c>
      <c r="C2841" s="9">
        <v>19359</v>
      </c>
      <c r="D2841">
        <v>73</v>
      </c>
      <c r="E2841" t="s">
        <v>21</v>
      </c>
      <c r="F2841" t="s">
        <v>22</v>
      </c>
      <c r="G2841" s="9">
        <v>45085</v>
      </c>
      <c r="H2841" s="9">
        <v>45218</v>
      </c>
      <c r="I2841">
        <v>9</v>
      </c>
      <c r="J2841" t="s">
        <v>26</v>
      </c>
      <c r="K2841">
        <v>14</v>
      </c>
      <c r="L2841">
        <v>7</v>
      </c>
      <c r="M2841" s="11">
        <v>26797.25</v>
      </c>
      <c r="N2841" s="12">
        <v>5793.45</v>
      </c>
      <c r="O2841" s="12">
        <v>8700.0300000000007</v>
      </c>
    </row>
    <row r="2842" spans="1:15">
      <c r="A2842" t="s">
        <v>3016</v>
      </c>
      <c r="B2842" t="s">
        <v>209</v>
      </c>
      <c r="C2842" s="9">
        <v>32508</v>
      </c>
      <c r="D2842">
        <v>37</v>
      </c>
      <c r="E2842" t="s">
        <v>21</v>
      </c>
      <c r="F2842" t="s">
        <v>25</v>
      </c>
      <c r="G2842" s="9">
        <v>45204</v>
      </c>
      <c r="H2842" s="9">
        <v>45299</v>
      </c>
      <c r="I2842">
        <v>13</v>
      </c>
      <c r="J2842" t="s">
        <v>26</v>
      </c>
      <c r="K2842">
        <v>1</v>
      </c>
      <c r="L2842">
        <v>8</v>
      </c>
      <c r="M2842" s="11">
        <v>17022.63</v>
      </c>
      <c r="N2842" s="12">
        <v>7132.42</v>
      </c>
      <c r="O2842" s="12">
        <v>9125.2999999999993</v>
      </c>
    </row>
    <row r="2843" spans="1:15">
      <c r="A2843" t="s">
        <v>3017</v>
      </c>
      <c r="B2843" t="s">
        <v>157</v>
      </c>
      <c r="C2843" s="9">
        <v>29586</v>
      </c>
      <c r="D2843">
        <v>45</v>
      </c>
      <c r="E2843" t="s">
        <v>17</v>
      </c>
      <c r="F2843" t="s">
        <v>74</v>
      </c>
      <c r="G2843" s="9">
        <v>45074</v>
      </c>
      <c r="H2843" s="9">
        <v>45789</v>
      </c>
      <c r="I2843">
        <v>19</v>
      </c>
      <c r="J2843" t="s">
        <v>35</v>
      </c>
      <c r="K2843">
        <v>12</v>
      </c>
      <c r="L2843">
        <v>8</v>
      </c>
      <c r="M2843" s="11">
        <v>22921.09</v>
      </c>
      <c r="N2843" s="12">
        <v>9533.85</v>
      </c>
      <c r="O2843" s="12">
        <v>19344.439999999999</v>
      </c>
    </row>
    <row r="2844" spans="1:15">
      <c r="A2844" t="s">
        <v>3018</v>
      </c>
      <c r="B2844" t="s">
        <v>194</v>
      </c>
      <c r="C2844" s="9">
        <v>44927</v>
      </c>
      <c r="D2844">
        <v>3</v>
      </c>
      <c r="E2844" t="s">
        <v>17</v>
      </c>
      <c r="F2844" t="s">
        <v>29</v>
      </c>
      <c r="G2844" s="9">
        <v>45009</v>
      </c>
      <c r="H2844" s="9">
        <v>45358</v>
      </c>
      <c r="I2844">
        <v>35</v>
      </c>
      <c r="J2844" t="s">
        <v>35</v>
      </c>
      <c r="K2844">
        <v>9</v>
      </c>
      <c r="L2844">
        <v>6</v>
      </c>
      <c r="M2844" s="11">
        <v>10615.33</v>
      </c>
      <c r="N2844" s="12">
        <v>1774.95</v>
      </c>
      <c r="O2844" s="12">
        <v>17354.189999999999</v>
      </c>
    </row>
    <row r="2845" spans="1:15">
      <c r="A2845" t="s">
        <v>3019</v>
      </c>
      <c r="B2845" t="s">
        <v>91</v>
      </c>
      <c r="C2845" s="9">
        <v>24473</v>
      </c>
      <c r="D2845">
        <v>59</v>
      </c>
      <c r="E2845" t="s">
        <v>17</v>
      </c>
      <c r="F2845" t="s">
        <v>22</v>
      </c>
      <c r="G2845" s="9">
        <v>45345</v>
      </c>
      <c r="H2845" s="9">
        <v>45207</v>
      </c>
      <c r="I2845">
        <v>36</v>
      </c>
      <c r="J2845" t="s">
        <v>32</v>
      </c>
      <c r="K2845">
        <v>12</v>
      </c>
      <c r="L2845">
        <v>8</v>
      </c>
      <c r="M2845" s="11">
        <v>796.32</v>
      </c>
      <c r="N2845" s="12">
        <v>14922.06</v>
      </c>
      <c r="O2845" s="12">
        <v>16106.01</v>
      </c>
    </row>
    <row r="2846" spans="1:15">
      <c r="A2846" t="s">
        <v>3020</v>
      </c>
      <c r="B2846" t="s">
        <v>71</v>
      </c>
      <c r="C2846" s="9">
        <v>25568</v>
      </c>
      <c r="D2846">
        <v>56</v>
      </c>
      <c r="E2846" t="s">
        <v>21</v>
      </c>
      <c r="F2846" t="s">
        <v>22</v>
      </c>
      <c r="G2846" s="9">
        <v>45464</v>
      </c>
      <c r="H2846" s="9">
        <v>45394</v>
      </c>
      <c r="I2846">
        <v>1</v>
      </c>
      <c r="J2846" t="s">
        <v>32</v>
      </c>
      <c r="K2846">
        <v>3</v>
      </c>
      <c r="L2846">
        <v>4</v>
      </c>
      <c r="M2846" s="11">
        <v>7416.74</v>
      </c>
      <c r="N2846" s="12">
        <v>7120.58</v>
      </c>
      <c r="O2846" s="12">
        <v>3572.09</v>
      </c>
    </row>
    <row r="2847" spans="1:15">
      <c r="A2847" t="s">
        <v>3021</v>
      </c>
      <c r="B2847" t="s">
        <v>53</v>
      </c>
      <c r="C2847" s="9">
        <v>29951</v>
      </c>
      <c r="D2847">
        <v>44</v>
      </c>
      <c r="E2847" t="s">
        <v>17</v>
      </c>
      <c r="F2847" t="s">
        <v>18</v>
      </c>
      <c r="G2847" s="9">
        <v>45509</v>
      </c>
      <c r="H2847" s="9">
        <v>45243</v>
      </c>
      <c r="I2847">
        <v>5</v>
      </c>
      <c r="J2847" t="s">
        <v>26</v>
      </c>
      <c r="K2847">
        <v>11</v>
      </c>
      <c r="L2847">
        <v>9</v>
      </c>
      <c r="M2847" s="11">
        <v>1737.65</v>
      </c>
      <c r="N2847" s="12">
        <v>10211.86</v>
      </c>
      <c r="O2847" s="12">
        <v>16745.55</v>
      </c>
    </row>
    <row r="2848" spans="1:15">
      <c r="A2848" t="s">
        <v>3022</v>
      </c>
      <c r="B2848" t="s">
        <v>615</v>
      </c>
      <c r="C2848" s="9">
        <v>39083</v>
      </c>
      <c r="D2848">
        <v>19</v>
      </c>
      <c r="E2848" t="s">
        <v>17</v>
      </c>
      <c r="F2848" t="s">
        <v>29</v>
      </c>
      <c r="G2848" s="9">
        <v>45475</v>
      </c>
      <c r="H2848" s="9">
        <v>45004</v>
      </c>
      <c r="I2848">
        <v>2</v>
      </c>
      <c r="J2848" t="s">
        <v>32</v>
      </c>
      <c r="K2848">
        <v>13</v>
      </c>
      <c r="L2848">
        <v>3</v>
      </c>
      <c r="M2848" s="11">
        <v>1886.36</v>
      </c>
      <c r="N2848" s="12">
        <v>13623.27</v>
      </c>
      <c r="O2848" s="12">
        <v>9051.7000000000007</v>
      </c>
    </row>
    <row r="2849" spans="1:15">
      <c r="A2849" t="s">
        <v>3023</v>
      </c>
      <c r="B2849" t="s">
        <v>341</v>
      </c>
      <c r="C2849" s="9">
        <f>DATE(2026-D2809,1,1)</f>
        <v>31413</v>
      </c>
      <c r="D2849">
        <v>16</v>
      </c>
      <c r="E2849" t="s">
        <v>21</v>
      </c>
      <c r="F2849" t="s">
        <v>29</v>
      </c>
      <c r="G2849" s="9">
        <v>45318</v>
      </c>
      <c r="H2849" s="9">
        <v>45743</v>
      </c>
      <c r="I2849">
        <v>38</v>
      </c>
      <c r="J2849" t="s">
        <v>26</v>
      </c>
      <c r="K2849">
        <v>10</v>
      </c>
      <c r="L2849">
        <v>2</v>
      </c>
      <c r="M2849" s="11">
        <v>6041.01</v>
      </c>
      <c r="N2849" s="12">
        <v>477.35</v>
      </c>
      <c r="O2849" s="12">
        <v>4108.82</v>
      </c>
    </row>
    <row r="2850" spans="1:15">
      <c r="A2850" t="s">
        <v>3024</v>
      </c>
      <c r="B2850" t="s">
        <v>41</v>
      </c>
      <c r="C2850" s="9">
        <v>20455</v>
      </c>
      <c r="D2850">
        <v>70</v>
      </c>
      <c r="E2850" t="s">
        <v>17</v>
      </c>
      <c r="F2850" t="s">
        <v>22</v>
      </c>
      <c r="G2850" s="9">
        <v>45059</v>
      </c>
      <c r="H2850" s="9">
        <v>45078</v>
      </c>
      <c r="I2850">
        <v>37</v>
      </c>
      <c r="J2850" t="s">
        <v>32</v>
      </c>
      <c r="K2850">
        <v>8</v>
      </c>
      <c r="L2850">
        <v>5</v>
      </c>
      <c r="M2850" s="11">
        <v>18824.13</v>
      </c>
      <c r="N2850" s="12">
        <v>9020.3799999999992</v>
      </c>
      <c r="O2850" s="12">
        <v>19816.73</v>
      </c>
    </row>
    <row r="2851" spans="1:15">
      <c r="A2851" t="s">
        <v>3025</v>
      </c>
      <c r="B2851" t="s">
        <v>596</v>
      </c>
      <c r="C2851" s="9">
        <v>44927</v>
      </c>
      <c r="D2851">
        <v>3</v>
      </c>
      <c r="E2851" t="s">
        <v>17</v>
      </c>
      <c r="F2851" t="s">
        <v>49</v>
      </c>
      <c r="G2851" s="9">
        <v>45564</v>
      </c>
      <c r="H2851" s="9">
        <v>45323</v>
      </c>
      <c r="I2851">
        <v>38</v>
      </c>
      <c r="J2851" t="s">
        <v>32</v>
      </c>
      <c r="K2851">
        <v>14</v>
      </c>
      <c r="L2851">
        <v>9</v>
      </c>
      <c r="M2851" s="11">
        <v>24442.01</v>
      </c>
      <c r="N2851" s="12">
        <v>8105.34</v>
      </c>
      <c r="O2851" s="12">
        <v>3358.29</v>
      </c>
    </row>
    <row r="2852" spans="1:15">
      <c r="A2852" t="s">
        <v>3026</v>
      </c>
      <c r="B2852" t="s">
        <v>155</v>
      </c>
      <c r="C2852" s="9">
        <f>DATE(2026-D2812,1,1)</f>
        <v>33239</v>
      </c>
      <c r="D2852">
        <v>92</v>
      </c>
      <c r="E2852" t="s">
        <v>17</v>
      </c>
      <c r="F2852" t="s">
        <v>5184</v>
      </c>
      <c r="G2852" s="9">
        <v>45553</v>
      </c>
      <c r="H2852" s="9">
        <v>45423</v>
      </c>
      <c r="I2852">
        <v>2</v>
      </c>
      <c r="J2852" t="s">
        <v>35</v>
      </c>
      <c r="K2852">
        <v>6</v>
      </c>
      <c r="L2852">
        <v>8</v>
      </c>
      <c r="M2852" s="11">
        <v>24551.39</v>
      </c>
      <c r="N2852" s="12">
        <v>861.1</v>
      </c>
      <c r="O2852" s="12">
        <v>18430.95</v>
      </c>
    </row>
    <row r="2853" spans="1:15">
      <c r="A2853" t="s">
        <v>3027</v>
      </c>
      <c r="B2853" t="s">
        <v>163</v>
      </c>
      <c r="C2853" s="9">
        <v>41274</v>
      </c>
      <c r="D2853">
        <f ca="1">DATEDIF(C2804,TODAY(),"Y")</f>
        <v>20</v>
      </c>
      <c r="E2853" t="s">
        <v>21</v>
      </c>
      <c r="F2853" t="s">
        <v>25</v>
      </c>
      <c r="G2853" s="9">
        <v>45530</v>
      </c>
      <c r="H2853" s="9">
        <v>45224</v>
      </c>
      <c r="I2853">
        <v>33</v>
      </c>
      <c r="J2853" t="s">
        <v>32</v>
      </c>
      <c r="K2853">
        <v>1</v>
      </c>
      <c r="L2853">
        <v>3</v>
      </c>
      <c r="M2853" s="11">
        <v>28101.57</v>
      </c>
      <c r="N2853" s="12">
        <v>10395.42</v>
      </c>
      <c r="O2853" s="12">
        <v>89.38</v>
      </c>
    </row>
    <row r="2854" spans="1:15">
      <c r="A2854" t="s">
        <v>3028</v>
      </c>
      <c r="B2854" t="s">
        <v>207</v>
      </c>
      <c r="C2854" s="9">
        <v>45292</v>
      </c>
      <c r="D2854">
        <v>2</v>
      </c>
      <c r="E2854" t="s">
        <v>21</v>
      </c>
      <c r="F2854" t="s">
        <v>18</v>
      </c>
      <c r="G2854" s="9">
        <v>45168</v>
      </c>
      <c r="H2854" s="9">
        <v>45596</v>
      </c>
      <c r="I2854">
        <v>14</v>
      </c>
      <c r="J2854" t="s">
        <v>35</v>
      </c>
      <c r="K2854">
        <v>8</v>
      </c>
      <c r="L2854">
        <v>1</v>
      </c>
      <c r="M2854" s="11">
        <v>19519.64</v>
      </c>
      <c r="N2854" s="12">
        <v>3311.74</v>
      </c>
      <c r="O2854" s="12">
        <v>8702.15</v>
      </c>
    </row>
    <row r="2855" spans="1:15">
      <c r="A2855" t="s">
        <v>3029</v>
      </c>
      <c r="B2855" t="s">
        <v>172</v>
      </c>
      <c r="C2855" s="9">
        <v>14246</v>
      </c>
      <c r="D2855">
        <v>87</v>
      </c>
      <c r="E2855" t="s">
        <v>21</v>
      </c>
      <c r="F2855" t="s">
        <v>29</v>
      </c>
      <c r="G2855" s="9">
        <v>45377</v>
      </c>
      <c r="H2855" s="9">
        <v>45637</v>
      </c>
      <c r="I2855">
        <v>38</v>
      </c>
      <c r="J2855" t="s">
        <v>32</v>
      </c>
      <c r="K2855">
        <v>11</v>
      </c>
      <c r="L2855">
        <v>2</v>
      </c>
      <c r="M2855" s="11">
        <v>105.76</v>
      </c>
      <c r="N2855" s="12">
        <v>10528.22</v>
      </c>
      <c r="O2855" s="12">
        <v>500.91</v>
      </c>
    </row>
    <row r="2856" spans="1:15">
      <c r="A2856" t="s">
        <v>3030</v>
      </c>
      <c r="B2856" t="s">
        <v>174</v>
      </c>
      <c r="C2856" s="9">
        <f>DATE(2026-D2816,1,1)</f>
        <v>26665</v>
      </c>
      <c r="D2856">
        <v>79</v>
      </c>
      <c r="E2856" t="s">
        <v>21</v>
      </c>
      <c r="F2856" t="s">
        <v>18</v>
      </c>
      <c r="G2856" s="9">
        <v>45126</v>
      </c>
      <c r="H2856" s="9">
        <v>45823</v>
      </c>
      <c r="I2856">
        <v>27</v>
      </c>
      <c r="J2856" t="s">
        <v>32</v>
      </c>
      <c r="K2856">
        <v>13</v>
      </c>
      <c r="L2856">
        <v>2</v>
      </c>
      <c r="M2856" s="11">
        <v>11010.77</v>
      </c>
      <c r="N2856" s="12">
        <v>5439.44</v>
      </c>
      <c r="O2856" s="12">
        <v>18240.29</v>
      </c>
    </row>
    <row r="2857" spans="1:15">
      <c r="A2857" t="s">
        <v>3031</v>
      </c>
      <c r="B2857" t="s">
        <v>97</v>
      </c>
      <c r="C2857" s="9">
        <v>25203</v>
      </c>
      <c r="D2857">
        <f ca="1">DATEDIF(C2808,TODAY(),"Y")</f>
        <v>65</v>
      </c>
      <c r="E2857" t="s">
        <v>17</v>
      </c>
      <c r="F2857" t="s">
        <v>22</v>
      </c>
      <c r="G2857" s="9">
        <v>45645</v>
      </c>
      <c r="H2857" s="9">
        <v>45334</v>
      </c>
      <c r="I2857">
        <v>12</v>
      </c>
      <c r="J2857" t="s">
        <v>26</v>
      </c>
      <c r="K2857">
        <v>2</v>
      </c>
      <c r="L2857">
        <v>1</v>
      </c>
      <c r="M2857" s="11">
        <v>2899.54</v>
      </c>
      <c r="N2857" s="12">
        <v>11551.89</v>
      </c>
      <c r="O2857" s="12">
        <v>2430.37</v>
      </c>
    </row>
    <row r="2858" spans="1:15">
      <c r="A2858" t="s">
        <v>3032</v>
      </c>
      <c r="B2858" t="s">
        <v>422</v>
      </c>
      <c r="C2858" s="9">
        <v>26299</v>
      </c>
      <c r="D2858">
        <v>54</v>
      </c>
      <c r="E2858" t="s">
        <v>21</v>
      </c>
      <c r="F2858" t="s">
        <v>25</v>
      </c>
      <c r="G2858" s="9">
        <v>45043</v>
      </c>
      <c r="H2858" s="9">
        <v>45214</v>
      </c>
      <c r="I2858">
        <v>17</v>
      </c>
      <c r="J2858" t="s">
        <v>35</v>
      </c>
      <c r="K2858">
        <v>11</v>
      </c>
      <c r="L2858">
        <v>8</v>
      </c>
      <c r="M2858" s="11">
        <v>23212.67</v>
      </c>
      <c r="N2858" s="12">
        <v>14126.42</v>
      </c>
      <c r="O2858" s="12">
        <v>13429.28</v>
      </c>
    </row>
    <row r="2859" spans="1:15">
      <c r="A2859" t="s">
        <v>3033</v>
      </c>
      <c r="B2859" t="s">
        <v>229</v>
      </c>
      <c r="C2859" s="9">
        <v>44927</v>
      </c>
      <c r="D2859">
        <f ca="1">DATEDIF(C2810,TODAY(),"Y")</f>
        <v>12</v>
      </c>
      <c r="E2859" t="s">
        <v>17</v>
      </c>
      <c r="F2859" t="s">
        <v>74</v>
      </c>
      <c r="G2859" s="9">
        <v>45145</v>
      </c>
      <c r="H2859" s="9">
        <v>45420</v>
      </c>
      <c r="I2859">
        <v>33</v>
      </c>
      <c r="J2859" t="s">
        <v>32</v>
      </c>
      <c r="K2859">
        <v>2</v>
      </c>
      <c r="L2859">
        <v>3</v>
      </c>
      <c r="M2859" s="11">
        <v>3150.52</v>
      </c>
      <c r="N2859" s="12">
        <v>12907.69</v>
      </c>
      <c r="O2859" s="12">
        <v>12587.53</v>
      </c>
    </row>
    <row r="2860" spans="1:15">
      <c r="A2860" t="s">
        <v>3034</v>
      </c>
      <c r="B2860" t="s">
        <v>306</v>
      </c>
      <c r="C2860" s="9">
        <v>37622</v>
      </c>
      <c r="D2860">
        <v>23</v>
      </c>
      <c r="E2860" t="s">
        <v>21</v>
      </c>
      <c r="F2860" t="s">
        <v>29</v>
      </c>
      <c r="G2860" s="9">
        <v>45231</v>
      </c>
      <c r="H2860" s="9">
        <v>45463</v>
      </c>
      <c r="I2860">
        <v>1</v>
      </c>
      <c r="J2860" t="s">
        <v>26</v>
      </c>
      <c r="K2860">
        <v>4</v>
      </c>
      <c r="L2860">
        <v>2</v>
      </c>
      <c r="M2860" s="11">
        <v>2730.63</v>
      </c>
      <c r="N2860" s="12">
        <v>7238.6</v>
      </c>
      <c r="O2860" s="12">
        <v>15559.28</v>
      </c>
    </row>
    <row r="2861" spans="1:15">
      <c r="A2861" t="s">
        <v>3035</v>
      </c>
      <c r="B2861" t="s">
        <v>487</v>
      </c>
      <c r="C2861" s="9">
        <v>33969</v>
      </c>
      <c r="D2861">
        <v>33</v>
      </c>
      <c r="E2861" t="s">
        <v>21</v>
      </c>
      <c r="F2861" t="s">
        <v>25</v>
      </c>
      <c r="G2861" s="9">
        <v>45169</v>
      </c>
      <c r="H2861" s="9">
        <v>45383</v>
      </c>
      <c r="I2861">
        <v>1</v>
      </c>
      <c r="J2861" t="s">
        <v>32</v>
      </c>
      <c r="K2861">
        <v>14</v>
      </c>
      <c r="L2861">
        <v>9</v>
      </c>
      <c r="M2861" s="11">
        <v>360.36</v>
      </c>
      <c r="N2861" s="12">
        <v>3379.09</v>
      </c>
      <c r="O2861" s="12">
        <v>14912.24</v>
      </c>
    </row>
    <row r="2862" spans="1:15">
      <c r="A2862" t="s">
        <v>3036</v>
      </c>
      <c r="B2862" t="s">
        <v>163</v>
      </c>
      <c r="C2862" s="9">
        <v>35430</v>
      </c>
      <c r="D2862">
        <v>29</v>
      </c>
      <c r="E2862" t="s">
        <v>17</v>
      </c>
      <c r="F2862" t="s">
        <v>5184</v>
      </c>
      <c r="G2862" s="9">
        <v>45218</v>
      </c>
      <c r="H2862" s="9">
        <v>45419</v>
      </c>
      <c r="I2862">
        <v>21</v>
      </c>
      <c r="J2862" t="s">
        <v>26</v>
      </c>
      <c r="K2862">
        <v>7</v>
      </c>
      <c r="L2862">
        <v>5</v>
      </c>
      <c r="M2862" s="11">
        <v>28642.83</v>
      </c>
      <c r="N2862" s="12">
        <v>14886.35</v>
      </c>
      <c r="O2862" s="12">
        <v>552.22</v>
      </c>
    </row>
    <row r="2863" spans="1:15">
      <c r="A2863" t="s">
        <v>3037</v>
      </c>
      <c r="B2863" t="s">
        <v>91</v>
      </c>
      <c r="C2863" s="9">
        <v>16437</v>
      </c>
      <c r="D2863">
        <v>81</v>
      </c>
      <c r="E2863" t="s">
        <v>21</v>
      </c>
      <c r="F2863" t="s">
        <v>18</v>
      </c>
      <c r="G2863" s="9">
        <v>45227</v>
      </c>
      <c r="H2863" s="9">
        <v>44936</v>
      </c>
      <c r="I2863">
        <v>39</v>
      </c>
      <c r="J2863" t="s">
        <v>35</v>
      </c>
      <c r="K2863">
        <v>8</v>
      </c>
      <c r="L2863">
        <v>7</v>
      </c>
      <c r="M2863" s="11">
        <v>23464.16</v>
      </c>
      <c r="N2863" s="12">
        <v>9892.48</v>
      </c>
      <c r="O2863" s="12">
        <v>7706.85</v>
      </c>
    </row>
    <row r="2864" spans="1:15">
      <c r="A2864" t="s">
        <v>3038</v>
      </c>
      <c r="B2864" t="s">
        <v>209</v>
      </c>
      <c r="C2864" s="9">
        <v>39448</v>
      </c>
      <c r="D2864">
        <v>18</v>
      </c>
      <c r="E2864" t="s">
        <v>17</v>
      </c>
      <c r="F2864" t="s">
        <v>22</v>
      </c>
      <c r="G2864" s="9">
        <v>45610</v>
      </c>
      <c r="H2864" s="9">
        <v>45059</v>
      </c>
      <c r="I2864">
        <v>1</v>
      </c>
      <c r="J2864" t="s">
        <v>26</v>
      </c>
      <c r="K2864">
        <v>1</v>
      </c>
      <c r="L2864">
        <v>7</v>
      </c>
      <c r="M2864" s="11">
        <v>9665.98</v>
      </c>
      <c r="N2864" s="12">
        <v>5939.29</v>
      </c>
      <c r="O2864" s="12">
        <v>6382.71</v>
      </c>
    </row>
    <row r="2865" spans="1:15">
      <c r="A2865" t="s">
        <v>3039</v>
      </c>
      <c r="B2865" t="s">
        <v>147</v>
      </c>
      <c r="C2865" s="9">
        <v>35065</v>
      </c>
      <c r="D2865">
        <v>30</v>
      </c>
      <c r="E2865" t="s">
        <v>21</v>
      </c>
      <c r="F2865" t="s">
        <v>25</v>
      </c>
      <c r="G2865" s="9">
        <v>45314</v>
      </c>
      <c r="H2865" s="9">
        <v>45004</v>
      </c>
      <c r="I2865">
        <v>1</v>
      </c>
      <c r="J2865" t="s">
        <v>32</v>
      </c>
      <c r="K2865">
        <v>2</v>
      </c>
      <c r="L2865">
        <v>9</v>
      </c>
      <c r="M2865" s="11">
        <v>10981.4</v>
      </c>
      <c r="N2865" s="12">
        <v>7222.86</v>
      </c>
      <c r="O2865" s="12">
        <v>19454.990000000002</v>
      </c>
    </row>
    <row r="2866" spans="1:15">
      <c r="A2866" t="s">
        <v>3040</v>
      </c>
      <c r="B2866" t="s">
        <v>240</v>
      </c>
      <c r="C2866" s="9">
        <v>24473</v>
      </c>
      <c r="D2866">
        <v>59</v>
      </c>
      <c r="E2866" t="s">
        <v>21</v>
      </c>
      <c r="F2866" t="s">
        <v>74</v>
      </c>
      <c r="G2866" s="9">
        <v>45514</v>
      </c>
      <c r="H2866" s="9">
        <v>45665</v>
      </c>
      <c r="I2866">
        <v>2</v>
      </c>
      <c r="J2866" t="s">
        <v>26</v>
      </c>
      <c r="K2866">
        <v>4</v>
      </c>
      <c r="L2866">
        <v>5</v>
      </c>
      <c r="M2866" s="11">
        <v>1312.57</v>
      </c>
      <c r="N2866" s="12">
        <v>1920.83</v>
      </c>
      <c r="O2866" s="12">
        <v>15475.35</v>
      </c>
    </row>
    <row r="2867" spans="1:15">
      <c r="A2867" t="s">
        <v>3041</v>
      </c>
      <c r="B2867" t="s">
        <v>343</v>
      </c>
      <c r="C2867" s="9">
        <v>24473</v>
      </c>
      <c r="D2867">
        <v>59</v>
      </c>
      <c r="E2867" t="s">
        <v>17</v>
      </c>
      <c r="F2867" t="s">
        <v>25</v>
      </c>
      <c r="G2867" s="9">
        <v>45135</v>
      </c>
      <c r="H2867" s="9">
        <v>45058</v>
      </c>
      <c r="I2867">
        <v>10</v>
      </c>
      <c r="J2867" t="s">
        <v>32</v>
      </c>
      <c r="K2867">
        <v>4</v>
      </c>
      <c r="L2867">
        <v>4</v>
      </c>
      <c r="M2867" s="11">
        <v>4316.47</v>
      </c>
      <c r="N2867" s="12">
        <v>7579.38</v>
      </c>
      <c r="O2867" s="12">
        <v>14129.99</v>
      </c>
    </row>
    <row r="2868" spans="1:15">
      <c r="A2868" t="s">
        <v>3042</v>
      </c>
      <c r="B2868" t="s">
        <v>372</v>
      </c>
      <c r="C2868" s="9">
        <v>39448</v>
      </c>
      <c r="D2868">
        <v>18</v>
      </c>
      <c r="E2868" t="s">
        <v>17</v>
      </c>
      <c r="F2868" t="s">
        <v>22</v>
      </c>
      <c r="G2868" s="9">
        <v>45240</v>
      </c>
      <c r="H2868" s="9">
        <v>45815</v>
      </c>
      <c r="I2868">
        <v>3</v>
      </c>
      <c r="J2868" t="s">
        <v>26</v>
      </c>
      <c r="K2868">
        <v>5</v>
      </c>
      <c r="L2868">
        <v>6</v>
      </c>
      <c r="M2868" s="11">
        <v>8999.27</v>
      </c>
      <c r="N2868" s="12">
        <v>2597.4699999999998</v>
      </c>
      <c r="O2868" s="12">
        <v>8787.42</v>
      </c>
    </row>
    <row r="2869" spans="1:15">
      <c r="A2869" t="s">
        <v>3043</v>
      </c>
      <c r="B2869" t="s">
        <v>232</v>
      </c>
      <c r="C2869" s="9">
        <v>28490</v>
      </c>
      <c r="D2869">
        <v>48</v>
      </c>
      <c r="E2869" t="s">
        <v>21</v>
      </c>
      <c r="F2869" t="s">
        <v>18</v>
      </c>
      <c r="G2869" s="9">
        <v>45543</v>
      </c>
      <c r="H2869" s="9">
        <v>45339</v>
      </c>
      <c r="I2869">
        <v>19</v>
      </c>
      <c r="J2869" t="s">
        <v>35</v>
      </c>
      <c r="K2869">
        <v>13</v>
      </c>
      <c r="L2869">
        <v>2</v>
      </c>
      <c r="M2869" s="11">
        <v>11329.97</v>
      </c>
      <c r="N2869" s="12">
        <v>5486.18</v>
      </c>
      <c r="O2869" s="12">
        <v>17808.46</v>
      </c>
    </row>
    <row r="2870" spans="1:15">
      <c r="A2870" t="s">
        <v>3044</v>
      </c>
      <c r="B2870" t="s">
        <v>119</v>
      </c>
      <c r="C2870" s="9">
        <v>23377</v>
      </c>
      <c r="D2870">
        <v>62</v>
      </c>
      <c r="E2870" t="s">
        <v>21</v>
      </c>
      <c r="F2870" t="s">
        <v>29</v>
      </c>
      <c r="G2870" s="9">
        <v>44952</v>
      </c>
      <c r="H2870" s="9">
        <v>45017</v>
      </c>
      <c r="I2870">
        <v>14</v>
      </c>
      <c r="J2870" t="s">
        <v>32</v>
      </c>
      <c r="K2870">
        <v>1</v>
      </c>
      <c r="L2870">
        <v>9</v>
      </c>
      <c r="M2870" s="11">
        <v>18409.28</v>
      </c>
      <c r="N2870" s="12">
        <v>7376.5</v>
      </c>
      <c r="O2870" s="12">
        <v>238.08</v>
      </c>
    </row>
    <row r="2871" spans="1:15">
      <c r="A2871" t="s">
        <v>3045</v>
      </c>
      <c r="B2871" t="s">
        <v>155</v>
      </c>
      <c r="C2871" s="9">
        <v>16072</v>
      </c>
      <c r="D2871">
        <v>82</v>
      </c>
      <c r="E2871" t="s">
        <v>17</v>
      </c>
      <c r="F2871" t="s">
        <v>5184</v>
      </c>
      <c r="G2871" s="9">
        <v>45005</v>
      </c>
      <c r="H2871" s="9">
        <v>45425</v>
      </c>
      <c r="I2871">
        <v>19</v>
      </c>
      <c r="J2871" t="s">
        <v>32</v>
      </c>
      <c r="K2871">
        <v>12</v>
      </c>
      <c r="L2871">
        <v>1</v>
      </c>
      <c r="M2871" s="11">
        <v>10185.14</v>
      </c>
      <c r="N2871" s="12">
        <v>14216.98</v>
      </c>
      <c r="O2871" s="12">
        <v>4491.62</v>
      </c>
    </row>
    <row r="2872" spans="1:15">
      <c r="A2872" t="s">
        <v>3046</v>
      </c>
      <c r="B2872" t="s">
        <v>84</v>
      </c>
      <c r="C2872" s="9">
        <v>38352</v>
      </c>
      <c r="D2872">
        <v>21</v>
      </c>
      <c r="E2872" t="s">
        <v>5185</v>
      </c>
      <c r="F2872" t="s">
        <v>5184</v>
      </c>
      <c r="G2872" s="9">
        <v>45054</v>
      </c>
      <c r="H2872" s="9">
        <v>45556</v>
      </c>
      <c r="I2872">
        <v>3</v>
      </c>
      <c r="J2872" t="s">
        <v>32</v>
      </c>
      <c r="K2872">
        <v>12</v>
      </c>
      <c r="L2872">
        <v>7</v>
      </c>
      <c r="M2872" s="11">
        <v>28615.32</v>
      </c>
      <c r="N2872" s="12">
        <v>9370.4</v>
      </c>
      <c r="O2872" s="12">
        <v>13869.76</v>
      </c>
    </row>
    <row r="2873" spans="1:15">
      <c r="A2873" t="s">
        <v>3047</v>
      </c>
      <c r="B2873" t="s">
        <v>244</v>
      </c>
      <c r="C2873" s="9">
        <v>37622</v>
      </c>
      <c r="D2873">
        <v>23</v>
      </c>
      <c r="E2873" t="s">
        <v>17</v>
      </c>
      <c r="F2873" t="s">
        <v>29</v>
      </c>
      <c r="G2873" s="9">
        <v>45339</v>
      </c>
      <c r="H2873" s="9">
        <v>45549</v>
      </c>
      <c r="I2873">
        <v>0</v>
      </c>
      <c r="J2873" t="s">
        <v>32</v>
      </c>
      <c r="K2873">
        <v>7</v>
      </c>
      <c r="L2873">
        <v>8</v>
      </c>
      <c r="M2873" s="11">
        <v>9955.2199999999993</v>
      </c>
      <c r="N2873" s="12">
        <v>5578.35</v>
      </c>
      <c r="O2873" s="12">
        <v>10118.6</v>
      </c>
    </row>
    <row r="2874" spans="1:15">
      <c r="A2874" t="s">
        <v>3048</v>
      </c>
      <c r="B2874" t="s">
        <v>490</v>
      </c>
      <c r="C2874" s="9">
        <v>18629</v>
      </c>
      <c r="D2874">
        <v>75</v>
      </c>
      <c r="E2874" t="s">
        <v>21</v>
      </c>
      <c r="F2874" t="s">
        <v>49</v>
      </c>
      <c r="G2874" s="9">
        <v>45063</v>
      </c>
      <c r="H2874" s="9">
        <v>45816</v>
      </c>
      <c r="I2874">
        <v>3</v>
      </c>
      <c r="J2874" t="s">
        <v>32</v>
      </c>
      <c r="K2874">
        <v>14</v>
      </c>
      <c r="L2874">
        <v>5</v>
      </c>
      <c r="M2874" s="11">
        <v>28218.66</v>
      </c>
      <c r="N2874" s="12">
        <v>1696.34</v>
      </c>
      <c r="O2874" s="12">
        <v>10629.53</v>
      </c>
    </row>
    <row r="2875" spans="1:15">
      <c r="A2875" t="s">
        <v>3049</v>
      </c>
      <c r="B2875" t="s">
        <v>268</v>
      </c>
      <c r="C2875" s="9">
        <v>35430</v>
      </c>
      <c r="D2875">
        <v>29</v>
      </c>
      <c r="E2875" t="s">
        <v>5185</v>
      </c>
      <c r="F2875" t="s">
        <v>18</v>
      </c>
      <c r="G2875" s="9">
        <v>45260</v>
      </c>
      <c r="H2875" s="9">
        <v>45281</v>
      </c>
      <c r="I2875">
        <v>14</v>
      </c>
      <c r="J2875" t="s">
        <v>32</v>
      </c>
      <c r="K2875">
        <v>0</v>
      </c>
      <c r="L2875">
        <v>3</v>
      </c>
      <c r="M2875" s="11">
        <v>21760.720000000001</v>
      </c>
      <c r="N2875" s="12">
        <v>11207.83</v>
      </c>
      <c r="O2875" s="12">
        <v>8268.5300000000007</v>
      </c>
    </row>
    <row r="2876" spans="1:15">
      <c r="A2876" t="s">
        <v>3050</v>
      </c>
      <c r="B2876" t="s">
        <v>338</v>
      </c>
      <c r="C2876" s="9">
        <f>DATE(2026-D2836,1,1)</f>
        <v>36892</v>
      </c>
      <c r="D2876">
        <v>57</v>
      </c>
      <c r="E2876" t="s">
        <v>21</v>
      </c>
      <c r="F2876" t="s">
        <v>5184</v>
      </c>
      <c r="G2876" s="9">
        <v>45474</v>
      </c>
      <c r="H2876" s="9">
        <v>45198</v>
      </c>
      <c r="I2876">
        <v>32</v>
      </c>
      <c r="J2876" t="s">
        <v>32</v>
      </c>
      <c r="K2876">
        <v>12</v>
      </c>
      <c r="L2876">
        <v>5</v>
      </c>
      <c r="M2876" s="11">
        <v>26946.87</v>
      </c>
      <c r="N2876" s="12">
        <v>7002.79</v>
      </c>
      <c r="O2876" s="12">
        <v>3245.81</v>
      </c>
    </row>
    <row r="2877" spans="1:15">
      <c r="A2877" t="s">
        <v>3051</v>
      </c>
      <c r="B2877" t="s">
        <v>176</v>
      </c>
      <c r="C2877" s="9">
        <v>35065</v>
      </c>
      <c r="D2877">
        <v>30</v>
      </c>
      <c r="E2877" t="s">
        <v>21</v>
      </c>
      <c r="F2877" t="s">
        <v>49</v>
      </c>
      <c r="G2877" s="9">
        <v>45314</v>
      </c>
      <c r="H2877" s="9">
        <v>45319</v>
      </c>
      <c r="I2877">
        <v>34</v>
      </c>
      <c r="J2877" t="s">
        <v>32</v>
      </c>
      <c r="K2877">
        <v>2</v>
      </c>
      <c r="L2877">
        <v>6</v>
      </c>
      <c r="M2877" s="11">
        <v>20946.29</v>
      </c>
      <c r="N2877" s="12">
        <v>1022.33</v>
      </c>
      <c r="O2877" s="12">
        <v>3241.05</v>
      </c>
    </row>
    <row r="2878" spans="1:15">
      <c r="A2878" t="s">
        <v>3052</v>
      </c>
      <c r="B2878" t="s">
        <v>69</v>
      </c>
      <c r="C2878" s="9">
        <v>23012</v>
      </c>
      <c r="D2878">
        <v>63</v>
      </c>
      <c r="E2878" t="s">
        <v>17</v>
      </c>
      <c r="F2878" t="s">
        <v>49</v>
      </c>
      <c r="G2878" s="9">
        <v>45497</v>
      </c>
      <c r="H2878" s="9">
        <v>45359</v>
      </c>
      <c r="I2878">
        <v>32</v>
      </c>
      <c r="J2878" t="s">
        <v>35</v>
      </c>
      <c r="K2878">
        <v>1</v>
      </c>
      <c r="L2878">
        <v>7</v>
      </c>
      <c r="M2878" s="11">
        <v>16841.810000000001</v>
      </c>
      <c r="N2878" s="12">
        <v>9853.1200000000008</v>
      </c>
      <c r="O2878" s="12">
        <v>5819.07</v>
      </c>
    </row>
    <row r="2879" spans="1:15">
      <c r="A2879" t="s">
        <v>3053</v>
      </c>
      <c r="B2879" t="s">
        <v>671</v>
      </c>
      <c r="C2879" s="9">
        <v>39448</v>
      </c>
      <c r="D2879">
        <v>18</v>
      </c>
      <c r="E2879" t="s">
        <v>21</v>
      </c>
      <c r="F2879" t="s">
        <v>22</v>
      </c>
      <c r="G2879" s="9">
        <v>45156</v>
      </c>
      <c r="H2879" s="9">
        <v>45666</v>
      </c>
      <c r="I2879">
        <v>20</v>
      </c>
      <c r="J2879" t="s">
        <v>35</v>
      </c>
      <c r="K2879">
        <v>1</v>
      </c>
      <c r="L2879">
        <v>2</v>
      </c>
      <c r="M2879" s="11">
        <v>15027.02</v>
      </c>
      <c r="N2879" s="12">
        <v>5251.58</v>
      </c>
      <c r="O2879" s="12">
        <v>9313.02</v>
      </c>
    </row>
    <row r="2880" spans="1:15">
      <c r="A2880" t="s">
        <v>3054</v>
      </c>
      <c r="B2880" t="s">
        <v>249</v>
      </c>
      <c r="C2880" s="9">
        <v>28856</v>
      </c>
      <c r="D2880">
        <v>47</v>
      </c>
      <c r="E2880" t="s">
        <v>21</v>
      </c>
      <c r="F2880" t="s">
        <v>22</v>
      </c>
      <c r="G2880" s="9">
        <v>45347</v>
      </c>
      <c r="H2880" s="9">
        <v>45399</v>
      </c>
      <c r="I2880">
        <v>5</v>
      </c>
      <c r="J2880" t="s">
        <v>32</v>
      </c>
      <c r="K2880">
        <v>9</v>
      </c>
      <c r="L2880">
        <v>5</v>
      </c>
      <c r="M2880" s="11">
        <v>8385.81</v>
      </c>
      <c r="N2880" s="12">
        <v>6058.37</v>
      </c>
      <c r="O2880" s="12">
        <v>16464.93</v>
      </c>
    </row>
    <row r="2881" spans="1:15">
      <c r="A2881" t="s">
        <v>3055</v>
      </c>
      <c r="B2881" t="s">
        <v>246</v>
      </c>
      <c r="C2881" s="9">
        <v>29951</v>
      </c>
      <c r="D2881">
        <v>44</v>
      </c>
      <c r="E2881" t="s">
        <v>21</v>
      </c>
      <c r="F2881" t="s">
        <v>22</v>
      </c>
      <c r="G2881" s="9">
        <v>45050</v>
      </c>
      <c r="H2881" s="9">
        <v>45683</v>
      </c>
      <c r="I2881">
        <v>4</v>
      </c>
      <c r="J2881" t="s">
        <v>32</v>
      </c>
      <c r="K2881">
        <v>3</v>
      </c>
      <c r="L2881">
        <v>9</v>
      </c>
      <c r="M2881" s="11">
        <v>8594.31</v>
      </c>
      <c r="N2881" s="12">
        <v>12582.81</v>
      </c>
      <c r="O2881" s="12">
        <v>8881.32</v>
      </c>
    </row>
    <row r="2882" spans="1:15">
      <c r="A2882" t="s">
        <v>3056</v>
      </c>
      <c r="B2882" t="s">
        <v>170</v>
      </c>
      <c r="C2882" s="9">
        <v>12054</v>
      </c>
      <c r="D2882">
        <v>93</v>
      </c>
      <c r="E2882" t="s">
        <v>21</v>
      </c>
      <c r="F2882" t="s">
        <v>74</v>
      </c>
      <c r="G2882" s="9">
        <v>45014</v>
      </c>
      <c r="H2882" s="9">
        <v>45235</v>
      </c>
      <c r="I2882">
        <v>7</v>
      </c>
      <c r="J2882" t="s">
        <v>26</v>
      </c>
      <c r="K2882">
        <v>14</v>
      </c>
      <c r="L2882">
        <v>5</v>
      </c>
      <c r="M2882" s="11">
        <v>6307.78</v>
      </c>
      <c r="N2882" s="12">
        <v>2059.62</v>
      </c>
      <c r="O2882" s="12">
        <v>17945.689999999999</v>
      </c>
    </row>
    <row r="2883" spans="1:15">
      <c r="A2883" t="s">
        <v>3057</v>
      </c>
      <c r="B2883" t="s">
        <v>59</v>
      </c>
      <c r="C2883" s="9">
        <v>26299</v>
      </c>
      <c r="D2883">
        <v>54</v>
      </c>
      <c r="E2883" t="s">
        <v>17</v>
      </c>
      <c r="F2883" t="s">
        <v>18</v>
      </c>
      <c r="G2883" s="9">
        <v>45067</v>
      </c>
      <c r="H2883" s="9">
        <v>45435</v>
      </c>
      <c r="I2883">
        <v>23</v>
      </c>
      <c r="J2883" t="s">
        <v>32</v>
      </c>
      <c r="K2883">
        <v>5</v>
      </c>
      <c r="L2883">
        <v>9</v>
      </c>
      <c r="M2883" s="11">
        <v>11259</v>
      </c>
      <c r="N2883" s="12">
        <v>5105.62</v>
      </c>
      <c r="O2883" s="12">
        <v>2322.39</v>
      </c>
    </row>
    <row r="2884" spans="1:15">
      <c r="A2884" t="s">
        <v>3058</v>
      </c>
      <c r="B2884" t="s">
        <v>350</v>
      </c>
      <c r="C2884" s="9">
        <v>26299</v>
      </c>
      <c r="D2884">
        <v>54</v>
      </c>
      <c r="E2884" t="s">
        <v>17</v>
      </c>
      <c r="F2884" t="s">
        <v>29</v>
      </c>
      <c r="G2884" s="9">
        <v>44977</v>
      </c>
      <c r="H2884" s="9">
        <v>44982</v>
      </c>
      <c r="I2884">
        <v>7</v>
      </c>
      <c r="J2884" t="s">
        <v>32</v>
      </c>
      <c r="K2884">
        <v>11</v>
      </c>
      <c r="L2884">
        <v>6</v>
      </c>
      <c r="M2884" s="11">
        <v>3372.68</v>
      </c>
      <c r="N2884" s="12">
        <v>5455.02</v>
      </c>
      <c r="O2884" s="12">
        <v>5362.64</v>
      </c>
    </row>
    <row r="2885" spans="1:15">
      <c r="A2885" t="s">
        <v>3059</v>
      </c>
      <c r="B2885" t="s">
        <v>71</v>
      </c>
      <c r="C2885" s="9">
        <v>39813</v>
      </c>
      <c r="D2885">
        <v>17</v>
      </c>
      <c r="E2885" t="s">
        <v>21</v>
      </c>
      <c r="F2885" t="s">
        <v>18</v>
      </c>
      <c r="G2885" s="9">
        <v>45493</v>
      </c>
      <c r="H2885" s="9">
        <v>44964</v>
      </c>
      <c r="I2885">
        <v>16</v>
      </c>
      <c r="J2885" t="s">
        <v>32</v>
      </c>
      <c r="K2885">
        <v>10</v>
      </c>
      <c r="L2885">
        <v>3</v>
      </c>
      <c r="M2885" s="11">
        <v>11321.95</v>
      </c>
      <c r="N2885" s="12">
        <v>49.94</v>
      </c>
      <c r="O2885" s="12">
        <v>1317.53</v>
      </c>
    </row>
    <row r="2886" spans="1:15">
      <c r="A2886" t="s">
        <v>3060</v>
      </c>
      <c r="B2886" t="s">
        <v>356</v>
      </c>
      <c r="C2886" s="9">
        <v>23377</v>
      </c>
      <c r="D2886">
        <v>62</v>
      </c>
      <c r="E2886" t="s">
        <v>17</v>
      </c>
      <c r="F2886" t="s">
        <v>22</v>
      </c>
      <c r="G2886" s="9">
        <v>45331</v>
      </c>
      <c r="H2886" s="9">
        <v>44982</v>
      </c>
      <c r="I2886">
        <v>20</v>
      </c>
      <c r="J2886" t="s">
        <v>32</v>
      </c>
      <c r="K2886">
        <v>5</v>
      </c>
      <c r="L2886">
        <v>5</v>
      </c>
      <c r="M2886" s="11">
        <v>24929.18</v>
      </c>
      <c r="N2886" s="12">
        <v>12679.93</v>
      </c>
      <c r="O2886" s="12">
        <v>10151.51</v>
      </c>
    </row>
    <row r="2887" spans="1:15">
      <c r="A2887" t="s">
        <v>3061</v>
      </c>
      <c r="B2887" t="s">
        <v>82</v>
      </c>
      <c r="C2887" s="9">
        <v>12785</v>
      </c>
      <c r="D2887">
        <v>91</v>
      </c>
      <c r="E2887" t="s">
        <v>17</v>
      </c>
      <c r="F2887" t="s">
        <v>74</v>
      </c>
      <c r="G2887" s="9">
        <v>45263</v>
      </c>
      <c r="H2887" s="9">
        <v>45451</v>
      </c>
      <c r="I2887">
        <v>28</v>
      </c>
      <c r="J2887" t="s">
        <v>32</v>
      </c>
      <c r="K2887">
        <v>12</v>
      </c>
      <c r="L2887">
        <v>1</v>
      </c>
      <c r="M2887" s="11">
        <v>26043.91</v>
      </c>
      <c r="N2887" s="12">
        <v>12529.69</v>
      </c>
      <c r="O2887" s="12">
        <v>1709.65</v>
      </c>
    </row>
    <row r="2888" spans="1:15">
      <c r="A2888" t="s">
        <v>3062</v>
      </c>
      <c r="B2888" t="s">
        <v>127</v>
      </c>
      <c r="C2888" s="9">
        <v>29221</v>
      </c>
      <c r="D2888">
        <v>46</v>
      </c>
      <c r="E2888" t="s">
        <v>17</v>
      </c>
      <c r="F2888" t="s">
        <v>18</v>
      </c>
      <c r="G2888" s="9">
        <v>45588</v>
      </c>
      <c r="H2888" s="9">
        <v>45390</v>
      </c>
      <c r="I2888">
        <v>30</v>
      </c>
      <c r="J2888" t="s">
        <v>26</v>
      </c>
      <c r="K2888">
        <v>12</v>
      </c>
      <c r="L2888">
        <v>7</v>
      </c>
      <c r="M2888" s="11">
        <v>19106.330000000002</v>
      </c>
      <c r="N2888" s="12">
        <v>9927.5400000000009</v>
      </c>
      <c r="O2888" s="12">
        <v>15893.25</v>
      </c>
    </row>
    <row r="2889" spans="1:15">
      <c r="A2889" t="s">
        <v>3063</v>
      </c>
      <c r="B2889" t="s">
        <v>84</v>
      </c>
      <c r="C2889" s="9">
        <v>18994</v>
      </c>
      <c r="D2889">
        <v>74</v>
      </c>
      <c r="E2889" t="s">
        <v>21</v>
      </c>
      <c r="F2889" t="s">
        <v>18</v>
      </c>
      <c r="G2889" s="9">
        <v>45591</v>
      </c>
      <c r="H2889" s="9">
        <v>45624</v>
      </c>
      <c r="I2889">
        <v>1</v>
      </c>
      <c r="J2889" t="s">
        <v>35</v>
      </c>
      <c r="K2889">
        <v>5</v>
      </c>
      <c r="L2889">
        <v>2</v>
      </c>
      <c r="M2889" s="11">
        <v>7332.7</v>
      </c>
      <c r="N2889" s="12">
        <v>13484.11</v>
      </c>
      <c r="O2889" s="12">
        <v>699.25</v>
      </c>
    </row>
    <row r="2890" spans="1:15">
      <c r="A2890" t="s">
        <v>3064</v>
      </c>
      <c r="B2890" t="s">
        <v>78</v>
      </c>
      <c r="C2890" s="9">
        <v>25568</v>
      </c>
      <c r="D2890">
        <v>56</v>
      </c>
      <c r="E2890" t="s">
        <v>5185</v>
      </c>
      <c r="F2890" t="s">
        <v>49</v>
      </c>
      <c r="G2890" s="9">
        <v>45292</v>
      </c>
      <c r="H2890" s="9">
        <v>45405</v>
      </c>
      <c r="I2890">
        <v>25</v>
      </c>
      <c r="J2890" t="s">
        <v>26</v>
      </c>
      <c r="K2890">
        <v>1</v>
      </c>
      <c r="L2890">
        <v>8</v>
      </c>
      <c r="M2890" s="11">
        <v>6830.66</v>
      </c>
      <c r="N2890" s="12">
        <v>4093.3</v>
      </c>
      <c r="O2890" s="12">
        <v>9455.41</v>
      </c>
    </row>
    <row r="2891" spans="1:15">
      <c r="A2891" t="s">
        <v>3065</v>
      </c>
      <c r="B2891" t="s">
        <v>252</v>
      </c>
      <c r="C2891" s="9">
        <v>29951</v>
      </c>
      <c r="D2891">
        <v>44</v>
      </c>
      <c r="E2891" t="s">
        <v>17</v>
      </c>
      <c r="F2891" t="s">
        <v>18</v>
      </c>
      <c r="G2891" s="9">
        <v>45184</v>
      </c>
      <c r="H2891" s="9">
        <v>45676</v>
      </c>
      <c r="I2891">
        <v>29</v>
      </c>
      <c r="J2891" t="s">
        <v>26</v>
      </c>
      <c r="K2891">
        <v>7</v>
      </c>
      <c r="L2891">
        <v>7</v>
      </c>
      <c r="M2891" s="11">
        <v>0</v>
      </c>
      <c r="N2891" s="12">
        <v>3309.45</v>
      </c>
      <c r="O2891" s="12">
        <v>8354.35</v>
      </c>
    </row>
    <row r="2892" spans="1:15">
      <c r="A2892" t="s">
        <v>3066</v>
      </c>
      <c r="B2892" t="s">
        <v>309</v>
      </c>
      <c r="C2892" s="9">
        <v>34334</v>
      </c>
      <c r="D2892">
        <v>32</v>
      </c>
      <c r="E2892" t="s">
        <v>21</v>
      </c>
      <c r="F2892" t="s">
        <v>49</v>
      </c>
      <c r="G2892" s="9">
        <v>45314</v>
      </c>
      <c r="H2892" s="9">
        <v>45732</v>
      </c>
      <c r="I2892">
        <v>30</v>
      </c>
      <c r="J2892" t="s">
        <v>26</v>
      </c>
      <c r="K2892">
        <v>4</v>
      </c>
      <c r="L2892">
        <v>5</v>
      </c>
      <c r="M2892" s="11">
        <v>14751.2</v>
      </c>
      <c r="N2892" s="12">
        <v>1027.81</v>
      </c>
      <c r="O2892" s="12">
        <v>3964.88</v>
      </c>
    </row>
    <row r="2893" spans="1:15">
      <c r="A2893" t="s">
        <v>3067</v>
      </c>
      <c r="B2893" t="s">
        <v>137</v>
      </c>
      <c r="C2893" s="9">
        <v>40178</v>
      </c>
      <c r="D2893">
        <v>16</v>
      </c>
      <c r="E2893" t="s">
        <v>21</v>
      </c>
      <c r="F2893" t="s">
        <v>49</v>
      </c>
      <c r="G2893" s="9">
        <v>44971</v>
      </c>
      <c r="H2893" s="9">
        <v>45643</v>
      </c>
      <c r="I2893">
        <v>6</v>
      </c>
      <c r="J2893" t="s">
        <v>32</v>
      </c>
      <c r="K2893">
        <v>14</v>
      </c>
      <c r="L2893">
        <v>9</v>
      </c>
      <c r="M2893" s="11">
        <v>29281.56</v>
      </c>
      <c r="N2893" s="12">
        <v>8880.19</v>
      </c>
      <c r="O2893" s="12">
        <v>11695.76</v>
      </c>
    </row>
    <row r="2894" spans="1:15">
      <c r="A2894" t="s">
        <v>3068</v>
      </c>
      <c r="B2894" t="s">
        <v>80</v>
      </c>
      <c r="C2894" s="9">
        <v>20820</v>
      </c>
      <c r="D2894">
        <v>69</v>
      </c>
      <c r="E2894" t="s">
        <v>21</v>
      </c>
      <c r="F2894" t="s">
        <v>25</v>
      </c>
      <c r="G2894" s="9">
        <v>45195</v>
      </c>
      <c r="H2894" s="9">
        <v>45138</v>
      </c>
      <c r="I2894">
        <v>26</v>
      </c>
      <c r="J2894" t="s">
        <v>32</v>
      </c>
      <c r="K2894">
        <v>9</v>
      </c>
      <c r="L2894">
        <v>1</v>
      </c>
      <c r="M2894" s="11">
        <v>2830.13</v>
      </c>
      <c r="N2894" s="12">
        <v>7445.33</v>
      </c>
      <c r="O2894" s="12">
        <v>7660.58</v>
      </c>
    </row>
    <row r="2895" spans="1:15">
      <c r="A2895" t="s">
        <v>3069</v>
      </c>
      <c r="B2895" t="s">
        <v>328</v>
      </c>
      <c r="C2895" s="9">
        <v>44927</v>
      </c>
      <c r="D2895">
        <v>3</v>
      </c>
      <c r="E2895" t="s">
        <v>17</v>
      </c>
      <c r="F2895" t="s">
        <v>22</v>
      </c>
      <c r="G2895" s="9">
        <v>45237</v>
      </c>
      <c r="H2895" s="9">
        <v>45153</v>
      </c>
      <c r="I2895">
        <v>12</v>
      </c>
      <c r="J2895" t="s">
        <v>26</v>
      </c>
      <c r="K2895">
        <v>10</v>
      </c>
      <c r="L2895">
        <v>7</v>
      </c>
      <c r="M2895" s="11">
        <v>14765.62</v>
      </c>
      <c r="N2895" s="12">
        <v>12155.94</v>
      </c>
      <c r="O2895" s="12">
        <v>3879.13</v>
      </c>
    </row>
    <row r="2896" spans="1:15">
      <c r="A2896" t="s">
        <v>3070</v>
      </c>
      <c r="B2896" t="s">
        <v>63</v>
      </c>
      <c r="C2896" s="9">
        <v>39083</v>
      </c>
      <c r="D2896">
        <v>19</v>
      </c>
      <c r="E2896" t="s">
        <v>21</v>
      </c>
      <c r="F2896" t="s">
        <v>5184</v>
      </c>
      <c r="G2896" s="9">
        <v>45598</v>
      </c>
      <c r="H2896" s="9">
        <v>44934</v>
      </c>
      <c r="I2896">
        <v>15</v>
      </c>
      <c r="J2896" t="s">
        <v>32</v>
      </c>
      <c r="K2896">
        <v>9</v>
      </c>
      <c r="L2896">
        <v>5</v>
      </c>
      <c r="M2896" s="11">
        <v>20308.45</v>
      </c>
      <c r="N2896" s="12">
        <v>7219.31</v>
      </c>
      <c r="O2896" s="12">
        <v>16513.91</v>
      </c>
    </row>
    <row r="2897" spans="1:15">
      <c r="A2897" t="s">
        <v>3071</v>
      </c>
      <c r="B2897" t="s">
        <v>306</v>
      </c>
      <c r="C2897" s="9">
        <v>29221</v>
      </c>
      <c r="D2897">
        <v>46</v>
      </c>
      <c r="E2897" t="s">
        <v>17</v>
      </c>
      <c r="F2897" t="s">
        <v>74</v>
      </c>
      <c r="G2897" s="9">
        <v>45204</v>
      </c>
      <c r="H2897" s="9">
        <v>45659</v>
      </c>
      <c r="I2897">
        <v>15</v>
      </c>
      <c r="J2897" t="s">
        <v>32</v>
      </c>
      <c r="K2897">
        <v>8</v>
      </c>
      <c r="L2897">
        <v>0</v>
      </c>
      <c r="M2897" s="11">
        <v>6992.66</v>
      </c>
      <c r="N2897" s="12">
        <v>3048.54</v>
      </c>
      <c r="O2897" s="12">
        <v>13179.98</v>
      </c>
    </row>
    <row r="2898" spans="1:15">
      <c r="A2898" t="s">
        <v>3072</v>
      </c>
      <c r="B2898" t="s">
        <v>73</v>
      </c>
      <c r="C2898" s="9">
        <f>DATE(2026-D2858,1,1)</f>
        <v>26299</v>
      </c>
      <c r="D2898">
        <v>90</v>
      </c>
      <c r="E2898" t="s">
        <v>21</v>
      </c>
      <c r="F2898" t="s">
        <v>49</v>
      </c>
      <c r="G2898" s="9">
        <v>45401</v>
      </c>
      <c r="H2898" s="9">
        <v>45750</v>
      </c>
      <c r="I2898">
        <v>4</v>
      </c>
      <c r="J2898" t="s">
        <v>35</v>
      </c>
      <c r="K2898">
        <v>9</v>
      </c>
      <c r="L2898">
        <v>5</v>
      </c>
      <c r="M2898" s="11">
        <v>29057.919999999998</v>
      </c>
      <c r="N2898" s="12">
        <v>12143.95</v>
      </c>
      <c r="O2898" s="12">
        <v>144.27000000000001</v>
      </c>
    </row>
    <row r="2899" spans="1:15">
      <c r="A2899" t="s">
        <v>3073</v>
      </c>
      <c r="B2899" t="s">
        <v>244</v>
      </c>
      <c r="C2899" s="9">
        <v>40909</v>
      </c>
      <c r="D2899">
        <v>14</v>
      </c>
      <c r="E2899" t="s">
        <v>17</v>
      </c>
      <c r="F2899" t="s">
        <v>18</v>
      </c>
      <c r="G2899" s="9">
        <v>45493</v>
      </c>
      <c r="H2899" s="9">
        <v>45467</v>
      </c>
      <c r="I2899">
        <v>11</v>
      </c>
      <c r="J2899" t="s">
        <v>32</v>
      </c>
      <c r="K2899">
        <v>6</v>
      </c>
      <c r="L2899">
        <v>4</v>
      </c>
      <c r="M2899" s="11">
        <v>10145.16</v>
      </c>
      <c r="N2899" s="12">
        <v>6831.82</v>
      </c>
      <c r="O2899" s="12">
        <v>9987.48</v>
      </c>
    </row>
    <row r="2900" spans="1:15">
      <c r="A2900" t="s">
        <v>3074</v>
      </c>
      <c r="B2900" t="s">
        <v>115</v>
      </c>
      <c r="C2900" s="9">
        <v>20820</v>
      </c>
      <c r="D2900">
        <v>69</v>
      </c>
      <c r="E2900" t="s">
        <v>21</v>
      </c>
      <c r="F2900" t="s">
        <v>49</v>
      </c>
      <c r="G2900" s="9">
        <v>45071</v>
      </c>
      <c r="H2900" s="9">
        <v>45732</v>
      </c>
      <c r="I2900">
        <v>26</v>
      </c>
      <c r="J2900" t="s">
        <v>32</v>
      </c>
      <c r="K2900">
        <v>12</v>
      </c>
      <c r="L2900">
        <v>5</v>
      </c>
      <c r="M2900" s="11">
        <v>27936.85</v>
      </c>
      <c r="N2900" s="12">
        <v>14337.45</v>
      </c>
      <c r="O2900" s="12">
        <v>5353.26</v>
      </c>
    </row>
    <row r="2901" spans="1:15">
      <c r="A2901" t="s">
        <v>3075</v>
      </c>
      <c r="B2901" t="s">
        <v>51</v>
      </c>
      <c r="C2901" s="9">
        <v>29221</v>
      </c>
      <c r="D2901">
        <v>46</v>
      </c>
      <c r="E2901" t="s">
        <v>17</v>
      </c>
      <c r="F2901" t="s">
        <v>49</v>
      </c>
      <c r="G2901" s="9">
        <v>45161</v>
      </c>
      <c r="H2901" s="9">
        <v>45139</v>
      </c>
      <c r="I2901">
        <v>16</v>
      </c>
      <c r="J2901" t="s">
        <v>26</v>
      </c>
      <c r="K2901">
        <v>13</v>
      </c>
      <c r="L2901">
        <v>0</v>
      </c>
      <c r="M2901" s="11">
        <v>17719.34</v>
      </c>
      <c r="N2901" s="12">
        <v>8017.07</v>
      </c>
      <c r="O2901" s="12">
        <v>18293.759999999998</v>
      </c>
    </row>
    <row r="2902" spans="1:15">
      <c r="A2902" t="s">
        <v>3076</v>
      </c>
      <c r="B2902" t="s">
        <v>145</v>
      </c>
      <c r="C2902" s="9">
        <v>17898</v>
      </c>
      <c r="D2902">
        <v>77</v>
      </c>
      <c r="E2902" t="s">
        <v>17</v>
      </c>
      <c r="F2902" t="s">
        <v>49</v>
      </c>
      <c r="G2902" s="9">
        <v>45617</v>
      </c>
      <c r="H2902" s="9">
        <v>45116</v>
      </c>
      <c r="I2902">
        <v>2</v>
      </c>
      <c r="J2902" t="s">
        <v>35</v>
      </c>
      <c r="K2902">
        <v>12</v>
      </c>
      <c r="L2902">
        <v>3</v>
      </c>
      <c r="M2902" s="11">
        <v>375.58</v>
      </c>
      <c r="N2902" s="12">
        <v>1751.08</v>
      </c>
      <c r="O2902" s="12">
        <v>14484.18</v>
      </c>
    </row>
    <row r="2903" spans="1:15">
      <c r="A2903" t="s">
        <v>3077</v>
      </c>
      <c r="B2903" t="s">
        <v>289</v>
      </c>
      <c r="C2903" s="9">
        <v>18994</v>
      </c>
      <c r="D2903">
        <v>74</v>
      </c>
      <c r="E2903" t="s">
        <v>21</v>
      </c>
      <c r="F2903" t="s">
        <v>29</v>
      </c>
      <c r="G2903" s="9">
        <v>45646</v>
      </c>
      <c r="H2903" s="9">
        <v>45002</v>
      </c>
      <c r="I2903">
        <v>38</v>
      </c>
      <c r="J2903" t="s">
        <v>32</v>
      </c>
      <c r="K2903">
        <v>1</v>
      </c>
      <c r="L2903">
        <v>6</v>
      </c>
      <c r="M2903" s="11">
        <v>8988.92</v>
      </c>
      <c r="N2903" s="12">
        <v>12765.37</v>
      </c>
      <c r="O2903" s="12">
        <v>12193.46</v>
      </c>
    </row>
    <row r="2904" spans="1:15">
      <c r="A2904" t="s">
        <v>3078</v>
      </c>
      <c r="B2904" t="s">
        <v>387</v>
      </c>
      <c r="C2904" s="9">
        <v>43100</v>
      </c>
      <c r="D2904">
        <v>8</v>
      </c>
      <c r="E2904" t="s">
        <v>21</v>
      </c>
      <c r="F2904" t="s">
        <v>5184</v>
      </c>
      <c r="G2904" s="9">
        <v>45062</v>
      </c>
      <c r="H2904" s="9">
        <v>45681</v>
      </c>
      <c r="I2904">
        <v>2</v>
      </c>
      <c r="J2904" t="s">
        <v>32</v>
      </c>
      <c r="K2904">
        <v>2</v>
      </c>
      <c r="L2904">
        <v>4</v>
      </c>
      <c r="M2904" s="11">
        <v>157.22999999999999</v>
      </c>
      <c r="N2904" s="12">
        <v>13176.16</v>
      </c>
      <c r="O2904" s="12">
        <v>1689.99</v>
      </c>
    </row>
    <row r="2905" spans="1:15">
      <c r="A2905" t="s">
        <v>3079</v>
      </c>
      <c r="B2905" t="s">
        <v>84</v>
      </c>
      <c r="C2905" s="9">
        <v>13515</v>
      </c>
      <c r="D2905">
        <v>89</v>
      </c>
      <c r="E2905" t="s">
        <v>21</v>
      </c>
      <c r="F2905" t="s">
        <v>5184</v>
      </c>
      <c r="G2905" s="9">
        <v>45371</v>
      </c>
      <c r="H2905" s="9">
        <v>45041</v>
      </c>
      <c r="I2905">
        <v>12</v>
      </c>
      <c r="J2905" t="s">
        <v>35</v>
      </c>
      <c r="K2905">
        <v>13</v>
      </c>
      <c r="L2905">
        <v>5</v>
      </c>
      <c r="M2905" s="11">
        <v>11135.01</v>
      </c>
      <c r="N2905" s="12">
        <v>6681.47</v>
      </c>
      <c r="O2905" s="12">
        <v>18605.98</v>
      </c>
    </row>
    <row r="2906" spans="1:15">
      <c r="A2906" t="s">
        <v>3080</v>
      </c>
      <c r="B2906" t="s">
        <v>137</v>
      </c>
      <c r="C2906" s="9">
        <v>40544</v>
      </c>
      <c r="D2906">
        <v>15</v>
      </c>
      <c r="E2906" t="s">
        <v>17</v>
      </c>
      <c r="F2906" t="s">
        <v>29</v>
      </c>
      <c r="G2906" s="9">
        <v>45279</v>
      </c>
      <c r="H2906" s="9">
        <v>45606</v>
      </c>
      <c r="I2906">
        <v>23</v>
      </c>
      <c r="J2906" t="s">
        <v>32</v>
      </c>
      <c r="K2906">
        <v>13</v>
      </c>
      <c r="L2906">
        <v>1</v>
      </c>
      <c r="M2906" s="11">
        <v>27942.29</v>
      </c>
      <c r="N2906" s="12">
        <v>389.9</v>
      </c>
      <c r="O2906" s="12">
        <v>2798.45</v>
      </c>
    </row>
    <row r="2907" spans="1:15">
      <c r="A2907" t="s">
        <v>3081</v>
      </c>
      <c r="B2907" t="s">
        <v>343</v>
      </c>
      <c r="C2907" s="9">
        <v>21185</v>
      </c>
      <c r="D2907">
        <v>68</v>
      </c>
      <c r="E2907" t="s">
        <v>17</v>
      </c>
      <c r="F2907" t="s">
        <v>29</v>
      </c>
      <c r="G2907" s="9">
        <v>45320</v>
      </c>
      <c r="H2907" s="9">
        <v>45545</v>
      </c>
      <c r="I2907">
        <v>21</v>
      </c>
      <c r="J2907" t="s">
        <v>35</v>
      </c>
      <c r="K2907">
        <v>5</v>
      </c>
      <c r="L2907">
        <v>7</v>
      </c>
      <c r="M2907" s="11">
        <v>23260.02</v>
      </c>
      <c r="N2907" s="12">
        <v>445.85</v>
      </c>
      <c r="O2907" s="12">
        <v>8960.01</v>
      </c>
    </row>
    <row r="2908" spans="1:15">
      <c r="A2908" t="s">
        <v>3082</v>
      </c>
      <c r="B2908" t="s">
        <v>681</v>
      </c>
      <c r="C2908" s="9">
        <v>24107</v>
      </c>
      <c r="D2908">
        <v>60</v>
      </c>
      <c r="E2908" t="s">
        <v>21</v>
      </c>
      <c r="F2908" t="s">
        <v>29</v>
      </c>
      <c r="G2908" s="9">
        <v>45201</v>
      </c>
      <c r="H2908" s="9">
        <v>45078</v>
      </c>
      <c r="I2908">
        <v>16</v>
      </c>
      <c r="J2908" t="s">
        <v>26</v>
      </c>
      <c r="K2908">
        <v>10</v>
      </c>
      <c r="L2908">
        <v>9</v>
      </c>
      <c r="M2908" s="11">
        <v>18414.03</v>
      </c>
      <c r="N2908" s="12">
        <v>5267.24</v>
      </c>
      <c r="O2908" s="12">
        <v>13588.94</v>
      </c>
    </row>
    <row r="2909" spans="1:15">
      <c r="A2909" t="s">
        <v>3083</v>
      </c>
      <c r="B2909" t="s">
        <v>153</v>
      </c>
      <c r="C2909" s="9">
        <v>42735</v>
      </c>
      <c r="D2909">
        <v>9</v>
      </c>
      <c r="E2909" t="s">
        <v>21</v>
      </c>
      <c r="F2909" t="s">
        <v>5184</v>
      </c>
      <c r="G2909" s="9">
        <v>45310</v>
      </c>
      <c r="H2909" s="9">
        <v>45363</v>
      </c>
      <c r="I2909">
        <v>17</v>
      </c>
      <c r="J2909" t="s">
        <v>32</v>
      </c>
      <c r="K2909">
        <v>7</v>
      </c>
      <c r="L2909">
        <v>3</v>
      </c>
      <c r="M2909" s="11">
        <v>15925.84</v>
      </c>
      <c r="N2909" s="12">
        <v>10743.48</v>
      </c>
      <c r="O2909" s="12">
        <v>9844.86</v>
      </c>
    </row>
    <row r="2910" spans="1:15">
      <c r="A2910" t="s">
        <v>3084</v>
      </c>
      <c r="B2910" t="s">
        <v>596</v>
      </c>
      <c r="C2910" s="9">
        <v>28125</v>
      </c>
      <c r="D2910">
        <v>49</v>
      </c>
      <c r="E2910" t="s">
        <v>21</v>
      </c>
      <c r="F2910" t="s">
        <v>25</v>
      </c>
      <c r="G2910" s="9">
        <v>45249</v>
      </c>
      <c r="H2910" s="9">
        <v>45805</v>
      </c>
      <c r="I2910">
        <v>6</v>
      </c>
      <c r="J2910" t="s">
        <v>32</v>
      </c>
      <c r="K2910">
        <v>10</v>
      </c>
      <c r="L2910">
        <v>5</v>
      </c>
      <c r="M2910" s="11">
        <v>10863.75</v>
      </c>
      <c r="N2910" s="12">
        <v>4965.78</v>
      </c>
      <c r="O2910" s="12">
        <v>17637.650000000001</v>
      </c>
    </row>
    <row r="2911" spans="1:15">
      <c r="A2911" t="s">
        <v>3085</v>
      </c>
      <c r="B2911" t="s">
        <v>302</v>
      </c>
      <c r="C2911" s="9">
        <v>45292</v>
      </c>
      <c r="D2911">
        <f ca="1">DATEDIF(C2862,TODAY(),"Y")</f>
        <v>29</v>
      </c>
      <c r="E2911" t="s">
        <v>17</v>
      </c>
      <c r="F2911" t="s">
        <v>49</v>
      </c>
      <c r="G2911" s="9">
        <v>45109</v>
      </c>
      <c r="H2911" s="9">
        <v>45011</v>
      </c>
      <c r="I2911">
        <v>25</v>
      </c>
      <c r="J2911" t="s">
        <v>35</v>
      </c>
      <c r="K2911">
        <v>1</v>
      </c>
      <c r="L2911">
        <v>2</v>
      </c>
      <c r="M2911" s="11">
        <v>5951.96</v>
      </c>
      <c r="N2911" s="12">
        <v>115.95</v>
      </c>
      <c r="O2911" s="12">
        <v>16690.36</v>
      </c>
    </row>
    <row r="2912" spans="1:15">
      <c r="A2912" t="s">
        <v>3086</v>
      </c>
      <c r="B2912" t="s">
        <v>168</v>
      </c>
      <c r="C2912" s="9">
        <v>18263</v>
      </c>
      <c r="D2912">
        <v>76</v>
      </c>
      <c r="E2912" t="s">
        <v>17</v>
      </c>
      <c r="F2912" t="s">
        <v>25</v>
      </c>
      <c r="G2912" s="9">
        <v>45499</v>
      </c>
      <c r="H2912" s="9">
        <v>45139</v>
      </c>
      <c r="I2912">
        <v>13</v>
      </c>
      <c r="J2912" t="s">
        <v>32</v>
      </c>
      <c r="K2912">
        <v>10</v>
      </c>
      <c r="L2912">
        <v>8</v>
      </c>
      <c r="M2912" s="11">
        <v>1407.01</v>
      </c>
      <c r="N2912" s="12">
        <v>12728.57</v>
      </c>
      <c r="O2912" s="12">
        <v>2620.89</v>
      </c>
    </row>
    <row r="2913" spans="1:15">
      <c r="A2913" t="s">
        <v>3087</v>
      </c>
      <c r="B2913" t="s">
        <v>84</v>
      </c>
      <c r="C2913" s="9">
        <v>12054</v>
      </c>
      <c r="D2913">
        <v>93</v>
      </c>
      <c r="E2913" t="s">
        <v>17</v>
      </c>
      <c r="F2913" t="s">
        <v>18</v>
      </c>
      <c r="G2913" s="9">
        <v>45366</v>
      </c>
      <c r="H2913" s="9">
        <v>45706</v>
      </c>
      <c r="I2913">
        <v>8</v>
      </c>
      <c r="J2913" t="s">
        <v>32</v>
      </c>
      <c r="K2913">
        <v>9</v>
      </c>
      <c r="L2913">
        <v>7</v>
      </c>
      <c r="M2913" s="11">
        <v>5299.47</v>
      </c>
      <c r="N2913" s="12">
        <v>14530.99</v>
      </c>
      <c r="O2913" s="12">
        <v>12314.49</v>
      </c>
    </row>
    <row r="2914" spans="1:15">
      <c r="A2914" t="s">
        <v>3088</v>
      </c>
      <c r="B2914" t="s">
        <v>215</v>
      </c>
      <c r="C2914" s="9">
        <v>20820</v>
      </c>
      <c r="D2914">
        <v>69</v>
      </c>
      <c r="E2914" t="s">
        <v>21</v>
      </c>
      <c r="F2914" t="s">
        <v>5184</v>
      </c>
      <c r="G2914" s="9">
        <v>44989</v>
      </c>
      <c r="H2914" s="9">
        <v>45761</v>
      </c>
      <c r="I2914">
        <v>31</v>
      </c>
      <c r="J2914" t="s">
        <v>26</v>
      </c>
      <c r="K2914">
        <v>10</v>
      </c>
      <c r="L2914">
        <v>5</v>
      </c>
      <c r="M2914" s="11">
        <v>10221.36</v>
      </c>
      <c r="N2914" s="12">
        <v>5195.54</v>
      </c>
      <c r="O2914" s="12">
        <v>949.28</v>
      </c>
    </row>
    <row r="2915" spans="1:15">
      <c r="A2915" t="s">
        <v>3089</v>
      </c>
      <c r="B2915" t="s">
        <v>166</v>
      </c>
      <c r="C2915" s="9">
        <v>16802</v>
      </c>
      <c r="D2915">
        <v>80</v>
      </c>
      <c r="E2915" t="s">
        <v>21</v>
      </c>
      <c r="F2915" t="s">
        <v>22</v>
      </c>
      <c r="G2915" s="9">
        <v>45653</v>
      </c>
      <c r="H2915" s="9">
        <v>45708</v>
      </c>
      <c r="I2915">
        <v>22</v>
      </c>
      <c r="J2915" t="s">
        <v>32</v>
      </c>
      <c r="K2915">
        <v>4</v>
      </c>
      <c r="L2915">
        <v>8</v>
      </c>
      <c r="M2915" s="11">
        <v>15359.73</v>
      </c>
      <c r="N2915" s="12">
        <v>1096.1199999999999</v>
      </c>
      <c r="O2915" s="12">
        <v>14383.61</v>
      </c>
    </row>
    <row r="2916" spans="1:15">
      <c r="A2916" t="s">
        <v>3090</v>
      </c>
      <c r="B2916" t="s">
        <v>487</v>
      </c>
      <c r="C2916" s="9">
        <v>27760</v>
      </c>
      <c r="D2916">
        <f ca="1">DATEDIF(C2867,TODAY(),"Y")</f>
        <v>59</v>
      </c>
      <c r="E2916" t="s">
        <v>5185</v>
      </c>
      <c r="F2916" t="s">
        <v>5184</v>
      </c>
      <c r="G2916" s="9">
        <v>45577</v>
      </c>
      <c r="H2916" s="9">
        <v>45388</v>
      </c>
      <c r="I2916">
        <v>37</v>
      </c>
      <c r="J2916" t="s">
        <v>32</v>
      </c>
      <c r="K2916">
        <v>6</v>
      </c>
      <c r="L2916">
        <v>9</v>
      </c>
      <c r="M2916" s="11">
        <v>5734.32</v>
      </c>
      <c r="N2916" s="12">
        <v>4371.18</v>
      </c>
      <c r="O2916" s="12">
        <v>14694.02</v>
      </c>
    </row>
    <row r="2917" spans="1:15">
      <c r="A2917" t="s">
        <v>3091</v>
      </c>
      <c r="B2917" t="s">
        <v>59</v>
      </c>
      <c r="C2917" s="9">
        <v>39448</v>
      </c>
      <c r="D2917">
        <v>18</v>
      </c>
      <c r="E2917" t="s">
        <v>21</v>
      </c>
      <c r="F2917" t="s">
        <v>74</v>
      </c>
      <c r="G2917" s="9">
        <v>45572</v>
      </c>
      <c r="H2917" s="9">
        <v>45104</v>
      </c>
      <c r="I2917">
        <v>18</v>
      </c>
      <c r="J2917" t="s">
        <v>32</v>
      </c>
      <c r="K2917">
        <v>9</v>
      </c>
      <c r="L2917">
        <v>8</v>
      </c>
      <c r="M2917" s="11">
        <v>29217.02</v>
      </c>
      <c r="N2917" s="12">
        <v>11985.09</v>
      </c>
      <c r="O2917" s="12">
        <v>6824.27</v>
      </c>
    </row>
    <row r="2918" spans="1:15">
      <c r="A2918" t="s">
        <v>3092</v>
      </c>
      <c r="B2918" t="s">
        <v>53</v>
      </c>
      <c r="C2918" s="9">
        <v>31047</v>
      </c>
      <c r="D2918">
        <v>41</v>
      </c>
      <c r="E2918" t="s">
        <v>17</v>
      </c>
      <c r="F2918" t="s">
        <v>25</v>
      </c>
      <c r="G2918" s="9">
        <v>44960</v>
      </c>
      <c r="H2918" s="9">
        <v>45710</v>
      </c>
      <c r="I2918">
        <v>2</v>
      </c>
      <c r="J2918" t="s">
        <v>35</v>
      </c>
      <c r="K2918">
        <v>1</v>
      </c>
      <c r="L2918">
        <v>1</v>
      </c>
      <c r="M2918" s="11">
        <v>1843.93</v>
      </c>
      <c r="N2918" s="12">
        <v>8133.88</v>
      </c>
      <c r="O2918" s="12">
        <v>15710.54</v>
      </c>
    </row>
    <row r="2919" spans="1:15">
      <c r="A2919" t="s">
        <v>3093</v>
      </c>
      <c r="B2919" t="s">
        <v>1148</v>
      </c>
      <c r="C2919" s="9">
        <f>DATE(2026-D2879,1,1)</f>
        <v>39448</v>
      </c>
      <c r="D2919">
        <v>34</v>
      </c>
      <c r="E2919" t="s">
        <v>21</v>
      </c>
      <c r="F2919" t="s">
        <v>29</v>
      </c>
      <c r="G2919" s="9">
        <v>45631</v>
      </c>
      <c r="H2919" s="9">
        <v>45239</v>
      </c>
      <c r="I2919">
        <v>8</v>
      </c>
      <c r="J2919" t="s">
        <v>26</v>
      </c>
      <c r="K2919">
        <v>14</v>
      </c>
      <c r="L2919">
        <v>8</v>
      </c>
      <c r="M2919" s="11">
        <v>2391.15</v>
      </c>
      <c r="N2919" s="12">
        <v>5759.78</v>
      </c>
      <c r="O2919" s="12">
        <v>13019.32</v>
      </c>
    </row>
    <row r="2920" spans="1:15">
      <c r="A2920" t="s">
        <v>3094</v>
      </c>
      <c r="B2920" t="s">
        <v>261</v>
      </c>
      <c r="C2920" s="9">
        <v>29586</v>
      </c>
      <c r="D2920">
        <v>45</v>
      </c>
      <c r="E2920" t="s">
        <v>21</v>
      </c>
      <c r="F2920" t="s">
        <v>29</v>
      </c>
      <c r="G2920" s="9">
        <v>45403</v>
      </c>
      <c r="H2920" s="9">
        <v>45621</v>
      </c>
      <c r="I2920">
        <v>6</v>
      </c>
      <c r="J2920" t="s">
        <v>26</v>
      </c>
      <c r="K2920">
        <v>14</v>
      </c>
      <c r="L2920">
        <v>7</v>
      </c>
      <c r="M2920" s="11">
        <v>20319.37</v>
      </c>
      <c r="N2920" s="12">
        <v>5013.3999999999996</v>
      </c>
      <c r="O2920" s="12">
        <v>10031.42</v>
      </c>
    </row>
    <row r="2921" spans="1:15">
      <c r="A2921" t="s">
        <v>3095</v>
      </c>
      <c r="B2921" t="s">
        <v>226</v>
      </c>
      <c r="C2921" s="9">
        <v>36891</v>
      </c>
      <c r="D2921">
        <v>25</v>
      </c>
      <c r="E2921" t="s">
        <v>17</v>
      </c>
      <c r="F2921" t="s">
        <v>18</v>
      </c>
      <c r="G2921" s="9">
        <v>45013</v>
      </c>
      <c r="H2921" s="9">
        <v>45086</v>
      </c>
      <c r="I2921">
        <v>8</v>
      </c>
      <c r="J2921" t="s">
        <v>32</v>
      </c>
      <c r="K2921">
        <v>4</v>
      </c>
      <c r="L2921">
        <v>1</v>
      </c>
      <c r="M2921" s="11">
        <v>22529.38</v>
      </c>
      <c r="N2921" s="12">
        <v>1730.92</v>
      </c>
      <c r="O2921" s="12">
        <v>9050.98</v>
      </c>
    </row>
    <row r="2922" spans="1:15">
      <c r="A2922" t="s">
        <v>3096</v>
      </c>
      <c r="B2922" t="s">
        <v>145</v>
      </c>
      <c r="C2922" s="9">
        <v>21185</v>
      </c>
      <c r="D2922">
        <v>68</v>
      </c>
      <c r="E2922" t="s">
        <v>5185</v>
      </c>
      <c r="F2922" t="s">
        <v>49</v>
      </c>
      <c r="G2922" s="9">
        <v>45136</v>
      </c>
      <c r="H2922" s="9">
        <v>45628</v>
      </c>
      <c r="I2922">
        <v>34</v>
      </c>
      <c r="J2922" t="s">
        <v>32</v>
      </c>
      <c r="K2922">
        <v>7</v>
      </c>
      <c r="L2922">
        <v>8</v>
      </c>
      <c r="M2922" s="11">
        <v>29159.77</v>
      </c>
      <c r="N2922" s="12">
        <v>5092.71</v>
      </c>
      <c r="O2922" s="12">
        <v>2093.7199999999998</v>
      </c>
    </row>
    <row r="2923" spans="1:15">
      <c r="A2923" t="s">
        <v>3097</v>
      </c>
      <c r="B2923" t="s">
        <v>244</v>
      </c>
      <c r="C2923" s="9">
        <v>12419</v>
      </c>
      <c r="D2923">
        <v>92</v>
      </c>
      <c r="E2923" t="s">
        <v>5185</v>
      </c>
      <c r="F2923" t="s">
        <v>74</v>
      </c>
      <c r="G2923" s="9">
        <v>45388</v>
      </c>
      <c r="H2923" s="9">
        <v>45113</v>
      </c>
      <c r="I2923">
        <v>38</v>
      </c>
      <c r="J2923" t="s">
        <v>35</v>
      </c>
      <c r="K2923">
        <v>7</v>
      </c>
      <c r="L2923">
        <v>4</v>
      </c>
      <c r="M2923" s="11">
        <v>15678.55</v>
      </c>
      <c r="N2923" s="12">
        <v>7051.63</v>
      </c>
      <c r="O2923" s="12">
        <v>10575.19</v>
      </c>
    </row>
    <row r="2924" spans="1:15">
      <c r="A2924" t="s">
        <v>3098</v>
      </c>
      <c r="B2924" t="s">
        <v>157</v>
      </c>
      <c r="C2924" s="9">
        <v>23012</v>
      </c>
      <c r="D2924">
        <v>63</v>
      </c>
      <c r="E2924" t="s">
        <v>21</v>
      </c>
      <c r="F2924" t="s">
        <v>25</v>
      </c>
      <c r="G2924" s="9">
        <v>45007</v>
      </c>
      <c r="H2924" s="9">
        <v>45398</v>
      </c>
      <c r="I2924">
        <v>2</v>
      </c>
      <c r="J2924" t="s">
        <v>26</v>
      </c>
      <c r="K2924">
        <v>4</v>
      </c>
      <c r="L2924">
        <v>8</v>
      </c>
      <c r="M2924" s="11">
        <v>4560.9799999999996</v>
      </c>
      <c r="N2924" s="12">
        <v>10097.120000000001</v>
      </c>
      <c r="O2924" s="12">
        <v>3037.61</v>
      </c>
    </row>
    <row r="2925" spans="1:15">
      <c r="A2925" t="s">
        <v>3099</v>
      </c>
      <c r="B2925" t="s">
        <v>34</v>
      </c>
      <c r="C2925" s="9">
        <v>32873</v>
      </c>
      <c r="D2925">
        <v>36</v>
      </c>
      <c r="E2925" t="s">
        <v>21</v>
      </c>
      <c r="F2925" t="s">
        <v>49</v>
      </c>
      <c r="G2925" s="9">
        <v>45248</v>
      </c>
      <c r="H2925" s="9">
        <v>45236</v>
      </c>
      <c r="I2925">
        <v>23</v>
      </c>
      <c r="J2925" t="s">
        <v>32</v>
      </c>
      <c r="K2925">
        <v>3</v>
      </c>
      <c r="L2925">
        <v>2</v>
      </c>
      <c r="M2925" s="11">
        <v>28106.83</v>
      </c>
      <c r="N2925" s="12">
        <v>3931.18</v>
      </c>
      <c r="O2925" s="12">
        <v>13086.21</v>
      </c>
    </row>
    <row r="2926" spans="1:15">
      <c r="A2926" t="s">
        <v>3100</v>
      </c>
      <c r="B2926" t="s">
        <v>198</v>
      </c>
      <c r="C2926" s="9">
        <v>15707</v>
      </c>
      <c r="D2926">
        <f ca="1">DATEDIF(C2877,TODAY(),"Y")</f>
        <v>30</v>
      </c>
      <c r="E2926" t="s">
        <v>17</v>
      </c>
      <c r="F2926" t="s">
        <v>49</v>
      </c>
      <c r="G2926" s="9">
        <v>45341</v>
      </c>
      <c r="H2926" s="9">
        <v>45173</v>
      </c>
      <c r="I2926">
        <v>7</v>
      </c>
      <c r="J2926" t="s">
        <v>32</v>
      </c>
      <c r="K2926">
        <v>1</v>
      </c>
      <c r="L2926">
        <v>3</v>
      </c>
      <c r="M2926" s="11">
        <v>29397.15</v>
      </c>
      <c r="N2926" s="12">
        <v>13460.68</v>
      </c>
      <c r="O2926" s="12">
        <v>11853.75</v>
      </c>
    </row>
    <row r="2927" spans="1:15">
      <c r="A2927" t="s">
        <v>3101</v>
      </c>
      <c r="B2927" t="s">
        <v>242</v>
      </c>
      <c r="C2927" s="9">
        <v>28490</v>
      </c>
      <c r="D2927">
        <v>48</v>
      </c>
      <c r="E2927" t="s">
        <v>17</v>
      </c>
      <c r="F2927" t="s">
        <v>22</v>
      </c>
      <c r="G2927" s="9">
        <v>45116</v>
      </c>
      <c r="H2927" s="9">
        <v>45756</v>
      </c>
      <c r="I2927">
        <v>37</v>
      </c>
      <c r="J2927" t="s">
        <v>32</v>
      </c>
      <c r="K2927">
        <v>1</v>
      </c>
      <c r="L2927">
        <v>0</v>
      </c>
      <c r="M2927" s="11">
        <v>27667.17</v>
      </c>
      <c r="N2927" s="12">
        <v>7272</v>
      </c>
      <c r="O2927" s="12">
        <v>5739.67</v>
      </c>
    </row>
    <row r="2928" spans="1:15">
      <c r="A2928" t="s">
        <v>3102</v>
      </c>
      <c r="B2928" t="s">
        <v>46</v>
      </c>
      <c r="C2928" s="9">
        <v>38717</v>
      </c>
      <c r="D2928">
        <v>20</v>
      </c>
      <c r="E2928" t="s">
        <v>17</v>
      </c>
      <c r="F2928" t="s">
        <v>22</v>
      </c>
      <c r="G2928" s="9">
        <v>45159</v>
      </c>
      <c r="H2928" s="9">
        <v>45311</v>
      </c>
      <c r="I2928">
        <v>16</v>
      </c>
      <c r="J2928" t="s">
        <v>32</v>
      </c>
      <c r="K2928">
        <v>13</v>
      </c>
      <c r="L2928">
        <v>4</v>
      </c>
      <c r="M2928" s="11">
        <v>26085.51</v>
      </c>
      <c r="N2928" s="12">
        <v>6077.42</v>
      </c>
      <c r="O2928" s="12">
        <v>4864.68</v>
      </c>
    </row>
    <row r="2929" spans="1:15">
      <c r="A2929" t="s">
        <v>3103</v>
      </c>
      <c r="B2929" t="s">
        <v>172</v>
      </c>
      <c r="C2929" s="9">
        <v>19359</v>
      </c>
      <c r="D2929">
        <v>73</v>
      </c>
      <c r="E2929" t="s">
        <v>21</v>
      </c>
      <c r="F2929" t="s">
        <v>25</v>
      </c>
      <c r="G2929" s="9">
        <v>45318</v>
      </c>
      <c r="H2929" s="9">
        <v>44969</v>
      </c>
      <c r="I2929">
        <v>13</v>
      </c>
      <c r="J2929" t="s">
        <v>26</v>
      </c>
      <c r="K2929">
        <v>1</v>
      </c>
      <c r="L2929">
        <v>6</v>
      </c>
      <c r="M2929" s="11">
        <v>0</v>
      </c>
      <c r="N2929" s="12">
        <v>8909.31</v>
      </c>
      <c r="O2929" s="12">
        <v>9468.86</v>
      </c>
    </row>
    <row r="2930" spans="1:15">
      <c r="A2930" t="s">
        <v>3104</v>
      </c>
      <c r="B2930" t="s">
        <v>215</v>
      </c>
      <c r="C2930" s="9">
        <v>23012</v>
      </c>
      <c r="D2930">
        <v>63</v>
      </c>
      <c r="E2930" t="s">
        <v>17</v>
      </c>
      <c r="F2930" t="s">
        <v>25</v>
      </c>
      <c r="G2930" s="9">
        <v>45095</v>
      </c>
      <c r="H2930" s="9">
        <v>45212</v>
      </c>
      <c r="I2930">
        <v>34</v>
      </c>
      <c r="J2930" t="s">
        <v>32</v>
      </c>
      <c r="K2930">
        <v>10</v>
      </c>
      <c r="L2930">
        <v>6</v>
      </c>
      <c r="M2930" s="11">
        <v>25573.63</v>
      </c>
      <c r="N2930" s="12">
        <v>2514.36</v>
      </c>
      <c r="O2930" s="12">
        <v>10201.01</v>
      </c>
    </row>
    <row r="2931" spans="1:15">
      <c r="A2931" t="s">
        <v>3105</v>
      </c>
      <c r="B2931" t="s">
        <v>469</v>
      </c>
      <c r="C2931" s="9">
        <v>44561</v>
      </c>
      <c r="D2931">
        <v>4</v>
      </c>
      <c r="E2931" t="s">
        <v>17</v>
      </c>
      <c r="F2931" t="s">
        <v>25</v>
      </c>
      <c r="G2931" s="9">
        <v>45369</v>
      </c>
      <c r="H2931" s="9">
        <v>45227</v>
      </c>
      <c r="I2931">
        <v>38</v>
      </c>
      <c r="J2931" t="s">
        <v>32</v>
      </c>
      <c r="K2931">
        <v>2</v>
      </c>
      <c r="L2931">
        <v>5</v>
      </c>
      <c r="M2931" s="11">
        <v>28573.42</v>
      </c>
      <c r="N2931" s="12">
        <v>1598.78</v>
      </c>
      <c r="O2931" s="12">
        <v>15938.3</v>
      </c>
    </row>
    <row r="2932" spans="1:15">
      <c r="A2932" t="s">
        <v>3106</v>
      </c>
      <c r="B2932" t="s">
        <v>137</v>
      </c>
      <c r="C2932" s="9">
        <v>20820</v>
      </c>
      <c r="D2932">
        <v>69</v>
      </c>
      <c r="E2932" t="s">
        <v>17</v>
      </c>
      <c r="F2932" t="s">
        <v>25</v>
      </c>
      <c r="G2932" s="9">
        <v>45094</v>
      </c>
      <c r="H2932" s="9">
        <v>45363</v>
      </c>
      <c r="I2932">
        <v>1</v>
      </c>
      <c r="J2932" t="s">
        <v>32</v>
      </c>
      <c r="K2932">
        <v>3</v>
      </c>
      <c r="L2932">
        <v>5</v>
      </c>
      <c r="M2932" s="11">
        <v>16345.59</v>
      </c>
      <c r="N2932" s="12">
        <v>5198.1099999999997</v>
      </c>
      <c r="O2932" s="12">
        <v>6009.56</v>
      </c>
    </row>
    <row r="2933" spans="1:15">
      <c r="A2933" t="s">
        <v>3107</v>
      </c>
      <c r="B2933" t="s">
        <v>137</v>
      </c>
      <c r="C2933" s="9">
        <v>13515</v>
      </c>
      <c r="D2933">
        <v>89</v>
      </c>
      <c r="E2933" t="s">
        <v>17</v>
      </c>
      <c r="F2933" t="s">
        <v>29</v>
      </c>
      <c r="G2933" s="9">
        <v>45157</v>
      </c>
      <c r="H2933" s="9">
        <v>45296</v>
      </c>
      <c r="I2933">
        <v>11</v>
      </c>
      <c r="J2933" t="s">
        <v>35</v>
      </c>
      <c r="K2933">
        <v>14</v>
      </c>
      <c r="L2933">
        <v>7</v>
      </c>
      <c r="M2933" s="11">
        <v>23063.93</v>
      </c>
      <c r="N2933" s="12">
        <v>599</v>
      </c>
      <c r="O2933" s="12">
        <v>8008.79</v>
      </c>
    </row>
    <row r="2934" spans="1:15">
      <c r="A2934" t="s">
        <v>3108</v>
      </c>
      <c r="B2934" t="s">
        <v>34</v>
      </c>
      <c r="C2934" s="9">
        <v>44927</v>
      </c>
      <c r="D2934">
        <v>3</v>
      </c>
      <c r="E2934" t="s">
        <v>21</v>
      </c>
      <c r="F2934" t="s">
        <v>5184</v>
      </c>
      <c r="G2934" s="9">
        <v>45076</v>
      </c>
      <c r="H2934" s="9">
        <v>45801</v>
      </c>
      <c r="I2934">
        <v>27</v>
      </c>
      <c r="J2934" t="s">
        <v>26</v>
      </c>
      <c r="K2934">
        <v>9</v>
      </c>
      <c r="L2934">
        <v>9</v>
      </c>
      <c r="M2934" s="11">
        <v>19657.32</v>
      </c>
      <c r="N2934" s="12">
        <v>5663.75</v>
      </c>
      <c r="O2934" s="12">
        <v>6800.24</v>
      </c>
    </row>
    <row r="2935" spans="1:15">
      <c r="A2935" t="s">
        <v>3109</v>
      </c>
      <c r="B2935" t="s">
        <v>53</v>
      </c>
      <c r="C2935" s="9">
        <v>32143</v>
      </c>
      <c r="D2935">
        <v>38</v>
      </c>
      <c r="E2935" t="s">
        <v>5185</v>
      </c>
      <c r="F2935" t="s">
        <v>5184</v>
      </c>
      <c r="G2935" s="9">
        <v>45590</v>
      </c>
      <c r="H2935" s="9">
        <v>45413</v>
      </c>
      <c r="I2935">
        <v>4</v>
      </c>
      <c r="J2935" t="s">
        <v>26</v>
      </c>
      <c r="K2935">
        <v>6</v>
      </c>
      <c r="L2935">
        <v>8</v>
      </c>
      <c r="M2935" s="11">
        <v>8285.77</v>
      </c>
      <c r="N2935" s="12">
        <v>10072.280000000001</v>
      </c>
      <c r="O2935" s="12">
        <v>7821.75</v>
      </c>
    </row>
    <row r="2936" spans="1:15">
      <c r="A2936" t="s">
        <v>3110</v>
      </c>
      <c r="B2936" t="s">
        <v>356</v>
      </c>
      <c r="C2936" s="9">
        <v>33604</v>
      </c>
      <c r="D2936">
        <v>34</v>
      </c>
      <c r="E2936" t="s">
        <v>17</v>
      </c>
      <c r="F2936" t="s">
        <v>49</v>
      </c>
      <c r="G2936" s="9">
        <v>45476</v>
      </c>
      <c r="H2936" s="9">
        <v>45363</v>
      </c>
      <c r="I2936">
        <v>9</v>
      </c>
      <c r="J2936" t="s">
        <v>32</v>
      </c>
      <c r="K2936">
        <v>11</v>
      </c>
      <c r="L2936">
        <v>3</v>
      </c>
      <c r="M2936" s="11">
        <v>17419.349999999999</v>
      </c>
      <c r="N2936" s="12">
        <v>12181.83</v>
      </c>
      <c r="O2936" s="12">
        <v>11298.65</v>
      </c>
    </row>
    <row r="2937" spans="1:15">
      <c r="A2937" t="s">
        <v>3111</v>
      </c>
      <c r="B2937" t="s">
        <v>356</v>
      </c>
      <c r="C2937" s="9">
        <v>46022</v>
      </c>
      <c r="D2937">
        <v>0</v>
      </c>
      <c r="E2937" t="s">
        <v>17</v>
      </c>
      <c r="F2937" t="s">
        <v>5184</v>
      </c>
      <c r="G2937" s="9">
        <v>45312</v>
      </c>
      <c r="H2937" s="9">
        <v>45733</v>
      </c>
      <c r="I2937">
        <v>21</v>
      </c>
      <c r="J2937" t="s">
        <v>32</v>
      </c>
      <c r="K2937">
        <v>9</v>
      </c>
      <c r="L2937">
        <v>3</v>
      </c>
      <c r="M2937" s="11">
        <v>26625.89</v>
      </c>
      <c r="N2937" s="12">
        <v>8696.4500000000007</v>
      </c>
      <c r="O2937" s="12">
        <v>11105.17</v>
      </c>
    </row>
    <row r="2938" spans="1:15">
      <c r="A2938" t="s">
        <v>3112</v>
      </c>
      <c r="B2938" t="s">
        <v>578</v>
      </c>
      <c r="C2938" s="9">
        <v>37622</v>
      </c>
      <c r="D2938">
        <v>23</v>
      </c>
      <c r="E2938" t="s">
        <v>17</v>
      </c>
      <c r="F2938" t="s">
        <v>49</v>
      </c>
      <c r="G2938" s="9">
        <v>45307</v>
      </c>
      <c r="H2938" s="9">
        <v>45355</v>
      </c>
      <c r="I2938">
        <v>36</v>
      </c>
      <c r="J2938" t="s">
        <v>32</v>
      </c>
      <c r="K2938">
        <v>7</v>
      </c>
      <c r="L2938">
        <v>7</v>
      </c>
      <c r="M2938" s="11">
        <v>14639.75</v>
      </c>
      <c r="N2938" s="12">
        <v>10369.94</v>
      </c>
      <c r="O2938" s="12">
        <v>7162.98</v>
      </c>
    </row>
    <row r="2939" spans="1:15">
      <c r="A2939" t="s">
        <v>3113</v>
      </c>
      <c r="B2939" t="s">
        <v>133</v>
      </c>
      <c r="C2939" s="9">
        <v>25568</v>
      </c>
      <c r="D2939">
        <v>56</v>
      </c>
      <c r="E2939" t="s">
        <v>17</v>
      </c>
      <c r="F2939" t="s">
        <v>29</v>
      </c>
      <c r="G2939" s="9">
        <v>45201</v>
      </c>
      <c r="H2939" s="9">
        <v>45108</v>
      </c>
      <c r="I2939">
        <v>19</v>
      </c>
      <c r="J2939" t="s">
        <v>35</v>
      </c>
      <c r="K2939">
        <v>10</v>
      </c>
      <c r="L2939">
        <v>4</v>
      </c>
      <c r="M2939" s="11">
        <v>17499.43</v>
      </c>
      <c r="N2939" s="12">
        <v>12496.95</v>
      </c>
      <c r="O2939" s="12">
        <v>12008.95</v>
      </c>
    </row>
    <row r="2940" spans="1:15">
      <c r="A2940" t="s">
        <v>3114</v>
      </c>
      <c r="B2940" t="s">
        <v>379</v>
      </c>
      <c r="C2940" s="9">
        <f>DATE(2026-D2900,1,1)</f>
        <v>20821</v>
      </c>
      <c r="D2940">
        <v>69</v>
      </c>
      <c r="E2940" t="s">
        <v>17</v>
      </c>
      <c r="F2940" t="s">
        <v>5184</v>
      </c>
      <c r="G2940" s="9">
        <v>45543</v>
      </c>
      <c r="H2940" s="9">
        <v>45810</v>
      </c>
      <c r="I2940">
        <v>27</v>
      </c>
      <c r="J2940" t="s">
        <v>32</v>
      </c>
      <c r="K2940">
        <v>12</v>
      </c>
      <c r="L2940">
        <v>9</v>
      </c>
      <c r="M2940" s="11">
        <v>15709.64</v>
      </c>
      <c r="N2940" s="12">
        <v>11596.95</v>
      </c>
      <c r="O2940" s="12">
        <v>12282.5</v>
      </c>
    </row>
    <row r="2941" spans="1:15">
      <c r="A2941" t="s">
        <v>3115</v>
      </c>
      <c r="B2941" t="s">
        <v>264</v>
      </c>
      <c r="C2941" s="9">
        <v>31412</v>
      </c>
      <c r="D2941">
        <v>40</v>
      </c>
      <c r="E2941" t="s">
        <v>21</v>
      </c>
      <c r="F2941" t="s">
        <v>49</v>
      </c>
      <c r="G2941" s="9">
        <v>44988</v>
      </c>
      <c r="H2941" s="9">
        <v>45825</v>
      </c>
      <c r="I2941">
        <v>36</v>
      </c>
      <c r="J2941" t="s">
        <v>32</v>
      </c>
      <c r="K2941">
        <v>12</v>
      </c>
      <c r="L2941">
        <v>8</v>
      </c>
      <c r="M2941" s="11">
        <v>8113.35</v>
      </c>
      <c r="N2941" s="12">
        <v>4799.7299999999996</v>
      </c>
      <c r="O2941" s="12">
        <v>10490.65</v>
      </c>
    </row>
    <row r="2942" spans="1:15">
      <c r="A2942" t="s">
        <v>3116</v>
      </c>
      <c r="B2942" t="s">
        <v>57</v>
      </c>
      <c r="C2942" s="9">
        <v>26664</v>
      </c>
      <c r="D2942">
        <v>53</v>
      </c>
      <c r="E2942" t="s">
        <v>21</v>
      </c>
      <c r="F2942" t="s">
        <v>25</v>
      </c>
      <c r="G2942" s="9">
        <v>45393</v>
      </c>
      <c r="H2942" s="9">
        <v>45804</v>
      </c>
      <c r="I2942">
        <v>17</v>
      </c>
      <c r="J2942" t="s">
        <v>26</v>
      </c>
      <c r="K2942">
        <v>5</v>
      </c>
      <c r="L2942">
        <v>5</v>
      </c>
      <c r="M2942" s="11">
        <v>19131.72</v>
      </c>
      <c r="N2942" s="12">
        <v>8601.34</v>
      </c>
      <c r="O2942" s="12">
        <v>8992.4699999999993</v>
      </c>
    </row>
    <row r="2943" spans="1:15">
      <c r="A2943" t="s">
        <v>3117</v>
      </c>
      <c r="B2943" t="s">
        <v>600</v>
      </c>
      <c r="C2943" s="9">
        <v>29586</v>
      </c>
      <c r="D2943">
        <v>45</v>
      </c>
      <c r="E2943" t="s">
        <v>21</v>
      </c>
      <c r="F2943" t="s">
        <v>74</v>
      </c>
      <c r="G2943" s="9">
        <v>45454</v>
      </c>
      <c r="H2943" s="9">
        <v>45621</v>
      </c>
      <c r="I2943">
        <v>23</v>
      </c>
      <c r="J2943" t="s">
        <v>35</v>
      </c>
      <c r="K2943">
        <v>11</v>
      </c>
      <c r="L2943">
        <v>8</v>
      </c>
      <c r="M2943" s="11">
        <v>15038.84</v>
      </c>
      <c r="N2943" s="12">
        <v>3972.8</v>
      </c>
      <c r="O2943" s="12">
        <v>1466.53</v>
      </c>
    </row>
    <row r="2944" spans="1:15">
      <c r="A2944" t="s">
        <v>3118</v>
      </c>
      <c r="B2944" t="s">
        <v>275</v>
      </c>
      <c r="C2944" s="9">
        <v>24473</v>
      </c>
      <c r="D2944">
        <v>59</v>
      </c>
      <c r="E2944" t="s">
        <v>21</v>
      </c>
      <c r="F2944" t="s">
        <v>5184</v>
      </c>
      <c r="G2944" s="9">
        <v>45076</v>
      </c>
      <c r="H2944" s="9">
        <v>45267</v>
      </c>
      <c r="I2944">
        <v>2</v>
      </c>
      <c r="J2944" t="s">
        <v>26</v>
      </c>
      <c r="K2944">
        <v>8</v>
      </c>
      <c r="L2944">
        <v>3</v>
      </c>
      <c r="M2944" s="11">
        <v>6592.65</v>
      </c>
      <c r="N2944" s="12">
        <v>8645.01</v>
      </c>
      <c r="O2944" s="12">
        <v>10779.49</v>
      </c>
    </row>
    <row r="2945" spans="1:15">
      <c r="A2945" t="s">
        <v>3119</v>
      </c>
      <c r="B2945" t="s">
        <v>392</v>
      </c>
      <c r="C2945" s="9">
        <v>24473</v>
      </c>
      <c r="D2945">
        <v>59</v>
      </c>
      <c r="E2945" t="s">
        <v>21</v>
      </c>
      <c r="F2945" t="s">
        <v>22</v>
      </c>
      <c r="G2945" s="9">
        <v>45068</v>
      </c>
      <c r="H2945" s="9">
        <v>45418</v>
      </c>
      <c r="I2945">
        <v>37</v>
      </c>
      <c r="J2945" t="s">
        <v>35</v>
      </c>
      <c r="K2945">
        <v>4</v>
      </c>
      <c r="L2945">
        <v>0</v>
      </c>
      <c r="M2945" s="11">
        <v>26809.03</v>
      </c>
      <c r="N2945" s="12">
        <v>6390.02</v>
      </c>
      <c r="O2945" s="12">
        <v>14225.27</v>
      </c>
    </row>
    <row r="2946" spans="1:15">
      <c r="A2946" t="s">
        <v>3120</v>
      </c>
      <c r="B2946" t="s">
        <v>254</v>
      </c>
      <c r="C2946" s="9">
        <f t="shared" ref="C2946:C2947" si="15">DATE(2026-D2906,1,1)</f>
        <v>40544</v>
      </c>
      <c r="D2946">
        <v>56</v>
      </c>
      <c r="E2946" t="s">
        <v>21</v>
      </c>
      <c r="F2946" t="s">
        <v>22</v>
      </c>
      <c r="G2946" s="9">
        <v>45042</v>
      </c>
      <c r="H2946" s="9">
        <v>45422</v>
      </c>
      <c r="I2946">
        <v>39</v>
      </c>
      <c r="J2946" t="s">
        <v>26</v>
      </c>
      <c r="K2946">
        <v>13</v>
      </c>
      <c r="L2946">
        <v>3</v>
      </c>
      <c r="M2946" s="11">
        <v>28476.400000000001</v>
      </c>
      <c r="N2946" s="12">
        <v>5591.99</v>
      </c>
      <c r="O2946" s="12">
        <v>4228.08</v>
      </c>
    </row>
    <row r="2947" spans="1:15">
      <c r="A2947" t="s">
        <v>3121</v>
      </c>
      <c r="B2947" t="s">
        <v>127</v>
      </c>
      <c r="C2947" s="9">
        <f t="shared" si="15"/>
        <v>21186</v>
      </c>
      <c r="D2947">
        <v>30</v>
      </c>
      <c r="E2947" t="s">
        <v>21</v>
      </c>
      <c r="F2947" t="s">
        <v>49</v>
      </c>
      <c r="G2947" s="9">
        <v>44991</v>
      </c>
      <c r="H2947" s="9">
        <v>45657</v>
      </c>
      <c r="I2947">
        <v>3</v>
      </c>
      <c r="J2947" t="s">
        <v>32</v>
      </c>
      <c r="K2947">
        <v>1</v>
      </c>
      <c r="L2947">
        <v>8</v>
      </c>
      <c r="M2947" s="11">
        <v>1188.8699999999999</v>
      </c>
      <c r="N2947" s="12">
        <v>2753.46</v>
      </c>
      <c r="O2947" s="12">
        <v>15534.49</v>
      </c>
    </row>
    <row r="2948" spans="1:15">
      <c r="A2948" t="s">
        <v>3122</v>
      </c>
      <c r="B2948" t="s">
        <v>207</v>
      </c>
      <c r="C2948" s="9">
        <v>15707</v>
      </c>
      <c r="D2948">
        <v>83</v>
      </c>
      <c r="E2948" t="s">
        <v>21</v>
      </c>
      <c r="F2948" t="s">
        <v>74</v>
      </c>
      <c r="G2948" s="9">
        <v>45355</v>
      </c>
      <c r="H2948" s="9">
        <v>45090</v>
      </c>
      <c r="I2948">
        <v>31</v>
      </c>
      <c r="J2948" t="s">
        <v>32</v>
      </c>
      <c r="K2948">
        <v>7</v>
      </c>
      <c r="L2948">
        <v>6</v>
      </c>
      <c r="M2948" s="11">
        <v>18481.64</v>
      </c>
      <c r="N2948" s="12">
        <v>8426.2999999999993</v>
      </c>
      <c r="O2948" s="12">
        <v>11687.25</v>
      </c>
    </row>
    <row r="2949" spans="1:15">
      <c r="A2949" t="s">
        <v>3123</v>
      </c>
      <c r="B2949" t="s">
        <v>681</v>
      </c>
      <c r="C2949" s="9">
        <v>37622</v>
      </c>
      <c r="D2949">
        <f ca="1">DATEDIF(C2900,TODAY(),"Y")</f>
        <v>69</v>
      </c>
      <c r="E2949" t="s">
        <v>21</v>
      </c>
      <c r="F2949" t="s">
        <v>22</v>
      </c>
      <c r="G2949" s="9">
        <v>45236</v>
      </c>
      <c r="H2949" s="9">
        <v>45485</v>
      </c>
      <c r="I2949">
        <v>2</v>
      </c>
      <c r="J2949" t="s">
        <v>26</v>
      </c>
      <c r="K2949">
        <v>8</v>
      </c>
      <c r="L2949">
        <v>5</v>
      </c>
      <c r="M2949" s="11">
        <v>12158.89</v>
      </c>
      <c r="N2949" s="12">
        <v>10939.74</v>
      </c>
      <c r="O2949" s="12">
        <v>4674.17</v>
      </c>
    </row>
    <row r="2950" spans="1:15">
      <c r="A2950" t="s">
        <v>3124</v>
      </c>
      <c r="B2950" t="s">
        <v>226</v>
      </c>
      <c r="C2950" s="9">
        <v>13880</v>
      </c>
      <c r="D2950">
        <v>88</v>
      </c>
      <c r="E2950" t="s">
        <v>21</v>
      </c>
      <c r="F2950" t="s">
        <v>5184</v>
      </c>
      <c r="G2950" s="9">
        <v>45632</v>
      </c>
      <c r="H2950" s="9">
        <v>45383</v>
      </c>
      <c r="I2950">
        <v>7</v>
      </c>
      <c r="J2950" t="s">
        <v>32</v>
      </c>
      <c r="K2950">
        <v>1</v>
      </c>
      <c r="L2950">
        <v>1</v>
      </c>
      <c r="M2950" s="11">
        <v>15541.61</v>
      </c>
      <c r="N2950" s="12">
        <v>8569.2000000000007</v>
      </c>
      <c r="O2950" s="12">
        <v>3175.32</v>
      </c>
    </row>
    <row r="2951" spans="1:15">
      <c r="A2951" t="s">
        <v>3125</v>
      </c>
      <c r="B2951" t="s">
        <v>67</v>
      </c>
      <c r="C2951" s="9">
        <v>33239</v>
      </c>
      <c r="D2951">
        <v>35</v>
      </c>
      <c r="E2951" t="s">
        <v>17</v>
      </c>
      <c r="F2951" t="s">
        <v>74</v>
      </c>
      <c r="G2951" s="9">
        <v>45356</v>
      </c>
      <c r="H2951" s="9">
        <v>45019</v>
      </c>
      <c r="I2951">
        <v>25</v>
      </c>
      <c r="J2951" t="s">
        <v>26</v>
      </c>
      <c r="K2951">
        <v>7</v>
      </c>
      <c r="L2951">
        <v>3</v>
      </c>
      <c r="M2951" s="11">
        <v>10901.81</v>
      </c>
      <c r="N2951" s="12">
        <v>1038.4000000000001</v>
      </c>
      <c r="O2951" s="12">
        <v>4832.57</v>
      </c>
    </row>
    <row r="2952" spans="1:15">
      <c r="A2952" t="s">
        <v>3126</v>
      </c>
      <c r="B2952" t="s">
        <v>117</v>
      </c>
      <c r="C2952" s="9">
        <v>15341</v>
      </c>
      <c r="D2952">
        <v>84</v>
      </c>
      <c r="E2952" t="s">
        <v>17</v>
      </c>
      <c r="F2952" t="s">
        <v>29</v>
      </c>
      <c r="G2952" s="9">
        <v>45087</v>
      </c>
      <c r="H2952" s="9">
        <v>45032</v>
      </c>
      <c r="I2952">
        <v>0</v>
      </c>
      <c r="J2952" t="s">
        <v>32</v>
      </c>
      <c r="K2952">
        <v>1</v>
      </c>
      <c r="L2952">
        <v>0</v>
      </c>
      <c r="M2952" s="11">
        <v>13967.93</v>
      </c>
      <c r="N2952" s="12">
        <v>13864.9</v>
      </c>
      <c r="O2952" s="12">
        <v>15157.63</v>
      </c>
    </row>
    <row r="2953" spans="1:15">
      <c r="A2953" t="s">
        <v>3127</v>
      </c>
      <c r="B2953" t="s">
        <v>110</v>
      </c>
      <c r="C2953" s="9">
        <v>35430</v>
      </c>
      <c r="D2953">
        <v>29</v>
      </c>
      <c r="E2953" t="s">
        <v>21</v>
      </c>
      <c r="F2953" t="s">
        <v>18</v>
      </c>
      <c r="G2953" s="9">
        <v>45232</v>
      </c>
      <c r="H2953" s="9">
        <v>45646</v>
      </c>
      <c r="I2953">
        <v>10</v>
      </c>
      <c r="J2953" t="s">
        <v>35</v>
      </c>
      <c r="K2953">
        <v>7</v>
      </c>
      <c r="L2953">
        <v>2</v>
      </c>
      <c r="M2953" s="11">
        <v>9364.73</v>
      </c>
      <c r="N2953" s="12">
        <v>82.37</v>
      </c>
      <c r="O2953" s="12">
        <v>4935.29</v>
      </c>
    </row>
    <row r="2954" spans="1:15">
      <c r="A2954" t="s">
        <v>3128</v>
      </c>
      <c r="B2954" t="s">
        <v>53</v>
      </c>
      <c r="C2954" s="9">
        <v>37622</v>
      </c>
      <c r="D2954">
        <v>23</v>
      </c>
      <c r="E2954" t="s">
        <v>17</v>
      </c>
      <c r="F2954" t="s">
        <v>49</v>
      </c>
      <c r="G2954" s="9">
        <v>45287</v>
      </c>
      <c r="H2954" s="9">
        <v>45366</v>
      </c>
      <c r="I2954">
        <v>1</v>
      </c>
      <c r="J2954" t="s">
        <v>32</v>
      </c>
      <c r="K2954">
        <v>14</v>
      </c>
      <c r="L2954">
        <v>1</v>
      </c>
      <c r="M2954" s="11">
        <v>3086.9</v>
      </c>
      <c r="N2954" s="12">
        <v>13275.87</v>
      </c>
      <c r="O2954" s="12">
        <v>13632.8</v>
      </c>
    </row>
    <row r="2955" spans="1:15">
      <c r="A2955" t="s">
        <v>3129</v>
      </c>
      <c r="B2955" t="s">
        <v>44</v>
      </c>
      <c r="C2955" s="9">
        <v>35430</v>
      </c>
      <c r="D2955">
        <v>29</v>
      </c>
      <c r="E2955" t="s">
        <v>17</v>
      </c>
      <c r="F2955" t="s">
        <v>29</v>
      </c>
      <c r="G2955" s="9">
        <v>45204</v>
      </c>
      <c r="H2955" s="9">
        <v>45425</v>
      </c>
      <c r="I2955">
        <v>32</v>
      </c>
      <c r="J2955" t="s">
        <v>26</v>
      </c>
      <c r="K2955">
        <v>11</v>
      </c>
      <c r="L2955">
        <v>3</v>
      </c>
      <c r="M2955" s="11">
        <v>8712</v>
      </c>
      <c r="N2955" s="12">
        <v>11491.1</v>
      </c>
      <c r="O2955" s="12">
        <v>10870.91</v>
      </c>
    </row>
    <row r="2956" spans="1:15">
      <c r="A2956" t="s">
        <v>3130</v>
      </c>
      <c r="B2956" t="s">
        <v>137</v>
      </c>
      <c r="C2956" s="9">
        <v>14976</v>
      </c>
      <c r="D2956">
        <v>85</v>
      </c>
      <c r="E2956" t="s">
        <v>21</v>
      </c>
      <c r="F2956" t="s">
        <v>29</v>
      </c>
      <c r="G2956" s="9">
        <v>45222</v>
      </c>
      <c r="H2956" s="9">
        <v>45255</v>
      </c>
      <c r="I2956">
        <v>25</v>
      </c>
      <c r="J2956" t="s">
        <v>32</v>
      </c>
      <c r="K2956">
        <v>8</v>
      </c>
      <c r="L2956">
        <v>3</v>
      </c>
      <c r="M2956" s="11">
        <v>19945.13</v>
      </c>
      <c r="N2956" s="12">
        <v>1448.36</v>
      </c>
      <c r="O2956" s="12">
        <v>10891.6</v>
      </c>
    </row>
    <row r="2957" spans="1:15">
      <c r="A2957" t="s">
        <v>3131</v>
      </c>
      <c r="B2957" t="s">
        <v>284</v>
      </c>
      <c r="C2957" s="9">
        <v>12785</v>
      </c>
      <c r="D2957">
        <v>91</v>
      </c>
      <c r="E2957" t="s">
        <v>17</v>
      </c>
      <c r="F2957" t="s">
        <v>74</v>
      </c>
      <c r="G2957" s="9">
        <v>45477</v>
      </c>
      <c r="H2957" s="9">
        <v>45578</v>
      </c>
      <c r="I2957">
        <v>34</v>
      </c>
      <c r="J2957" t="s">
        <v>35</v>
      </c>
      <c r="K2957">
        <v>1</v>
      </c>
      <c r="L2957">
        <v>8</v>
      </c>
      <c r="M2957" s="11">
        <v>1036.6400000000001</v>
      </c>
      <c r="N2957" s="12">
        <v>3548.47</v>
      </c>
      <c r="O2957" s="12">
        <v>17037.25</v>
      </c>
    </row>
    <row r="2958" spans="1:15">
      <c r="A2958" t="s">
        <v>3132</v>
      </c>
      <c r="B2958" t="s">
        <v>490</v>
      </c>
      <c r="C2958" s="9">
        <v>43831</v>
      </c>
      <c r="D2958">
        <v>6</v>
      </c>
      <c r="E2958" t="s">
        <v>17</v>
      </c>
      <c r="F2958" t="s">
        <v>49</v>
      </c>
      <c r="G2958" s="9">
        <v>45095</v>
      </c>
      <c r="H2958" s="9">
        <v>45468</v>
      </c>
      <c r="I2958">
        <v>20</v>
      </c>
      <c r="J2958" t="s">
        <v>35</v>
      </c>
      <c r="K2958">
        <v>14</v>
      </c>
      <c r="L2958">
        <v>6</v>
      </c>
      <c r="M2958" s="11">
        <v>11173.34</v>
      </c>
      <c r="N2958" s="12">
        <v>5234.51</v>
      </c>
      <c r="O2958" s="12">
        <v>17482.02</v>
      </c>
    </row>
    <row r="2959" spans="1:15">
      <c r="A2959" t="s">
        <v>3133</v>
      </c>
      <c r="B2959" t="s">
        <v>469</v>
      </c>
      <c r="C2959" s="9">
        <v>33604</v>
      </c>
      <c r="D2959">
        <v>34</v>
      </c>
      <c r="E2959" t="s">
        <v>17</v>
      </c>
      <c r="F2959" t="s">
        <v>29</v>
      </c>
      <c r="G2959" s="9">
        <v>45385</v>
      </c>
      <c r="H2959" s="9">
        <v>45436</v>
      </c>
      <c r="I2959">
        <v>20</v>
      </c>
      <c r="J2959" t="s">
        <v>32</v>
      </c>
      <c r="K2959">
        <v>6</v>
      </c>
      <c r="L2959">
        <v>2</v>
      </c>
      <c r="M2959" s="11">
        <v>790.12</v>
      </c>
      <c r="N2959" s="12">
        <v>13654.51</v>
      </c>
      <c r="O2959" s="12">
        <v>10691.87</v>
      </c>
    </row>
    <row r="2960" spans="1:15">
      <c r="A2960" t="s">
        <v>3134</v>
      </c>
      <c r="B2960" t="s">
        <v>292</v>
      </c>
      <c r="C2960" s="9">
        <v>26299</v>
      </c>
      <c r="D2960">
        <v>54</v>
      </c>
      <c r="E2960" t="s">
        <v>21</v>
      </c>
      <c r="F2960" t="s">
        <v>25</v>
      </c>
      <c r="G2960" s="9">
        <v>45506</v>
      </c>
      <c r="H2960" s="9">
        <v>45178</v>
      </c>
      <c r="I2960">
        <v>32</v>
      </c>
      <c r="J2960" t="s">
        <v>26</v>
      </c>
      <c r="K2960">
        <v>4</v>
      </c>
      <c r="L2960">
        <v>6</v>
      </c>
      <c r="M2960" s="11">
        <v>10366.120000000001</v>
      </c>
      <c r="N2960" s="12">
        <v>14698.89</v>
      </c>
      <c r="O2960" s="12">
        <v>1212.3399999999999</v>
      </c>
    </row>
    <row r="2961" spans="1:15">
      <c r="A2961" t="s">
        <v>3135</v>
      </c>
      <c r="B2961" t="s">
        <v>166</v>
      </c>
      <c r="C2961" s="9">
        <v>12785</v>
      </c>
      <c r="D2961">
        <v>91</v>
      </c>
      <c r="E2961" t="s">
        <v>17</v>
      </c>
      <c r="F2961" t="s">
        <v>29</v>
      </c>
      <c r="G2961" s="9">
        <v>44933</v>
      </c>
      <c r="H2961" s="9">
        <v>45118</v>
      </c>
      <c r="I2961">
        <v>38</v>
      </c>
      <c r="J2961" t="s">
        <v>32</v>
      </c>
      <c r="K2961">
        <v>12</v>
      </c>
      <c r="L2961">
        <v>7</v>
      </c>
      <c r="M2961" s="11">
        <v>2172.16</v>
      </c>
      <c r="N2961" s="12">
        <v>1307.52</v>
      </c>
      <c r="O2961" s="12">
        <v>3139.81</v>
      </c>
    </row>
    <row r="2962" spans="1:15">
      <c r="A2962" t="s">
        <v>3136</v>
      </c>
      <c r="B2962" t="s">
        <v>578</v>
      </c>
      <c r="C2962" s="9">
        <v>41274</v>
      </c>
      <c r="D2962">
        <v>13</v>
      </c>
      <c r="E2962" t="s">
        <v>21</v>
      </c>
      <c r="F2962" t="s">
        <v>25</v>
      </c>
      <c r="G2962" s="9">
        <v>45523</v>
      </c>
      <c r="H2962" s="9">
        <v>44974</v>
      </c>
      <c r="I2962">
        <v>36</v>
      </c>
      <c r="J2962" t="s">
        <v>35</v>
      </c>
      <c r="K2962">
        <v>7</v>
      </c>
      <c r="L2962">
        <v>6</v>
      </c>
      <c r="M2962" s="11">
        <v>9859.02</v>
      </c>
      <c r="N2962" s="12">
        <v>5953.98</v>
      </c>
      <c r="O2962" s="12">
        <v>18968.22</v>
      </c>
    </row>
    <row r="2963" spans="1:15">
      <c r="A2963" t="s">
        <v>3137</v>
      </c>
      <c r="B2963" t="s">
        <v>181</v>
      </c>
      <c r="C2963" s="9">
        <v>42735</v>
      </c>
      <c r="D2963">
        <v>9</v>
      </c>
      <c r="E2963" t="s">
        <v>17</v>
      </c>
      <c r="F2963" t="s">
        <v>18</v>
      </c>
      <c r="G2963" s="9">
        <v>45637</v>
      </c>
      <c r="H2963" s="9">
        <v>45806</v>
      </c>
      <c r="I2963">
        <v>29</v>
      </c>
      <c r="J2963" t="s">
        <v>32</v>
      </c>
      <c r="K2963">
        <v>2</v>
      </c>
      <c r="L2963">
        <v>7</v>
      </c>
      <c r="M2963" s="11">
        <v>25061.67</v>
      </c>
      <c r="N2963" s="12">
        <v>2239.23</v>
      </c>
      <c r="O2963" s="12">
        <v>2607.2199999999998</v>
      </c>
    </row>
    <row r="2964" spans="1:15">
      <c r="A2964" t="s">
        <v>3138</v>
      </c>
      <c r="B2964" t="s">
        <v>774</v>
      </c>
      <c r="C2964" s="9">
        <v>17168</v>
      </c>
      <c r="D2964">
        <v>79</v>
      </c>
      <c r="E2964" t="s">
        <v>5185</v>
      </c>
      <c r="F2964" t="s">
        <v>25</v>
      </c>
      <c r="G2964" s="9">
        <v>45058</v>
      </c>
      <c r="H2964" s="9">
        <v>45178</v>
      </c>
      <c r="I2964">
        <v>1</v>
      </c>
      <c r="J2964" t="s">
        <v>32</v>
      </c>
      <c r="K2964">
        <v>10</v>
      </c>
      <c r="L2964">
        <v>8</v>
      </c>
      <c r="M2964" s="11">
        <v>18208.97</v>
      </c>
      <c r="N2964" s="12">
        <v>4176.55</v>
      </c>
      <c r="O2964" s="12">
        <v>16690.57</v>
      </c>
    </row>
    <row r="2965" spans="1:15">
      <c r="A2965" t="s">
        <v>3139</v>
      </c>
      <c r="B2965" t="s">
        <v>87</v>
      </c>
      <c r="C2965" s="9">
        <v>40544</v>
      </c>
      <c r="D2965">
        <v>15</v>
      </c>
      <c r="E2965" t="s">
        <v>17</v>
      </c>
      <c r="F2965" t="s">
        <v>25</v>
      </c>
      <c r="G2965" s="9">
        <v>45514</v>
      </c>
      <c r="H2965" s="9">
        <v>45702</v>
      </c>
      <c r="I2965">
        <v>13</v>
      </c>
      <c r="J2965" t="s">
        <v>26</v>
      </c>
      <c r="K2965">
        <v>3</v>
      </c>
      <c r="L2965">
        <v>0</v>
      </c>
      <c r="M2965" s="11">
        <v>20309.98</v>
      </c>
      <c r="N2965" s="12">
        <v>14716.05</v>
      </c>
      <c r="O2965" s="12">
        <v>10762.18</v>
      </c>
    </row>
    <row r="2966" spans="1:15">
      <c r="A2966" t="s">
        <v>3140</v>
      </c>
      <c r="B2966" t="s">
        <v>671</v>
      </c>
      <c r="C2966" s="9">
        <v>26664</v>
      </c>
      <c r="D2966">
        <f ca="1">DATEDIF(C2917,TODAY(),"Y")</f>
        <v>18</v>
      </c>
      <c r="E2966" t="s">
        <v>17</v>
      </c>
      <c r="F2966" t="s">
        <v>74</v>
      </c>
      <c r="G2966" s="9">
        <v>45273</v>
      </c>
      <c r="H2966" s="9">
        <v>45812</v>
      </c>
      <c r="I2966">
        <v>13</v>
      </c>
      <c r="J2966" t="s">
        <v>32</v>
      </c>
      <c r="K2966">
        <v>4</v>
      </c>
      <c r="L2966">
        <v>9</v>
      </c>
      <c r="M2966" s="11">
        <v>14865.9</v>
      </c>
      <c r="N2966" s="12">
        <v>14766.39</v>
      </c>
      <c r="O2966" s="12">
        <v>2191.65</v>
      </c>
    </row>
    <row r="2967" spans="1:15">
      <c r="A2967" t="s">
        <v>3141</v>
      </c>
      <c r="B2967" t="s">
        <v>174</v>
      </c>
      <c r="C2967" s="9">
        <v>11689</v>
      </c>
      <c r="D2967">
        <v>94</v>
      </c>
      <c r="E2967" t="s">
        <v>21</v>
      </c>
      <c r="F2967" t="s">
        <v>29</v>
      </c>
      <c r="G2967" s="9">
        <v>45647</v>
      </c>
      <c r="H2967" s="9">
        <v>44991</v>
      </c>
      <c r="I2967">
        <v>0</v>
      </c>
      <c r="J2967" t="s">
        <v>32</v>
      </c>
      <c r="K2967">
        <v>10</v>
      </c>
      <c r="L2967">
        <v>5</v>
      </c>
      <c r="M2967" s="11">
        <v>27632.639999999999</v>
      </c>
      <c r="N2967" s="12">
        <v>7082.07</v>
      </c>
      <c r="O2967" s="12">
        <v>18382.02</v>
      </c>
    </row>
    <row r="2968" spans="1:15">
      <c r="A2968" t="s">
        <v>3142</v>
      </c>
      <c r="B2968" t="s">
        <v>125</v>
      </c>
      <c r="C2968" s="9">
        <v>13880</v>
      </c>
      <c r="D2968">
        <v>88</v>
      </c>
      <c r="E2968" t="s">
        <v>5185</v>
      </c>
      <c r="F2968" t="s">
        <v>18</v>
      </c>
      <c r="G2968" s="9">
        <v>45522</v>
      </c>
      <c r="H2968" s="9">
        <v>45777</v>
      </c>
      <c r="I2968">
        <v>25</v>
      </c>
      <c r="J2968" t="s">
        <v>32</v>
      </c>
      <c r="K2968">
        <v>7</v>
      </c>
      <c r="L2968">
        <v>3</v>
      </c>
      <c r="M2968" s="11">
        <v>16005.34</v>
      </c>
      <c r="N2968" s="12">
        <v>2747.08</v>
      </c>
      <c r="O2968" s="12">
        <v>18554.91</v>
      </c>
    </row>
    <row r="2969" spans="1:15">
      <c r="A2969" t="s">
        <v>3143</v>
      </c>
      <c r="B2969" t="s">
        <v>524</v>
      </c>
      <c r="C2969" s="9">
        <v>18263</v>
      </c>
      <c r="D2969">
        <v>76</v>
      </c>
      <c r="E2969" t="s">
        <v>17</v>
      </c>
      <c r="F2969" t="s">
        <v>29</v>
      </c>
      <c r="G2969" s="9">
        <v>45179</v>
      </c>
      <c r="H2969" s="9">
        <v>45247</v>
      </c>
      <c r="I2969">
        <v>26</v>
      </c>
      <c r="J2969" t="s">
        <v>32</v>
      </c>
      <c r="K2969">
        <v>4</v>
      </c>
      <c r="L2969">
        <v>0</v>
      </c>
      <c r="M2969" s="11">
        <v>0</v>
      </c>
      <c r="N2969" s="12">
        <v>8205.2800000000007</v>
      </c>
      <c r="O2969" s="12">
        <v>12268.77</v>
      </c>
    </row>
    <row r="2970" spans="1:15">
      <c r="A2970" t="s">
        <v>3144</v>
      </c>
      <c r="B2970" t="s">
        <v>110</v>
      </c>
      <c r="C2970" s="9">
        <v>20820</v>
      </c>
      <c r="D2970">
        <v>69</v>
      </c>
      <c r="E2970" t="s">
        <v>21</v>
      </c>
      <c r="F2970" t="s">
        <v>5184</v>
      </c>
      <c r="G2970" s="9">
        <v>45336</v>
      </c>
      <c r="H2970" s="9">
        <v>45787</v>
      </c>
      <c r="I2970">
        <v>17</v>
      </c>
      <c r="J2970" t="s">
        <v>26</v>
      </c>
      <c r="K2970">
        <v>7</v>
      </c>
      <c r="L2970">
        <v>1</v>
      </c>
      <c r="M2970" s="11">
        <v>27959.64</v>
      </c>
      <c r="N2970" s="12">
        <v>4810.28</v>
      </c>
      <c r="O2970" s="12">
        <v>7716.09</v>
      </c>
    </row>
    <row r="2971" spans="1:15">
      <c r="A2971" t="s">
        <v>3145</v>
      </c>
      <c r="B2971" t="s">
        <v>387</v>
      </c>
      <c r="C2971" s="9">
        <v>30317</v>
      </c>
      <c r="D2971">
        <v>43</v>
      </c>
      <c r="E2971" t="s">
        <v>17</v>
      </c>
      <c r="F2971" t="s">
        <v>5184</v>
      </c>
      <c r="G2971" s="9">
        <v>45469</v>
      </c>
      <c r="H2971" s="9">
        <v>45707</v>
      </c>
      <c r="I2971">
        <v>33</v>
      </c>
      <c r="J2971" t="s">
        <v>26</v>
      </c>
      <c r="K2971">
        <v>0</v>
      </c>
      <c r="L2971">
        <v>9</v>
      </c>
      <c r="M2971" s="11">
        <v>3558.43</v>
      </c>
      <c r="N2971" s="12">
        <v>13932.46</v>
      </c>
      <c r="O2971" s="12">
        <v>12110.73</v>
      </c>
    </row>
    <row r="2972" spans="1:15">
      <c r="A2972" t="s">
        <v>3146</v>
      </c>
      <c r="B2972" t="s">
        <v>67</v>
      </c>
      <c r="C2972" s="9">
        <v>19724</v>
      </c>
      <c r="D2972">
        <v>72</v>
      </c>
      <c r="E2972" t="s">
        <v>21</v>
      </c>
      <c r="F2972" t="s">
        <v>25</v>
      </c>
      <c r="G2972" s="9">
        <v>45281</v>
      </c>
      <c r="H2972" s="9">
        <v>45451</v>
      </c>
      <c r="I2972">
        <v>30</v>
      </c>
      <c r="J2972" t="s">
        <v>35</v>
      </c>
      <c r="K2972">
        <v>12</v>
      </c>
      <c r="L2972">
        <v>3</v>
      </c>
      <c r="M2972" s="11">
        <v>29974.7</v>
      </c>
      <c r="N2972" s="12">
        <v>12273.21</v>
      </c>
      <c r="O2972" s="12">
        <v>12517.98</v>
      </c>
    </row>
    <row r="2973" spans="1:15">
      <c r="A2973" t="s">
        <v>3147</v>
      </c>
      <c r="B2973" t="s">
        <v>619</v>
      </c>
      <c r="C2973" s="9">
        <v>29951</v>
      </c>
      <c r="D2973">
        <v>44</v>
      </c>
      <c r="E2973" t="s">
        <v>21</v>
      </c>
      <c r="F2973" t="s">
        <v>22</v>
      </c>
      <c r="G2973" s="9">
        <v>45639</v>
      </c>
      <c r="H2973" s="9">
        <v>45219</v>
      </c>
      <c r="I2973">
        <v>19</v>
      </c>
      <c r="J2973" t="s">
        <v>35</v>
      </c>
      <c r="K2973">
        <v>2</v>
      </c>
      <c r="L2973">
        <v>0</v>
      </c>
      <c r="M2973" s="11">
        <v>12779.22</v>
      </c>
      <c r="N2973" s="12">
        <v>4632.6099999999997</v>
      </c>
      <c r="O2973" s="12">
        <v>12404.98</v>
      </c>
    </row>
    <row r="2974" spans="1:15">
      <c r="A2974" t="s">
        <v>3148</v>
      </c>
      <c r="B2974" t="s">
        <v>129</v>
      </c>
      <c r="C2974" s="9">
        <v>25934</v>
      </c>
      <c r="D2974">
        <v>55</v>
      </c>
      <c r="E2974" t="s">
        <v>17</v>
      </c>
      <c r="F2974" t="s">
        <v>25</v>
      </c>
      <c r="G2974" s="9">
        <v>45490</v>
      </c>
      <c r="H2974" s="9">
        <v>44956</v>
      </c>
      <c r="I2974">
        <v>5</v>
      </c>
      <c r="J2974" t="s">
        <v>32</v>
      </c>
      <c r="K2974">
        <v>1</v>
      </c>
      <c r="L2974">
        <v>5</v>
      </c>
      <c r="M2974" s="11">
        <v>1741.31</v>
      </c>
      <c r="N2974" s="12">
        <v>274.64</v>
      </c>
      <c r="O2974" s="12">
        <v>14641.51</v>
      </c>
    </row>
    <row r="2975" spans="1:15">
      <c r="A2975" t="s">
        <v>3149</v>
      </c>
      <c r="B2975" t="s">
        <v>39</v>
      </c>
      <c r="C2975" s="9">
        <v>15707</v>
      </c>
      <c r="D2975">
        <v>83</v>
      </c>
      <c r="E2975" t="s">
        <v>21</v>
      </c>
      <c r="F2975" t="s">
        <v>29</v>
      </c>
      <c r="G2975" s="9">
        <v>45294</v>
      </c>
      <c r="H2975" s="9">
        <v>45578</v>
      </c>
      <c r="I2975">
        <v>21</v>
      </c>
      <c r="J2975" t="s">
        <v>35</v>
      </c>
      <c r="K2975">
        <v>2</v>
      </c>
      <c r="L2975">
        <v>0</v>
      </c>
      <c r="M2975" s="11">
        <v>25855.11</v>
      </c>
      <c r="N2975" s="12">
        <v>14970.73</v>
      </c>
      <c r="O2975" s="12">
        <v>1249.5999999999999</v>
      </c>
    </row>
    <row r="2976" spans="1:15">
      <c r="A2976" t="s">
        <v>3150</v>
      </c>
      <c r="B2976" t="s">
        <v>774</v>
      </c>
      <c r="C2976" s="9">
        <v>16437</v>
      </c>
      <c r="D2976">
        <f ca="1">DATEDIF(C2927,TODAY(),"Y")</f>
        <v>48</v>
      </c>
      <c r="E2976" t="s">
        <v>17</v>
      </c>
      <c r="F2976" t="s">
        <v>18</v>
      </c>
      <c r="G2976" s="9">
        <v>45510</v>
      </c>
      <c r="H2976" s="9">
        <v>45364</v>
      </c>
      <c r="I2976">
        <v>34</v>
      </c>
      <c r="J2976" t="s">
        <v>26</v>
      </c>
      <c r="K2976">
        <v>1</v>
      </c>
      <c r="L2976">
        <v>8</v>
      </c>
      <c r="M2976" s="11">
        <v>2332.9299999999998</v>
      </c>
      <c r="N2976" s="12">
        <v>10250.16</v>
      </c>
      <c r="O2976" s="12">
        <v>1960.85</v>
      </c>
    </row>
    <row r="2977" spans="1:15">
      <c r="A2977" t="s">
        <v>3151</v>
      </c>
      <c r="B2977" t="s">
        <v>71</v>
      </c>
      <c r="C2977" s="9">
        <v>25568</v>
      </c>
      <c r="D2977">
        <v>56</v>
      </c>
      <c r="E2977" t="s">
        <v>21</v>
      </c>
      <c r="F2977" t="s">
        <v>22</v>
      </c>
      <c r="G2977" s="9">
        <v>45437</v>
      </c>
      <c r="H2977" s="9">
        <v>45524</v>
      </c>
      <c r="I2977">
        <v>17</v>
      </c>
      <c r="J2977" t="s">
        <v>32</v>
      </c>
      <c r="K2977">
        <v>0</v>
      </c>
      <c r="L2977">
        <v>9</v>
      </c>
      <c r="M2977" s="11">
        <v>4820.1899999999996</v>
      </c>
      <c r="N2977" s="12">
        <v>6385.91</v>
      </c>
      <c r="O2977" s="12">
        <v>5583.85</v>
      </c>
    </row>
    <row r="2978" spans="1:15">
      <c r="A2978" t="s">
        <v>3152</v>
      </c>
      <c r="B2978" t="s">
        <v>348</v>
      </c>
      <c r="C2978" s="9">
        <v>38717</v>
      </c>
      <c r="D2978">
        <v>20</v>
      </c>
      <c r="E2978" t="s">
        <v>21</v>
      </c>
      <c r="F2978" t="s">
        <v>18</v>
      </c>
      <c r="G2978" s="9">
        <v>45459</v>
      </c>
      <c r="H2978" s="9">
        <v>45513</v>
      </c>
      <c r="I2978">
        <v>9</v>
      </c>
      <c r="J2978" t="s">
        <v>35</v>
      </c>
      <c r="K2978">
        <v>2</v>
      </c>
      <c r="L2978">
        <v>2</v>
      </c>
      <c r="M2978" s="11">
        <v>12229.09</v>
      </c>
      <c r="N2978" s="12">
        <v>4326.84</v>
      </c>
      <c r="O2978" s="12">
        <v>6928.81</v>
      </c>
    </row>
    <row r="2979" spans="1:15">
      <c r="A2979" t="s">
        <v>3153</v>
      </c>
      <c r="B2979" t="s">
        <v>69</v>
      </c>
      <c r="C2979" s="9">
        <v>21551</v>
      </c>
      <c r="D2979">
        <v>67</v>
      </c>
      <c r="E2979" t="s">
        <v>5185</v>
      </c>
      <c r="F2979" t="s">
        <v>74</v>
      </c>
      <c r="G2979" s="9">
        <v>45454</v>
      </c>
      <c r="H2979" s="9">
        <v>45690</v>
      </c>
      <c r="I2979">
        <v>17</v>
      </c>
      <c r="J2979" t="s">
        <v>32</v>
      </c>
      <c r="K2979">
        <v>8</v>
      </c>
      <c r="L2979">
        <v>0</v>
      </c>
      <c r="M2979" s="11">
        <v>20123.68</v>
      </c>
      <c r="N2979" s="12">
        <v>66.37</v>
      </c>
      <c r="O2979" s="12">
        <v>12724.41</v>
      </c>
    </row>
    <row r="2980" spans="1:15">
      <c r="A2980" t="s">
        <v>3154</v>
      </c>
      <c r="B2980" t="s">
        <v>226</v>
      </c>
      <c r="C2980" s="9">
        <v>28125</v>
      </c>
      <c r="D2980">
        <v>49</v>
      </c>
      <c r="E2980" t="s">
        <v>21</v>
      </c>
      <c r="F2980" t="s">
        <v>25</v>
      </c>
      <c r="G2980" s="9">
        <v>45454</v>
      </c>
      <c r="H2980" s="9">
        <v>45663</v>
      </c>
      <c r="I2980">
        <v>17</v>
      </c>
      <c r="J2980" t="s">
        <v>35</v>
      </c>
      <c r="K2980">
        <v>2</v>
      </c>
      <c r="L2980">
        <v>5</v>
      </c>
      <c r="M2980" s="11">
        <v>3194.77</v>
      </c>
      <c r="N2980" s="12">
        <v>2309.39</v>
      </c>
      <c r="O2980" s="12">
        <v>3354.69</v>
      </c>
    </row>
    <row r="2981" spans="1:15">
      <c r="A2981" t="s">
        <v>3155</v>
      </c>
      <c r="B2981" t="s">
        <v>350</v>
      </c>
      <c r="C2981" s="9">
        <v>34334</v>
      </c>
      <c r="D2981">
        <v>32</v>
      </c>
      <c r="E2981" t="s">
        <v>17</v>
      </c>
      <c r="F2981" t="s">
        <v>25</v>
      </c>
      <c r="G2981" s="9">
        <v>45328</v>
      </c>
      <c r="H2981" s="9">
        <v>44974</v>
      </c>
      <c r="I2981">
        <v>1</v>
      </c>
      <c r="J2981" t="s">
        <v>32</v>
      </c>
      <c r="K2981">
        <v>3</v>
      </c>
      <c r="L2981">
        <v>5</v>
      </c>
      <c r="M2981" s="11">
        <v>18490.07</v>
      </c>
      <c r="N2981" s="12">
        <v>88.07</v>
      </c>
      <c r="O2981" s="12">
        <v>10774.69</v>
      </c>
    </row>
    <row r="2982" spans="1:15">
      <c r="A2982" t="s">
        <v>3156</v>
      </c>
      <c r="B2982" t="s">
        <v>412</v>
      </c>
      <c r="C2982" s="9">
        <v>13150</v>
      </c>
      <c r="D2982">
        <v>90</v>
      </c>
      <c r="E2982" t="s">
        <v>17</v>
      </c>
      <c r="F2982" t="s">
        <v>5184</v>
      </c>
      <c r="G2982" s="9">
        <v>45101</v>
      </c>
      <c r="H2982" s="9">
        <v>45344</v>
      </c>
      <c r="I2982">
        <v>27</v>
      </c>
      <c r="J2982" t="s">
        <v>35</v>
      </c>
      <c r="K2982">
        <v>7</v>
      </c>
      <c r="L2982">
        <v>6</v>
      </c>
      <c r="M2982" s="11">
        <v>23301.78</v>
      </c>
      <c r="N2982" s="12">
        <v>8963.77</v>
      </c>
      <c r="O2982" s="12">
        <v>3625.32</v>
      </c>
    </row>
    <row r="2983" spans="1:15">
      <c r="A2983" t="s">
        <v>3157</v>
      </c>
      <c r="B2983" t="s">
        <v>112</v>
      </c>
      <c r="C2983" s="9">
        <v>43831</v>
      </c>
      <c r="D2983">
        <v>6</v>
      </c>
      <c r="E2983" t="s">
        <v>17</v>
      </c>
      <c r="F2983" t="s">
        <v>74</v>
      </c>
      <c r="G2983" s="9">
        <v>45004</v>
      </c>
      <c r="H2983" s="9">
        <v>45520</v>
      </c>
      <c r="I2983">
        <v>28</v>
      </c>
      <c r="J2983" t="s">
        <v>26</v>
      </c>
      <c r="K2983">
        <v>1</v>
      </c>
      <c r="L2983">
        <v>6</v>
      </c>
      <c r="M2983" s="11">
        <v>3266.63</v>
      </c>
      <c r="N2983" s="12">
        <v>9950.15</v>
      </c>
      <c r="O2983" s="12">
        <v>7045.27</v>
      </c>
    </row>
    <row r="2984" spans="1:15">
      <c r="A2984" t="s">
        <v>3158</v>
      </c>
      <c r="B2984" t="s">
        <v>387</v>
      </c>
      <c r="C2984" s="9">
        <v>20820</v>
      </c>
      <c r="D2984">
        <v>69</v>
      </c>
      <c r="E2984" t="s">
        <v>17</v>
      </c>
      <c r="F2984" t="s">
        <v>5184</v>
      </c>
      <c r="G2984" s="9">
        <v>45366</v>
      </c>
      <c r="H2984" s="9">
        <v>45378</v>
      </c>
      <c r="I2984">
        <v>19</v>
      </c>
      <c r="J2984" t="s">
        <v>35</v>
      </c>
      <c r="K2984">
        <v>6</v>
      </c>
      <c r="L2984">
        <v>9</v>
      </c>
      <c r="M2984" s="11">
        <v>0</v>
      </c>
      <c r="N2984" s="12">
        <v>11501.94</v>
      </c>
      <c r="O2984" s="12">
        <v>18703.53</v>
      </c>
    </row>
    <row r="2985" spans="1:15">
      <c r="A2985" t="s">
        <v>3159</v>
      </c>
      <c r="B2985" t="s">
        <v>163</v>
      </c>
      <c r="C2985" s="9">
        <v>40909</v>
      </c>
      <c r="D2985">
        <v>14</v>
      </c>
      <c r="E2985" t="s">
        <v>17</v>
      </c>
      <c r="F2985" t="s">
        <v>29</v>
      </c>
      <c r="G2985" s="9">
        <v>45475</v>
      </c>
      <c r="H2985" s="9">
        <v>45560</v>
      </c>
      <c r="I2985">
        <v>12</v>
      </c>
      <c r="J2985" t="s">
        <v>32</v>
      </c>
      <c r="K2985">
        <v>1</v>
      </c>
      <c r="L2985">
        <v>3</v>
      </c>
      <c r="M2985" s="11">
        <v>28745.71</v>
      </c>
      <c r="N2985" s="12">
        <v>2804.99</v>
      </c>
      <c r="O2985" s="12">
        <v>17903.560000000001</v>
      </c>
    </row>
    <row r="2986" spans="1:15">
      <c r="A2986" t="s">
        <v>3160</v>
      </c>
      <c r="B2986" t="s">
        <v>198</v>
      </c>
      <c r="C2986" s="9">
        <v>16437</v>
      </c>
      <c r="D2986">
        <v>81</v>
      </c>
      <c r="E2986" t="s">
        <v>21</v>
      </c>
      <c r="F2986" t="s">
        <v>25</v>
      </c>
      <c r="G2986" s="9">
        <v>45158</v>
      </c>
      <c r="H2986" s="9">
        <v>45482</v>
      </c>
      <c r="I2986">
        <v>35</v>
      </c>
      <c r="J2986" t="s">
        <v>32</v>
      </c>
      <c r="K2986">
        <v>7</v>
      </c>
      <c r="L2986">
        <v>4</v>
      </c>
      <c r="M2986" s="11">
        <v>29005.55</v>
      </c>
      <c r="N2986" s="12">
        <v>1439.56</v>
      </c>
      <c r="O2986" s="12">
        <v>19057.39</v>
      </c>
    </row>
    <row r="2987" spans="1:15">
      <c r="A2987" t="s">
        <v>3161</v>
      </c>
      <c r="B2987" t="s">
        <v>600</v>
      </c>
      <c r="C2987" s="9">
        <v>34700</v>
      </c>
      <c r="D2987">
        <v>31</v>
      </c>
      <c r="E2987" t="s">
        <v>17</v>
      </c>
      <c r="F2987" t="s">
        <v>29</v>
      </c>
      <c r="G2987" s="9">
        <v>45326</v>
      </c>
      <c r="H2987" s="9">
        <v>45585</v>
      </c>
      <c r="I2987">
        <v>34</v>
      </c>
      <c r="J2987" t="s">
        <v>35</v>
      </c>
      <c r="K2987">
        <v>14</v>
      </c>
      <c r="L2987">
        <v>2</v>
      </c>
      <c r="M2987" s="11">
        <v>4430.71</v>
      </c>
      <c r="N2987" s="12">
        <v>9756.89</v>
      </c>
      <c r="O2987" s="12">
        <v>11787.53</v>
      </c>
    </row>
    <row r="2988" spans="1:15">
      <c r="A2988" t="s">
        <v>3162</v>
      </c>
      <c r="B2988" t="s">
        <v>71</v>
      </c>
      <c r="C2988" s="9">
        <v>18994</v>
      </c>
      <c r="D2988">
        <v>74</v>
      </c>
      <c r="E2988" t="s">
        <v>21</v>
      </c>
      <c r="F2988" t="s">
        <v>18</v>
      </c>
      <c r="G2988" s="9">
        <v>45139</v>
      </c>
      <c r="H2988" s="9">
        <v>45001</v>
      </c>
      <c r="I2988">
        <v>25</v>
      </c>
      <c r="J2988" t="s">
        <v>32</v>
      </c>
      <c r="K2988">
        <v>9</v>
      </c>
      <c r="L2988">
        <v>5</v>
      </c>
      <c r="M2988" s="11">
        <v>22670.97</v>
      </c>
      <c r="N2988" s="12">
        <v>7498.41</v>
      </c>
      <c r="O2988" s="12">
        <v>9976.1299999999992</v>
      </c>
    </row>
    <row r="2989" spans="1:15">
      <c r="A2989" t="s">
        <v>3163</v>
      </c>
      <c r="B2989" t="s">
        <v>80</v>
      </c>
      <c r="C2989" s="9">
        <f ca="1">DATE(2026-D2949,1,1)</f>
        <v>20821</v>
      </c>
      <c r="D2989">
        <v>19</v>
      </c>
      <c r="E2989" t="s">
        <v>17</v>
      </c>
      <c r="F2989" t="s">
        <v>22</v>
      </c>
      <c r="G2989" s="9">
        <v>45119</v>
      </c>
      <c r="H2989" s="9">
        <v>44980</v>
      </c>
      <c r="I2989">
        <v>8</v>
      </c>
      <c r="J2989" t="s">
        <v>32</v>
      </c>
      <c r="K2989">
        <v>6</v>
      </c>
      <c r="L2989">
        <v>6</v>
      </c>
      <c r="M2989" s="11">
        <v>25322.29</v>
      </c>
      <c r="N2989" s="12">
        <v>13135.29</v>
      </c>
      <c r="O2989" s="12">
        <v>16963.189999999999</v>
      </c>
    </row>
    <row r="2990" spans="1:15">
      <c r="A2990" t="s">
        <v>3164</v>
      </c>
      <c r="B2990" t="s">
        <v>53</v>
      </c>
      <c r="C2990" s="9">
        <v>14246</v>
      </c>
      <c r="D2990">
        <v>87</v>
      </c>
      <c r="E2990" t="s">
        <v>17</v>
      </c>
      <c r="F2990" t="s">
        <v>22</v>
      </c>
      <c r="G2990" s="9">
        <v>45498</v>
      </c>
      <c r="H2990" s="9">
        <v>45160</v>
      </c>
      <c r="I2990">
        <v>11</v>
      </c>
      <c r="J2990" t="s">
        <v>26</v>
      </c>
      <c r="K2990">
        <v>6</v>
      </c>
      <c r="L2990">
        <v>8</v>
      </c>
      <c r="M2990" s="11">
        <v>26613.38</v>
      </c>
      <c r="N2990" s="12">
        <v>7998.99</v>
      </c>
      <c r="O2990" s="12">
        <v>1501.26</v>
      </c>
    </row>
    <row r="2991" spans="1:15">
      <c r="A2991" t="s">
        <v>3165</v>
      </c>
      <c r="B2991" t="s">
        <v>215</v>
      </c>
      <c r="C2991" s="9">
        <v>40909</v>
      </c>
      <c r="D2991">
        <v>14</v>
      </c>
      <c r="E2991" t="s">
        <v>17</v>
      </c>
      <c r="F2991" t="s">
        <v>22</v>
      </c>
      <c r="G2991" s="9">
        <v>45627</v>
      </c>
      <c r="H2991" s="9">
        <v>45734</v>
      </c>
      <c r="I2991">
        <v>8</v>
      </c>
      <c r="J2991" t="s">
        <v>35</v>
      </c>
      <c r="K2991">
        <v>7</v>
      </c>
      <c r="L2991">
        <v>8</v>
      </c>
      <c r="M2991" s="11">
        <v>9372.2800000000007</v>
      </c>
      <c r="N2991" s="12">
        <v>6672.32</v>
      </c>
      <c r="O2991" s="12">
        <v>19566.830000000002</v>
      </c>
    </row>
    <row r="2992" spans="1:15">
      <c r="A2992" t="s">
        <v>3166</v>
      </c>
      <c r="B2992" t="s">
        <v>143</v>
      </c>
      <c r="C2992" s="9">
        <v>28856</v>
      </c>
      <c r="D2992">
        <v>47</v>
      </c>
      <c r="E2992" t="s">
        <v>17</v>
      </c>
      <c r="F2992" t="s">
        <v>5184</v>
      </c>
      <c r="G2992" s="9">
        <v>45193</v>
      </c>
      <c r="H2992" s="9">
        <v>45802</v>
      </c>
      <c r="I2992">
        <v>6</v>
      </c>
      <c r="J2992" t="s">
        <v>32</v>
      </c>
      <c r="K2992">
        <v>13</v>
      </c>
      <c r="L2992">
        <v>4</v>
      </c>
      <c r="M2992" s="11">
        <v>7738.61</v>
      </c>
      <c r="N2992" s="12">
        <v>7320.42</v>
      </c>
      <c r="O2992" s="12">
        <v>9193.68</v>
      </c>
    </row>
    <row r="2993" spans="1:15">
      <c r="A2993" t="s">
        <v>3167</v>
      </c>
      <c r="B2993" t="s">
        <v>163</v>
      </c>
      <c r="C2993" s="9">
        <v>20455</v>
      </c>
      <c r="D2993">
        <v>70</v>
      </c>
      <c r="E2993" t="s">
        <v>17</v>
      </c>
      <c r="F2993" t="s">
        <v>49</v>
      </c>
      <c r="G2993" s="9">
        <v>45052</v>
      </c>
      <c r="H2993" s="9">
        <v>45127</v>
      </c>
      <c r="I2993">
        <v>21</v>
      </c>
      <c r="J2993" t="s">
        <v>35</v>
      </c>
      <c r="K2993">
        <v>2</v>
      </c>
      <c r="L2993">
        <v>3</v>
      </c>
      <c r="M2993" s="11">
        <v>959.76</v>
      </c>
      <c r="N2993" s="12">
        <v>11734.83</v>
      </c>
      <c r="O2993" s="12">
        <v>13483.31</v>
      </c>
    </row>
    <row r="2994" spans="1:15">
      <c r="A2994" t="s">
        <v>3168</v>
      </c>
      <c r="B2994" t="s">
        <v>596</v>
      </c>
      <c r="C2994" s="9">
        <v>38717</v>
      </c>
      <c r="D2994">
        <v>20</v>
      </c>
      <c r="E2994" t="s">
        <v>17</v>
      </c>
      <c r="F2994" t="s">
        <v>74</v>
      </c>
      <c r="G2994" s="9">
        <v>45641</v>
      </c>
      <c r="H2994" s="9">
        <v>45601</v>
      </c>
      <c r="I2994">
        <v>7</v>
      </c>
      <c r="J2994" t="s">
        <v>35</v>
      </c>
      <c r="K2994">
        <v>14</v>
      </c>
      <c r="L2994">
        <v>6</v>
      </c>
      <c r="M2994" s="11">
        <v>11683.89</v>
      </c>
      <c r="N2994" s="12">
        <v>274.58</v>
      </c>
      <c r="O2994" s="12">
        <v>14542.25</v>
      </c>
    </row>
    <row r="2995" spans="1:15">
      <c r="A2995" t="s">
        <v>3169</v>
      </c>
      <c r="B2995" t="s">
        <v>252</v>
      </c>
      <c r="C2995" s="9">
        <v>31047</v>
      </c>
      <c r="D2995">
        <v>41</v>
      </c>
      <c r="E2995" t="s">
        <v>17</v>
      </c>
      <c r="F2995" t="s">
        <v>22</v>
      </c>
      <c r="G2995" s="9">
        <v>45308</v>
      </c>
      <c r="H2995" s="9">
        <v>45476</v>
      </c>
      <c r="I2995">
        <v>35</v>
      </c>
      <c r="J2995" t="s">
        <v>32</v>
      </c>
      <c r="K2995">
        <v>14</v>
      </c>
      <c r="L2995">
        <v>2</v>
      </c>
      <c r="M2995" s="11">
        <v>3280.67</v>
      </c>
      <c r="N2995" s="12">
        <v>13773.17</v>
      </c>
      <c r="O2995" s="12">
        <v>12539.68</v>
      </c>
    </row>
    <row r="2996" spans="1:15">
      <c r="A2996" t="s">
        <v>3170</v>
      </c>
      <c r="B2996" t="s">
        <v>147</v>
      </c>
      <c r="C2996" s="9">
        <v>36891</v>
      </c>
      <c r="D2996">
        <v>25</v>
      </c>
      <c r="E2996" t="s">
        <v>21</v>
      </c>
      <c r="F2996" t="s">
        <v>25</v>
      </c>
      <c r="G2996" s="9">
        <v>45470</v>
      </c>
      <c r="H2996" s="9">
        <v>45024</v>
      </c>
      <c r="I2996">
        <v>38</v>
      </c>
      <c r="J2996" t="s">
        <v>35</v>
      </c>
      <c r="K2996">
        <v>10</v>
      </c>
      <c r="L2996">
        <v>3</v>
      </c>
      <c r="M2996" s="11">
        <v>23480.85</v>
      </c>
      <c r="N2996" s="12">
        <v>10712.84</v>
      </c>
      <c r="O2996" s="12">
        <v>17819.66</v>
      </c>
    </row>
    <row r="2997" spans="1:15">
      <c r="A2997" t="s">
        <v>3171</v>
      </c>
      <c r="B2997" t="s">
        <v>341</v>
      </c>
      <c r="C2997" s="9">
        <v>41274</v>
      </c>
      <c r="D2997">
        <v>13</v>
      </c>
      <c r="E2997" t="s">
        <v>21</v>
      </c>
      <c r="F2997" t="s">
        <v>74</v>
      </c>
      <c r="G2997" s="9">
        <v>45428</v>
      </c>
      <c r="H2997" s="9">
        <v>44976</v>
      </c>
      <c r="I2997">
        <v>34</v>
      </c>
      <c r="J2997" t="s">
        <v>35</v>
      </c>
      <c r="K2997">
        <v>3</v>
      </c>
      <c r="L2997">
        <v>8</v>
      </c>
      <c r="M2997" s="11">
        <v>3860.48</v>
      </c>
      <c r="N2997" s="12">
        <v>13279.35</v>
      </c>
      <c r="O2997" s="12">
        <v>5692.04</v>
      </c>
    </row>
    <row r="2998" spans="1:15">
      <c r="A2998" t="s">
        <v>3172</v>
      </c>
      <c r="B2998" t="s">
        <v>192</v>
      </c>
      <c r="C2998" s="9">
        <v>25568</v>
      </c>
      <c r="D2998">
        <v>56</v>
      </c>
      <c r="E2998" t="s">
        <v>17</v>
      </c>
      <c r="F2998" t="s">
        <v>18</v>
      </c>
      <c r="G2998" s="9">
        <v>45329</v>
      </c>
      <c r="H2998" s="9">
        <v>45823</v>
      </c>
      <c r="I2998">
        <v>39</v>
      </c>
      <c r="J2998" t="s">
        <v>35</v>
      </c>
      <c r="K2998">
        <v>10</v>
      </c>
      <c r="L2998">
        <v>4</v>
      </c>
      <c r="M2998" s="11">
        <v>24476.61</v>
      </c>
      <c r="N2998" s="12">
        <v>14393.98</v>
      </c>
      <c r="O2998" s="12">
        <v>10599.39</v>
      </c>
    </row>
    <row r="2999" spans="1:15">
      <c r="A2999" t="s">
        <v>3173</v>
      </c>
      <c r="B2999" t="s">
        <v>619</v>
      </c>
      <c r="C2999" s="9">
        <v>32873</v>
      </c>
      <c r="D2999">
        <v>36</v>
      </c>
      <c r="E2999" t="s">
        <v>17</v>
      </c>
      <c r="F2999" t="s">
        <v>18</v>
      </c>
      <c r="G2999" s="9">
        <v>45187</v>
      </c>
      <c r="H2999" s="9">
        <v>45449</v>
      </c>
      <c r="I2999">
        <v>29</v>
      </c>
      <c r="J2999" t="s">
        <v>26</v>
      </c>
      <c r="K2999">
        <v>5</v>
      </c>
      <c r="L2999">
        <v>9</v>
      </c>
      <c r="M2999" s="11">
        <v>2782.21</v>
      </c>
      <c r="N2999" s="12">
        <v>3390.06</v>
      </c>
      <c r="O2999" s="12">
        <v>8549.14</v>
      </c>
    </row>
    <row r="3000" spans="1:15">
      <c r="A3000" t="s">
        <v>3174</v>
      </c>
      <c r="B3000" t="s">
        <v>125</v>
      </c>
      <c r="C3000" s="9">
        <v>25203</v>
      </c>
      <c r="D3000">
        <v>57</v>
      </c>
      <c r="E3000" t="s">
        <v>21</v>
      </c>
      <c r="F3000" t="s">
        <v>5184</v>
      </c>
      <c r="G3000" s="9">
        <v>45313</v>
      </c>
      <c r="H3000" s="9">
        <v>44967</v>
      </c>
      <c r="I3000">
        <v>17</v>
      </c>
      <c r="J3000" t="s">
        <v>35</v>
      </c>
      <c r="K3000">
        <v>0</v>
      </c>
      <c r="L3000">
        <v>6</v>
      </c>
      <c r="M3000" s="11">
        <v>14158.77</v>
      </c>
      <c r="N3000" s="12">
        <v>8675.11</v>
      </c>
      <c r="O3000" s="12">
        <v>14052.99</v>
      </c>
    </row>
    <row r="3001" spans="1:15">
      <c r="A3001" t="s">
        <v>3175</v>
      </c>
      <c r="B3001" t="s">
        <v>73</v>
      </c>
      <c r="C3001" s="9">
        <v>38717</v>
      </c>
      <c r="D3001">
        <v>20</v>
      </c>
      <c r="E3001" t="s">
        <v>21</v>
      </c>
      <c r="F3001" t="s">
        <v>18</v>
      </c>
      <c r="G3001" s="9">
        <v>45338</v>
      </c>
      <c r="H3001" s="9">
        <v>45080</v>
      </c>
      <c r="I3001">
        <v>11</v>
      </c>
      <c r="J3001" t="s">
        <v>26</v>
      </c>
      <c r="K3001">
        <v>5</v>
      </c>
      <c r="L3001">
        <v>1</v>
      </c>
      <c r="M3001" s="11">
        <v>11231.34</v>
      </c>
      <c r="N3001" s="12">
        <v>7290.66</v>
      </c>
      <c r="O3001" s="12">
        <v>7841.81</v>
      </c>
    </row>
    <row r="3002" spans="1:15">
      <c r="A3002" t="s">
        <v>3176</v>
      </c>
      <c r="B3002" t="s">
        <v>53</v>
      </c>
      <c r="C3002" s="9">
        <v>16437</v>
      </c>
      <c r="D3002">
        <v>81</v>
      </c>
      <c r="E3002" t="s">
        <v>21</v>
      </c>
      <c r="F3002" t="s">
        <v>18</v>
      </c>
      <c r="G3002" s="9">
        <v>45272</v>
      </c>
      <c r="H3002" s="9">
        <v>45033</v>
      </c>
      <c r="I3002">
        <v>35</v>
      </c>
      <c r="J3002" t="s">
        <v>35</v>
      </c>
      <c r="K3002">
        <v>14</v>
      </c>
      <c r="L3002">
        <v>8</v>
      </c>
      <c r="M3002" s="11">
        <v>17847.09</v>
      </c>
      <c r="N3002" s="12">
        <v>8064.29</v>
      </c>
      <c r="O3002" s="12">
        <v>17846.490000000002</v>
      </c>
    </row>
    <row r="3003" spans="1:15">
      <c r="A3003" t="s">
        <v>3177</v>
      </c>
      <c r="B3003" t="s">
        <v>204</v>
      </c>
      <c r="C3003" s="9">
        <v>21185</v>
      </c>
      <c r="D3003">
        <v>68</v>
      </c>
      <c r="E3003" t="s">
        <v>5185</v>
      </c>
      <c r="F3003" t="s">
        <v>49</v>
      </c>
      <c r="G3003" s="9">
        <v>45020</v>
      </c>
      <c r="H3003" s="9">
        <v>45480</v>
      </c>
      <c r="I3003">
        <v>1</v>
      </c>
      <c r="J3003" t="s">
        <v>32</v>
      </c>
      <c r="K3003">
        <v>10</v>
      </c>
      <c r="L3003">
        <v>4</v>
      </c>
      <c r="M3003" s="11">
        <v>15322.54</v>
      </c>
      <c r="N3003" s="12">
        <v>709.34</v>
      </c>
      <c r="O3003" s="12">
        <v>9757.65</v>
      </c>
    </row>
    <row r="3004" spans="1:15">
      <c r="A3004" t="s">
        <v>3178</v>
      </c>
      <c r="B3004" t="s">
        <v>55</v>
      </c>
      <c r="C3004" s="9">
        <v>45292</v>
      </c>
      <c r="D3004">
        <v>2</v>
      </c>
      <c r="E3004" t="s">
        <v>17</v>
      </c>
      <c r="F3004" t="s">
        <v>29</v>
      </c>
      <c r="G3004" s="9">
        <v>45254</v>
      </c>
      <c r="H3004" s="9">
        <v>45603</v>
      </c>
      <c r="I3004">
        <v>21</v>
      </c>
      <c r="J3004" t="s">
        <v>32</v>
      </c>
      <c r="K3004">
        <v>1</v>
      </c>
      <c r="L3004">
        <v>4</v>
      </c>
      <c r="M3004" s="11">
        <v>17758.11</v>
      </c>
      <c r="N3004" s="12">
        <v>13709.79</v>
      </c>
      <c r="O3004" s="12">
        <v>10673.76</v>
      </c>
    </row>
    <row r="3005" spans="1:15">
      <c r="A3005" t="s">
        <v>3179</v>
      </c>
      <c r="B3005" t="s">
        <v>80</v>
      </c>
      <c r="C3005" s="9">
        <v>14611</v>
      </c>
      <c r="D3005">
        <v>86</v>
      </c>
      <c r="E3005" t="s">
        <v>21</v>
      </c>
      <c r="F3005" t="s">
        <v>29</v>
      </c>
      <c r="G3005" s="9">
        <v>45026</v>
      </c>
      <c r="H3005" s="9">
        <v>45697</v>
      </c>
      <c r="I3005">
        <v>29</v>
      </c>
      <c r="J3005" t="s">
        <v>32</v>
      </c>
      <c r="K3005">
        <v>4</v>
      </c>
      <c r="L3005">
        <v>3</v>
      </c>
      <c r="M3005" s="11">
        <v>470.61</v>
      </c>
      <c r="N3005" s="12">
        <v>14320.26</v>
      </c>
      <c r="O3005" s="12">
        <v>9817.2000000000007</v>
      </c>
    </row>
    <row r="3006" spans="1:15">
      <c r="A3006" t="s">
        <v>3180</v>
      </c>
      <c r="B3006" t="s">
        <v>348</v>
      </c>
      <c r="C3006" s="9">
        <v>13515</v>
      </c>
      <c r="D3006">
        <v>89</v>
      </c>
      <c r="E3006" t="s">
        <v>21</v>
      </c>
      <c r="F3006" t="s">
        <v>22</v>
      </c>
      <c r="G3006" s="9">
        <v>45387</v>
      </c>
      <c r="H3006" s="9">
        <v>45138</v>
      </c>
      <c r="I3006">
        <v>7</v>
      </c>
      <c r="J3006" t="s">
        <v>35</v>
      </c>
      <c r="K3006">
        <v>11</v>
      </c>
      <c r="L3006">
        <v>7</v>
      </c>
      <c r="M3006" s="11">
        <v>3388.86</v>
      </c>
      <c r="N3006" s="12">
        <v>10276.86</v>
      </c>
      <c r="O3006" s="12">
        <v>12414.99</v>
      </c>
    </row>
    <row r="3007" spans="1:15">
      <c r="A3007" t="s">
        <v>3181</v>
      </c>
      <c r="B3007" t="s">
        <v>332</v>
      </c>
      <c r="C3007" s="9">
        <v>32873</v>
      </c>
      <c r="D3007">
        <v>36</v>
      </c>
      <c r="E3007" t="s">
        <v>21</v>
      </c>
      <c r="F3007" t="s">
        <v>49</v>
      </c>
      <c r="G3007" s="9">
        <v>45241</v>
      </c>
      <c r="H3007" s="9">
        <v>45129</v>
      </c>
      <c r="I3007">
        <v>13</v>
      </c>
      <c r="J3007" t="s">
        <v>32</v>
      </c>
      <c r="K3007">
        <v>4</v>
      </c>
      <c r="L3007">
        <v>3</v>
      </c>
      <c r="M3007" s="11">
        <v>15272.17</v>
      </c>
      <c r="N3007" s="12">
        <v>3874.16</v>
      </c>
      <c r="O3007" s="12">
        <v>10159.07</v>
      </c>
    </row>
    <row r="3008" spans="1:15">
      <c r="A3008" t="s">
        <v>3182</v>
      </c>
      <c r="B3008" t="s">
        <v>105</v>
      </c>
      <c r="C3008" s="9">
        <v>14246</v>
      </c>
      <c r="D3008">
        <v>87</v>
      </c>
      <c r="E3008" t="s">
        <v>21</v>
      </c>
      <c r="F3008" t="s">
        <v>5184</v>
      </c>
      <c r="G3008" s="9">
        <v>44951</v>
      </c>
      <c r="H3008" s="9">
        <v>45360</v>
      </c>
      <c r="I3008">
        <v>36</v>
      </c>
      <c r="J3008" t="s">
        <v>32</v>
      </c>
      <c r="K3008">
        <v>4</v>
      </c>
      <c r="L3008">
        <v>1</v>
      </c>
      <c r="M3008" s="11">
        <v>6504.82</v>
      </c>
      <c r="N3008" s="12">
        <v>11808.1</v>
      </c>
      <c r="O3008" s="12">
        <v>18742.099999999999</v>
      </c>
    </row>
    <row r="3009" spans="1:15">
      <c r="A3009" t="s">
        <v>3183</v>
      </c>
      <c r="B3009" t="s">
        <v>774</v>
      </c>
      <c r="C3009" s="9">
        <v>28490</v>
      </c>
      <c r="D3009">
        <v>48</v>
      </c>
      <c r="E3009" t="s">
        <v>21</v>
      </c>
      <c r="F3009" t="s">
        <v>29</v>
      </c>
      <c r="G3009" s="9">
        <v>45420</v>
      </c>
      <c r="H3009" s="9">
        <v>45634</v>
      </c>
      <c r="I3009">
        <v>29</v>
      </c>
      <c r="J3009" t="s">
        <v>35</v>
      </c>
      <c r="K3009">
        <v>8</v>
      </c>
      <c r="L3009">
        <v>4</v>
      </c>
      <c r="M3009" s="11">
        <v>1827.67</v>
      </c>
      <c r="N3009" s="12">
        <v>10962.7</v>
      </c>
      <c r="O3009" s="12">
        <v>2535.56</v>
      </c>
    </row>
    <row r="3010" spans="1:15">
      <c r="A3010" t="s">
        <v>3184</v>
      </c>
      <c r="B3010" t="s">
        <v>112</v>
      </c>
      <c r="C3010" s="9">
        <v>39448</v>
      </c>
      <c r="D3010">
        <v>18</v>
      </c>
      <c r="E3010" t="s">
        <v>17</v>
      </c>
      <c r="F3010" t="s">
        <v>5184</v>
      </c>
      <c r="G3010" s="9">
        <v>45279</v>
      </c>
      <c r="H3010" s="9">
        <v>45492</v>
      </c>
      <c r="I3010">
        <v>15</v>
      </c>
      <c r="J3010" t="s">
        <v>32</v>
      </c>
      <c r="K3010">
        <v>13</v>
      </c>
      <c r="L3010">
        <v>2</v>
      </c>
      <c r="M3010" s="11">
        <v>6139.88</v>
      </c>
      <c r="N3010" s="12">
        <v>8618.85</v>
      </c>
      <c r="O3010" s="12">
        <v>169.89</v>
      </c>
    </row>
    <row r="3011" spans="1:15">
      <c r="A3011" t="s">
        <v>3185</v>
      </c>
      <c r="B3011" t="s">
        <v>490</v>
      </c>
      <c r="C3011" s="9">
        <v>13880</v>
      </c>
      <c r="D3011">
        <v>88</v>
      </c>
      <c r="E3011" t="s">
        <v>5185</v>
      </c>
      <c r="F3011" t="s">
        <v>5184</v>
      </c>
      <c r="G3011" s="9">
        <v>45043</v>
      </c>
      <c r="H3011" s="9">
        <v>45074</v>
      </c>
      <c r="I3011">
        <v>22</v>
      </c>
      <c r="J3011" t="s">
        <v>26</v>
      </c>
      <c r="K3011">
        <v>0</v>
      </c>
      <c r="L3011">
        <v>3</v>
      </c>
      <c r="M3011" s="11">
        <v>23285.72</v>
      </c>
      <c r="N3011" s="12">
        <v>2553.59</v>
      </c>
      <c r="O3011" s="12">
        <v>10387.91</v>
      </c>
    </row>
    <row r="3012" spans="1:15">
      <c r="A3012" t="s">
        <v>3186</v>
      </c>
      <c r="B3012" t="s">
        <v>115</v>
      </c>
      <c r="C3012" s="9">
        <v>15341</v>
      </c>
      <c r="D3012">
        <v>84</v>
      </c>
      <c r="E3012" t="s">
        <v>21</v>
      </c>
      <c r="F3012" t="s">
        <v>18</v>
      </c>
      <c r="G3012" s="9">
        <v>45125</v>
      </c>
      <c r="H3012" s="9">
        <v>45426</v>
      </c>
      <c r="I3012">
        <v>4</v>
      </c>
      <c r="J3012" t="s">
        <v>32</v>
      </c>
      <c r="K3012">
        <v>7</v>
      </c>
      <c r="L3012">
        <v>2</v>
      </c>
      <c r="M3012" s="11">
        <v>16021.67</v>
      </c>
      <c r="N3012" s="12">
        <v>3017.68</v>
      </c>
      <c r="O3012" s="12">
        <v>15269.08</v>
      </c>
    </row>
    <row r="3013" spans="1:15">
      <c r="A3013" t="s">
        <v>3187</v>
      </c>
      <c r="B3013" t="s">
        <v>147</v>
      </c>
      <c r="C3013" s="9">
        <v>42005</v>
      </c>
      <c r="D3013">
        <v>11</v>
      </c>
      <c r="E3013" t="s">
        <v>21</v>
      </c>
      <c r="F3013" t="s">
        <v>29</v>
      </c>
      <c r="G3013" s="9">
        <v>45205</v>
      </c>
      <c r="H3013" s="9">
        <v>45209</v>
      </c>
      <c r="I3013">
        <v>15</v>
      </c>
      <c r="J3013" t="s">
        <v>32</v>
      </c>
      <c r="K3013">
        <v>6</v>
      </c>
      <c r="L3013">
        <v>6</v>
      </c>
      <c r="M3013" s="11">
        <v>5297.34</v>
      </c>
      <c r="N3013" s="12">
        <v>8841.07</v>
      </c>
      <c r="O3013" s="12">
        <v>12928.74</v>
      </c>
    </row>
    <row r="3014" spans="1:15">
      <c r="A3014" t="s">
        <v>3188</v>
      </c>
      <c r="B3014" t="s">
        <v>59</v>
      </c>
      <c r="C3014" s="9">
        <v>24107</v>
      </c>
      <c r="D3014">
        <v>60</v>
      </c>
      <c r="E3014" t="s">
        <v>21</v>
      </c>
      <c r="F3014" t="s">
        <v>74</v>
      </c>
      <c r="G3014" s="9">
        <v>45508</v>
      </c>
      <c r="H3014" s="9">
        <v>45237</v>
      </c>
      <c r="I3014">
        <v>15</v>
      </c>
      <c r="J3014" t="s">
        <v>26</v>
      </c>
      <c r="K3014">
        <v>5</v>
      </c>
      <c r="L3014">
        <v>5</v>
      </c>
      <c r="M3014" s="11">
        <v>12.66</v>
      </c>
      <c r="N3014" s="12">
        <v>1932.37</v>
      </c>
      <c r="O3014" s="12">
        <v>19250.96</v>
      </c>
    </row>
    <row r="3015" spans="1:15">
      <c r="A3015" t="s">
        <v>3189</v>
      </c>
      <c r="B3015" t="s">
        <v>338</v>
      </c>
      <c r="C3015" s="9">
        <f>DATE(2026-D2975,1,1)</f>
        <v>15707</v>
      </c>
      <c r="D3015">
        <v>40</v>
      </c>
      <c r="E3015" t="s">
        <v>21</v>
      </c>
      <c r="F3015" t="s">
        <v>22</v>
      </c>
      <c r="G3015" s="9">
        <v>45005</v>
      </c>
      <c r="H3015" s="9">
        <v>45682</v>
      </c>
      <c r="I3015">
        <v>0</v>
      </c>
      <c r="J3015" t="s">
        <v>32</v>
      </c>
      <c r="K3015">
        <v>9</v>
      </c>
      <c r="L3015">
        <v>1</v>
      </c>
      <c r="M3015" s="11">
        <v>10406.67</v>
      </c>
      <c r="N3015" s="12">
        <v>10858.94</v>
      </c>
      <c r="O3015" s="12">
        <v>3563.77</v>
      </c>
    </row>
    <row r="3016" spans="1:15">
      <c r="A3016" t="s">
        <v>3190</v>
      </c>
      <c r="B3016" t="s">
        <v>61</v>
      </c>
      <c r="C3016" s="9">
        <v>34334</v>
      </c>
      <c r="D3016">
        <v>32</v>
      </c>
      <c r="E3016" t="s">
        <v>21</v>
      </c>
      <c r="F3016" t="s">
        <v>29</v>
      </c>
      <c r="G3016" s="9">
        <v>45350</v>
      </c>
      <c r="H3016" s="9">
        <v>44978</v>
      </c>
      <c r="I3016">
        <v>2</v>
      </c>
      <c r="J3016" t="s">
        <v>26</v>
      </c>
      <c r="K3016">
        <v>12</v>
      </c>
      <c r="L3016">
        <v>7</v>
      </c>
      <c r="M3016" s="11">
        <v>10402.82</v>
      </c>
      <c r="N3016" s="12">
        <v>3189</v>
      </c>
      <c r="O3016" s="12">
        <v>13849.05</v>
      </c>
    </row>
    <row r="3017" spans="1:15">
      <c r="A3017" t="s">
        <v>3191</v>
      </c>
      <c r="B3017" t="s">
        <v>61</v>
      </c>
      <c r="C3017" s="9">
        <v>28125</v>
      </c>
      <c r="D3017">
        <v>49</v>
      </c>
      <c r="E3017" t="s">
        <v>21</v>
      </c>
      <c r="F3017" t="s">
        <v>74</v>
      </c>
      <c r="G3017" s="9">
        <v>45280</v>
      </c>
      <c r="H3017" s="9">
        <v>45422</v>
      </c>
      <c r="I3017">
        <v>30</v>
      </c>
      <c r="J3017" t="s">
        <v>26</v>
      </c>
      <c r="K3017">
        <v>10</v>
      </c>
      <c r="L3017">
        <v>4</v>
      </c>
      <c r="M3017" s="11">
        <v>21921.32</v>
      </c>
      <c r="N3017" s="12">
        <v>13657.2</v>
      </c>
      <c r="O3017" s="12">
        <v>16298.94</v>
      </c>
    </row>
    <row r="3018" spans="1:15">
      <c r="A3018" t="s">
        <v>3192</v>
      </c>
      <c r="B3018" t="s">
        <v>412</v>
      </c>
      <c r="C3018" s="9">
        <v>21551</v>
      </c>
      <c r="D3018">
        <v>67</v>
      </c>
      <c r="E3018" t="s">
        <v>21</v>
      </c>
      <c r="F3018" t="s">
        <v>25</v>
      </c>
      <c r="G3018" s="9">
        <v>45452</v>
      </c>
      <c r="H3018" s="9">
        <v>45336</v>
      </c>
      <c r="I3018">
        <v>4</v>
      </c>
      <c r="J3018" t="s">
        <v>32</v>
      </c>
      <c r="K3018">
        <v>10</v>
      </c>
      <c r="L3018">
        <v>5</v>
      </c>
      <c r="M3018" s="11">
        <v>27542.799999999999</v>
      </c>
      <c r="N3018" s="12">
        <v>13495.88</v>
      </c>
      <c r="O3018" s="12">
        <v>18232.490000000002</v>
      </c>
    </row>
    <row r="3019" spans="1:15">
      <c r="A3019" t="s">
        <v>3193</v>
      </c>
      <c r="B3019" t="s">
        <v>51</v>
      </c>
      <c r="C3019" s="9">
        <v>20455</v>
      </c>
      <c r="D3019">
        <v>70</v>
      </c>
      <c r="E3019" t="s">
        <v>17</v>
      </c>
      <c r="F3019" t="s">
        <v>74</v>
      </c>
      <c r="G3019" s="9">
        <v>45467</v>
      </c>
      <c r="H3019" s="9">
        <v>45553</v>
      </c>
      <c r="I3019">
        <v>7</v>
      </c>
      <c r="J3019" t="s">
        <v>26</v>
      </c>
      <c r="K3019">
        <v>14</v>
      </c>
      <c r="L3019">
        <v>7</v>
      </c>
      <c r="M3019" s="11">
        <v>10846.43</v>
      </c>
      <c r="N3019" s="12">
        <v>4404.0600000000004</v>
      </c>
      <c r="O3019" s="12">
        <v>10523.88</v>
      </c>
    </row>
    <row r="3020" spans="1:15">
      <c r="A3020" t="s">
        <v>3194</v>
      </c>
      <c r="B3020" t="s">
        <v>356</v>
      </c>
      <c r="C3020" s="9">
        <v>14976</v>
      </c>
      <c r="D3020">
        <v>85</v>
      </c>
      <c r="E3020" t="s">
        <v>17</v>
      </c>
      <c r="F3020" t="s">
        <v>74</v>
      </c>
      <c r="G3020" s="9">
        <v>45582</v>
      </c>
      <c r="H3020" s="9">
        <v>45200</v>
      </c>
      <c r="I3020">
        <v>5</v>
      </c>
      <c r="J3020" t="s">
        <v>26</v>
      </c>
      <c r="K3020">
        <v>13</v>
      </c>
      <c r="L3020">
        <v>6</v>
      </c>
      <c r="M3020" s="11">
        <v>0</v>
      </c>
      <c r="N3020" s="12">
        <v>1250.8</v>
      </c>
      <c r="O3020" s="12">
        <v>7198.44</v>
      </c>
    </row>
    <row r="3021" spans="1:15">
      <c r="A3021" t="s">
        <v>3195</v>
      </c>
      <c r="B3021" t="s">
        <v>244</v>
      </c>
      <c r="C3021" s="9">
        <v>34334</v>
      </c>
      <c r="D3021">
        <v>32</v>
      </c>
      <c r="E3021" t="s">
        <v>17</v>
      </c>
      <c r="F3021" t="s">
        <v>18</v>
      </c>
      <c r="G3021" s="9">
        <v>45403</v>
      </c>
      <c r="H3021" s="9">
        <v>45385</v>
      </c>
      <c r="I3021">
        <v>29</v>
      </c>
      <c r="J3021" t="s">
        <v>26</v>
      </c>
      <c r="K3021">
        <v>7</v>
      </c>
      <c r="L3021">
        <v>2</v>
      </c>
      <c r="M3021" s="11">
        <v>18864.62</v>
      </c>
      <c r="N3021" s="12">
        <v>9171.24</v>
      </c>
      <c r="O3021" s="12">
        <v>19102.759999999998</v>
      </c>
    </row>
    <row r="3022" spans="1:15">
      <c r="A3022" t="s">
        <v>3196</v>
      </c>
      <c r="B3022" t="s">
        <v>82</v>
      </c>
      <c r="C3022" s="9">
        <v>16802</v>
      </c>
      <c r="D3022">
        <v>80</v>
      </c>
      <c r="E3022" t="s">
        <v>21</v>
      </c>
      <c r="F3022" t="s">
        <v>18</v>
      </c>
      <c r="G3022" s="9">
        <v>44936</v>
      </c>
      <c r="H3022" s="9">
        <v>45047</v>
      </c>
      <c r="I3022">
        <v>20</v>
      </c>
      <c r="J3022" t="s">
        <v>26</v>
      </c>
      <c r="K3022">
        <v>2</v>
      </c>
      <c r="L3022">
        <v>1</v>
      </c>
      <c r="M3022" s="11">
        <v>12373.45</v>
      </c>
      <c r="N3022" s="12">
        <v>6726.22</v>
      </c>
      <c r="O3022" s="12">
        <v>15808.57</v>
      </c>
    </row>
    <row r="3023" spans="1:15">
      <c r="A3023" t="s">
        <v>3197</v>
      </c>
      <c r="B3023" t="s">
        <v>275</v>
      </c>
      <c r="C3023" s="9">
        <v>37622</v>
      </c>
      <c r="D3023">
        <v>23</v>
      </c>
      <c r="E3023" t="s">
        <v>17</v>
      </c>
      <c r="F3023" t="s">
        <v>22</v>
      </c>
      <c r="G3023" s="9">
        <v>45485</v>
      </c>
      <c r="H3023" s="9">
        <v>45628</v>
      </c>
      <c r="I3023">
        <v>14</v>
      </c>
      <c r="J3023" t="s">
        <v>32</v>
      </c>
      <c r="K3023">
        <v>13</v>
      </c>
      <c r="L3023">
        <v>2</v>
      </c>
      <c r="M3023" s="11">
        <v>1509.65</v>
      </c>
      <c r="N3023" s="12">
        <v>2155.63</v>
      </c>
      <c r="O3023" s="12">
        <v>9363.9599999999991</v>
      </c>
    </row>
    <row r="3024" spans="1:15">
      <c r="A3024" t="s">
        <v>3198</v>
      </c>
      <c r="B3024" t="s">
        <v>372</v>
      </c>
      <c r="C3024" s="9">
        <v>24107</v>
      </c>
      <c r="D3024">
        <v>60</v>
      </c>
      <c r="E3024" t="s">
        <v>5185</v>
      </c>
      <c r="F3024" t="s">
        <v>18</v>
      </c>
      <c r="G3024" s="9">
        <v>45429</v>
      </c>
      <c r="H3024" s="9">
        <v>44973</v>
      </c>
      <c r="I3024">
        <v>11</v>
      </c>
      <c r="J3024" t="s">
        <v>26</v>
      </c>
      <c r="K3024">
        <v>0</v>
      </c>
      <c r="L3024">
        <v>7</v>
      </c>
      <c r="M3024" s="11">
        <v>13940.67</v>
      </c>
      <c r="N3024" s="12">
        <v>7972.22</v>
      </c>
      <c r="O3024" s="12">
        <v>12988.44</v>
      </c>
    </row>
    <row r="3025" spans="1:15">
      <c r="A3025" t="s">
        <v>3199</v>
      </c>
      <c r="B3025" t="s">
        <v>664</v>
      </c>
      <c r="C3025" s="9">
        <v>24107</v>
      </c>
      <c r="D3025">
        <v>60</v>
      </c>
      <c r="E3025" t="s">
        <v>21</v>
      </c>
      <c r="F3025" t="s">
        <v>74</v>
      </c>
      <c r="G3025" s="9">
        <v>45186</v>
      </c>
      <c r="H3025" s="9">
        <v>45170</v>
      </c>
      <c r="I3025">
        <v>14</v>
      </c>
      <c r="J3025" t="s">
        <v>32</v>
      </c>
      <c r="K3025">
        <v>2</v>
      </c>
      <c r="L3025">
        <v>3</v>
      </c>
      <c r="M3025" s="11">
        <v>10301.23</v>
      </c>
      <c r="N3025" s="12">
        <v>14890.86</v>
      </c>
      <c r="O3025" s="12">
        <v>5499.4</v>
      </c>
    </row>
    <row r="3026" spans="1:15">
      <c r="A3026" t="s">
        <v>3200</v>
      </c>
      <c r="B3026" t="s">
        <v>207</v>
      </c>
      <c r="C3026" s="9">
        <v>36161</v>
      </c>
      <c r="D3026">
        <v>27</v>
      </c>
      <c r="E3026" t="s">
        <v>21</v>
      </c>
      <c r="F3026" t="s">
        <v>49</v>
      </c>
      <c r="G3026" s="9">
        <v>45450</v>
      </c>
      <c r="H3026" s="9">
        <v>45238</v>
      </c>
      <c r="I3026">
        <v>22</v>
      </c>
      <c r="J3026" t="s">
        <v>35</v>
      </c>
      <c r="K3026">
        <v>12</v>
      </c>
      <c r="L3026">
        <v>7</v>
      </c>
      <c r="M3026" s="11">
        <v>16280.93</v>
      </c>
      <c r="N3026" s="12">
        <v>1034.74</v>
      </c>
      <c r="O3026" s="12">
        <v>12258.32</v>
      </c>
    </row>
    <row r="3027" spans="1:15">
      <c r="A3027" t="s">
        <v>3201</v>
      </c>
      <c r="B3027" t="s">
        <v>133</v>
      </c>
      <c r="C3027" s="9">
        <v>25203</v>
      </c>
      <c r="D3027">
        <v>57</v>
      </c>
      <c r="E3027" t="s">
        <v>17</v>
      </c>
      <c r="F3027" t="s">
        <v>18</v>
      </c>
      <c r="G3027" s="9">
        <v>45522</v>
      </c>
      <c r="H3027" s="9">
        <v>45489</v>
      </c>
      <c r="I3027">
        <v>18</v>
      </c>
      <c r="J3027" t="s">
        <v>35</v>
      </c>
      <c r="K3027">
        <v>10</v>
      </c>
      <c r="L3027">
        <v>3</v>
      </c>
      <c r="M3027" s="11">
        <v>3324.61</v>
      </c>
      <c r="N3027" s="12">
        <v>3958.43</v>
      </c>
      <c r="O3027" s="12">
        <v>10754.6</v>
      </c>
    </row>
    <row r="3028" spans="1:15">
      <c r="A3028" t="s">
        <v>3202</v>
      </c>
      <c r="B3028" t="s">
        <v>63</v>
      </c>
      <c r="C3028" s="9">
        <v>30682</v>
      </c>
      <c r="D3028">
        <v>42</v>
      </c>
      <c r="E3028" t="s">
        <v>21</v>
      </c>
      <c r="F3028" t="s">
        <v>18</v>
      </c>
      <c r="G3028" s="9">
        <v>44932</v>
      </c>
      <c r="H3028" s="9">
        <v>45258</v>
      </c>
      <c r="I3028">
        <v>3</v>
      </c>
      <c r="J3028" t="s">
        <v>26</v>
      </c>
      <c r="K3028">
        <v>8</v>
      </c>
      <c r="L3028">
        <v>6</v>
      </c>
      <c r="M3028" s="11">
        <v>21589.31</v>
      </c>
      <c r="N3028" s="12">
        <v>8079.21</v>
      </c>
      <c r="O3028" s="12">
        <v>688.43</v>
      </c>
    </row>
    <row r="3029" spans="1:15">
      <c r="A3029" t="s">
        <v>3203</v>
      </c>
      <c r="B3029" t="s">
        <v>289</v>
      </c>
      <c r="C3029" s="9">
        <f>DATE(2026-D2989,1,1)</f>
        <v>39083</v>
      </c>
      <c r="D3029">
        <v>40</v>
      </c>
      <c r="E3029" t="s">
        <v>21</v>
      </c>
      <c r="F3029" t="s">
        <v>74</v>
      </c>
      <c r="G3029" s="9">
        <v>44961</v>
      </c>
      <c r="H3029" s="9">
        <v>44938</v>
      </c>
      <c r="I3029">
        <v>17</v>
      </c>
      <c r="J3029" t="s">
        <v>32</v>
      </c>
      <c r="K3029">
        <v>9</v>
      </c>
      <c r="L3029">
        <v>5</v>
      </c>
      <c r="M3029" s="11">
        <v>23526.39</v>
      </c>
      <c r="N3029" s="12">
        <v>11900.42</v>
      </c>
      <c r="O3029" s="12">
        <v>17301.53</v>
      </c>
    </row>
    <row r="3030" spans="1:15">
      <c r="A3030" t="s">
        <v>3204</v>
      </c>
      <c r="B3030" t="s">
        <v>261</v>
      </c>
      <c r="C3030" s="9">
        <v>32143</v>
      </c>
      <c r="D3030">
        <v>38</v>
      </c>
      <c r="E3030" t="s">
        <v>17</v>
      </c>
      <c r="F3030" t="s">
        <v>25</v>
      </c>
      <c r="G3030" s="9">
        <v>45101</v>
      </c>
      <c r="H3030" s="9">
        <v>45351</v>
      </c>
      <c r="I3030">
        <v>17</v>
      </c>
      <c r="J3030" t="s">
        <v>32</v>
      </c>
      <c r="K3030">
        <v>12</v>
      </c>
      <c r="L3030">
        <v>9</v>
      </c>
      <c r="M3030" s="11">
        <v>11348.08</v>
      </c>
      <c r="N3030" s="12">
        <v>281.42</v>
      </c>
      <c r="O3030" s="12">
        <v>9752.86</v>
      </c>
    </row>
    <row r="3031" spans="1:15">
      <c r="A3031" t="s">
        <v>3205</v>
      </c>
      <c r="B3031" t="s">
        <v>123</v>
      </c>
      <c r="C3031" s="9">
        <v>14976</v>
      </c>
      <c r="D3031">
        <v>85</v>
      </c>
      <c r="E3031" t="s">
        <v>17</v>
      </c>
      <c r="F3031" t="s">
        <v>25</v>
      </c>
      <c r="G3031" s="9">
        <v>45368</v>
      </c>
      <c r="H3031" s="9">
        <v>44975</v>
      </c>
      <c r="I3031">
        <v>23</v>
      </c>
      <c r="J3031" t="s">
        <v>32</v>
      </c>
      <c r="K3031">
        <v>1</v>
      </c>
      <c r="L3031">
        <v>0</v>
      </c>
      <c r="M3031" s="11">
        <v>4845.91</v>
      </c>
      <c r="N3031" s="12">
        <v>10991.4</v>
      </c>
      <c r="O3031" s="12">
        <v>9542.7099999999991</v>
      </c>
    </row>
    <row r="3032" spans="1:15">
      <c r="A3032" t="s">
        <v>3206</v>
      </c>
      <c r="B3032" t="s">
        <v>93</v>
      </c>
      <c r="C3032" s="9">
        <v>28490</v>
      </c>
      <c r="D3032">
        <v>48</v>
      </c>
      <c r="E3032" t="s">
        <v>21</v>
      </c>
      <c r="F3032" t="s">
        <v>29</v>
      </c>
      <c r="G3032" s="9">
        <v>45503</v>
      </c>
      <c r="H3032" s="9">
        <v>45304</v>
      </c>
      <c r="I3032">
        <v>29</v>
      </c>
      <c r="J3032" t="s">
        <v>32</v>
      </c>
      <c r="K3032">
        <v>0</v>
      </c>
      <c r="L3032">
        <v>7</v>
      </c>
      <c r="M3032" s="11">
        <v>18519.13</v>
      </c>
      <c r="N3032" s="12">
        <v>2098.25</v>
      </c>
      <c r="O3032" s="12">
        <v>5596.94</v>
      </c>
    </row>
    <row r="3033" spans="1:15">
      <c r="A3033" t="s">
        <v>3207</v>
      </c>
      <c r="B3033" t="s">
        <v>664</v>
      </c>
      <c r="C3033" s="9">
        <v>40178</v>
      </c>
      <c r="D3033">
        <v>16</v>
      </c>
      <c r="E3033" t="s">
        <v>17</v>
      </c>
      <c r="F3033" t="s">
        <v>22</v>
      </c>
      <c r="G3033" s="9">
        <v>45073</v>
      </c>
      <c r="H3033" s="9">
        <v>45495</v>
      </c>
      <c r="I3033">
        <v>5</v>
      </c>
      <c r="J3033" t="s">
        <v>35</v>
      </c>
      <c r="K3033">
        <v>0</v>
      </c>
      <c r="L3033">
        <v>5</v>
      </c>
      <c r="M3033" s="11">
        <v>28652.27</v>
      </c>
      <c r="N3033" s="12">
        <v>12460.19</v>
      </c>
      <c r="O3033" s="12">
        <v>3847.39</v>
      </c>
    </row>
    <row r="3034" spans="1:15">
      <c r="A3034" t="s">
        <v>3208</v>
      </c>
      <c r="B3034" t="s">
        <v>67</v>
      </c>
      <c r="C3034" s="9">
        <v>20820</v>
      </c>
      <c r="D3034">
        <v>69</v>
      </c>
      <c r="E3034" t="s">
        <v>17</v>
      </c>
      <c r="F3034" t="s">
        <v>25</v>
      </c>
      <c r="G3034" s="9">
        <v>45495</v>
      </c>
      <c r="H3034" s="9">
        <v>44935</v>
      </c>
      <c r="I3034">
        <v>26</v>
      </c>
      <c r="J3034" t="s">
        <v>32</v>
      </c>
      <c r="K3034">
        <v>12</v>
      </c>
      <c r="L3034">
        <v>1</v>
      </c>
      <c r="M3034" s="11">
        <v>20865.349999999999</v>
      </c>
      <c r="N3034" s="12">
        <v>10382.64</v>
      </c>
      <c r="O3034" s="12">
        <v>5756.57</v>
      </c>
    </row>
    <row r="3035" spans="1:15">
      <c r="A3035" t="s">
        <v>3209</v>
      </c>
      <c r="B3035" t="s">
        <v>292</v>
      </c>
      <c r="C3035" s="9">
        <v>20820</v>
      </c>
      <c r="D3035">
        <v>69</v>
      </c>
      <c r="E3035" t="s">
        <v>21</v>
      </c>
      <c r="F3035" t="s">
        <v>18</v>
      </c>
      <c r="G3035" s="9">
        <v>45119</v>
      </c>
      <c r="H3035" s="9">
        <v>45453</v>
      </c>
      <c r="I3035">
        <v>14</v>
      </c>
      <c r="J3035" t="s">
        <v>32</v>
      </c>
      <c r="K3035">
        <v>6</v>
      </c>
      <c r="L3035">
        <v>4</v>
      </c>
      <c r="M3035" s="11">
        <v>3266.21</v>
      </c>
      <c r="N3035" s="12">
        <v>6847.67</v>
      </c>
      <c r="O3035" s="12">
        <v>12964.61</v>
      </c>
    </row>
    <row r="3036" spans="1:15">
      <c r="A3036" t="s">
        <v>3210</v>
      </c>
      <c r="B3036" t="s">
        <v>578</v>
      </c>
      <c r="C3036" s="9">
        <v>22646</v>
      </c>
      <c r="D3036">
        <v>64</v>
      </c>
      <c r="E3036" t="s">
        <v>17</v>
      </c>
      <c r="F3036" t="s">
        <v>49</v>
      </c>
      <c r="G3036" s="9">
        <v>44939</v>
      </c>
      <c r="H3036" s="9">
        <v>45654</v>
      </c>
      <c r="I3036">
        <v>15</v>
      </c>
      <c r="J3036" t="s">
        <v>35</v>
      </c>
      <c r="K3036">
        <v>11</v>
      </c>
      <c r="L3036">
        <v>1</v>
      </c>
      <c r="M3036" s="11">
        <v>11615.21</v>
      </c>
      <c r="N3036" s="12">
        <v>12323.75</v>
      </c>
      <c r="O3036" s="12">
        <v>1862.75</v>
      </c>
    </row>
    <row r="3037" spans="1:15">
      <c r="A3037" t="s">
        <v>3211</v>
      </c>
      <c r="B3037" t="s">
        <v>51</v>
      </c>
      <c r="C3037" s="9">
        <v>19359</v>
      </c>
      <c r="D3037">
        <v>73</v>
      </c>
      <c r="E3037" t="s">
        <v>21</v>
      </c>
      <c r="F3037" t="s">
        <v>29</v>
      </c>
      <c r="G3037" s="9">
        <v>45456</v>
      </c>
      <c r="H3037" s="9">
        <v>45297</v>
      </c>
      <c r="I3037">
        <v>37</v>
      </c>
      <c r="J3037" t="s">
        <v>26</v>
      </c>
      <c r="K3037">
        <v>3</v>
      </c>
      <c r="L3037">
        <v>9</v>
      </c>
      <c r="M3037" s="11">
        <v>27418.75</v>
      </c>
      <c r="N3037" s="12">
        <v>10995.73</v>
      </c>
      <c r="O3037" s="12">
        <v>6590.57</v>
      </c>
    </row>
    <row r="3038" spans="1:15">
      <c r="A3038" t="s">
        <v>3212</v>
      </c>
      <c r="B3038" t="s">
        <v>80</v>
      </c>
      <c r="C3038" s="9">
        <v>15341</v>
      </c>
      <c r="D3038">
        <v>84</v>
      </c>
      <c r="E3038" t="s">
        <v>21</v>
      </c>
      <c r="F3038" t="s">
        <v>22</v>
      </c>
      <c r="G3038" s="9">
        <v>45172</v>
      </c>
      <c r="H3038" s="9">
        <v>45367</v>
      </c>
      <c r="I3038">
        <v>15</v>
      </c>
      <c r="J3038" t="s">
        <v>32</v>
      </c>
      <c r="K3038">
        <v>10</v>
      </c>
      <c r="L3038">
        <v>6</v>
      </c>
      <c r="M3038" s="11">
        <v>18849.89</v>
      </c>
      <c r="N3038" s="12">
        <v>11387.76</v>
      </c>
      <c r="O3038" s="12">
        <v>19572.68</v>
      </c>
    </row>
    <row r="3039" spans="1:15">
      <c r="A3039" t="s">
        <v>3213</v>
      </c>
      <c r="B3039" t="s">
        <v>41</v>
      </c>
      <c r="C3039" s="9">
        <v>44561</v>
      </c>
      <c r="D3039">
        <v>4</v>
      </c>
      <c r="E3039" t="s">
        <v>17</v>
      </c>
      <c r="F3039" t="s">
        <v>49</v>
      </c>
      <c r="G3039" s="9">
        <v>45601</v>
      </c>
      <c r="H3039" s="9">
        <v>45684</v>
      </c>
      <c r="I3039">
        <v>8</v>
      </c>
      <c r="J3039" t="s">
        <v>26</v>
      </c>
      <c r="K3039">
        <v>12</v>
      </c>
      <c r="L3039">
        <v>9</v>
      </c>
      <c r="M3039" s="11">
        <v>3988.14</v>
      </c>
      <c r="N3039" s="12">
        <v>4351.1099999999997</v>
      </c>
      <c r="O3039" s="12">
        <v>5357.72</v>
      </c>
    </row>
    <row r="3040" spans="1:15">
      <c r="A3040" t="s">
        <v>3214</v>
      </c>
      <c r="B3040" t="s">
        <v>172</v>
      </c>
      <c r="C3040" s="9">
        <v>45657</v>
      </c>
      <c r="D3040">
        <v>1</v>
      </c>
      <c r="E3040" t="s">
        <v>21</v>
      </c>
      <c r="F3040" t="s">
        <v>49</v>
      </c>
      <c r="G3040" s="9">
        <v>45040</v>
      </c>
      <c r="H3040" s="9">
        <v>45493</v>
      </c>
      <c r="I3040">
        <v>9</v>
      </c>
      <c r="J3040" t="s">
        <v>32</v>
      </c>
      <c r="K3040">
        <v>4</v>
      </c>
      <c r="L3040">
        <v>5</v>
      </c>
      <c r="M3040" s="11">
        <v>21600.06</v>
      </c>
      <c r="N3040" s="12">
        <v>9291.2800000000007</v>
      </c>
      <c r="O3040" s="12">
        <v>19329.77</v>
      </c>
    </row>
    <row r="3041" spans="1:15">
      <c r="A3041" t="s">
        <v>3215</v>
      </c>
      <c r="B3041" t="s">
        <v>65</v>
      </c>
      <c r="C3041" s="9">
        <v>38352</v>
      </c>
      <c r="D3041">
        <v>21</v>
      </c>
      <c r="E3041" t="s">
        <v>21</v>
      </c>
      <c r="F3041" t="s">
        <v>18</v>
      </c>
      <c r="G3041" s="9">
        <v>45159</v>
      </c>
      <c r="H3041" s="9">
        <v>45411</v>
      </c>
      <c r="I3041">
        <v>12</v>
      </c>
      <c r="J3041" t="s">
        <v>32</v>
      </c>
      <c r="K3041">
        <v>6</v>
      </c>
      <c r="L3041">
        <v>6</v>
      </c>
      <c r="M3041" s="11">
        <v>10282.32</v>
      </c>
      <c r="N3041" s="12">
        <v>2116.59</v>
      </c>
      <c r="O3041" s="12">
        <v>2006.7</v>
      </c>
    </row>
    <row r="3042" spans="1:15">
      <c r="A3042" t="s">
        <v>3216</v>
      </c>
      <c r="B3042" t="s">
        <v>372</v>
      </c>
      <c r="C3042" s="9">
        <v>25568</v>
      </c>
      <c r="D3042">
        <v>56</v>
      </c>
      <c r="E3042" t="s">
        <v>21</v>
      </c>
      <c r="F3042" t="s">
        <v>74</v>
      </c>
      <c r="G3042" s="9">
        <v>45604</v>
      </c>
      <c r="H3042" s="9">
        <v>45200</v>
      </c>
      <c r="I3042">
        <v>23</v>
      </c>
      <c r="J3042" t="s">
        <v>32</v>
      </c>
      <c r="K3042">
        <v>5</v>
      </c>
      <c r="L3042">
        <v>5</v>
      </c>
      <c r="M3042" s="11">
        <v>14430.8</v>
      </c>
      <c r="N3042" s="12">
        <v>12312.91</v>
      </c>
      <c r="O3042" s="12">
        <v>15859.1</v>
      </c>
    </row>
    <row r="3043" spans="1:15">
      <c r="A3043" t="s">
        <v>3217</v>
      </c>
      <c r="B3043" t="s">
        <v>252</v>
      </c>
      <c r="C3043" s="9">
        <v>22281</v>
      </c>
      <c r="D3043">
        <v>65</v>
      </c>
      <c r="E3043" t="s">
        <v>17</v>
      </c>
      <c r="F3043" t="s">
        <v>74</v>
      </c>
      <c r="G3043" s="9">
        <v>45248</v>
      </c>
      <c r="H3043" s="9">
        <v>45058</v>
      </c>
      <c r="I3043">
        <v>0</v>
      </c>
      <c r="J3043" t="s">
        <v>32</v>
      </c>
      <c r="K3043">
        <v>5</v>
      </c>
      <c r="L3043">
        <v>9</v>
      </c>
      <c r="M3043" s="11">
        <v>0</v>
      </c>
      <c r="N3043" s="12">
        <v>7901.13</v>
      </c>
      <c r="O3043" s="12">
        <v>8738.74</v>
      </c>
    </row>
    <row r="3044" spans="1:15">
      <c r="A3044" t="s">
        <v>3218</v>
      </c>
      <c r="B3044" t="s">
        <v>392</v>
      </c>
      <c r="C3044" s="9">
        <v>19359</v>
      </c>
      <c r="D3044">
        <v>73</v>
      </c>
      <c r="E3044" t="s">
        <v>17</v>
      </c>
      <c r="F3044" t="s">
        <v>74</v>
      </c>
      <c r="G3044" s="9">
        <v>45464</v>
      </c>
      <c r="H3044" s="9">
        <v>45448</v>
      </c>
      <c r="I3044">
        <v>0</v>
      </c>
      <c r="J3044" t="s">
        <v>32</v>
      </c>
      <c r="K3044">
        <v>10</v>
      </c>
      <c r="L3044">
        <v>0</v>
      </c>
      <c r="M3044" s="11">
        <v>0</v>
      </c>
      <c r="N3044" s="12">
        <v>12373.25</v>
      </c>
      <c r="O3044" s="12">
        <v>3815.82</v>
      </c>
    </row>
    <row r="3045" spans="1:15">
      <c r="A3045" t="s">
        <v>3219</v>
      </c>
      <c r="B3045" t="s">
        <v>89</v>
      </c>
      <c r="C3045" s="9">
        <v>40544</v>
      </c>
      <c r="D3045">
        <v>15</v>
      </c>
      <c r="E3045" t="s">
        <v>21</v>
      </c>
      <c r="F3045" t="s">
        <v>25</v>
      </c>
      <c r="G3045" s="9">
        <v>45052</v>
      </c>
      <c r="H3045" s="9">
        <v>45651</v>
      </c>
      <c r="I3045">
        <v>35</v>
      </c>
      <c r="J3045" t="s">
        <v>26</v>
      </c>
      <c r="K3045">
        <v>11</v>
      </c>
      <c r="L3045">
        <v>2</v>
      </c>
      <c r="M3045" s="11">
        <v>6146.14</v>
      </c>
      <c r="N3045" s="12">
        <v>3167.35</v>
      </c>
      <c r="O3045" s="12">
        <v>15727.19</v>
      </c>
    </row>
    <row r="3046" spans="1:15">
      <c r="A3046" t="s">
        <v>3220</v>
      </c>
      <c r="B3046" t="s">
        <v>309</v>
      </c>
      <c r="C3046" s="9">
        <v>27760</v>
      </c>
      <c r="D3046">
        <v>50</v>
      </c>
      <c r="E3046" t="s">
        <v>17</v>
      </c>
      <c r="F3046" t="s">
        <v>74</v>
      </c>
      <c r="G3046" s="9">
        <v>45239</v>
      </c>
      <c r="H3046" s="9">
        <v>45561</v>
      </c>
      <c r="I3046">
        <v>32</v>
      </c>
      <c r="J3046" t="s">
        <v>32</v>
      </c>
      <c r="K3046">
        <v>5</v>
      </c>
      <c r="L3046">
        <v>9</v>
      </c>
      <c r="M3046" s="11">
        <v>11345.28</v>
      </c>
      <c r="N3046" s="12">
        <v>1955.12</v>
      </c>
      <c r="O3046" s="12">
        <v>40.31</v>
      </c>
    </row>
    <row r="3047" spans="1:15">
      <c r="A3047" t="s">
        <v>3221</v>
      </c>
      <c r="B3047" t="s">
        <v>681</v>
      </c>
      <c r="C3047" s="9">
        <v>32143</v>
      </c>
      <c r="D3047">
        <v>38</v>
      </c>
      <c r="E3047" t="s">
        <v>21</v>
      </c>
      <c r="F3047" t="s">
        <v>22</v>
      </c>
      <c r="G3047" s="9">
        <v>45437</v>
      </c>
      <c r="H3047" s="9">
        <v>45041</v>
      </c>
      <c r="I3047">
        <v>6</v>
      </c>
      <c r="J3047" t="s">
        <v>26</v>
      </c>
      <c r="K3047">
        <v>10</v>
      </c>
      <c r="L3047">
        <v>1</v>
      </c>
      <c r="M3047" s="11">
        <v>22208.639999999999</v>
      </c>
      <c r="N3047" s="12">
        <v>10334.530000000001</v>
      </c>
      <c r="O3047" s="12">
        <v>6877.52</v>
      </c>
    </row>
    <row r="3048" spans="1:15">
      <c r="A3048" t="s">
        <v>3222</v>
      </c>
      <c r="B3048" t="s">
        <v>302</v>
      </c>
      <c r="C3048" s="9">
        <v>14976</v>
      </c>
      <c r="D3048">
        <v>85</v>
      </c>
      <c r="E3048" t="s">
        <v>17</v>
      </c>
      <c r="F3048" t="s">
        <v>18</v>
      </c>
      <c r="G3048" s="9">
        <v>45410</v>
      </c>
      <c r="H3048" s="9">
        <v>45459</v>
      </c>
      <c r="I3048">
        <v>37</v>
      </c>
      <c r="J3048" t="s">
        <v>32</v>
      </c>
      <c r="K3048">
        <v>9</v>
      </c>
      <c r="L3048">
        <v>0</v>
      </c>
      <c r="M3048" s="11">
        <v>20995.88</v>
      </c>
      <c r="N3048" s="12">
        <v>875.96</v>
      </c>
      <c r="O3048" s="12">
        <v>12057.63</v>
      </c>
    </row>
    <row r="3049" spans="1:15">
      <c r="A3049" t="s">
        <v>3223</v>
      </c>
      <c r="B3049" t="s">
        <v>278</v>
      </c>
      <c r="C3049" s="9">
        <v>18629</v>
      </c>
      <c r="D3049">
        <v>75</v>
      </c>
      <c r="E3049" t="s">
        <v>21</v>
      </c>
      <c r="F3049" t="s">
        <v>25</v>
      </c>
      <c r="G3049" s="9">
        <v>45207</v>
      </c>
      <c r="H3049" s="9">
        <v>45426</v>
      </c>
      <c r="I3049">
        <v>1</v>
      </c>
      <c r="J3049" t="s">
        <v>32</v>
      </c>
      <c r="K3049">
        <v>14</v>
      </c>
      <c r="L3049">
        <v>0</v>
      </c>
      <c r="M3049" s="11">
        <v>5653.2</v>
      </c>
      <c r="N3049" s="12">
        <v>3659.79</v>
      </c>
      <c r="O3049" s="12">
        <v>4542.5</v>
      </c>
    </row>
    <row r="3050" spans="1:15">
      <c r="A3050" t="s">
        <v>3224</v>
      </c>
      <c r="B3050" t="s">
        <v>103</v>
      </c>
      <c r="C3050" s="9">
        <v>14246</v>
      </c>
      <c r="D3050">
        <v>87</v>
      </c>
      <c r="E3050" t="s">
        <v>17</v>
      </c>
      <c r="F3050" t="s">
        <v>22</v>
      </c>
      <c r="G3050" s="9">
        <v>45209</v>
      </c>
      <c r="H3050" s="9">
        <v>45266</v>
      </c>
      <c r="I3050">
        <v>17</v>
      </c>
      <c r="J3050" t="s">
        <v>32</v>
      </c>
      <c r="K3050">
        <v>9</v>
      </c>
      <c r="L3050">
        <v>3</v>
      </c>
      <c r="M3050" s="11">
        <v>10195.25</v>
      </c>
      <c r="N3050" s="12">
        <v>13630.7</v>
      </c>
      <c r="O3050" s="12">
        <v>6583.92</v>
      </c>
    </row>
    <row r="3051" spans="1:15">
      <c r="A3051" t="s">
        <v>3225</v>
      </c>
      <c r="B3051" t="s">
        <v>246</v>
      </c>
      <c r="C3051" s="9">
        <v>31778</v>
      </c>
      <c r="D3051">
        <v>39</v>
      </c>
      <c r="E3051" t="s">
        <v>5185</v>
      </c>
      <c r="F3051" t="s">
        <v>74</v>
      </c>
      <c r="G3051" s="9">
        <v>45577</v>
      </c>
      <c r="H3051" s="9">
        <v>44948</v>
      </c>
      <c r="I3051">
        <v>12</v>
      </c>
      <c r="J3051" t="s">
        <v>32</v>
      </c>
      <c r="K3051">
        <v>5</v>
      </c>
      <c r="L3051">
        <v>0</v>
      </c>
      <c r="M3051" s="11">
        <v>0</v>
      </c>
      <c r="N3051" s="12">
        <v>1991.37</v>
      </c>
      <c r="O3051" s="12">
        <v>1738.21</v>
      </c>
    </row>
    <row r="3052" spans="1:15">
      <c r="A3052" t="s">
        <v>3226</v>
      </c>
      <c r="B3052" t="s">
        <v>184</v>
      </c>
      <c r="C3052" s="9">
        <v>32508</v>
      </c>
      <c r="D3052">
        <v>37</v>
      </c>
      <c r="E3052" t="s">
        <v>17</v>
      </c>
      <c r="F3052" t="s">
        <v>22</v>
      </c>
      <c r="G3052" s="9">
        <v>45539</v>
      </c>
      <c r="H3052" s="9">
        <v>45647</v>
      </c>
      <c r="I3052">
        <v>26</v>
      </c>
      <c r="J3052" t="s">
        <v>35</v>
      </c>
      <c r="K3052">
        <v>6</v>
      </c>
      <c r="L3052">
        <v>1</v>
      </c>
      <c r="M3052" s="11">
        <v>15670.26</v>
      </c>
      <c r="N3052" s="12">
        <v>5633.34</v>
      </c>
      <c r="O3052" s="12">
        <v>17049.57</v>
      </c>
    </row>
    <row r="3053" spans="1:15">
      <c r="A3053" t="s">
        <v>3227</v>
      </c>
      <c r="B3053" t="s">
        <v>87</v>
      </c>
      <c r="C3053" s="9">
        <v>24473</v>
      </c>
      <c r="D3053">
        <v>59</v>
      </c>
      <c r="E3053" t="s">
        <v>21</v>
      </c>
      <c r="F3053" t="s">
        <v>49</v>
      </c>
      <c r="G3053" s="9">
        <v>45318</v>
      </c>
      <c r="H3053" s="9">
        <v>44960</v>
      </c>
      <c r="I3053">
        <v>2</v>
      </c>
      <c r="J3053" t="s">
        <v>32</v>
      </c>
      <c r="K3053">
        <v>1</v>
      </c>
      <c r="L3053">
        <v>0</v>
      </c>
      <c r="M3053" s="11">
        <v>8068.71</v>
      </c>
      <c r="N3053" s="12">
        <v>14183.74</v>
      </c>
      <c r="O3053" s="12">
        <v>8385.5400000000009</v>
      </c>
    </row>
    <row r="3054" spans="1:15">
      <c r="A3054" t="s">
        <v>3228</v>
      </c>
      <c r="B3054" t="s">
        <v>97</v>
      </c>
      <c r="C3054" s="9">
        <v>24838</v>
      </c>
      <c r="D3054">
        <v>58</v>
      </c>
      <c r="E3054" t="s">
        <v>17</v>
      </c>
      <c r="F3054" t="s">
        <v>18</v>
      </c>
      <c r="G3054" s="9">
        <v>45449</v>
      </c>
      <c r="H3054" s="9">
        <v>45060</v>
      </c>
      <c r="I3054">
        <v>36</v>
      </c>
      <c r="J3054" t="s">
        <v>32</v>
      </c>
      <c r="K3054">
        <v>11</v>
      </c>
      <c r="L3054">
        <v>5</v>
      </c>
      <c r="M3054" s="11">
        <v>138.09</v>
      </c>
      <c r="N3054" s="12">
        <v>300.05</v>
      </c>
      <c r="O3054" s="12">
        <v>2820.43</v>
      </c>
    </row>
    <row r="3055" spans="1:15">
      <c r="A3055" t="s">
        <v>3229</v>
      </c>
      <c r="B3055" t="s">
        <v>300</v>
      </c>
      <c r="C3055" s="9">
        <v>42735</v>
      </c>
      <c r="D3055">
        <v>9</v>
      </c>
      <c r="E3055" t="s">
        <v>21</v>
      </c>
      <c r="F3055" t="s">
        <v>18</v>
      </c>
      <c r="G3055" s="9">
        <v>45308</v>
      </c>
      <c r="H3055" s="9">
        <v>45630</v>
      </c>
      <c r="I3055">
        <v>37</v>
      </c>
      <c r="J3055" t="s">
        <v>32</v>
      </c>
      <c r="K3055">
        <v>1</v>
      </c>
      <c r="L3055">
        <v>3</v>
      </c>
      <c r="M3055" s="11">
        <v>12453.5</v>
      </c>
      <c r="N3055" s="12">
        <v>6679.73</v>
      </c>
      <c r="O3055" s="12">
        <v>3901.79</v>
      </c>
    </row>
    <row r="3056" spans="1:15">
      <c r="A3056" t="s">
        <v>3230</v>
      </c>
      <c r="B3056" t="s">
        <v>78</v>
      </c>
      <c r="C3056" s="9">
        <v>23012</v>
      </c>
      <c r="D3056">
        <v>63</v>
      </c>
      <c r="E3056" t="s">
        <v>17</v>
      </c>
      <c r="F3056" t="s">
        <v>22</v>
      </c>
      <c r="G3056" s="9">
        <v>45142</v>
      </c>
      <c r="H3056" s="9">
        <v>44953</v>
      </c>
      <c r="I3056">
        <v>4</v>
      </c>
      <c r="J3056" t="s">
        <v>35</v>
      </c>
      <c r="K3056">
        <v>13</v>
      </c>
      <c r="L3056">
        <v>7</v>
      </c>
      <c r="M3056" s="11">
        <v>27769.53</v>
      </c>
      <c r="N3056" s="12">
        <v>11796.89</v>
      </c>
      <c r="O3056" s="12">
        <v>5430.85</v>
      </c>
    </row>
    <row r="3057" spans="1:15">
      <c r="A3057" t="s">
        <v>3231</v>
      </c>
      <c r="B3057" t="s">
        <v>127</v>
      </c>
      <c r="C3057" s="9">
        <v>23377</v>
      </c>
      <c r="D3057">
        <v>62</v>
      </c>
      <c r="E3057" t="s">
        <v>21</v>
      </c>
      <c r="F3057" t="s">
        <v>29</v>
      </c>
      <c r="G3057" s="9">
        <v>45468</v>
      </c>
      <c r="H3057" s="9">
        <v>45291</v>
      </c>
      <c r="I3057">
        <v>5</v>
      </c>
      <c r="J3057" t="s">
        <v>32</v>
      </c>
      <c r="K3057">
        <v>1</v>
      </c>
      <c r="L3057">
        <v>4</v>
      </c>
      <c r="M3057" s="11">
        <v>27663.74</v>
      </c>
      <c r="N3057" s="12">
        <v>13634.71</v>
      </c>
      <c r="O3057" s="12">
        <v>4512.28</v>
      </c>
    </row>
    <row r="3058" spans="1:15">
      <c r="A3058" t="s">
        <v>3232</v>
      </c>
      <c r="B3058" t="s">
        <v>328</v>
      </c>
      <c r="C3058" s="9">
        <v>28490</v>
      </c>
      <c r="D3058">
        <v>48</v>
      </c>
      <c r="E3058" t="s">
        <v>21</v>
      </c>
      <c r="F3058" t="s">
        <v>18</v>
      </c>
      <c r="G3058" s="9">
        <v>45532</v>
      </c>
      <c r="H3058" s="9">
        <v>45528</v>
      </c>
      <c r="I3058">
        <v>29</v>
      </c>
      <c r="J3058" t="s">
        <v>35</v>
      </c>
      <c r="K3058">
        <v>6</v>
      </c>
      <c r="L3058">
        <v>9</v>
      </c>
      <c r="M3058" s="11">
        <v>10849.14</v>
      </c>
      <c r="N3058" s="12">
        <v>11033.65</v>
      </c>
      <c r="O3058" s="12">
        <v>10016.469999999999</v>
      </c>
    </row>
    <row r="3059" spans="1:15">
      <c r="A3059" t="s">
        <v>3233</v>
      </c>
      <c r="B3059" t="s">
        <v>292</v>
      </c>
      <c r="C3059" s="9">
        <v>23012</v>
      </c>
      <c r="D3059">
        <v>63</v>
      </c>
      <c r="E3059" t="s">
        <v>21</v>
      </c>
      <c r="F3059" t="s">
        <v>49</v>
      </c>
      <c r="G3059" s="9">
        <v>45042</v>
      </c>
      <c r="H3059" s="9">
        <v>45019</v>
      </c>
      <c r="I3059">
        <v>33</v>
      </c>
      <c r="J3059" t="s">
        <v>35</v>
      </c>
      <c r="K3059">
        <v>0</v>
      </c>
      <c r="L3059">
        <v>4</v>
      </c>
      <c r="M3059" s="11">
        <v>13199.93</v>
      </c>
      <c r="N3059" s="12">
        <v>13325.88</v>
      </c>
      <c r="O3059" s="12">
        <v>18094.89</v>
      </c>
    </row>
    <row r="3060" spans="1:15">
      <c r="A3060" t="s">
        <v>3234</v>
      </c>
      <c r="B3060" t="s">
        <v>392</v>
      </c>
      <c r="C3060" s="9">
        <f>DATE(2026-D3020,1,1)</f>
        <v>14977</v>
      </c>
      <c r="D3060">
        <v>31</v>
      </c>
      <c r="E3060" t="s">
        <v>21</v>
      </c>
      <c r="F3060" t="s">
        <v>18</v>
      </c>
      <c r="G3060" s="9">
        <v>45435</v>
      </c>
      <c r="H3060" s="9">
        <v>45472</v>
      </c>
      <c r="I3060">
        <v>30</v>
      </c>
      <c r="J3060" t="s">
        <v>32</v>
      </c>
      <c r="K3060">
        <v>5</v>
      </c>
      <c r="L3060">
        <v>7</v>
      </c>
      <c r="M3060" s="11">
        <v>6901.78</v>
      </c>
      <c r="N3060" s="12">
        <v>515.52</v>
      </c>
      <c r="O3060" s="12">
        <v>3596.69</v>
      </c>
    </row>
    <row r="3061" spans="1:15">
      <c r="A3061" t="s">
        <v>3235</v>
      </c>
      <c r="B3061" t="s">
        <v>286</v>
      </c>
      <c r="C3061" s="9">
        <v>43831</v>
      </c>
      <c r="D3061">
        <v>6</v>
      </c>
      <c r="E3061" t="s">
        <v>17</v>
      </c>
      <c r="F3061" t="s">
        <v>29</v>
      </c>
      <c r="G3061" s="9">
        <v>45426</v>
      </c>
      <c r="H3061" s="9">
        <v>45165</v>
      </c>
      <c r="I3061">
        <v>34</v>
      </c>
      <c r="J3061" t="s">
        <v>35</v>
      </c>
      <c r="K3061">
        <v>4</v>
      </c>
      <c r="L3061">
        <v>9</v>
      </c>
      <c r="M3061" s="11">
        <v>1583.39</v>
      </c>
      <c r="N3061" s="12">
        <v>1498.14</v>
      </c>
      <c r="O3061" s="12">
        <v>9014.27</v>
      </c>
    </row>
    <row r="3062" spans="1:15">
      <c r="A3062" t="s">
        <v>3236</v>
      </c>
      <c r="B3062" t="s">
        <v>133</v>
      </c>
      <c r="C3062" s="9">
        <v>38717</v>
      </c>
      <c r="D3062">
        <v>20</v>
      </c>
      <c r="E3062" t="s">
        <v>17</v>
      </c>
      <c r="F3062" t="s">
        <v>18</v>
      </c>
      <c r="G3062" s="9">
        <v>45197</v>
      </c>
      <c r="H3062" s="9">
        <v>44945</v>
      </c>
      <c r="I3062">
        <v>29</v>
      </c>
      <c r="J3062" t="s">
        <v>32</v>
      </c>
      <c r="K3062">
        <v>9</v>
      </c>
      <c r="L3062">
        <v>5</v>
      </c>
      <c r="M3062" s="11">
        <v>20664.759999999998</v>
      </c>
      <c r="N3062" s="12">
        <v>11065.9</v>
      </c>
      <c r="O3062" s="12">
        <v>13244.98</v>
      </c>
    </row>
    <row r="3063" spans="1:15">
      <c r="A3063" t="s">
        <v>3237</v>
      </c>
      <c r="B3063" t="s">
        <v>490</v>
      </c>
      <c r="C3063" s="9">
        <v>39083</v>
      </c>
      <c r="D3063">
        <v>19</v>
      </c>
      <c r="E3063" t="s">
        <v>17</v>
      </c>
      <c r="F3063" t="s">
        <v>5184</v>
      </c>
      <c r="G3063" s="9">
        <v>45366</v>
      </c>
      <c r="H3063" s="9">
        <v>45201</v>
      </c>
      <c r="I3063">
        <v>33</v>
      </c>
      <c r="J3063" t="s">
        <v>26</v>
      </c>
      <c r="K3063">
        <v>1</v>
      </c>
      <c r="L3063">
        <v>5</v>
      </c>
      <c r="M3063" s="11">
        <v>23901.61</v>
      </c>
      <c r="N3063" s="12">
        <v>11299.92</v>
      </c>
      <c r="O3063" s="12">
        <v>3594.26</v>
      </c>
    </row>
    <row r="3064" spans="1:15">
      <c r="A3064" t="s">
        <v>3238</v>
      </c>
      <c r="B3064" t="s">
        <v>356</v>
      </c>
      <c r="C3064" s="9">
        <v>36891</v>
      </c>
      <c r="D3064">
        <v>25</v>
      </c>
      <c r="E3064" t="s">
        <v>17</v>
      </c>
      <c r="F3064" t="s">
        <v>18</v>
      </c>
      <c r="G3064" s="9">
        <v>45217</v>
      </c>
      <c r="H3064" s="9">
        <v>45216</v>
      </c>
      <c r="I3064">
        <v>31</v>
      </c>
      <c r="J3064" t="s">
        <v>26</v>
      </c>
      <c r="K3064">
        <v>10</v>
      </c>
      <c r="L3064">
        <v>2</v>
      </c>
      <c r="M3064" s="11">
        <v>26343.19</v>
      </c>
      <c r="N3064" s="12">
        <v>9079.07</v>
      </c>
      <c r="O3064" s="12">
        <v>2995.24</v>
      </c>
    </row>
    <row r="3065" spans="1:15">
      <c r="A3065" t="s">
        <v>3239</v>
      </c>
      <c r="B3065" t="s">
        <v>286</v>
      </c>
      <c r="C3065" s="9">
        <v>21551</v>
      </c>
      <c r="D3065">
        <v>67</v>
      </c>
      <c r="E3065" t="s">
        <v>17</v>
      </c>
      <c r="F3065" t="s">
        <v>29</v>
      </c>
      <c r="G3065" s="9">
        <v>44965</v>
      </c>
      <c r="H3065" s="9">
        <v>44954</v>
      </c>
      <c r="I3065">
        <v>22</v>
      </c>
      <c r="J3065" t="s">
        <v>26</v>
      </c>
      <c r="K3065">
        <v>13</v>
      </c>
      <c r="L3065">
        <v>5</v>
      </c>
      <c r="M3065" s="11">
        <v>28026.26</v>
      </c>
      <c r="N3065" s="12">
        <v>10954.15</v>
      </c>
      <c r="O3065" s="12">
        <v>3022.79</v>
      </c>
    </row>
    <row r="3066" spans="1:15">
      <c r="A3066" t="s">
        <v>3240</v>
      </c>
      <c r="B3066" t="s">
        <v>147</v>
      </c>
      <c r="C3066" s="9">
        <v>14976</v>
      </c>
      <c r="D3066">
        <v>85</v>
      </c>
      <c r="E3066" t="s">
        <v>21</v>
      </c>
      <c r="F3066" t="s">
        <v>5184</v>
      </c>
      <c r="G3066" s="9">
        <v>44950</v>
      </c>
      <c r="H3066" s="9">
        <v>45744</v>
      </c>
      <c r="I3066">
        <v>29</v>
      </c>
      <c r="J3066" t="s">
        <v>32</v>
      </c>
      <c r="K3066">
        <v>4</v>
      </c>
      <c r="L3066">
        <v>9</v>
      </c>
      <c r="M3066" s="11">
        <v>27436.880000000001</v>
      </c>
      <c r="N3066" s="12">
        <v>12870.8</v>
      </c>
      <c r="O3066" s="12">
        <v>17627.88</v>
      </c>
    </row>
    <row r="3067" spans="1:15">
      <c r="A3067" t="s">
        <v>3241</v>
      </c>
      <c r="B3067" t="s">
        <v>73</v>
      </c>
      <c r="C3067" s="9">
        <v>40909</v>
      </c>
      <c r="D3067">
        <v>14</v>
      </c>
      <c r="E3067" t="s">
        <v>21</v>
      </c>
      <c r="F3067" t="s">
        <v>5184</v>
      </c>
      <c r="G3067" s="9">
        <v>44969</v>
      </c>
      <c r="H3067" s="9">
        <v>45361</v>
      </c>
      <c r="I3067">
        <v>1</v>
      </c>
      <c r="J3067" t="s">
        <v>32</v>
      </c>
      <c r="K3067">
        <v>7</v>
      </c>
      <c r="L3067">
        <v>6</v>
      </c>
      <c r="M3067" s="11">
        <v>335.19</v>
      </c>
      <c r="N3067" s="12">
        <v>8182.24</v>
      </c>
      <c r="O3067" s="12">
        <v>14196.44</v>
      </c>
    </row>
    <row r="3068" spans="1:15">
      <c r="A3068" t="s">
        <v>3242</v>
      </c>
      <c r="B3068" t="s">
        <v>223</v>
      </c>
      <c r="C3068" s="9">
        <v>15341</v>
      </c>
      <c r="D3068">
        <v>84</v>
      </c>
      <c r="E3068" t="s">
        <v>21</v>
      </c>
      <c r="F3068" t="s">
        <v>18</v>
      </c>
      <c r="G3068" s="9">
        <v>45096</v>
      </c>
      <c r="H3068" s="9">
        <v>45035</v>
      </c>
      <c r="I3068">
        <v>6</v>
      </c>
      <c r="J3068" t="s">
        <v>32</v>
      </c>
      <c r="K3068">
        <v>1</v>
      </c>
      <c r="L3068">
        <v>1</v>
      </c>
      <c r="M3068" s="11">
        <v>29331.89</v>
      </c>
      <c r="N3068" s="12">
        <v>14209.87</v>
      </c>
      <c r="O3068" s="12">
        <v>6661.01</v>
      </c>
    </row>
    <row r="3069" spans="1:15">
      <c r="A3069" t="s">
        <v>3243</v>
      </c>
      <c r="B3069" t="s">
        <v>34</v>
      </c>
      <c r="C3069" s="9">
        <v>17533</v>
      </c>
      <c r="D3069">
        <v>78</v>
      </c>
      <c r="E3069" t="s">
        <v>21</v>
      </c>
      <c r="F3069" t="s">
        <v>22</v>
      </c>
      <c r="G3069" s="9">
        <v>45266</v>
      </c>
      <c r="H3069" s="9">
        <v>45665</v>
      </c>
      <c r="I3069">
        <v>35</v>
      </c>
      <c r="J3069" t="s">
        <v>26</v>
      </c>
      <c r="K3069">
        <v>10</v>
      </c>
      <c r="L3069">
        <v>2</v>
      </c>
      <c r="M3069" s="11">
        <v>11074.81</v>
      </c>
      <c r="N3069" s="12">
        <v>10413.56</v>
      </c>
      <c r="O3069" s="12">
        <v>18041.48</v>
      </c>
    </row>
    <row r="3070" spans="1:15">
      <c r="A3070" t="s">
        <v>3244</v>
      </c>
      <c r="B3070" t="s">
        <v>46</v>
      </c>
      <c r="C3070" s="9">
        <v>14976</v>
      </c>
      <c r="D3070">
        <v>85</v>
      </c>
      <c r="E3070" t="s">
        <v>21</v>
      </c>
      <c r="F3070" t="s">
        <v>25</v>
      </c>
      <c r="G3070" s="9">
        <v>45095</v>
      </c>
      <c r="H3070" s="9">
        <v>45251</v>
      </c>
      <c r="I3070">
        <v>26</v>
      </c>
      <c r="J3070" t="s">
        <v>26</v>
      </c>
      <c r="K3070">
        <v>5</v>
      </c>
      <c r="L3070">
        <v>5</v>
      </c>
      <c r="M3070" s="11">
        <v>26526.28</v>
      </c>
      <c r="N3070" s="12">
        <v>7079.73</v>
      </c>
      <c r="O3070" s="12">
        <v>19066.27</v>
      </c>
    </row>
    <row r="3071" spans="1:15">
      <c r="A3071" t="s">
        <v>3245</v>
      </c>
      <c r="B3071" t="s">
        <v>348</v>
      </c>
      <c r="C3071" s="9">
        <f>DATE(2026-D3031,1,1)</f>
        <v>14977</v>
      </c>
      <c r="D3071">
        <f ca="1">DATEDIF(C3022,TODAY(),"Y")</f>
        <v>80</v>
      </c>
      <c r="E3071" t="s">
        <v>21</v>
      </c>
      <c r="F3071" t="s">
        <v>5184</v>
      </c>
      <c r="G3071" s="9">
        <v>45464</v>
      </c>
      <c r="H3071" s="9">
        <v>45794</v>
      </c>
      <c r="I3071">
        <v>35</v>
      </c>
      <c r="J3071" t="s">
        <v>32</v>
      </c>
      <c r="K3071">
        <v>14</v>
      </c>
      <c r="L3071">
        <v>9</v>
      </c>
      <c r="M3071" s="11">
        <v>12943.19</v>
      </c>
      <c r="N3071" s="12">
        <v>6322.77</v>
      </c>
      <c r="O3071" s="12">
        <v>7905.3</v>
      </c>
    </row>
    <row r="3072" spans="1:15">
      <c r="A3072" t="s">
        <v>3246</v>
      </c>
      <c r="B3072" t="s">
        <v>546</v>
      </c>
      <c r="C3072" s="9">
        <v>41274</v>
      </c>
      <c r="D3072">
        <v>13</v>
      </c>
      <c r="E3072" t="s">
        <v>21</v>
      </c>
      <c r="F3072" t="s">
        <v>22</v>
      </c>
      <c r="G3072" s="9">
        <v>45618</v>
      </c>
      <c r="H3072" s="9">
        <v>45458</v>
      </c>
      <c r="I3072">
        <v>15</v>
      </c>
      <c r="J3072" t="s">
        <v>26</v>
      </c>
      <c r="K3072">
        <v>2</v>
      </c>
      <c r="L3072">
        <v>8</v>
      </c>
      <c r="M3072" s="11">
        <v>12376.81</v>
      </c>
      <c r="N3072" s="12">
        <v>11252.5</v>
      </c>
      <c r="O3072" s="12">
        <v>10160</v>
      </c>
    </row>
    <row r="3073" spans="1:15">
      <c r="A3073" t="s">
        <v>3247</v>
      </c>
      <c r="B3073" t="s">
        <v>163</v>
      </c>
      <c r="C3073" s="9">
        <v>36526</v>
      </c>
      <c r="D3073">
        <v>26</v>
      </c>
      <c r="E3073" t="s">
        <v>21</v>
      </c>
      <c r="F3073" t="s">
        <v>18</v>
      </c>
      <c r="G3073" s="9">
        <v>45398</v>
      </c>
      <c r="H3073" s="9">
        <v>45662</v>
      </c>
      <c r="I3073">
        <v>19</v>
      </c>
      <c r="J3073" t="s">
        <v>35</v>
      </c>
      <c r="K3073">
        <v>1</v>
      </c>
      <c r="L3073">
        <v>8</v>
      </c>
      <c r="M3073" s="11">
        <v>0</v>
      </c>
      <c r="N3073" s="12">
        <v>9457.0400000000009</v>
      </c>
      <c r="O3073" s="12">
        <v>7097.5</v>
      </c>
    </row>
    <row r="3074" spans="1:15">
      <c r="A3074" t="s">
        <v>3248</v>
      </c>
      <c r="B3074" t="s">
        <v>97</v>
      </c>
      <c r="C3074" s="9">
        <v>31778</v>
      </c>
      <c r="D3074">
        <v>39</v>
      </c>
      <c r="E3074" t="s">
        <v>17</v>
      </c>
      <c r="F3074" t="s">
        <v>74</v>
      </c>
      <c r="G3074" s="9">
        <v>45588</v>
      </c>
      <c r="H3074" s="9">
        <v>45720</v>
      </c>
      <c r="I3074">
        <v>32</v>
      </c>
      <c r="J3074" t="s">
        <v>35</v>
      </c>
      <c r="K3074">
        <v>5</v>
      </c>
      <c r="L3074">
        <v>7</v>
      </c>
      <c r="M3074" s="11">
        <v>1099.46</v>
      </c>
      <c r="N3074" s="12">
        <v>12261.65</v>
      </c>
      <c r="O3074" s="12">
        <v>4473.87</v>
      </c>
    </row>
    <row r="3075" spans="1:15">
      <c r="A3075" t="s">
        <v>3249</v>
      </c>
      <c r="B3075" t="s">
        <v>422</v>
      </c>
      <c r="C3075" s="9">
        <v>25203</v>
      </c>
      <c r="D3075">
        <v>57</v>
      </c>
      <c r="E3075" t="s">
        <v>21</v>
      </c>
      <c r="F3075" t="s">
        <v>74</v>
      </c>
      <c r="G3075" s="9">
        <v>45571</v>
      </c>
      <c r="H3075" s="9">
        <v>45031</v>
      </c>
      <c r="I3075">
        <v>12</v>
      </c>
      <c r="J3075" t="s">
        <v>26</v>
      </c>
      <c r="K3075">
        <v>14</v>
      </c>
      <c r="L3075">
        <v>7</v>
      </c>
      <c r="M3075" s="11">
        <v>19974.009999999998</v>
      </c>
      <c r="N3075" s="12">
        <v>11714.79</v>
      </c>
      <c r="O3075" s="12">
        <v>15578.2</v>
      </c>
    </row>
    <row r="3076" spans="1:15">
      <c r="A3076" t="s">
        <v>3250</v>
      </c>
      <c r="B3076" t="s">
        <v>95</v>
      </c>
      <c r="C3076" s="9">
        <v>36161</v>
      </c>
      <c r="D3076">
        <v>27</v>
      </c>
      <c r="E3076" t="s">
        <v>17</v>
      </c>
      <c r="F3076" t="s">
        <v>25</v>
      </c>
      <c r="G3076" s="9">
        <v>45069</v>
      </c>
      <c r="H3076" s="9">
        <v>45771</v>
      </c>
      <c r="I3076">
        <v>4</v>
      </c>
      <c r="J3076" t="s">
        <v>32</v>
      </c>
      <c r="K3076">
        <v>1</v>
      </c>
      <c r="L3076">
        <v>8</v>
      </c>
      <c r="M3076" s="11">
        <v>28098.04</v>
      </c>
      <c r="N3076" s="12">
        <v>7863.04</v>
      </c>
      <c r="O3076" s="12">
        <v>12946.16</v>
      </c>
    </row>
    <row r="3077" spans="1:15">
      <c r="A3077" t="s">
        <v>3251</v>
      </c>
      <c r="B3077" t="s">
        <v>145</v>
      </c>
      <c r="C3077" s="9">
        <v>36891</v>
      </c>
      <c r="D3077">
        <v>25</v>
      </c>
      <c r="E3077" t="s">
        <v>17</v>
      </c>
      <c r="F3077" t="s">
        <v>5184</v>
      </c>
      <c r="G3077" s="9">
        <v>45602</v>
      </c>
      <c r="H3077" s="9">
        <v>45259</v>
      </c>
      <c r="I3077">
        <v>10</v>
      </c>
      <c r="J3077" t="s">
        <v>32</v>
      </c>
      <c r="K3077">
        <v>9</v>
      </c>
      <c r="L3077">
        <v>8</v>
      </c>
      <c r="M3077" s="11">
        <v>6344.21</v>
      </c>
      <c r="N3077" s="12">
        <v>14185.53</v>
      </c>
      <c r="O3077" s="12">
        <v>7274.5</v>
      </c>
    </row>
    <row r="3078" spans="1:15">
      <c r="A3078" t="s">
        <v>3252</v>
      </c>
      <c r="B3078" t="s">
        <v>514</v>
      </c>
      <c r="C3078" s="9">
        <v>23377</v>
      </c>
      <c r="D3078">
        <v>62</v>
      </c>
      <c r="E3078" t="s">
        <v>17</v>
      </c>
      <c r="F3078" t="s">
        <v>18</v>
      </c>
      <c r="G3078" s="9">
        <v>45027</v>
      </c>
      <c r="H3078" s="9">
        <v>45289</v>
      </c>
      <c r="I3078">
        <v>39</v>
      </c>
      <c r="J3078" t="s">
        <v>32</v>
      </c>
      <c r="K3078">
        <v>2</v>
      </c>
      <c r="L3078">
        <v>9</v>
      </c>
      <c r="M3078" s="11">
        <v>2364.5300000000002</v>
      </c>
      <c r="N3078" s="12">
        <v>10563.86</v>
      </c>
      <c r="O3078" s="12">
        <v>189.04</v>
      </c>
    </row>
    <row r="3079" spans="1:15">
      <c r="A3079" t="s">
        <v>3253</v>
      </c>
      <c r="B3079" t="s">
        <v>223</v>
      </c>
      <c r="C3079" s="9">
        <v>22281</v>
      </c>
      <c r="D3079">
        <v>65</v>
      </c>
      <c r="E3079" t="s">
        <v>21</v>
      </c>
      <c r="F3079" t="s">
        <v>49</v>
      </c>
      <c r="G3079" s="9">
        <v>45501</v>
      </c>
      <c r="H3079" s="9">
        <v>45216</v>
      </c>
      <c r="I3079">
        <v>33</v>
      </c>
      <c r="J3079" t="s">
        <v>26</v>
      </c>
      <c r="K3079">
        <v>11</v>
      </c>
      <c r="L3079">
        <v>8</v>
      </c>
      <c r="M3079" s="11">
        <v>6022.64</v>
      </c>
      <c r="N3079" s="12">
        <v>3012.59</v>
      </c>
      <c r="O3079" s="12">
        <v>15249.84</v>
      </c>
    </row>
    <row r="3080" spans="1:15">
      <c r="A3080" t="s">
        <v>3254</v>
      </c>
      <c r="B3080" t="s">
        <v>80</v>
      </c>
      <c r="C3080" s="9">
        <v>37256</v>
      </c>
      <c r="D3080">
        <v>24</v>
      </c>
      <c r="E3080" t="s">
        <v>21</v>
      </c>
      <c r="F3080" t="s">
        <v>5184</v>
      </c>
      <c r="G3080" s="9">
        <v>45531</v>
      </c>
      <c r="H3080" s="9">
        <v>45371</v>
      </c>
      <c r="I3080">
        <v>13</v>
      </c>
      <c r="J3080" t="s">
        <v>32</v>
      </c>
      <c r="K3080">
        <v>13</v>
      </c>
      <c r="L3080">
        <v>4</v>
      </c>
      <c r="M3080" s="11">
        <v>5975.76</v>
      </c>
      <c r="N3080" s="12">
        <v>9277.31</v>
      </c>
      <c r="O3080" s="12">
        <v>9495.17</v>
      </c>
    </row>
    <row r="3081" spans="1:15">
      <c r="A3081" t="s">
        <v>3255</v>
      </c>
      <c r="B3081" t="s">
        <v>289</v>
      </c>
      <c r="C3081" s="9">
        <v>45292</v>
      </c>
      <c r="D3081">
        <v>2</v>
      </c>
      <c r="E3081" t="s">
        <v>21</v>
      </c>
      <c r="F3081" t="s">
        <v>18</v>
      </c>
      <c r="G3081" s="9">
        <v>45645</v>
      </c>
      <c r="H3081" s="9">
        <v>44964</v>
      </c>
      <c r="I3081">
        <v>38</v>
      </c>
      <c r="J3081" t="s">
        <v>32</v>
      </c>
      <c r="K3081">
        <v>14</v>
      </c>
      <c r="L3081">
        <v>5</v>
      </c>
      <c r="M3081" s="11">
        <v>8440.64</v>
      </c>
      <c r="N3081" s="12">
        <v>3027.2</v>
      </c>
      <c r="O3081" s="12">
        <v>1369.02</v>
      </c>
    </row>
    <row r="3082" spans="1:15">
      <c r="A3082" t="s">
        <v>3256</v>
      </c>
      <c r="B3082" t="s">
        <v>341</v>
      </c>
      <c r="C3082" s="9">
        <v>20090</v>
      </c>
      <c r="D3082">
        <v>71</v>
      </c>
      <c r="E3082" t="s">
        <v>21</v>
      </c>
      <c r="F3082" t="s">
        <v>74</v>
      </c>
      <c r="G3082" s="9">
        <v>45401</v>
      </c>
      <c r="H3082" s="9">
        <v>45275</v>
      </c>
      <c r="I3082">
        <v>18</v>
      </c>
      <c r="J3082" t="s">
        <v>35</v>
      </c>
      <c r="K3082">
        <v>7</v>
      </c>
      <c r="L3082">
        <v>4</v>
      </c>
      <c r="M3082" s="11">
        <v>2389.6799999999998</v>
      </c>
      <c r="N3082" s="12">
        <v>8382.74</v>
      </c>
      <c r="O3082" s="12">
        <v>2402.5</v>
      </c>
    </row>
    <row r="3083" spans="1:15">
      <c r="A3083" t="s">
        <v>3257</v>
      </c>
      <c r="B3083" t="s">
        <v>328</v>
      </c>
      <c r="C3083" s="9">
        <v>30317</v>
      </c>
      <c r="D3083">
        <f ca="1">DATEDIF(C3034,TODAY(),"Y")</f>
        <v>69</v>
      </c>
      <c r="E3083" t="s">
        <v>21</v>
      </c>
      <c r="F3083" t="s">
        <v>29</v>
      </c>
      <c r="G3083" s="9">
        <v>45237</v>
      </c>
      <c r="H3083" s="9">
        <v>45819</v>
      </c>
      <c r="I3083">
        <v>25</v>
      </c>
      <c r="J3083" t="s">
        <v>35</v>
      </c>
      <c r="K3083">
        <v>3</v>
      </c>
      <c r="L3083">
        <v>0</v>
      </c>
      <c r="M3083" s="11">
        <v>6683.56</v>
      </c>
      <c r="N3083" s="12">
        <v>11849.02</v>
      </c>
      <c r="O3083" s="12">
        <v>12530.4</v>
      </c>
    </row>
    <row r="3084" spans="1:15">
      <c r="A3084" t="s">
        <v>3258</v>
      </c>
      <c r="B3084" t="s">
        <v>53</v>
      </c>
      <c r="C3084" s="9">
        <v>31047</v>
      </c>
      <c r="D3084">
        <v>41</v>
      </c>
      <c r="E3084" t="s">
        <v>17</v>
      </c>
      <c r="F3084" t="s">
        <v>25</v>
      </c>
      <c r="G3084" s="9">
        <v>45510</v>
      </c>
      <c r="H3084" s="9">
        <v>45683</v>
      </c>
      <c r="I3084">
        <v>7</v>
      </c>
      <c r="J3084" t="s">
        <v>32</v>
      </c>
      <c r="K3084">
        <v>5</v>
      </c>
      <c r="L3084">
        <v>3</v>
      </c>
      <c r="M3084" s="11">
        <v>27598.880000000001</v>
      </c>
      <c r="N3084" s="12">
        <v>12187.58</v>
      </c>
      <c r="O3084" s="12">
        <v>10881.28</v>
      </c>
    </row>
    <row r="3085" spans="1:15">
      <c r="A3085" t="s">
        <v>3259</v>
      </c>
      <c r="B3085" t="s">
        <v>328</v>
      </c>
      <c r="C3085" s="9">
        <v>44196</v>
      </c>
      <c r="D3085">
        <v>5</v>
      </c>
      <c r="E3085" t="s">
        <v>17</v>
      </c>
      <c r="F3085" t="s">
        <v>29</v>
      </c>
      <c r="G3085" s="9">
        <v>44986</v>
      </c>
      <c r="H3085" s="9">
        <v>44970</v>
      </c>
      <c r="I3085">
        <v>16</v>
      </c>
      <c r="J3085" t="s">
        <v>32</v>
      </c>
      <c r="K3085">
        <v>11</v>
      </c>
      <c r="L3085">
        <v>0</v>
      </c>
      <c r="M3085" s="11">
        <v>26651.69</v>
      </c>
      <c r="N3085" s="12">
        <v>9762.3799999999992</v>
      </c>
      <c r="O3085" s="12">
        <v>4733.6099999999997</v>
      </c>
    </row>
    <row r="3086" spans="1:15">
      <c r="A3086" t="s">
        <v>3260</v>
      </c>
      <c r="B3086" t="s">
        <v>44</v>
      </c>
      <c r="C3086" s="9">
        <v>32143</v>
      </c>
      <c r="D3086">
        <v>38</v>
      </c>
      <c r="E3086" t="s">
        <v>17</v>
      </c>
      <c r="F3086" t="s">
        <v>49</v>
      </c>
      <c r="G3086" s="9">
        <v>44955</v>
      </c>
      <c r="H3086" s="9">
        <v>45053</v>
      </c>
      <c r="I3086">
        <v>14</v>
      </c>
      <c r="J3086" t="s">
        <v>26</v>
      </c>
      <c r="K3086">
        <v>5</v>
      </c>
      <c r="L3086">
        <v>0</v>
      </c>
      <c r="M3086" s="11">
        <v>9147.2800000000007</v>
      </c>
      <c r="N3086" s="12">
        <v>11749.59</v>
      </c>
      <c r="O3086" s="12">
        <v>2711.57</v>
      </c>
    </row>
    <row r="3087" spans="1:15">
      <c r="A3087" t="s">
        <v>3261</v>
      </c>
      <c r="B3087" t="s">
        <v>289</v>
      </c>
      <c r="C3087" s="9">
        <v>27395</v>
      </c>
      <c r="D3087">
        <v>51</v>
      </c>
      <c r="E3087" t="s">
        <v>21</v>
      </c>
      <c r="F3087" t="s">
        <v>18</v>
      </c>
      <c r="G3087" s="9">
        <v>45457</v>
      </c>
      <c r="H3087" s="9">
        <v>44936</v>
      </c>
      <c r="I3087">
        <v>2</v>
      </c>
      <c r="J3087" t="s">
        <v>35</v>
      </c>
      <c r="K3087">
        <v>13</v>
      </c>
      <c r="L3087">
        <v>2</v>
      </c>
      <c r="M3087" s="11">
        <v>29905.25</v>
      </c>
      <c r="N3087" s="12">
        <v>7083.53</v>
      </c>
      <c r="O3087" s="12">
        <v>17683.16</v>
      </c>
    </row>
    <row r="3088" spans="1:15">
      <c r="A3088" t="s">
        <v>3262</v>
      </c>
      <c r="B3088" t="s">
        <v>223</v>
      </c>
      <c r="C3088" s="9">
        <v>37987</v>
      </c>
      <c r="D3088">
        <v>22</v>
      </c>
      <c r="E3088" t="s">
        <v>21</v>
      </c>
      <c r="F3088" t="s">
        <v>49</v>
      </c>
      <c r="G3088" s="9">
        <v>44999</v>
      </c>
      <c r="H3088" s="9">
        <v>45453</v>
      </c>
      <c r="I3088">
        <v>10</v>
      </c>
      <c r="J3088" t="s">
        <v>32</v>
      </c>
      <c r="K3088">
        <v>10</v>
      </c>
      <c r="L3088">
        <v>6</v>
      </c>
      <c r="M3088" s="11">
        <v>8599.77</v>
      </c>
      <c r="N3088" s="12">
        <v>8259.84</v>
      </c>
      <c r="O3088" s="12">
        <v>2610.8200000000002</v>
      </c>
    </row>
    <row r="3089" spans="1:15">
      <c r="A3089" t="s">
        <v>3263</v>
      </c>
      <c r="B3089" t="s">
        <v>159</v>
      </c>
      <c r="C3089" s="9">
        <v>13880</v>
      </c>
      <c r="D3089">
        <v>88</v>
      </c>
      <c r="E3089" t="s">
        <v>17</v>
      </c>
      <c r="F3089" t="s">
        <v>29</v>
      </c>
      <c r="G3089" s="9">
        <v>45320</v>
      </c>
      <c r="H3089" s="9">
        <v>45058</v>
      </c>
      <c r="I3089">
        <v>33</v>
      </c>
      <c r="J3089" t="s">
        <v>32</v>
      </c>
      <c r="K3089">
        <v>1</v>
      </c>
      <c r="L3089">
        <v>0</v>
      </c>
      <c r="M3089" s="11">
        <v>21515.81</v>
      </c>
      <c r="N3089" s="12">
        <v>13194.1</v>
      </c>
      <c r="O3089" s="12">
        <v>1622.09</v>
      </c>
    </row>
    <row r="3090" spans="1:15">
      <c r="A3090" t="s">
        <v>3264</v>
      </c>
      <c r="B3090" t="s">
        <v>31</v>
      </c>
      <c r="C3090" s="9">
        <v>28125</v>
      </c>
      <c r="D3090">
        <f ca="1">DATEDIF(C3041,TODAY(),"Y")</f>
        <v>21</v>
      </c>
      <c r="E3090" t="s">
        <v>21</v>
      </c>
      <c r="F3090" t="s">
        <v>18</v>
      </c>
      <c r="G3090" s="9">
        <v>45320</v>
      </c>
      <c r="H3090" s="9">
        <v>45252</v>
      </c>
      <c r="I3090">
        <v>39</v>
      </c>
      <c r="J3090" t="s">
        <v>35</v>
      </c>
      <c r="K3090">
        <v>11</v>
      </c>
      <c r="L3090">
        <v>6</v>
      </c>
      <c r="M3090" s="11">
        <v>19142.27</v>
      </c>
      <c r="N3090" s="12">
        <v>7396.21</v>
      </c>
      <c r="O3090" s="12">
        <v>12360.83</v>
      </c>
    </row>
    <row r="3091" spans="1:15">
      <c r="A3091" t="s">
        <v>3265</v>
      </c>
      <c r="B3091" t="s">
        <v>524</v>
      </c>
      <c r="C3091" s="9">
        <v>30682</v>
      </c>
      <c r="D3091">
        <v>42</v>
      </c>
      <c r="E3091" t="s">
        <v>17</v>
      </c>
      <c r="F3091" t="s">
        <v>5184</v>
      </c>
      <c r="G3091" s="9">
        <v>45407</v>
      </c>
      <c r="H3091" s="9">
        <v>45111</v>
      </c>
      <c r="I3091">
        <v>17</v>
      </c>
      <c r="J3091" t="s">
        <v>35</v>
      </c>
      <c r="K3091">
        <v>9</v>
      </c>
      <c r="L3091">
        <v>9</v>
      </c>
      <c r="M3091" s="11">
        <v>1468.9</v>
      </c>
      <c r="N3091" s="12">
        <v>5263.94</v>
      </c>
      <c r="O3091" s="12">
        <v>4976.3</v>
      </c>
    </row>
    <row r="3092" spans="1:15">
      <c r="A3092" t="s">
        <v>3266</v>
      </c>
      <c r="B3092" t="s">
        <v>145</v>
      </c>
      <c r="C3092" s="9">
        <v>39448</v>
      </c>
      <c r="D3092">
        <v>18</v>
      </c>
      <c r="E3092" t="s">
        <v>17</v>
      </c>
      <c r="F3092" t="s">
        <v>22</v>
      </c>
      <c r="G3092" s="9">
        <v>45399</v>
      </c>
      <c r="H3092" s="9">
        <v>45209</v>
      </c>
      <c r="I3092">
        <v>38</v>
      </c>
      <c r="J3092" t="s">
        <v>26</v>
      </c>
      <c r="K3092">
        <v>6</v>
      </c>
      <c r="L3092">
        <v>9</v>
      </c>
      <c r="M3092" s="11">
        <v>9940.0499999999993</v>
      </c>
      <c r="N3092" s="12">
        <v>11954.89</v>
      </c>
      <c r="O3092" s="12">
        <v>13097.66</v>
      </c>
    </row>
    <row r="3093" spans="1:15">
      <c r="A3093" t="s">
        <v>3267</v>
      </c>
      <c r="B3093" t="s">
        <v>159</v>
      </c>
      <c r="C3093" s="9">
        <v>21185</v>
      </c>
      <c r="D3093">
        <v>68</v>
      </c>
      <c r="E3093" t="s">
        <v>21</v>
      </c>
      <c r="F3093" t="s">
        <v>22</v>
      </c>
      <c r="G3093" s="9">
        <v>45239</v>
      </c>
      <c r="H3093" s="9">
        <v>45822</v>
      </c>
      <c r="I3093">
        <v>37</v>
      </c>
      <c r="J3093" t="s">
        <v>32</v>
      </c>
      <c r="K3093">
        <v>1</v>
      </c>
      <c r="L3093">
        <v>0</v>
      </c>
      <c r="M3093" s="11">
        <v>28520.74</v>
      </c>
      <c r="N3093" s="12">
        <v>757.11</v>
      </c>
      <c r="O3093" s="12">
        <v>9730.8700000000008</v>
      </c>
    </row>
    <row r="3094" spans="1:15">
      <c r="A3094" t="s">
        <v>3268</v>
      </c>
      <c r="B3094" t="s">
        <v>654</v>
      </c>
      <c r="C3094" s="9">
        <v>27760</v>
      </c>
      <c r="D3094">
        <v>50</v>
      </c>
      <c r="E3094" t="s">
        <v>21</v>
      </c>
      <c r="F3094" t="s">
        <v>5184</v>
      </c>
      <c r="G3094" s="9">
        <v>45364</v>
      </c>
      <c r="H3094" s="9">
        <v>44980</v>
      </c>
      <c r="I3094">
        <v>3</v>
      </c>
      <c r="J3094" t="s">
        <v>32</v>
      </c>
      <c r="K3094">
        <v>2</v>
      </c>
      <c r="L3094">
        <v>8</v>
      </c>
      <c r="M3094" s="11">
        <v>0</v>
      </c>
      <c r="N3094" s="12">
        <v>14375.36</v>
      </c>
      <c r="O3094" s="12">
        <v>4146.09</v>
      </c>
    </row>
    <row r="3095" spans="1:15">
      <c r="A3095" t="s">
        <v>3269</v>
      </c>
      <c r="B3095" t="s">
        <v>119</v>
      </c>
      <c r="C3095" s="9">
        <v>42370</v>
      </c>
      <c r="D3095">
        <v>10</v>
      </c>
      <c r="E3095" t="s">
        <v>21</v>
      </c>
      <c r="F3095" t="s">
        <v>49</v>
      </c>
      <c r="G3095" s="9">
        <v>45250</v>
      </c>
      <c r="H3095" s="9">
        <v>45480</v>
      </c>
      <c r="I3095">
        <v>20</v>
      </c>
      <c r="J3095" t="s">
        <v>26</v>
      </c>
      <c r="K3095">
        <v>8</v>
      </c>
      <c r="L3095">
        <v>4</v>
      </c>
      <c r="M3095" s="11">
        <v>4833.97</v>
      </c>
      <c r="N3095" s="12">
        <v>5100.9799999999996</v>
      </c>
      <c r="O3095" s="12">
        <v>1299.74</v>
      </c>
    </row>
    <row r="3096" spans="1:15">
      <c r="A3096" t="s">
        <v>3270</v>
      </c>
      <c r="B3096" t="s">
        <v>578</v>
      </c>
      <c r="C3096" s="9">
        <v>42005</v>
      </c>
      <c r="D3096">
        <v>11</v>
      </c>
      <c r="E3096" t="s">
        <v>21</v>
      </c>
      <c r="F3096" t="s">
        <v>22</v>
      </c>
      <c r="G3096" s="9">
        <v>45013</v>
      </c>
      <c r="H3096" s="9">
        <v>45777</v>
      </c>
      <c r="I3096">
        <v>39</v>
      </c>
      <c r="J3096" t="s">
        <v>35</v>
      </c>
      <c r="K3096">
        <v>2</v>
      </c>
      <c r="L3096">
        <v>5</v>
      </c>
      <c r="M3096" s="11">
        <v>29113.85</v>
      </c>
      <c r="N3096" s="12">
        <v>9444.24</v>
      </c>
      <c r="O3096" s="12">
        <v>1320.08</v>
      </c>
    </row>
    <row r="3097" spans="1:15">
      <c r="A3097" t="s">
        <v>3271</v>
      </c>
      <c r="B3097" t="s">
        <v>392</v>
      </c>
      <c r="C3097" s="9">
        <v>19359</v>
      </c>
      <c r="D3097">
        <v>73</v>
      </c>
      <c r="E3097" t="s">
        <v>21</v>
      </c>
      <c r="F3097" t="s">
        <v>22</v>
      </c>
      <c r="G3097" s="9">
        <v>45285</v>
      </c>
      <c r="H3097" s="9">
        <v>45797</v>
      </c>
      <c r="I3097">
        <v>21</v>
      </c>
      <c r="J3097" t="s">
        <v>32</v>
      </c>
      <c r="K3097">
        <v>0</v>
      </c>
      <c r="L3097">
        <v>8</v>
      </c>
      <c r="M3097" s="11">
        <v>713.68</v>
      </c>
      <c r="N3097" s="12">
        <v>10281.83</v>
      </c>
      <c r="O3097" s="12">
        <v>11675.79</v>
      </c>
    </row>
    <row r="3098" spans="1:15">
      <c r="A3098" t="s">
        <v>3272</v>
      </c>
      <c r="B3098" t="s">
        <v>16</v>
      </c>
      <c r="C3098" s="9">
        <v>43466</v>
      </c>
      <c r="D3098">
        <f ca="1">DATEDIF(C3049,TODAY(),"Y")</f>
        <v>75</v>
      </c>
      <c r="E3098" t="s">
        <v>21</v>
      </c>
      <c r="F3098" t="s">
        <v>74</v>
      </c>
      <c r="G3098" s="9">
        <v>45621</v>
      </c>
      <c r="H3098" s="9">
        <v>45460</v>
      </c>
      <c r="I3098">
        <v>2</v>
      </c>
      <c r="J3098" t="s">
        <v>32</v>
      </c>
      <c r="K3098">
        <v>4</v>
      </c>
      <c r="L3098">
        <v>2</v>
      </c>
      <c r="M3098" s="11">
        <v>13121.52</v>
      </c>
      <c r="N3098" s="12">
        <v>2056.17</v>
      </c>
      <c r="O3098" s="12">
        <v>15140.73</v>
      </c>
    </row>
    <row r="3099" spans="1:15">
      <c r="A3099" t="s">
        <v>3273</v>
      </c>
      <c r="B3099" t="s">
        <v>172</v>
      </c>
      <c r="C3099" s="9">
        <v>37622</v>
      </c>
      <c r="D3099">
        <v>23</v>
      </c>
      <c r="E3099" t="s">
        <v>21</v>
      </c>
      <c r="F3099" t="s">
        <v>22</v>
      </c>
      <c r="G3099" s="9">
        <v>45123</v>
      </c>
      <c r="H3099" s="9">
        <v>45304</v>
      </c>
      <c r="I3099">
        <v>29</v>
      </c>
      <c r="J3099" t="s">
        <v>32</v>
      </c>
      <c r="K3099">
        <v>13</v>
      </c>
      <c r="L3099">
        <v>2</v>
      </c>
      <c r="M3099" s="11">
        <v>27509.71</v>
      </c>
      <c r="N3099" s="12">
        <v>12342.9</v>
      </c>
      <c r="O3099" s="12">
        <v>13762.16</v>
      </c>
    </row>
    <row r="3100" spans="1:15">
      <c r="A3100" t="s">
        <v>3274</v>
      </c>
      <c r="B3100" t="s">
        <v>137</v>
      </c>
      <c r="C3100" s="9">
        <v>12785</v>
      </c>
      <c r="D3100">
        <v>91</v>
      </c>
      <c r="E3100" t="s">
        <v>17</v>
      </c>
      <c r="F3100" t="s">
        <v>74</v>
      </c>
      <c r="G3100" s="9">
        <v>45311</v>
      </c>
      <c r="H3100" s="9">
        <v>45222</v>
      </c>
      <c r="I3100">
        <v>14</v>
      </c>
      <c r="J3100" t="s">
        <v>32</v>
      </c>
      <c r="K3100">
        <v>1</v>
      </c>
      <c r="L3100">
        <v>4</v>
      </c>
      <c r="M3100" s="11">
        <v>28282.2</v>
      </c>
      <c r="N3100" s="12">
        <v>8581.69</v>
      </c>
      <c r="O3100" s="12">
        <v>11816.35</v>
      </c>
    </row>
    <row r="3101" spans="1:15">
      <c r="A3101" t="s">
        <v>3275</v>
      </c>
      <c r="B3101" t="s">
        <v>184</v>
      </c>
      <c r="C3101" s="9">
        <v>31412</v>
      </c>
      <c r="D3101">
        <v>40</v>
      </c>
      <c r="E3101" t="s">
        <v>17</v>
      </c>
      <c r="F3101" t="s">
        <v>25</v>
      </c>
      <c r="G3101" s="9">
        <v>45044</v>
      </c>
      <c r="H3101" s="9">
        <v>45135</v>
      </c>
      <c r="I3101">
        <v>8</v>
      </c>
      <c r="J3101" t="s">
        <v>35</v>
      </c>
      <c r="K3101">
        <v>1</v>
      </c>
      <c r="L3101">
        <v>6</v>
      </c>
      <c r="M3101" s="11">
        <v>0</v>
      </c>
      <c r="N3101" s="12">
        <v>4918.93</v>
      </c>
      <c r="O3101" s="12">
        <v>4139.66</v>
      </c>
    </row>
    <row r="3102" spans="1:15">
      <c r="A3102" t="s">
        <v>3276</v>
      </c>
      <c r="B3102" t="s">
        <v>328</v>
      </c>
      <c r="C3102" s="9">
        <v>33239</v>
      </c>
      <c r="D3102">
        <v>35</v>
      </c>
      <c r="E3102" t="s">
        <v>21</v>
      </c>
      <c r="F3102" t="s">
        <v>74</v>
      </c>
      <c r="G3102" s="9">
        <v>45424</v>
      </c>
      <c r="H3102" s="9">
        <v>45590</v>
      </c>
      <c r="I3102">
        <v>24</v>
      </c>
      <c r="J3102" t="s">
        <v>35</v>
      </c>
      <c r="K3102">
        <v>7</v>
      </c>
      <c r="L3102">
        <v>2</v>
      </c>
      <c r="M3102" s="11">
        <v>14180.3</v>
      </c>
      <c r="N3102" s="12">
        <v>12760.29</v>
      </c>
      <c r="O3102" s="12">
        <v>17221.95</v>
      </c>
    </row>
    <row r="3103" spans="1:15">
      <c r="A3103" t="s">
        <v>3277</v>
      </c>
      <c r="B3103" t="s">
        <v>211</v>
      </c>
      <c r="C3103" s="9">
        <v>15341</v>
      </c>
      <c r="D3103">
        <v>84</v>
      </c>
      <c r="E3103" t="s">
        <v>17</v>
      </c>
      <c r="F3103" t="s">
        <v>74</v>
      </c>
      <c r="G3103" s="9">
        <v>45388</v>
      </c>
      <c r="H3103" s="9">
        <v>45404</v>
      </c>
      <c r="I3103">
        <v>1</v>
      </c>
      <c r="J3103" t="s">
        <v>35</v>
      </c>
      <c r="K3103">
        <v>10</v>
      </c>
      <c r="L3103">
        <v>3</v>
      </c>
      <c r="M3103" s="11">
        <v>2137.64</v>
      </c>
      <c r="N3103" s="12">
        <v>9376.2099999999991</v>
      </c>
      <c r="O3103" s="12">
        <v>12539.8</v>
      </c>
    </row>
    <row r="3104" spans="1:15">
      <c r="A3104" t="s">
        <v>3278</v>
      </c>
      <c r="B3104" t="s">
        <v>427</v>
      </c>
      <c r="C3104" s="9">
        <v>20090</v>
      </c>
      <c r="D3104">
        <v>71</v>
      </c>
      <c r="E3104" t="s">
        <v>17</v>
      </c>
      <c r="F3104" t="s">
        <v>29</v>
      </c>
      <c r="G3104" s="9">
        <v>45422</v>
      </c>
      <c r="H3104" s="9">
        <v>44996</v>
      </c>
      <c r="I3104">
        <v>20</v>
      </c>
      <c r="J3104" t="s">
        <v>26</v>
      </c>
      <c r="K3104">
        <v>8</v>
      </c>
      <c r="L3104">
        <v>1</v>
      </c>
      <c r="M3104" s="11">
        <v>0</v>
      </c>
      <c r="N3104" s="12">
        <v>11786.67</v>
      </c>
      <c r="O3104" s="12">
        <v>13853.39</v>
      </c>
    </row>
    <row r="3105" spans="1:15">
      <c r="A3105" t="s">
        <v>3279</v>
      </c>
      <c r="B3105" t="s">
        <v>192</v>
      </c>
      <c r="C3105" s="9">
        <v>26299</v>
      </c>
      <c r="D3105">
        <v>54</v>
      </c>
      <c r="E3105" t="s">
        <v>17</v>
      </c>
      <c r="F3105" t="s">
        <v>74</v>
      </c>
      <c r="G3105" s="9">
        <v>45520</v>
      </c>
      <c r="H3105" s="9">
        <v>45770</v>
      </c>
      <c r="I3105">
        <v>20</v>
      </c>
      <c r="J3105" t="s">
        <v>35</v>
      </c>
      <c r="K3105">
        <v>4</v>
      </c>
      <c r="L3105">
        <v>8</v>
      </c>
      <c r="M3105" s="11">
        <v>21124</v>
      </c>
      <c r="N3105" s="12">
        <v>14884.65</v>
      </c>
      <c r="O3105" s="12">
        <v>4399</v>
      </c>
    </row>
    <row r="3106" spans="1:15">
      <c r="A3106" t="s">
        <v>3280</v>
      </c>
      <c r="B3106" t="s">
        <v>172</v>
      </c>
      <c r="C3106" s="9">
        <v>43100</v>
      </c>
      <c r="D3106">
        <v>8</v>
      </c>
      <c r="E3106" t="s">
        <v>17</v>
      </c>
      <c r="F3106" t="s">
        <v>74</v>
      </c>
      <c r="G3106" s="9">
        <v>45173</v>
      </c>
      <c r="H3106" s="9">
        <v>45757</v>
      </c>
      <c r="I3106">
        <v>31</v>
      </c>
      <c r="J3106" t="s">
        <v>26</v>
      </c>
      <c r="K3106">
        <v>0</v>
      </c>
      <c r="L3106">
        <v>9</v>
      </c>
      <c r="M3106" s="11">
        <v>17178.21</v>
      </c>
      <c r="N3106" s="12">
        <v>1954.15</v>
      </c>
      <c r="O3106" s="12">
        <v>5155.97</v>
      </c>
    </row>
    <row r="3107" spans="1:15">
      <c r="A3107" t="s">
        <v>3281</v>
      </c>
      <c r="B3107" t="s">
        <v>97</v>
      </c>
      <c r="C3107" s="9">
        <v>29221</v>
      </c>
      <c r="D3107">
        <v>46</v>
      </c>
      <c r="E3107" t="s">
        <v>21</v>
      </c>
      <c r="F3107" t="s">
        <v>29</v>
      </c>
      <c r="G3107" s="9">
        <v>45160</v>
      </c>
      <c r="H3107" s="9">
        <v>45364</v>
      </c>
      <c r="I3107">
        <v>18</v>
      </c>
      <c r="J3107" t="s">
        <v>35</v>
      </c>
      <c r="K3107">
        <v>10</v>
      </c>
      <c r="L3107">
        <v>8</v>
      </c>
      <c r="M3107" s="11">
        <v>26591.19</v>
      </c>
      <c r="N3107" s="12">
        <v>11243.95</v>
      </c>
      <c r="O3107" s="12">
        <v>18141.75</v>
      </c>
    </row>
    <row r="3108" spans="1:15">
      <c r="A3108" t="s">
        <v>3282</v>
      </c>
      <c r="B3108" t="s">
        <v>65</v>
      </c>
      <c r="C3108" s="9">
        <v>40909</v>
      </c>
      <c r="D3108">
        <v>14</v>
      </c>
      <c r="E3108" t="s">
        <v>21</v>
      </c>
      <c r="F3108" t="s">
        <v>74</v>
      </c>
      <c r="G3108" s="9">
        <v>45343</v>
      </c>
      <c r="H3108" s="9">
        <v>45228</v>
      </c>
      <c r="I3108">
        <v>19</v>
      </c>
      <c r="J3108" t="s">
        <v>35</v>
      </c>
      <c r="K3108">
        <v>10</v>
      </c>
      <c r="L3108">
        <v>1</v>
      </c>
      <c r="M3108" s="11">
        <v>27302.89</v>
      </c>
      <c r="N3108" s="12">
        <v>11365.07</v>
      </c>
      <c r="O3108" s="12">
        <v>9469.08</v>
      </c>
    </row>
    <row r="3109" spans="1:15">
      <c r="A3109" t="s">
        <v>3283</v>
      </c>
      <c r="B3109" t="s">
        <v>97</v>
      </c>
      <c r="C3109" s="9">
        <v>28856</v>
      </c>
      <c r="D3109">
        <v>47</v>
      </c>
      <c r="E3109" t="s">
        <v>17</v>
      </c>
      <c r="F3109" t="s">
        <v>22</v>
      </c>
      <c r="G3109" s="9">
        <v>45393</v>
      </c>
      <c r="H3109" s="9">
        <v>44954</v>
      </c>
      <c r="I3109">
        <v>2</v>
      </c>
      <c r="J3109" t="s">
        <v>32</v>
      </c>
      <c r="K3109">
        <v>13</v>
      </c>
      <c r="L3109">
        <v>4</v>
      </c>
      <c r="M3109" s="11">
        <v>20338.95</v>
      </c>
      <c r="N3109" s="12">
        <v>13120.34</v>
      </c>
      <c r="O3109" s="12">
        <v>11032.23</v>
      </c>
    </row>
    <row r="3110" spans="1:15">
      <c r="A3110" t="s">
        <v>3284</v>
      </c>
      <c r="B3110" t="s">
        <v>300</v>
      </c>
      <c r="C3110" s="9">
        <v>16437</v>
      </c>
      <c r="D3110">
        <v>81</v>
      </c>
      <c r="E3110" t="s">
        <v>17</v>
      </c>
      <c r="F3110" t="s">
        <v>5184</v>
      </c>
      <c r="G3110" s="9">
        <v>45408</v>
      </c>
      <c r="H3110" s="9">
        <v>45555</v>
      </c>
      <c r="I3110">
        <v>29</v>
      </c>
      <c r="J3110" t="s">
        <v>32</v>
      </c>
      <c r="K3110">
        <v>13</v>
      </c>
      <c r="L3110">
        <v>0</v>
      </c>
      <c r="M3110" s="11">
        <v>2919.05</v>
      </c>
      <c r="N3110" s="12">
        <v>6120.98</v>
      </c>
      <c r="O3110" s="12">
        <v>2126.39</v>
      </c>
    </row>
    <row r="3111" spans="1:15">
      <c r="A3111" t="s">
        <v>3285</v>
      </c>
      <c r="B3111" t="s">
        <v>249</v>
      </c>
      <c r="C3111" s="9">
        <v>31047</v>
      </c>
      <c r="D3111">
        <v>41</v>
      </c>
      <c r="E3111" t="s">
        <v>17</v>
      </c>
      <c r="F3111" t="s">
        <v>74</v>
      </c>
      <c r="G3111" s="9">
        <v>45291</v>
      </c>
      <c r="H3111" s="9">
        <v>45581</v>
      </c>
      <c r="I3111">
        <v>25</v>
      </c>
      <c r="J3111" t="s">
        <v>35</v>
      </c>
      <c r="K3111">
        <v>7</v>
      </c>
      <c r="L3111">
        <v>7</v>
      </c>
      <c r="M3111" s="11">
        <v>2413.52</v>
      </c>
      <c r="N3111" s="12">
        <v>13044.77</v>
      </c>
      <c r="O3111" s="12">
        <v>7830.94</v>
      </c>
    </row>
    <row r="3112" spans="1:15">
      <c r="A3112" t="s">
        <v>3286</v>
      </c>
      <c r="B3112" t="s">
        <v>201</v>
      </c>
      <c r="C3112" s="9">
        <v>24473</v>
      </c>
      <c r="D3112">
        <v>59</v>
      </c>
      <c r="E3112" t="s">
        <v>5185</v>
      </c>
      <c r="F3112" t="s">
        <v>25</v>
      </c>
      <c r="G3112" s="9">
        <v>45079</v>
      </c>
      <c r="H3112" s="9">
        <v>45480</v>
      </c>
      <c r="I3112">
        <v>15</v>
      </c>
      <c r="J3112" t="s">
        <v>32</v>
      </c>
      <c r="K3112">
        <v>11</v>
      </c>
      <c r="L3112">
        <v>5</v>
      </c>
      <c r="M3112" s="11">
        <v>11963.21</v>
      </c>
      <c r="N3112" s="12">
        <v>9598.25</v>
      </c>
      <c r="O3112" s="12">
        <v>17729.419999999998</v>
      </c>
    </row>
    <row r="3113" spans="1:15">
      <c r="A3113" t="s">
        <v>3287</v>
      </c>
      <c r="B3113" t="s">
        <v>80</v>
      </c>
      <c r="C3113" s="9">
        <v>15707</v>
      </c>
      <c r="D3113">
        <v>83</v>
      </c>
      <c r="E3113" t="s">
        <v>17</v>
      </c>
      <c r="F3113" t="s">
        <v>74</v>
      </c>
      <c r="G3113" s="9">
        <v>45198</v>
      </c>
      <c r="H3113" s="9">
        <v>45033</v>
      </c>
      <c r="I3113">
        <v>4</v>
      </c>
      <c r="J3113" t="s">
        <v>32</v>
      </c>
      <c r="K3113">
        <v>0</v>
      </c>
      <c r="L3113">
        <v>9</v>
      </c>
      <c r="M3113" s="11">
        <v>8427.3700000000008</v>
      </c>
      <c r="N3113" s="12">
        <v>1031.58</v>
      </c>
      <c r="O3113" s="12">
        <v>17993.04</v>
      </c>
    </row>
    <row r="3114" spans="1:15">
      <c r="A3114" t="s">
        <v>3288</v>
      </c>
      <c r="B3114" t="s">
        <v>550</v>
      </c>
      <c r="C3114" s="9">
        <v>20820</v>
      </c>
      <c r="D3114">
        <v>69</v>
      </c>
      <c r="E3114" t="s">
        <v>21</v>
      </c>
      <c r="F3114" t="s">
        <v>74</v>
      </c>
      <c r="G3114" s="9">
        <v>45318</v>
      </c>
      <c r="H3114" s="9">
        <v>45513</v>
      </c>
      <c r="I3114">
        <v>35</v>
      </c>
      <c r="J3114" t="s">
        <v>32</v>
      </c>
      <c r="K3114">
        <v>10</v>
      </c>
      <c r="L3114">
        <v>9</v>
      </c>
      <c r="M3114" s="11">
        <v>3555.99</v>
      </c>
      <c r="N3114" s="12">
        <v>472.75</v>
      </c>
      <c r="O3114" s="12">
        <v>14576.07</v>
      </c>
    </row>
    <row r="3115" spans="1:15">
      <c r="A3115" t="s">
        <v>3289</v>
      </c>
      <c r="B3115" t="s">
        <v>115</v>
      </c>
      <c r="C3115" s="9">
        <v>42005</v>
      </c>
      <c r="D3115">
        <v>11</v>
      </c>
      <c r="E3115" t="s">
        <v>21</v>
      </c>
      <c r="F3115" t="s">
        <v>25</v>
      </c>
      <c r="G3115" s="9">
        <v>45473</v>
      </c>
      <c r="H3115" s="9">
        <v>45499</v>
      </c>
      <c r="I3115">
        <v>3</v>
      </c>
      <c r="J3115" t="s">
        <v>32</v>
      </c>
      <c r="K3115">
        <v>14</v>
      </c>
      <c r="L3115">
        <v>1</v>
      </c>
      <c r="M3115" s="11">
        <v>18141.32</v>
      </c>
      <c r="N3115" s="12">
        <v>7222.28</v>
      </c>
      <c r="O3115" s="12">
        <v>10867.32</v>
      </c>
    </row>
    <row r="3116" spans="1:15">
      <c r="A3116" t="s">
        <v>3290</v>
      </c>
      <c r="B3116" t="s">
        <v>103</v>
      </c>
      <c r="C3116" s="9">
        <v>45657</v>
      </c>
      <c r="D3116">
        <v>1</v>
      </c>
      <c r="E3116" t="s">
        <v>21</v>
      </c>
      <c r="F3116" t="s">
        <v>5184</v>
      </c>
      <c r="G3116" s="9">
        <v>45651</v>
      </c>
      <c r="H3116" s="9">
        <v>45737</v>
      </c>
      <c r="I3116">
        <v>11</v>
      </c>
      <c r="J3116" t="s">
        <v>32</v>
      </c>
      <c r="K3116">
        <v>5</v>
      </c>
      <c r="L3116">
        <v>1</v>
      </c>
      <c r="M3116" s="11">
        <v>20347.66</v>
      </c>
      <c r="N3116" s="12">
        <v>11787.48</v>
      </c>
      <c r="O3116" s="12">
        <v>18609.53</v>
      </c>
    </row>
    <row r="3117" spans="1:15">
      <c r="A3117" t="s">
        <v>3291</v>
      </c>
      <c r="B3117" t="s">
        <v>91</v>
      </c>
      <c r="C3117" s="9">
        <v>43831</v>
      </c>
      <c r="D3117">
        <v>6</v>
      </c>
      <c r="E3117" t="s">
        <v>17</v>
      </c>
      <c r="F3117" t="s">
        <v>29</v>
      </c>
      <c r="G3117" s="9">
        <v>45649</v>
      </c>
      <c r="H3117" s="9">
        <v>45561</v>
      </c>
      <c r="I3117">
        <v>27</v>
      </c>
      <c r="J3117" t="s">
        <v>32</v>
      </c>
      <c r="K3117">
        <v>13</v>
      </c>
      <c r="L3117">
        <v>9</v>
      </c>
      <c r="M3117" s="11">
        <v>0</v>
      </c>
      <c r="N3117" s="12">
        <v>5763.47</v>
      </c>
      <c r="O3117" s="12">
        <v>17424</v>
      </c>
    </row>
    <row r="3118" spans="1:15">
      <c r="A3118" t="s">
        <v>3292</v>
      </c>
      <c r="B3118" t="s">
        <v>37</v>
      </c>
      <c r="C3118" s="9">
        <v>17168</v>
      </c>
      <c r="D3118">
        <v>79</v>
      </c>
      <c r="E3118" t="s">
        <v>17</v>
      </c>
      <c r="F3118" t="s">
        <v>22</v>
      </c>
      <c r="G3118" s="9">
        <v>45356</v>
      </c>
      <c r="H3118" s="9">
        <v>45642</v>
      </c>
      <c r="I3118">
        <v>11</v>
      </c>
      <c r="J3118" t="s">
        <v>26</v>
      </c>
      <c r="K3118">
        <v>1</v>
      </c>
      <c r="L3118">
        <v>4</v>
      </c>
      <c r="M3118" s="11">
        <v>4845.96</v>
      </c>
      <c r="N3118" s="12">
        <v>12777.48</v>
      </c>
      <c r="O3118" s="12">
        <v>16911.66</v>
      </c>
    </row>
    <row r="3119" spans="1:15">
      <c r="A3119" t="s">
        <v>3293</v>
      </c>
      <c r="B3119" t="s">
        <v>302</v>
      </c>
      <c r="C3119" s="9">
        <v>45292</v>
      </c>
      <c r="D3119">
        <v>2</v>
      </c>
      <c r="E3119" t="s">
        <v>17</v>
      </c>
      <c r="F3119" t="s">
        <v>5184</v>
      </c>
      <c r="G3119" s="9">
        <v>45577</v>
      </c>
      <c r="H3119" s="9">
        <v>44938</v>
      </c>
      <c r="I3119">
        <v>38</v>
      </c>
      <c r="J3119" t="s">
        <v>32</v>
      </c>
      <c r="K3119">
        <v>3</v>
      </c>
      <c r="L3119">
        <v>6</v>
      </c>
      <c r="M3119" s="11">
        <v>8828.24</v>
      </c>
      <c r="N3119" s="12">
        <v>7381.83</v>
      </c>
      <c r="O3119" s="12">
        <v>17624.330000000002</v>
      </c>
    </row>
    <row r="3120" spans="1:15">
      <c r="A3120" t="s">
        <v>3294</v>
      </c>
      <c r="B3120" t="s">
        <v>196</v>
      </c>
      <c r="C3120" s="9">
        <v>45292</v>
      </c>
      <c r="D3120">
        <v>2</v>
      </c>
      <c r="E3120" t="s">
        <v>17</v>
      </c>
      <c r="F3120" t="s">
        <v>74</v>
      </c>
      <c r="G3120" s="9">
        <v>45115</v>
      </c>
      <c r="H3120" s="9">
        <v>45586</v>
      </c>
      <c r="I3120">
        <v>6</v>
      </c>
      <c r="J3120" t="s">
        <v>32</v>
      </c>
      <c r="K3120">
        <v>5</v>
      </c>
      <c r="L3120">
        <v>8</v>
      </c>
      <c r="M3120" s="11">
        <v>5571.11</v>
      </c>
      <c r="N3120" s="12">
        <v>394.33</v>
      </c>
      <c r="O3120" s="12">
        <v>9010.09</v>
      </c>
    </row>
    <row r="3121" spans="1:15">
      <c r="A3121" t="s">
        <v>3295</v>
      </c>
      <c r="B3121" t="s">
        <v>168</v>
      </c>
      <c r="C3121" s="9">
        <v>36526</v>
      </c>
      <c r="D3121">
        <v>26</v>
      </c>
      <c r="E3121" t="s">
        <v>17</v>
      </c>
      <c r="F3121" t="s">
        <v>22</v>
      </c>
      <c r="G3121" s="9">
        <v>45178</v>
      </c>
      <c r="H3121" s="9">
        <v>45143</v>
      </c>
      <c r="I3121">
        <v>28</v>
      </c>
      <c r="J3121" t="s">
        <v>35</v>
      </c>
      <c r="K3121">
        <v>1</v>
      </c>
      <c r="L3121">
        <v>8</v>
      </c>
      <c r="M3121" s="11">
        <v>17840.689999999999</v>
      </c>
      <c r="N3121" s="12">
        <v>14604.98</v>
      </c>
      <c r="O3121" s="12">
        <v>10462.35</v>
      </c>
    </row>
    <row r="3122" spans="1:15">
      <c r="A3122" t="s">
        <v>3296</v>
      </c>
      <c r="B3122" t="s">
        <v>24</v>
      </c>
      <c r="C3122" s="9">
        <v>31778</v>
      </c>
      <c r="D3122">
        <v>39</v>
      </c>
      <c r="E3122" t="s">
        <v>17</v>
      </c>
      <c r="F3122" t="s">
        <v>49</v>
      </c>
      <c r="G3122" s="9">
        <v>45321</v>
      </c>
      <c r="H3122" s="9">
        <v>45813</v>
      </c>
      <c r="I3122">
        <v>1</v>
      </c>
      <c r="J3122" t="s">
        <v>35</v>
      </c>
      <c r="K3122">
        <v>2</v>
      </c>
      <c r="L3122">
        <v>5</v>
      </c>
      <c r="M3122" s="11">
        <v>16795.98</v>
      </c>
      <c r="N3122" s="12">
        <v>7344.18</v>
      </c>
      <c r="O3122" s="12">
        <v>8422.65</v>
      </c>
    </row>
    <row r="3123" spans="1:15">
      <c r="A3123" t="s">
        <v>3297</v>
      </c>
      <c r="B3123" t="s">
        <v>306</v>
      </c>
      <c r="C3123" s="9">
        <v>34334</v>
      </c>
      <c r="D3123">
        <v>32</v>
      </c>
      <c r="E3123" t="s">
        <v>17</v>
      </c>
      <c r="F3123" t="s">
        <v>22</v>
      </c>
      <c r="G3123" s="9">
        <v>45588</v>
      </c>
      <c r="H3123" s="9">
        <v>45248</v>
      </c>
      <c r="I3123">
        <v>15</v>
      </c>
      <c r="J3123" t="s">
        <v>26</v>
      </c>
      <c r="K3123">
        <v>3</v>
      </c>
      <c r="L3123">
        <v>1</v>
      </c>
      <c r="M3123" s="11">
        <v>14851.06</v>
      </c>
      <c r="N3123" s="12">
        <v>9752.0400000000009</v>
      </c>
      <c r="O3123" s="12">
        <v>14775.35</v>
      </c>
    </row>
    <row r="3124" spans="1:15">
      <c r="A3124" t="s">
        <v>3298</v>
      </c>
      <c r="B3124" t="s">
        <v>356</v>
      </c>
      <c r="C3124" s="9">
        <v>12785</v>
      </c>
      <c r="D3124">
        <v>91</v>
      </c>
      <c r="E3124" t="s">
        <v>21</v>
      </c>
      <c r="F3124" t="s">
        <v>29</v>
      </c>
      <c r="G3124" s="9">
        <v>45145</v>
      </c>
      <c r="H3124" s="9">
        <v>45387</v>
      </c>
      <c r="I3124">
        <v>2</v>
      </c>
      <c r="J3124" t="s">
        <v>32</v>
      </c>
      <c r="K3124">
        <v>1</v>
      </c>
      <c r="L3124">
        <v>5</v>
      </c>
      <c r="M3124" s="11">
        <v>8529.73</v>
      </c>
      <c r="N3124" s="12">
        <v>2989.34</v>
      </c>
      <c r="O3124" s="12">
        <v>11797.74</v>
      </c>
    </row>
    <row r="3125" spans="1:15">
      <c r="A3125" t="s">
        <v>3299</v>
      </c>
      <c r="B3125" t="s">
        <v>254</v>
      </c>
      <c r="C3125" s="9">
        <v>46022</v>
      </c>
      <c r="D3125">
        <v>0</v>
      </c>
      <c r="E3125" t="s">
        <v>17</v>
      </c>
      <c r="F3125" t="s">
        <v>29</v>
      </c>
      <c r="G3125" s="9">
        <v>45520</v>
      </c>
      <c r="H3125" s="9">
        <v>45742</v>
      </c>
      <c r="I3125">
        <v>23</v>
      </c>
      <c r="J3125" t="s">
        <v>32</v>
      </c>
      <c r="K3125">
        <v>13</v>
      </c>
      <c r="L3125">
        <v>0</v>
      </c>
      <c r="M3125" s="11">
        <v>6730.11</v>
      </c>
      <c r="N3125" s="12">
        <v>4459.96</v>
      </c>
      <c r="O3125" s="12">
        <v>1300.93</v>
      </c>
    </row>
    <row r="3126" spans="1:15">
      <c r="A3126" t="s">
        <v>3300</v>
      </c>
      <c r="B3126" t="s">
        <v>192</v>
      </c>
      <c r="C3126" s="9">
        <v>43466</v>
      </c>
      <c r="D3126">
        <v>7</v>
      </c>
      <c r="E3126" t="s">
        <v>17</v>
      </c>
      <c r="F3126" t="s">
        <v>5184</v>
      </c>
      <c r="G3126" s="9">
        <v>45116</v>
      </c>
      <c r="H3126" s="9">
        <v>45453</v>
      </c>
      <c r="I3126">
        <v>20</v>
      </c>
      <c r="J3126" t="s">
        <v>26</v>
      </c>
      <c r="K3126">
        <v>4</v>
      </c>
      <c r="L3126">
        <v>1</v>
      </c>
      <c r="M3126" s="11">
        <v>26657.439999999999</v>
      </c>
      <c r="N3126" s="12">
        <v>7264.27</v>
      </c>
      <c r="O3126" s="12">
        <v>2645.66</v>
      </c>
    </row>
    <row r="3127" spans="1:15">
      <c r="A3127" t="s">
        <v>3301</v>
      </c>
      <c r="B3127" t="s">
        <v>97</v>
      </c>
      <c r="C3127" s="9">
        <v>34700</v>
      </c>
      <c r="D3127">
        <f ca="1">DATEDIF(C3078,TODAY(),"Y")</f>
        <v>62</v>
      </c>
      <c r="E3127" t="s">
        <v>21</v>
      </c>
      <c r="F3127" t="s">
        <v>74</v>
      </c>
      <c r="G3127" s="9">
        <v>45160</v>
      </c>
      <c r="H3127" s="9">
        <v>45506</v>
      </c>
      <c r="I3127">
        <v>9</v>
      </c>
      <c r="J3127" t="s">
        <v>35</v>
      </c>
      <c r="K3127">
        <v>13</v>
      </c>
      <c r="L3127">
        <v>2</v>
      </c>
      <c r="M3127" s="11">
        <v>990.05</v>
      </c>
      <c r="N3127" s="12">
        <v>12842.84</v>
      </c>
      <c r="O3127" s="12">
        <v>3765.72</v>
      </c>
    </row>
    <row r="3128" spans="1:15">
      <c r="A3128" t="s">
        <v>3302</v>
      </c>
      <c r="B3128" t="s">
        <v>131</v>
      </c>
      <c r="C3128" s="9">
        <v>28856</v>
      </c>
      <c r="D3128">
        <v>47</v>
      </c>
      <c r="E3128" t="s">
        <v>21</v>
      </c>
      <c r="F3128" t="s">
        <v>25</v>
      </c>
      <c r="G3128" s="9">
        <v>45614</v>
      </c>
      <c r="H3128" s="9">
        <v>45619</v>
      </c>
      <c r="I3128">
        <v>11</v>
      </c>
      <c r="J3128" t="s">
        <v>32</v>
      </c>
      <c r="K3128">
        <v>1</v>
      </c>
      <c r="L3128">
        <v>4</v>
      </c>
      <c r="M3128" s="11">
        <v>19520.150000000001</v>
      </c>
      <c r="N3128" s="12">
        <v>1529.31</v>
      </c>
      <c r="O3128" s="12">
        <v>13378.13</v>
      </c>
    </row>
    <row r="3129" spans="1:15">
      <c r="A3129" t="s">
        <v>3303</v>
      </c>
      <c r="B3129" t="s">
        <v>479</v>
      </c>
      <c r="C3129" s="9">
        <v>44927</v>
      </c>
      <c r="D3129">
        <v>3</v>
      </c>
      <c r="E3129" t="s">
        <v>17</v>
      </c>
      <c r="F3129" t="s">
        <v>29</v>
      </c>
      <c r="G3129" s="9">
        <v>45158</v>
      </c>
      <c r="H3129" s="9">
        <v>45804</v>
      </c>
      <c r="I3129">
        <v>10</v>
      </c>
      <c r="J3129" t="s">
        <v>26</v>
      </c>
      <c r="K3129">
        <v>6</v>
      </c>
      <c r="L3129">
        <v>9</v>
      </c>
      <c r="M3129" s="11">
        <v>97.1</v>
      </c>
      <c r="N3129" s="12">
        <v>11705.1</v>
      </c>
      <c r="O3129" s="12">
        <v>2107.08</v>
      </c>
    </row>
    <row r="3130" spans="1:15">
      <c r="A3130" t="s">
        <v>3304</v>
      </c>
      <c r="B3130" t="s">
        <v>151</v>
      </c>
      <c r="C3130" s="9">
        <v>12054</v>
      </c>
      <c r="D3130">
        <f ca="1">DATEDIF(C3081,TODAY(),"Y")</f>
        <v>2</v>
      </c>
      <c r="E3130" t="s">
        <v>21</v>
      </c>
      <c r="F3130" t="s">
        <v>25</v>
      </c>
      <c r="G3130" s="9">
        <v>45284</v>
      </c>
      <c r="H3130" s="9">
        <v>45681</v>
      </c>
      <c r="I3130">
        <v>32</v>
      </c>
      <c r="J3130" t="s">
        <v>35</v>
      </c>
      <c r="K3130">
        <v>5</v>
      </c>
      <c r="L3130">
        <v>0</v>
      </c>
      <c r="M3130" s="11">
        <v>5412.06</v>
      </c>
      <c r="N3130" s="12">
        <v>8690.26</v>
      </c>
      <c r="O3130" s="12">
        <v>10770.48</v>
      </c>
    </row>
    <row r="3131" spans="1:15">
      <c r="A3131" t="s">
        <v>3305</v>
      </c>
      <c r="B3131" t="s">
        <v>192</v>
      </c>
      <c r="C3131" s="9">
        <v>20820</v>
      </c>
      <c r="D3131">
        <v>69</v>
      </c>
      <c r="E3131" t="s">
        <v>21</v>
      </c>
      <c r="F3131" t="s">
        <v>5184</v>
      </c>
      <c r="G3131" s="9">
        <v>45404</v>
      </c>
      <c r="H3131" s="9">
        <v>45087</v>
      </c>
      <c r="I3131">
        <v>12</v>
      </c>
      <c r="J3131" t="s">
        <v>32</v>
      </c>
      <c r="K3131">
        <v>1</v>
      </c>
      <c r="L3131">
        <v>9</v>
      </c>
      <c r="M3131" s="11">
        <v>8329.25</v>
      </c>
      <c r="N3131" s="12">
        <v>7494.98</v>
      </c>
      <c r="O3131" s="12">
        <v>16800.78</v>
      </c>
    </row>
    <row r="3132" spans="1:15">
      <c r="A3132" t="s">
        <v>3306</v>
      </c>
      <c r="B3132" t="s">
        <v>240</v>
      </c>
      <c r="C3132" s="9">
        <f>DATE(2026-D3092,1,1)</f>
        <v>39448</v>
      </c>
      <c r="D3132">
        <v>18</v>
      </c>
      <c r="E3132" t="s">
        <v>21</v>
      </c>
      <c r="F3132" t="s">
        <v>5184</v>
      </c>
      <c r="G3132" s="9">
        <v>45501</v>
      </c>
      <c r="H3132" s="9">
        <v>45391</v>
      </c>
      <c r="I3132">
        <v>32</v>
      </c>
      <c r="J3132" t="s">
        <v>26</v>
      </c>
      <c r="K3132">
        <v>0</v>
      </c>
      <c r="L3132">
        <v>4</v>
      </c>
      <c r="M3132" s="11">
        <v>26537.82</v>
      </c>
      <c r="N3132" s="12">
        <v>13148.82</v>
      </c>
      <c r="O3132" s="12">
        <v>18945.04</v>
      </c>
    </row>
    <row r="3133" spans="1:15">
      <c r="A3133" t="s">
        <v>3307</v>
      </c>
      <c r="B3133" t="s">
        <v>379</v>
      </c>
      <c r="C3133" s="9">
        <v>34700</v>
      </c>
      <c r="D3133">
        <v>31</v>
      </c>
      <c r="E3133" t="s">
        <v>17</v>
      </c>
      <c r="F3133" t="s">
        <v>49</v>
      </c>
      <c r="G3133" s="9">
        <v>45355</v>
      </c>
      <c r="H3133" s="9">
        <v>45449</v>
      </c>
      <c r="I3133">
        <v>16</v>
      </c>
      <c r="J3133" t="s">
        <v>26</v>
      </c>
      <c r="K3133">
        <v>2</v>
      </c>
      <c r="L3133">
        <v>4</v>
      </c>
      <c r="M3133" s="11">
        <v>3700.92</v>
      </c>
      <c r="N3133" s="12">
        <v>1771.8</v>
      </c>
      <c r="O3133" s="12">
        <v>8507.4699999999993</v>
      </c>
    </row>
    <row r="3134" spans="1:15">
      <c r="A3134" t="s">
        <v>3308</v>
      </c>
      <c r="B3134" t="s">
        <v>163</v>
      </c>
      <c r="C3134" s="9">
        <f>DATE(2026-D3094,1,1)</f>
        <v>27760</v>
      </c>
      <c r="D3134">
        <v>8</v>
      </c>
      <c r="E3134" t="s">
        <v>17</v>
      </c>
      <c r="F3134" t="s">
        <v>25</v>
      </c>
      <c r="G3134" s="9">
        <v>45163</v>
      </c>
      <c r="H3134" s="9">
        <v>45563</v>
      </c>
      <c r="I3134">
        <v>12</v>
      </c>
      <c r="J3134" t="s">
        <v>32</v>
      </c>
      <c r="K3134">
        <v>3</v>
      </c>
      <c r="L3134">
        <v>3</v>
      </c>
      <c r="M3134" s="11">
        <v>28103.1</v>
      </c>
      <c r="N3134" s="12">
        <v>14861.31</v>
      </c>
      <c r="O3134" s="12">
        <v>10621.93</v>
      </c>
    </row>
    <row r="3135" spans="1:15">
      <c r="A3135" t="s">
        <v>3309</v>
      </c>
      <c r="B3135" t="s">
        <v>168</v>
      </c>
      <c r="C3135" s="9">
        <v>42005</v>
      </c>
      <c r="D3135">
        <v>11</v>
      </c>
      <c r="E3135" t="s">
        <v>21</v>
      </c>
      <c r="F3135" t="s">
        <v>5184</v>
      </c>
      <c r="G3135" s="9">
        <v>44959</v>
      </c>
      <c r="H3135" s="9">
        <v>45200</v>
      </c>
      <c r="I3135">
        <v>5</v>
      </c>
      <c r="J3135" t="s">
        <v>32</v>
      </c>
      <c r="K3135">
        <v>12</v>
      </c>
      <c r="L3135">
        <v>2</v>
      </c>
      <c r="M3135" s="11">
        <v>24371.42</v>
      </c>
      <c r="N3135" s="12">
        <v>12819.5</v>
      </c>
      <c r="O3135" s="12">
        <v>16613.71</v>
      </c>
    </row>
    <row r="3136" spans="1:15">
      <c r="A3136" t="s">
        <v>3310</v>
      </c>
      <c r="B3136" t="s">
        <v>34</v>
      </c>
      <c r="C3136" s="9">
        <v>42370</v>
      </c>
      <c r="D3136">
        <v>10</v>
      </c>
      <c r="E3136" t="s">
        <v>21</v>
      </c>
      <c r="F3136" t="s">
        <v>5184</v>
      </c>
      <c r="G3136" s="9">
        <v>45139</v>
      </c>
      <c r="H3136" s="9">
        <v>45168</v>
      </c>
      <c r="I3136">
        <v>20</v>
      </c>
      <c r="J3136" t="s">
        <v>35</v>
      </c>
      <c r="K3136">
        <v>12</v>
      </c>
      <c r="L3136">
        <v>6</v>
      </c>
      <c r="M3136" s="11">
        <v>20210.919999999998</v>
      </c>
      <c r="N3136" s="12">
        <v>4886.05</v>
      </c>
      <c r="O3136" s="12">
        <v>18708.41</v>
      </c>
    </row>
    <row r="3137" spans="1:15">
      <c r="A3137" t="s">
        <v>3311</v>
      </c>
      <c r="B3137" t="s">
        <v>252</v>
      </c>
      <c r="C3137" s="9">
        <v>29586</v>
      </c>
      <c r="D3137">
        <v>45</v>
      </c>
      <c r="E3137" t="s">
        <v>5185</v>
      </c>
      <c r="F3137" t="s">
        <v>5184</v>
      </c>
      <c r="G3137" s="9">
        <v>45498</v>
      </c>
      <c r="H3137" s="9">
        <v>45582</v>
      </c>
      <c r="I3137">
        <v>10</v>
      </c>
      <c r="J3137" t="s">
        <v>32</v>
      </c>
      <c r="K3137">
        <v>9</v>
      </c>
      <c r="L3137">
        <v>6</v>
      </c>
      <c r="M3137" s="11">
        <v>12058.26</v>
      </c>
      <c r="N3137" s="12">
        <v>6773.65</v>
      </c>
      <c r="O3137" s="12">
        <v>7736.21</v>
      </c>
    </row>
    <row r="3138" spans="1:15">
      <c r="A3138" t="s">
        <v>3312</v>
      </c>
      <c r="B3138" t="s">
        <v>392</v>
      </c>
      <c r="C3138" s="9">
        <v>40544</v>
      </c>
      <c r="D3138">
        <v>15</v>
      </c>
      <c r="E3138" t="s">
        <v>17</v>
      </c>
      <c r="F3138" t="s">
        <v>18</v>
      </c>
      <c r="G3138" s="9">
        <v>45305</v>
      </c>
      <c r="H3138" s="9">
        <v>45792</v>
      </c>
      <c r="I3138">
        <v>20</v>
      </c>
      <c r="J3138" t="s">
        <v>32</v>
      </c>
      <c r="K3138">
        <v>12</v>
      </c>
      <c r="L3138">
        <v>0</v>
      </c>
      <c r="M3138" s="11">
        <v>27110.33</v>
      </c>
      <c r="N3138" s="12">
        <v>375.05</v>
      </c>
      <c r="O3138" s="12">
        <v>6996.52</v>
      </c>
    </row>
    <row r="3139" spans="1:15">
      <c r="A3139" t="s">
        <v>3313</v>
      </c>
      <c r="B3139" t="s">
        <v>237</v>
      </c>
      <c r="C3139" s="9">
        <v>46022</v>
      </c>
      <c r="D3139">
        <v>0</v>
      </c>
      <c r="E3139" t="s">
        <v>17</v>
      </c>
      <c r="F3139" t="s">
        <v>5184</v>
      </c>
      <c r="G3139" s="9">
        <v>44928</v>
      </c>
      <c r="H3139" s="9">
        <v>45094</v>
      </c>
      <c r="I3139">
        <v>28</v>
      </c>
      <c r="J3139" t="s">
        <v>32</v>
      </c>
      <c r="K3139">
        <v>8</v>
      </c>
      <c r="L3139">
        <v>6</v>
      </c>
      <c r="M3139" s="11">
        <v>15602.63</v>
      </c>
      <c r="N3139" s="12">
        <v>7914.07</v>
      </c>
      <c r="O3139" s="12">
        <v>8961.98</v>
      </c>
    </row>
    <row r="3140" spans="1:15">
      <c r="A3140" t="s">
        <v>3314</v>
      </c>
      <c r="B3140" t="s">
        <v>341</v>
      </c>
      <c r="C3140" s="9">
        <v>23377</v>
      </c>
      <c r="D3140">
        <v>62</v>
      </c>
      <c r="E3140" t="s">
        <v>21</v>
      </c>
      <c r="F3140" t="s">
        <v>5184</v>
      </c>
      <c r="G3140" s="9">
        <v>45376</v>
      </c>
      <c r="H3140" s="9">
        <v>45496</v>
      </c>
      <c r="I3140">
        <v>27</v>
      </c>
      <c r="J3140" t="s">
        <v>35</v>
      </c>
      <c r="K3140">
        <v>9</v>
      </c>
      <c r="L3140">
        <v>2</v>
      </c>
      <c r="M3140" s="11">
        <v>10821.83</v>
      </c>
      <c r="N3140" s="12">
        <v>8215.7900000000009</v>
      </c>
      <c r="O3140" s="12">
        <v>5001.47</v>
      </c>
    </row>
    <row r="3141" spans="1:15">
      <c r="A3141" t="s">
        <v>3315</v>
      </c>
      <c r="B3141" t="s">
        <v>196</v>
      </c>
      <c r="C3141" s="9">
        <v>38717</v>
      </c>
      <c r="D3141">
        <v>20</v>
      </c>
      <c r="E3141" t="s">
        <v>21</v>
      </c>
      <c r="F3141" t="s">
        <v>25</v>
      </c>
      <c r="G3141" s="9">
        <v>45495</v>
      </c>
      <c r="H3141" s="9">
        <v>45577</v>
      </c>
      <c r="I3141">
        <v>39</v>
      </c>
      <c r="J3141" t="s">
        <v>35</v>
      </c>
      <c r="K3141">
        <v>2</v>
      </c>
      <c r="L3141">
        <v>2</v>
      </c>
      <c r="M3141" s="11">
        <v>17361.53</v>
      </c>
      <c r="N3141" s="12">
        <v>13898.64</v>
      </c>
      <c r="O3141" s="12">
        <v>17179.25</v>
      </c>
    </row>
    <row r="3142" spans="1:15">
      <c r="A3142" t="s">
        <v>3316</v>
      </c>
      <c r="B3142" t="s">
        <v>147</v>
      </c>
      <c r="C3142" s="9">
        <v>35430</v>
      </c>
      <c r="D3142">
        <v>29</v>
      </c>
      <c r="E3142" t="s">
        <v>21</v>
      </c>
      <c r="F3142" t="s">
        <v>29</v>
      </c>
      <c r="G3142" s="9">
        <v>45353</v>
      </c>
      <c r="H3142" s="9">
        <v>45254</v>
      </c>
      <c r="I3142">
        <v>1</v>
      </c>
      <c r="J3142" t="s">
        <v>35</v>
      </c>
      <c r="K3142">
        <v>13</v>
      </c>
      <c r="L3142">
        <v>5</v>
      </c>
      <c r="M3142" s="11">
        <v>6584.16</v>
      </c>
      <c r="N3142" s="12">
        <v>5818.89</v>
      </c>
      <c r="O3142" s="12">
        <v>6295.77</v>
      </c>
    </row>
    <row r="3143" spans="1:15">
      <c r="A3143" t="s">
        <v>3317</v>
      </c>
      <c r="B3143" t="s">
        <v>170</v>
      </c>
      <c r="C3143" s="9">
        <v>41639</v>
      </c>
      <c r="D3143">
        <v>12</v>
      </c>
      <c r="E3143" t="s">
        <v>17</v>
      </c>
      <c r="F3143" t="s">
        <v>25</v>
      </c>
      <c r="G3143" s="9">
        <v>45576</v>
      </c>
      <c r="H3143" s="9">
        <v>45792</v>
      </c>
      <c r="I3143">
        <v>8</v>
      </c>
      <c r="J3143" t="s">
        <v>32</v>
      </c>
      <c r="K3143">
        <v>2</v>
      </c>
      <c r="L3143">
        <v>5</v>
      </c>
      <c r="M3143" s="11">
        <v>7822.78</v>
      </c>
      <c r="N3143" s="12">
        <v>8559.27</v>
      </c>
      <c r="O3143" s="12">
        <v>8934.09</v>
      </c>
    </row>
    <row r="3144" spans="1:15">
      <c r="A3144" t="s">
        <v>3318</v>
      </c>
      <c r="B3144" t="s">
        <v>284</v>
      </c>
      <c r="C3144" s="9">
        <v>33969</v>
      </c>
      <c r="D3144">
        <v>33</v>
      </c>
      <c r="E3144" t="s">
        <v>21</v>
      </c>
      <c r="F3144" t="s">
        <v>25</v>
      </c>
      <c r="G3144" s="9">
        <v>45205</v>
      </c>
      <c r="H3144" s="9">
        <v>45456</v>
      </c>
      <c r="I3144">
        <v>22</v>
      </c>
      <c r="J3144" t="s">
        <v>35</v>
      </c>
      <c r="K3144">
        <v>12</v>
      </c>
      <c r="L3144">
        <v>3</v>
      </c>
      <c r="M3144" s="11">
        <v>27539.09</v>
      </c>
      <c r="N3144" s="12">
        <v>11109.26</v>
      </c>
      <c r="O3144" s="12">
        <v>6331.26</v>
      </c>
    </row>
    <row r="3145" spans="1:15">
      <c r="A3145" t="s">
        <v>3319</v>
      </c>
      <c r="B3145" t="s">
        <v>59</v>
      </c>
      <c r="C3145" s="9">
        <f>DATE(2026-D3105,1,1)</f>
        <v>26299</v>
      </c>
      <c r="D3145">
        <v>3</v>
      </c>
      <c r="E3145" t="s">
        <v>21</v>
      </c>
      <c r="F3145" t="s">
        <v>18</v>
      </c>
      <c r="G3145" s="9">
        <v>45140</v>
      </c>
      <c r="H3145" s="9">
        <v>45771</v>
      </c>
      <c r="I3145">
        <v>26</v>
      </c>
      <c r="J3145" t="s">
        <v>35</v>
      </c>
      <c r="K3145">
        <v>7</v>
      </c>
      <c r="L3145">
        <v>4</v>
      </c>
      <c r="M3145" s="11">
        <v>23714.77</v>
      </c>
      <c r="N3145" s="12">
        <v>9127.75</v>
      </c>
      <c r="O3145" s="12">
        <v>2290.31</v>
      </c>
    </row>
    <row r="3146" spans="1:15">
      <c r="A3146" t="s">
        <v>3320</v>
      </c>
      <c r="B3146" t="s">
        <v>254</v>
      </c>
      <c r="C3146" s="9">
        <v>36161</v>
      </c>
      <c r="D3146">
        <v>27</v>
      </c>
      <c r="E3146" t="s">
        <v>21</v>
      </c>
      <c r="F3146" t="s">
        <v>18</v>
      </c>
      <c r="G3146" s="9">
        <v>45211</v>
      </c>
      <c r="H3146" s="9">
        <v>45200</v>
      </c>
      <c r="I3146">
        <v>19</v>
      </c>
      <c r="J3146" t="s">
        <v>35</v>
      </c>
      <c r="K3146">
        <v>2</v>
      </c>
      <c r="L3146">
        <v>2</v>
      </c>
      <c r="M3146" s="11">
        <v>0</v>
      </c>
      <c r="N3146" s="12">
        <v>2342.61</v>
      </c>
      <c r="O3146" s="12">
        <v>12093.61</v>
      </c>
    </row>
    <row r="3147" spans="1:15">
      <c r="A3147" t="s">
        <v>3321</v>
      </c>
      <c r="B3147" t="s">
        <v>174</v>
      </c>
      <c r="C3147" s="9">
        <f>DATE(2026-D3107,1,1)</f>
        <v>29221</v>
      </c>
      <c r="D3147">
        <v>94</v>
      </c>
      <c r="E3147" t="s">
        <v>21</v>
      </c>
      <c r="F3147" t="s">
        <v>74</v>
      </c>
      <c r="G3147" s="9">
        <v>45469</v>
      </c>
      <c r="H3147" s="9">
        <v>45806</v>
      </c>
      <c r="I3147">
        <v>16</v>
      </c>
      <c r="J3147" t="s">
        <v>26</v>
      </c>
      <c r="K3147">
        <v>2</v>
      </c>
      <c r="L3147">
        <v>2</v>
      </c>
      <c r="M3147" s="11">
        <v>12205.31</v>
      </c>
      <c r="N3147" s="12">
        <v>2577.23</v>
      </c>
      <c r="O3147" s="12">
        <v>11710.97</v>
      </c>
    </row>
    <row r="3148" spans="1:15">
      <c r="A3148" t="s">
        <v>3322</v>
      </c>
      <c r="B3148" t="s">
        <v>57</v>
      </c>
      <c r="C3148" s="9">
        <v>24838</v>
      </c>
      <c r="D3148">
        <v>58</v>
      </c>
      <c r="E3148" t="s">
        <v>17</v>
      </c>
      <c r="F3148" t="s">
        <v>29</v>
      </c>
      <c r="G3148" s="9">
        <v>45644</v>
      </c>
      <c r="H3148" s="9">
        <v>45303</v>
      </c>
      <c r="I3148">
        <v>6</v>
      </c>
      <c r="J3148" t="s">
        <v>35</v>
      </c>
      <c r="K3148">
        <v>2</v>
      </c>
      <c r="L3148">
        <v>8</v>
      </c>
      <c r="M3148" s="11">
        <v>24130.880000000001</v>
      </c>
      <c r="N3148" s="12">
        <v>2075.09</v>
      </c>
      <c r="O3148" s="12">
        <v>5827.49</v>
      </c>
    </row>
    <row r="3149" spans="1:15">
      <c r="A3149" t="s">
        <v>3323</v>
      </c>
      <c r="B3149" t="s">
        <v>309</v>
      </c>
      <c r="C3149" s="9">
        <v>36526</v>
      </c>
      <c r="D3149">
        <v>26</v>
      </c>
      <c r="E3149" t="s">
        <v>21</v>
      </c>
      <c r="F3149" t="s">
        <v>5184</v>
      </c>
      <c r="G3149" s="9">
        <v>45200</v>
      </c>
      <c r="H3149" s="9">
        <v>45302</v>
      </c>
      <c r="I3149">
        <v>38</v>
      </c>
      <c r="J3149" t="s">
        <v>32</v>
      </c>
      <c r="K3149">
        <v>14</v>
      </c>
      <c r="L3149">
        <v>4</v>
      </c>
      <c r="M3149" s="11">
        <v>0</v>
      </c>
      <c r="N3149" s="12">
        <v>3265.93</v>
      </c>
      <c r="O3149" s="12">
        <v>531.1</v>
      </c>
    </row>
    <row r="3150" spans="1:15">
      <c r="A3150" t="s">
        <v>3324</v>
      </c>
      <c r="B3150" t="s">
        <v>61</v>
      </c>
      <c r="C3150" s="9">
        <v>21185</v>
      </c>
      <c r="D3150">
        <v>68</v>
      </c>
      <c r="E3150" t="s">
        <v>17</v>
      </c>
      <c r="F3150" t="s">
        <v>74</v>
      </c>
      <c r="G3150" s="9">
        <v>44937</v>
      </c>
      <c r="H3150" s="9">
        <v>45261</v>
      </c>
      <c r="I3150">
        <v>35</v>
      </c>
      <c r="J3150" t="s">
        <v>26</v>
      </c>
      <c r="K3150">
        <v>0</v>
      </c>
      <c r="L3150">
        <v>0</v>
      </c>
      <c r="M3150" s="11">
        <v>12158.53</v>
      </c>
      <c r="N3150" s="12">
        <v>4924.95</v>
      </c>
      <c r="O3150" s="12">
        <v>18728.61</v>
      </c>
    </row>
    <row r="3151" spans="1:15">
      <c r="A3151" t="s">
        <v>3325</v>
      </c>
      <c r="B3151" t="s">
        <v>514</v>
      </c>
      <c r="C3151" s="9">
        <v>37256</v>
      </c>
      <c r="D3151">
        <v>24</v>
      </c>
      <c r="E3151" t="s">
        <v>17</v>
      </c>
      <c r="F3151" t="s">
        <v>5184</v>
      </c>
      <c r="G3151" s="9">
        <v>44973</v>
      </c>
      <c r="H3151" s="9">
        <v>44930</v>
      </c>
      <c r="I3151">
        <v>26</v>
      </c>
      <c r="J3151" t="s">
        <v>32</v>
      </c>
      <c r="K3151">
        <v>11</v>
      </c>
      <c r="L3151">
        <v>8</v>
      </c>
      <c r="M3151" s="11">
        <v>15221.19</v>
      </c>
      <c r="N3151" s="12">
        <v>11095.01</v>
      </c>
      <c r="O3151" s="12">
        <v>7046.5</v>
      </c>
    </row>
    <row r="3152" spans="1:15">
      <c r="A3152" t="s">
        <v>3326</v>
      </c>
      <c r="B3152" t="s">
        <v>446</v>
      </c>
      <c r="C3152" s="9">
        <v>45292</v>
      </c>
      <c r="D3152">
        <v>2</v>
      </c>
      <c r="E3152" t="s">
        <v>21</v>
      </c>
      <c r="F3152" t="s">
        <v>5184</v>
      </c>
      <c r="G3152" s="9">
        <v>45441</v>
      </c>
      <c r="H3152" s="9">
        <v>45170</v>
      </c>
      <c r="I3152">
        <v>7</v>
      </c>
      <c r="J3152" t="s">
        <v>32</v>
      </c>
      <c r="K3152">
        <v>6</v>
      </c>
      <c r="L3152">
        <v>9</v>
      </c>
      <c r="M3152" s="11">
        <v>6597.63</v>
      </c>
      <c r="N3152" s="12">
        <v>913.89</v>
      </c>
      <c r="O3152" s="12">
        <v>10728.97</v>
      </c>
    </row>
    <row r="3153" spans="1:15">
      <c r="A3153" t="s">
        <v>3327</v>
      </c>
      <c r="B3153" t="s">
        <v>306</v>
      </c>
      <c r="C3153" s="9">
        <v>21551</v>
      </c>
      <c r="D3153">
        <v>67</v>
      </c>
      <c r="E3153" t="s">
        <v>17</v>
      </c>
      <c r="F3153" t="s">
        <v>18</v>
      </c>
      <c r="G3153" s="9">
        <v>45568</v>
      </c>
      <c r="H3153" s="9">
        <v>45547</v>
      </c>
      <c r="I3153">
        <v>19</v>
      </c>
      <c r="J3153" t="s">
        <v>26</v>
      </c>
      <c r="K3153">
        <v>11</v>
      </c>
      <c r="L3153">
        <v>5</v>
      </c>
      <c r="M3153" s="11">
        <v>5660.08</v>
      </c>
      <c r="N3153" s="12">
        <v>12306.67</v>
      </c>
      <c r="O3153" s="12">
        <v>2789.35</v>
      </c>
    </row>
    <row r="3154" spans="1:15">
      <c r="A3154" t="s">
        <v>3328</v>
      </c>
      <c r="B3154" t="s">
        <v>356</v>
      </c>
      <c r="C3154" s="9">
        <v>37256</v>
      </c>
      <c r="D3154">
        <v>24</v>
      </c>
      <c r="E3154" t="s">
        <v>5185</v>
      </c>
      <c r="F3154" t="s">
        <v>5184</v>
      </c>
      <c r="G3154" s="9">
        <v>45364</v>
      </c>
      <c r="H3154" s="9">
        <v>44978</v>
      </c>
      <c r="I3154">
        <v>21</v>
      </c>
      <c r="J3154" t="s">
        <v>35</v>
      </c>
      <c r="K3154">
        <v>12</v>
      </c>
      <c r="L3154">
        <v>8</v>
      </c>
      <c r="M3154" s="11">
        <v>29667.27</v>
      </c>
      <c r="N3154" s="12">
        <v>3936.94</v>
      </c>
      <c r="O3154" s="12">
        <v>4948.4799999999996</v>
      </c>
    </row>
    <row r="3155" spans="1:15">
      <c r="A3155" t="s">
        <v>3329</v>
      </c>
      <c r="B3155" t="s">
        <v>326</v>
      </c>
      <c r="C3155" s="9">
        <v>39083</v>
      </c>
      <c r="D3155">
        <v>19</v>
      </c>
      <c r="E3155" t="s">
        <v>5185</v>
      </c>
      <c r="F3155" t="s">
        <v>5184</v>
      </c>
      <c r="G3155" s="9">
        <v>45510</v>
      </c>
      <c r="H3155" s="9">
        <v>45809</v>
      </c>
      <c r="I3155">
        <v>5</v>
      </c>
      <c r="J3155" t="s">
        <v>26</v>
      </c>
      <c r="K3155">
        <v>2</v>
      </c>
      <c r="L3155">
        <v>6</v>
      </c>
      <c r="M3155" s="11">
        <v>29072.55</v>
      </c>
      <c r="N3155" s="12">
        <v>9201.36</v>
      </c>
      <c r="O3155" s="12">
        <v>8648.58</v>
      </c>
    </row>
    <row r="3156" spans="1:15">
      <c r="A3156" t="s">
        <v>3330</v>
      </c>
      <c r="B3156" t="s">
        <v>170</v>
      </c>
      <c r="C3156" s="9">
        <v>33969</v>
      </c>
      <c r="D3156">
        <v>33</v>
      </c>
      <c r="E3156" t="s">
        <v>21</v>
      </c>
      <c r="F3156" t="s">
        <v>25</v>
      </c>
      <c r="G3156" s="9">
        <v>45597</v>
      </c>
      <c r="H3156" s="9">
        <v>45277</v>
      </c>
      <c r="I3156">
        <v>3</v>
      </c>
      <c r="J3156" t="s">
        <v>32</v>
      </c>
      <c r="K3156">
        <v>3</v>
      </c>
      <c r="L3156">
        <v>9</v>
      </c>
      <c r="M3156" s="11">
        <v>12335.23</v>
      </c>
      <c r="N3156" s="12">
        <v>8291.5300000000007</v>
      </c>
      <c r="O3156" s="12">
        <v>11201.11</v>
      </c>
    </row>
    <row r="3157" spans="1:15">
      <c r="A3157" t="s">
        <v>3331</v>
      </c>
      <c r="B3157" t="s">
        <v>80</v>
      </c>
      <c r="C3157" s="9">
        <v>36891</v>
      </c>
      <c r="D3157">
        <v>25</v>
      </c>
      <c r="E3157" t="s">
        <v>21</v>
      </c>
      <c r="F3157" t="s">
        <v>18</v>
      </c>
      <c r="G3157" s="9">
        <v>45353</v>
      </c>
      <c r="H3157" s="9">
        <v>45101</v>
      </c>
      <c r="I3157">
        <v>4</v>
      </c>
      <c r="J3157" t="s">
        <v>26</v>
      </c>
      <c r="K3157">
        <v>14</v>
      </c>
      <c r="L3157">
        <v>9</v>
      </c>
      <c r="M3157" s="11">
        <v>15215.48</v>
      </c>
      <c r="N3157" s="12">
        <v>2310.33</v>
      </c>
      <c r="O3157" s="12">
        <v>17065.68</v>
      </c>
    </row>
    <row r="3158" spans="1:15">
      <c r="A3158" t="s">
        <v>3332</v>
      </c>
      <c r="B3158" t="s">
        <v>487</v>
      </c>
      <c r="C3158" s="9">
        <v>44561</v>
      </c>
      <c r="D3158">
        <v>4</v>
      </c>
      <c r="E3158" t="s">
        <v>21</v>
      </c>
      <c r="F3158" t="s">
        <v>49</v>
      </c>
      <c r="G3158" s="9">
        <v>45358</v>
      </c>
      <c r="H3158" s="9">
        <v>45043</v>
      </c>
      <c r="I3158">
        <v>17</v>
      </c>
      <c r="J3158" t="s">
        <v>32</v>
      </c>
      <c r="K3158">
        <v>6</v>
      </c>
      <c r="L3158">
        <v>6</v>
      </c>
      <c r="M3158" s="11">
        <v>24729.42</v>
      </c>
      <c r="N3158" s="12">
        <v>4309.46</v>
      </c>
      <c r="O3158" s="12">
        <v>5737.31</v>
      </c>
    </row>
    <row r="3159" spans="1:15">
      <c r="A3159" t="s">
        <v>3333</v>
      </c>
      <c r="B3159" t="s">
        <v>246</v>
      </c>
      <c r="C3159" s="9">
        <v>24107</v>
      </c>
      <c r="D3159">
        <v>60</v>
      </c>
      <c r="E3159" t="s">
        <v>17</v>
      </c>
      <c r="F3159" t="s">
        <v>25</v>
      </c>
      <c r="G3159" s="9">
        <v>45056</v>
      </c>
      <c r="H3159" s="9">
        <v>45622</v>
      </c>
      <c r="I3159">
        <v>14</v>
      </c>
      <c r="J3159" t="s">
        <v>35</v>
      </c>
      <c r="K3159">
        <v>12</v>
      </c>
      <c r="L3159">
        <v>4</v>
      </c>
      <c r="M3159" s="11">
        <v>21637.99</v>
      </c>
      <c r="N3159" s="12">
        <v>4438.8100000000004</v>
      </c>
      <c r="O3159" s="12">
        <v>17422.79</v>
      </c>
    </row>
    <row r="3160" spans="1:15">
      <c r="A3160" t="s">
        <v>3334</v>
      </c>
      <c r="B3160" t="s">
        <v>1148</v>
      </c>
      <c r="C3160" s="9">
        <v>12785</v>
      </c>
      <c r="D3160">
        <v>91</v>
      </c>
      <c r="E3160" t="s">
        <v>17</v>
      </c>
      <c r="F3160" t="s">
        <v>74</v>
      </c>
      <c r="G3160" s="9">
        <v>44948</v>
      </c>
      <c r="H3160" s="9">
        <v>45288</v>
      </c>
      <c r="I3160">
        <v>33</v>
      </c>
      <c r="J3160" t="s">
        <v>35</v>
      </c>
      <c r="K3160">
        <v>2</v>
      </c>
      <c r="L3160">
        <v>6</v>
      </c>
      <c r="M3160" s="11">
        <v>0</v>
      </c>
      <c r="N3160" s="12">
        <v>9357.4599999999991</v>
      </c>
      <c r="O3160" s="12">
        <v>9114.7199999999993</v>
      </c>
    </row>
    <row r="3161" spans="1:15">
      <c r="A3161" t="s">
        <v>3335</v>
      </c>
      <c r="B3161" t="s">
        <v>681</v>
      </c>
      <c r="C3161" s="9">
        <v>12419</v>
      </c>
      <c r="D3161">
        <v>92</v>
      </c>
      <c r="E3161" t="s">
        <v>17</v>
      </c>
      <c r="F3161" t="s">
        <v>25</v>
      </c>
      <c r="G3161" s="9">
        <v>45315</v>
      </c>
      <c r="H3161" s="9">
        <v>45282</v>
      </c>
      <c r="I3161">
        <v>5</v>
      </c>
      <c r="J3161" t="s">
        <v>32</v>
      </c>
      <c r="K3161">
        <v>3</v>
      </c>
      <c r="L3161">
        <v>9</v>
      </c>
      <c r="M3161" s="11">
        <v>10925.64</v>
      </c>
      <c r="N3161" s="12">
        <v>11827.51</v>
      </c>
      <c r="O3161" s="12">
        <v>8596.81</v>
      </c>
    </row>
    <row r="3162" spans="1:15">
      <c r="A3162" t="s">
        <v>3336</v>
      </c>
      <c r="B3162" t="s">
        <v>514</v>
      </c>
      <c r="C3162" s="9">
        <v>43100</v>
      </c>
      <c r="D3162">
        <v>8</v>
      </c>
      <c r="E3162" t="s">
        <v>21</v>
      </c>
      <c r="F3162" t="s">
        <v>49</v>
      </c>
      <c r="G3162" s="9">
        <v>45061</v>
      </c>
      <c r="H3162" s="9">
        <v>45593</v>
      </c>
      <c r="I3162">
        <v>10</v>
      </c>
      <c r="J3162" t="s">
        <v>32</v>
      </c>
      <c r="K3162">
        <v>3</v>
      </c>
      <c r="L3162">
        <v>3</v>
      </c>
      <c r="M3162" s="11">
        <v>7129.61</v>
      </c>
      <c r="N3162" s="12">
        <v>14944.33</v>
      </c>
      <c r="O3162" s="12">
        <v>7867.94</v>
      </c>
    </row>
    <row r="3163" spans="1:15">
      <c r="A3163" t="s">
        <v>3337</v>
      </c>
      <c r="B3163" t="s">
        <v>78</v>
      </c>
      <c r="C3163" s="9">
        <v>28125</v>
      </c>
      <c r="D3163">
        <v>49</v>
      </c>
      <c r="E3163" t="s">
        <v>21</v>
      </c>
      <c r="F3163" t="s">
        <v>18</v>
      </c>
      <c r="G3163" s="9">
        <v>45458</v>
      </c>
      <c r="H3163" s="9">
        <v>45686</v>
      </c>
      <c r="I3163">
        <v>21</v>
      </c>
      <c r="J3163" t="s">
        <v>26</v>
      </c>
      <c r="K3163">
        <v>4</v>
      </c>
      <c r="L3163">
        <v>5</v>
      </c>
      <c r="M3163" s="11">
        <v>29775.22</v>
      </c>
      <c r="N3163" s="12">
        <v>1438.46</v>
      </c>
      <c r="O3163" s="12">
        <v>17712.18</v>
      </c>
    </row>
    <row r="3164" spans="1:15">
      <c r="A3164" t="s">
        <v>3338</v>
      </c>
      <c r="B3164" t="s">
        <v>412</v>
      </c>
      <c r="C3164" s="9">
        <v>44196</v>
      </c>
      <c r="D3164">
        <v>5</v>
      </c>
      <c r="E3164" t="s">
        <v>17</v>
      </c>
      <c r="F3164" t="s">
        <v>29</v>
      </c>
      <c r="G3164" s="9">
        <v>45146</v>
      </c>
      <c r="H3164" s="9">
        <v>45003</v>
      </c>
      <c r="I3164">
        <v>28</v>
      </c>
      <c r="J3164" t="s">
        <v>32</v>
      </c>
      <c r="K3164">
        <v>5</v>
      </c>
      <c r="L3164">
        <v>1</v>
      </c>
      <c r="M3164" s="11">
        <v>22335.4</v>
      </c>
      <c r="N3164" s="12">
        <v>14080</v>
      </c>
      <c r="O3164" s="12">
        <v>4945.4399999999996</v>
      </c>
    </row>
    <row r="3165" spans="1:15">
      <c r="A3165" t="s">
        <v>3339</v>
      </c>
      <c r="B3165" t="s">
        <v>444</v>
      </c>
      <c r="C3165" s="9">
        <v>16072</v>
      </c>
      <c r="D3165">
        <v>82</v>
      </c>
      <c r="E3165" t="s">
        <v>17</v>
      </c>
      <c r="F3165" t="s">
        <v>5184</v>
      </c>
      <c r="G3165" s="9">
        <v>45259</v>
      </c>
      <c r="H3165" s="9">
        <v>45683</v>
      </c>
      <c r="I3165">
        <v>20</v>
      </c>
      <c r="J3165" t="s">
        <v>32</v>
      </c>
      <c r="K3165">
        <v>1</v>
      </c>
      <c r="L3165">
        <v>9</v>
      </c>
      <c r="M3165" s="11">
        <v>956.84</v>
      </c>
      <c r="N3165" s="12">
        <v>8422.89</v>
      </c>
      <c r="O3165" s="12">
        <v>17133.02</v>
      </c>
    </row>
    <row r="3166" spans="1:15">
      <c r="A3166" t="s">
        <v>3340</v>
      </c>
      <c r="B3166" t="s">
        <v>196</v>
      </c>
      <c r="C3166" s="9">
        <v>24473</v>
      </c>
      <c r="D3166">
        <v>59</v>
      </c>
      <c r="E3166" t="s">
        <v>17</v>
      </c>
      <c r="F3166" t="s">
        <v>22</v>
      </c>
      <c r="G3166" s="9">
        <v>45056</v>
      </c>
      <c r="H3166" s="9">
        <v>45008</v>
      </c>
      <c r="I3166">
        <v>14</v>
      </c>
      <c r="J3166" t="s">
        <v>32</v>
      </c>
      <c r="K3166">
        <v>12</v>
      </c>
      <c r="L3166">
        <v>2</v>
      </c>
      <c r="M3166" s="11">
        <v>26951.16</v>
      </c>
      <c r="N3166" s="12">
        <v>5351.52</v>
      </c>
      <c r="O3166" s="12">
        <v>1690.98</v>
      </c>
    </row>
    <row r="3167" spans="1:15">
      <c r="A3167" t="s">
        <v>3341</v>
      </c>
      <c r="B3167" t="s">
        <v>341</v>
      </c>
      <c r="C3167" s="9">
        <v>30317</v>
      </c>
      <c r="D3167">
        <f ca="1">DATEDIF(C3118,TODAY(),"Y")</f>
        <v>79</v>
      </c>
      <c r="E3167" t="s">
        <v>21</v>
      </c>
      <c r="F3167" t="s">
        <v>29</v>
      </c>
      <c r="G3167" s="9">
        <v>44958</v>
      </c>
      <c r="H3167" s="9">
        <v>45156</v>
      </c>
      <c r="I3167">
        <v>21</v>
      </c>
      <c r="J3167" t="s">
        <v>35</v>
      </c>
      <c r="K3167">
        <v>8</v>
      </c>
      <c r="L3167">
        <v>1</v>
      </c>
      <c r="M3167" s="11">
        <v>27802.73</v>
      </c>
      <c r="N3167" s="12">
        <v>4268.62</v>
      </c>
      <c r="O3167" s="12">
        <v>19102.09</v>
      </c>
    </row>
    <row r="3168" spans="1:15">
      <c r="A3168" t="s">
        <v>3342</v>
      </c>
      <c r="B3168" t="s">
        <v>55</v>
      </c>
      <c r="C3168" s="9">
        <v>42370</v>
      </c>
      <c r="D3168">
        <v>10</v>
      </c>
      <c r="E3168" t="s">
        <v>21</v>
      </c>
      <c r="F3168" t="s">
        <v>29</v>
      </c>
      <c r="G3168" s="9">
        <v>45528</v>
      </c>
      <c r="H3168" s="9">
        <v>44999</v>
      </c>
      <c r="I3168">
        <v>7</v>
      </c>
      <c r="J3168" t="s">
        <v>26</v>
      </c>
      <c r="K3168">
        <v>9</v>
      </c>
      <c r="L3168">
        <v>9</v>
      </c>
      <c r="M3168" s="11">
        <v>9664.7000000000007</v>
      </c>
      <c r="N3168" s="12">
        <v>3135.61</v>
      </c>
      <c r="O3168" s="12">
        <v>10010.620000000001</v>
      </c>
    </row>
    <row r="3169" spans="1:15">
      <c r="A3169" t="s">
        <v>3343</v>
      </c>
      <c r="B3169" t="s">
        <v>159</v>
      </c>
      <c r="C3169" s="9">
        <v>22281</v>
      </c>
      <c r="D3169">
        <v>65</v>
      </c>
      <c r="E3169" t="s">
        <v>21</v>
      </c>
      <c r="F3169" t="s">
        <v>5184</v>
      </c>
      <c r="G3169" s="9">
        <v>45351</v>
      </c>
      <c r="H3169" s="9">
        <v>45330</v>
      </c>
      <c r="I3169">
        <v>28</v>
      </c>
      <c r="J3169" t="s">
        <v>35</v>
      </c>
      <c r="K3169">
        <v>1</v>
      </c>
      <c r="L3169">
        <v>1</v>
      </c>
      <c r="M3169" s="11">
        <v>0</v>
      </c>
      <c r="N3169" s="12">
        <v>8356.1200000000008</v>
      </c>
      <c r="O3169" s="12">
        <v>19977.990000000002</v>
      </c>
    </row>
    <row r="3170" spans="1:15">
      <c r="A3170" t="s">
        <v>3344</v>
      </c>
      <c r="B3170" t="s">
        <v>229</v>
      </c>
      <c r="C3170" s="9">
        <v>29221</v>
      </c>
      <c r="D3170">
        <v>46</v>
      </c>
      <c r="E3170" t="s">
        <v>21</v>
      </c>
      <c r="F3170" t="s">
        <v>18</v>
      </c>
      <c r="G3170" s="9">
        <v>45224</v>
      </c>
      <c r="H3170" s="9">
        <v>45145</v>
      </c>
      <c r="I3170">
        <v>17</v>
      </c>
      <c r="J3170" t="s">
        <v>35</v>
      </c>
      <c r="K3170">
        <v>11</v>
      </c>
      <c r="L3170">
        <v>6</v>
      </c>
      <c r="M3170" s="11">
        <v>20302.189999999999</v>
      </c>
      <c r="N3170" s="12">
        <v>14190.25</v>
      </c>
      <c r="O3170" s="12">
        <v>12119.47</v>
      </c>
    </row>
    <row r="3171" spans="1:15">
      <c r="A3171" t="s">
        <v>3345</v>
      </c>
      <c r="B3171" t="s">
        <v>252</v>
      </c>
      <c r="C3171" s="9">
        <v>19724</v>
      </c>
      <c r="D3171">
        <v>72</v>
      </c>
      <c r="E3171" t="s">
        <v>21</v>
      </c>
      <c r="F3171" t="s">
        <v>29</v>
      </c>
      <c r="G3171" s="9">
        <v>45430</v>
      </c>
      <c r="H3171" s="9">
        <v>45379</v>
      </c>
      <c r="I3171">
        <v>13</v>
      </c>
      <c r="J3171" t="s">
        <v>35</v>
      </c>
      <c r="K3171">
        <v>7</v>
      </c>
      <c r="L3171">
        <v>4</v>
      </c>
      <c r="M3171" s="11">
        <v>21751.200000000001</v>
      </c>
      <c r="N3171" s="12">
        <v>2732.34</v>
      </c>
      <c r="O3171" s="12">
        <v>2263.8000000000002</v>
      </c>
    </row>
    <row r="3172" spans="1:15">
      <c r="A3172" t="s">
        <v>3346</v>
      </c>
      <c r="B3172" t="s">
        <v>16</v>
      </c>
      <c r="C3172" s="9">
        <f>DATE(2026-D3132,1,1)</f>
        <v>39448</v>
      </c>
      <c r="D3172">
        <v>84</v>
      </c>
      <c r="E3172" t="s">
        <v>21</v>
      </c>
      <c r="F3172" t="s">
        <v>49</v>
      </c>
      <c r="G3172" s="9">
        <v>45611</v>
      </c>
      <c r="H3172" s="9">
        <v>45682</v>
      </c>
      <c r="I3172">
        <v>11</v>
      </c>
      <c r="J3172" t="s">
        <v>26</v>
      </c>
      <c r="K3172">
        <v>1</v>
      </c>
      <c r="L3172">
        <v>5</v>
      </c>
      <c r="M3172" s="11">
        <v>20651.97</v>
      </c>
      <c r="N3172" s="12">
        <v>6542.51</v>
      </c>
      <c r="O3172" s="12">
        <v>1123.92</v>
      </c>
    </row>
    <row r="3173" spans="1:15">
      <c r="A3173" t="s">
        <v>3347</v>
      </c>
      <c r="B3173" t="s">
        <v>246</v>
      </c>
      <c r="C3173" s="9">
        <v>14246</v>
      </c>
      <c r="D3173">
        <v>87</v>
      </c>
      <c r="E3173" t="s">
        <v>21</v>
      </c>
      <c r="F3173" t="s">
        <v>5184</v>
      </c>
      <c r="G3173" s="9">
        <v>45283</v>
      </c>
      <c r="H3173" s="9">
        <v>45294</v>
      </c>
      <c r="I3173">
        <v>0</v>
      </c>
      <c r="J3173" t="s">
        <v>32</v>
      </c>
      <c r="K3173">
        <v>13</v>
      </c>
      <c r="L3173">
        <v>2</v>
      </c>
      <c r="M3173" s="11">
        <v>16571.400000000001</v>
      </c>
      <c r="N3173" s="12">
        <v>3057.72</v>
      </c>
      <c r="O3173" s="12">
        <v>3787.72</v>
      </c>
    </row>
    <row r="3174" spans="1:15">
      <c r="A3174" t="s">
        <v>3348</v>
      </c>
      <c r="B3174" t="s">
        <v>338</v>
      </c>
      <c r="C3174" s="9">
        <v>14976</v>
      </c>
      <c r="D3174">
        <v>85</v>
      </c>
      <c r="E3174" t="s">
        <v>21</v>
      </c>
      <c r="F3174" t="s">
        <v>18</v>
      </c>
      <c r="G3174" s="9">
        <v>45381</v>
      </c>
      <c r="H3174" s="9">
        <v>45753</v>
      </c>
      <c r="I3174">
        <v>27</v>
      </c>
      <c r="J3174" t="s">
        <v>35</v>
      </c>
      <c r="K3174">
        <v>8</v>
      </c>
      <c r="L3174">
        <v>9</v>
      </c>
      <c r="M3174" s="11">
        <v>28592.240000000002</v>
      </c>
      <c r="N3174" s="12">
        <v>2634.46</v>
      </c>
      <c r="O3174" s="12">
        <v>8365.09</v>
      </c>
    </row>
    <row r="3175" spans="1:15">
      <c r="A3175" t="s">
        <v>3349</v>
      </c>
      <c r="B3175" t="s">
        <v>181</v>
      </c>
      <c r="C3175" s="9">
        <f t="shared" ref="C3175:C3177" si="16">DATE(2026-D3135,1,1)</f>
        <v>42005</v>
      </c>
      <c r="D3175">
        <v>2</v>
      </c>
      <c r="E3175" t="s">
        <v>21</v>
      </c>
      <c r="F3175" t="s">
        <v>29</v>
      </c>
      <c r="G3175" s="9">
        <v>45327</v>
      </c>
      <c r="H3175" s="9">
        <v>45517</v>
      </c>
      <c r="I3175">
        <v>15</v>
      </c>
      <c r="J3175" t="s">
        <v>35</v>
      </c>
      <c r="K3175">
        <v>10</v>
      </c>
      <c r="L3175">
        <v>4</v>
      </c>
      <c r="M3175" s="11">
        <v>15127.41</v>
      </c>
      <c r="N3175" s="12">
        <v>13001.13</v>
      </c>
      <c r="O3175" s="12">
        <v>14918.51</v>
      </c>
    </row>
    <row r="3176" spans="1:15">
      <c r="A3176" t="s">
        <v>3350</v>
      </c>
      <c r="B3176" t="s">
        <v>59</v>
      </c>
      <c r="C3176" s="9">
        <f t="shared" si="16"/>
        <v>42370</v>
      </c>
      <c r="D3176">
        <v>75</v>
      </c>
      <c r="E3176" t="s">
        <v>17</v>
      </c>
      <c r="F3176" t="s">
        <v>5184</v>
      </c>
      <c r="G3176" s="9">
        <v>45485</v>
      </c>
      <c r="H3176" s="9">
        <v>45597</v>
      </c>
      <c r="I3176">
        <v>3</v>
      </c>
      <c r="J3176" t="s">
        <v>35</v>
      </c>
      <c r="K3176">
        <v>11</v>
      </c>
      <c r="L3176">
        <v>4</v>
      </c>
      <c r="M3176" s="11">
        <v>2882.85</v>
      </c>
      <c r="N3176" s="12">
        <v>3929.44</v>
      </c>
      <c r="O3176" s="12">
        <v>85.63</v>
      </c>
    </row>
    <row r="3177" spans="1:15">
      <c r="A3177" t="s">
        <v>3351</v>
      </c>
      <c r="B3177" t="s">
        <v>61</v>
      </c>
      <c r="C3177" s="9">
        <f t="shared" si="16"/>
        <v>29587</v>
      </c>
      <c r="D3177">
        <v>91</v>
      </c>
      <c r="E3177" t="s">
        <v>21</v>
      </c>
      <c r="F3177" t="s">
        <v>22</v>
      </c>
      <c r="G3177" s="9">
        <v>45635</v>
      </c>
      <c r="H3177" s="9">
        <v>45487</v>
      </c>
      <c r="I3177">
        <v>17</v>
      </c>
      <c r="J3177" t="s">
        <v>26</v>
      </c>
      <c r="K3177">
        <v>6</v>
      </c>
      <c r="L3177">
        <v>3</v>
      </c>
      <c r="M3177" s="11">
        <v>1952.98</v>
      </c>
      <c r="N3177" s="12">
        <v>3719.58</v>
      </c>
      <c r="O3177" s="12">
        <v>5072.67</v>
      </c>
    </row>
    <row r="3178" spans="1:15">
      <c r="A3178" t="s">
        <v>3352</v>
      </c>
      <c r="B3178" t="s">
        <v>275</v>
      </c>
      <c r="C3178" s="9">
        <v>35430</v>
      </c>
      <c r="D3178">
        <v>29</v>
      </c>
      <c r="E3178" t="s">
        <v>17</v>
      </c>
      <c r="F3178" t="s">
        <v>74</v>
      </c>
      <c r="G3178" s="9">
        <v>45381</v>
      </c>
      <c r="H3178" s="9">
        <v>45239</v>
      </c>
      <c r="I3178">
        <v>32</v>
      </c>
      <c r="J3178" t="s">
        <v>26</v>
      </c>
      <c r="K3178">
        <v>8</v>
      </c>
      <c r="L3178">
        <v>9</v>
      </c>
      <c r="M3178" s="11">
        <v>60.49</v>
      </c>
      <c r="N3178" s="12">
        <v>13646.88</v>
      </c>
      <c r="O3178" s="12">
        <v>11710.16</v>
      </c>
    </row>
    <row r="3179" spans="1:15">
      <c r="A3179" t="s">
        <v>3353</v>
      </c>
      <c r="B3179" t="s">
        <v>215</v>
      </c>
      <c r="C3179" s="9">
        <v>13515</v>
      </c>
      <c r="D3179">
        <v>89</v>
      </c>
      <c r="E3179" t="s">
        <v>17</v>
      </c>
      <c r="F3179" t="s">
        <v>18</v>
      </c>
      <c r="G3179" s="9">
        <v>44960</v>
      </c>
      <c r="H3179" s="9">
        <v>45225</v>
      </c>
      <c r="I3179">
        <v>16</v>
      </c>
      <c r="J3179" t="s">
        <v>32</v>
      </c>
      <c r="K3179">
        <v>1</v>
      </c>
      <c r="L3179">
        <v>3</v>
      </c>
      <c r="M3179" s="11">
        <v>12551.66</v>
      </c>
      <c r="N3179" s="12">
        <v>5790.6</v>
      </c>
      <c r="O3179" s="12">
        <v>5887.46</v>
      </c>
    </row>
    <row r="3180" spans="1:15">
      <c r="A3180" t="s">
        <v>3354</v>
      </c>
      <c r="B3180" t="s">
        <v>170</v>
      </c>
      <c r="C3180" s="9">
        <v>38717</v>
      </c>
      <c r="D3180">
        <v>20</v>
      </c>
      <c r="E3180" t="s">
        <v>17</v>
      </c>
      <c r="F3180" t="s">
        <v>18</v>
      </c>
      <c r="G3180" s="9">
        <v>45174</v>
      </c>
      <c r="H3180" s="9">
        <v>44951</v>
      </c>
      <c r="I3180">
        <v>23</v>
      </c>
      <c r="J3180" t="s">
        <v>35</v>
      </c>
      <c r="K3180">
        <v>3</v>
      </c>
      <c r="L3180">
        <v>7</v>
      </c>
      <c r="M3180" s="11">
        <v>7833.71</v>
      </c>
      <c r="N3180" s="12">
        <v>130.75</v>
      </c>
      <c r="O3180" s="12">
        <v>7074.57</v>
      </c>
    </row>
    <row r="3181" spans="1:15">
      <c r="A3181" t="s">
        <v>3355</v>
      </c>
      <c r="B3181" t="s">
        <v>289</v>
      </c>
      <c r="C3181" s="9">
        <v>36161</v>
      </c>
      <c r="D3181">
        <v>27</v>
      </c>
      <c r="E3181" t="s">
        <v>17</v>
      </c>
      <c r="F3181" t="s">
        <v>25</v>
      </c>
      <c r="G3181" s="9">
        <v>44968</v>
      </c>
      <c r="H3181" s="9">
        <v>45037</v>
      </c>
      <c r="I3181">
        <v>32</v>
      </c>
      <c r="J3181" t="s">
        <v>35</v>
      </c>
      <c r="K3181">
        <v>1</v>
      </c>
      <c r="L3181">
        <v>5</v>
      </c>
      <c r="M3181" s="11">
        <v>26804.18</v>
      </c>
      <c r="N3181" s="12">
        <v>10817.78</v>
      </c>
      <c r="O3181" s="12">
        <v>5945.35</v>
      </c>
    </row>
    <row r="3182" spans="1:15">
      <c r="A3182" t="s">
        <v>3356</v>
      </c>
      <c r="B3182" t="s">
        <v>326</v>
      </c>
      <c r="C3182" s="9">
        <v>13515</v>
      </c>
      <c r="D3182">
        <f ca="1">DATEDIF(C3133,TODAY(),"Y")</f>
        <v>31</v>
      </c>
      <c r="E3182" t="s">
        <v>21</v>
      </c>
      <c r="F3182" t="s">
        <v>5184</v>
      </c>
      <c r="G3182" s="9">
        <v>45049</v>
      </c>
      <c r="H3182" s="9">
        <v>44979</v>
      </c>
      <c r="I3182">
        <v>9</v>
      </c>
      <c r="J3182" t="s">
        <v>26</v>
      </c>
      <c r="K3182">
        <v>8</v>
      </c>
      <c r="L3182">
        <v>1</v>
      </c>
      <c r="M3182" s="11">
        <v>25948.01</v>
      </c>
      <c r="N3182" s="12">
        <v>7755.18</v>
      </c>
      <c r="O3182" s="12">
        <v>19058.98</v>
      </c>
    </row>
    <row r="3183" spans="1:15">
      <c r="A3183" t="s">
        <v>3357</v>
      </c>
      <c r="B3183" t="s">
        <v>65</v>
      </c>
      <c r="C3183" s="9">
        <f>DATE(2026-D3143,1,1)</f>
        <v>41640</v>
      </c>
      <c r="D3183">
        <v>61</v>
      </c>
      <c r="E3183" t="s">
        <v>17</v>
      </c>
      <c r="F3183" t="s">
        <v>29</v>
      </c>
      <c r="G3183" s="9">
        <v>44953</v>
      </c>
      <c r="H3183" s="9">
        <v>45217</v>
      </c>
      <c r="I3183">
        <v>5</v>
      </c>
      <c r="J3183" t="s">
        <v>26</v>
      </c>
      <c r="K3183">
        <v>1</v>
      </c>
      <c r="L3183">
        <v>1</v>
      </c>
      <c r="M3183" s="11">
        <v>25054.2</v>
      </c>
      <c r="N3183" s="12">
        <v>11611.97</v>
      </c>
      <c r="O3183" s="12">
        <v>1223.25</v>
      </c>
    </row>
    <row r="3184" spans="1:15">
      <c r="A3184" t="s">
        <v>3358</v>
      </c>
      <c r="B3184" t="s">
        <v>479</v>
      </c>
      <c r="C3184" s="9">
        <v>34334</v>
      </c>
      <c r="D3184">
        <v>32</v>
      </c>
      <c r="E3184" t="s">
        <v>17</v>
      </c>
      <c r="F3184" t="s">
        <v>74</v>
      </c>
      <c r="G3184" s="9">
        <v>45388</v>
      </c>
      <c r="H3184" s="9">
        <v>45371</v>
      </c>
      <c r="I3184">
        <v>34</v>
      </c>
      <c r="J3184" t="s">
        <v>35</v>
      </c>
      <c r="K3184">
        <v>8</v>
      </c>
      <c r="L3184">
        <v>1</v>
      </c>
      <c r="M3184" s="11">
        <v>25951.98</v>
      </c>
      <c r="N3184" s="12">
        <v>8554.42</v>
      </c>
      <c r="O3184" s="12">
        <v>18140.98</v>
      </c>
    </row>
    <row r="3185" spans="1:15">
      <c r="A3185" t="s">
        <v>3359</v>
      </c>
      <c r="B3185" t="s">
        <v>119</v>
      </c>
      <c r="C3185" s="9">
        <v>15341</v>
      </c>
      <c r="D3185">
        <v>84</v>
      </c>
      <c r="E3185" t="s">
        <v>17</v>
      </c>
      <c r="F3185" t="s">
        <v>5184</v>
      </c>
      <c r="G3185" s="9">
        <v>45497</v>
      </c>
      <c r="H3185" s="9">
        <v>45394</v>
      </c>
      <c r="I3185">
        <v>7</v>
      </c>
      <c r="J3185" t="s">
        <v>32</v>
      </c>
      <c r="K3185">
        <v>12</v>
      </c>
      <c r="L3185">
        <v>5</v>
      </c>
      <c r="M3185" s="11">
        <v>8576.9699999999993</v>
      </c>
      <c r="N3185" s="12">
        <v>5269.01</v>
      </c>
      <c r="O3185" s="12">
        <v>6397.11</v>
      </c>
    </row>
    <row r="3186" spans="1:15">
      <c r="A3186" t="s">
        <v>3360</v>
      </c>
      <c r="B3186" t="s">
        <v>284</v>
      </c>
      <c r="C3186" s="9">
        <v>33604</v>
      </c>
      <c r="D3186">
        <v>34</v>
      </c>
      <c r="E3186" t="s">
        <v>21</v>
      </c>
      <c r="F3186" t="s">
        <v>22</v>
      </c>
      <c r="G3186" s="9">
        <v>45073</v>
      </c>
      <c r="H3186" s="9">
        <v>45186</v>
      </c>
      <c r="I3186">
        <v>18</v>
      </c>
      <c r="J3186" t="s">
        <v>32</v>
      </c>
      <c r="K3186">
        <v>3</v>
      </c>
      <c r="L3186">
        <v>0</v>
      </c>
      <c r="M3186" s="11">
        <v>12496.59</v>
      </c>
      <c r="N3186" s="12">
        <v>998.46</v>
      </c>
      <c r="O3186" s="12">
        <v>4855.59</v>
      </c>
    </row>
    <row r="3187" spans="1:15">
      <c r="A3187" t="s">
        <v>3361</v>
      </c>
      <c r="B3187" t="s">
        <v>115</v>
      </c>
      <c r="C3187" s="9">
        <v>27395</v>
      </c>
      <c r="D3187">
        <v>51</v>
      </c>
      <c r="E3187" t="s">
        <v>21</v>
      </c>
      <c r="F3187" t="s">
        <v>49</v>
      </c>
      <c r="G3187" s="9">
        <v>45422</v>
      </c>
      <c r="H3187" s="9">
        <v>45251</v>
      </c>
      <c r="I3187">
        <v>38</v>
      </c>
      <c r="J3187" t="s">
        <v>32</v>
      </c>
      <c r="K3187">
        <v>6</v>
      </c>
      <c r="L3187">
        <v>2</v>
      </c>
      <c r="M3187" s="11">
        <v>9008.01</v>
      </c>
      <c r="N3187" s="12">
        <v>12989.05</v>
      </c>
      <c r="O3187" s="12">
        <v>17653.7</v>
      </c>
    </row>
    <row r="3188" spans="1:15">
      <c r="A3188" t="s">
        <v>3362</v>
      </c>
      <c r="B3188" t="s">
        <v>204</v>
      </c>
      <c r="C3188" s="9">
        <v>33969</v>
      </c>
      <c r="D3188">
        <v>33</v>
      </c>
      <c r="E3188" t="s">
        <v>21</v>
      </c>
      <c r="F3188" t="s">
        <v>18</v>
      </c>
      <c r="G3188" s="9">
        <v>45553</v>
      </c>
      <c r="H3188" s="9">
        <v>45578</v>
      </c>
      <c r="I3188">
        <v>39</v>
      </c>
      <c r="J3188" t="s">
        <v>35</v>
      </c>
      <c r="K3188">
        <v>3</v>
      </c>
      <c r="L3188">
        <v>0</v>
      </c>
      <c r="M3188" s="11">
        <v>2125.4699999999998</v>
      </c>
      <c r="N3188" s="12">
        <v>3106.27</v>
      </c>
      <c r="O3188" s="12">
        <v>5670.4</v>
      </c>
    </row>
    <row r="3189" spans="1:15">
      <c r="A3189" t="s">
        <v>3363</v>
      </c>
      <c r="B3189" t="s">
        <v>61</v>
      </c>
      <c r="C3189" s="9">
        <v>31412</v>
      </c>
      <c r="D3189">
        <v>40</v>
      </c>
      <c r="E3189" t="s">
        <v>17</v>
      </c>
      <c r="F3189" t="s">
        <v>49</v>
      </c>
      <c r="G3189" s="9">
        <v>45412</v>
      </c>
      <c r="H3189" s="9">
        <v>45745</v>
      </c>
      <c r="I3189">
        <v>26</v>
      </c>
      <c r="J3189" t="s">
        <v>32</v>
      </c>
      <c r="K3189">
        <v>13</v>
      </c>
      <c r="L3189">
        <v>3</v>
      </c>
      <c r="M3189" s="11">
        <v>27683.41</v>
      </c>
      <c r="N3189" s="12">
        <v>14570.22</v>
      </c>
      <c r="O3189" s="12">
        <v>19748.419999999998</v>
      </c>
    </row>
    <row r="3190" spans="1:15">
      <c r="A3190" t="s">
        <v>3364</v>
      </c>
      <c r="B3190" t="s">
        <v>275</v>
      </c>
      <c r="C3190" s="9">
        <v>27760</v>
      </c>
      <c r="D3190">
        <v>50</v>
      </c>
      <c r="E3190" t="s">
        <v>17</v>
      </c>
      <c r="F3190" t="s">
        <v>49</v>
      </c>
      <c r="G3190" s="9">
        <v>45386</v>
      </c>
      <c r="H3190" s="9">
        <v>45265</v>
      </c>
      <c r="I3190">
        <v>28</v>
      </c>
      <c r="J3190" t="s">
        <v>32</v>
      </c>
      <c r="K3190">
        <v>2</v>
      </c>
      <c r="L3190">
        <v>0</v>
      </c>
      <c r="M3190" s="11">
        <v>18285.75</v>
      </c>
      <c r="N3190" s="12">
        <v>3687.53</v>
      </c>
      <c r="O3190" s="12">
        <v>10916.56</v>
      </c>
    </row>
    <row r="3191" spans="1:15">
      <c r="A3191" t="s">
        <v>3365</v>
      </c>
      <c r="B3191" t="s">
        <v>249</v>
      </c>
      <c r="C3191" s="9">
        <v>29221</v>
      </c>
      <c r="D3191">
        <v>46</v>
      </c>
      <c r="E3191" t="s">
        <v>21</v>
      </c>
      <c r="F3191" t="s">
        <v>49</v>
      </c>
      <c r="G3191" s="9">
        <v>45637</v>
      </c>
      <c r="H3191" s="9">
        <v>45714</v>
      </c>
      <c r="I3191">
        <v>37</v>
      </c>
      <c r="J3191" t="s">
        <v>35</v>
      </c>
      <c r="K3191">
        <v>7</v>
      </c>
      <c r="L3191">
        <v>8</v>
      </c>
      <c r="M3191" s="11">
        <v>3542.85</v>
      </c>
      <c r="N3191" s="12">
        <v>12405.53</v>
      </c>
      <c r="O3191" s="12">
        <v>9475.08</v>
      </c>
    </row>
    <row r="3192" spans="1:15">
      <c r="A3192" t="s">
        <v>3366</v>
      </c>
      <c r="B3192" t="s">
        <v>201</v>
      </c>
      <c r="C3192" s="9">
        <v>16437</v>
      </c>
      <c r="D3192">
        <v>81</v>
      </c>
      <c r="E3192" t="s">
        <v>17</v>
      </c>
      <c r="F3192" t="s">
        <v>25</v>
      </c>
      <c r="G3192" s="9">
        <v>45054</v>
      </c>
      <c r="H3192" s="9">
        <v>45483</v>
      </c>
      <c r="I3192">
        <v>4</v>
      </c>
      <c r="J3192" t="s">
        <v>32</v>
      </c>
      <c r="K3192">
        <v>11</v>
      </c>
      <c r="L3192">
        <v>5</v>
      </c>
      <c r="M3192" s="11">
        <v>5784.8</v>
      </c>
      <c r="N3192" s="12">
        <v>11831.22</v>
      </c>
      <c r="O3192" s="12">
        <v>19527.39</v>
      </c>
    </row>
    <row r="3193" spans="1:15">
      <c r="A3193" t="s">
        <v>3367</v>
      </c>
      <c r="B3193" t="s">
        <v>372</v>
      </c>
      <c r="C3193" s="9">
        <v>25203</v>
      </c>
      <c r="D3193">
        <f ca="1">DATEDIF(C3144,TODAY(),"Y")</f>
        <v>33</v>
      </c>
      <c r="E3193" t="s">
        <v>17</v>
      </c>
      <c r="F3193" t="s">
        <v>5184</v>
      </c>
      <c r="G3193" s="9">
        <v>45302</v>
      </c>
      <c r="H3193" s="9">
        <v>45349</v>
      </c>
      <c r="I3193">
        <v>31</v>
      </c>
      <c r="J3193" t="s">
        <v>26</v>
      </c>
      <c r="K3193">
        <v>1</v>
      </c>
      <c r="L3193">
        <v>7</v>
      </c>
      <c r="M3193" s="11">
        <v>13247.96</v>
      </c>
      <c r="N3193" s="12">
        <v>6941.21</v>
      </c>
      <c r="O3193" s="12">
        <v>4458.01</v>
      </c>
    </row>
    <row r="3194" spans="1:15">
      <c r="A3194" t="s">
        <v>3368</v>
      </c>
      <c r="B3194" t="s">
        <v>176</v>
      </c>
      <c r="C3194" s="9">
        <v>18994</v>
      </c>
      <c r="D3194">
        <v>74</v>
      </c>
      <c r="E3194" t="s">
        <v>21</v>
      </c>
      <c r="F3194" t="s">
        <v>49</v>
      </c>
      <c r="G3194" s="9">
        <v>45591</v>
      </c>
      <c r="H3194" s="9">
        <v>45186</v>
      </c>
      <c r="I3194">
        <v>31</v>
      </c>
      <c r="J3194" t="s">
        <v>35</v>
      </c>
      <c r="K3194">
        <v>3</v>
      </c>
      <c r="L3194">
        <v>1</v>
      </c>
      <c r="M3194" s="11">
        <v>1082.77</v>
      </c>
      <c r="N3194" s="12">
        <v>6025.56</v>
      </c>
      <c r="O3194" s="12">
        <v>18170.28</v>
      </c>
    </row>
    <row r="3195" spans="1:15">
      <c r="A3195" t="s">
        <v>3369</v>
      </c>
      <c r="B3195" t="s">
        <v>44</v>
      </c>
      <c r="C3195" s="9">
        <v>25568</v>
      </c>
      <c r="D3195">
        <v>56</v>
      </c>
      <c r="E3195" t="s">
        <v>17</v>
      </c>
      <c r="F3195" t="s">
        <v>29</v>
      </c>
      <c r="G3195" s="9">
        <v>45009</v>
      </c>
      <c r="H3195" s="9">
        <v>45552</v>
      </c>
      <c r="I3195">
        <v>27</v>
      </c>
      <c r="J3195" t="s">
        <v>26</v>
      </c>
      <c r="K3195">
        <v>1</v>
      </c>
      <c r="L3195">
        <v>5</v>
      </c>
      <c r="M3195" s="11">
        <v>7795.75</v>
      </c>
      <c r="N3195" s="12">
        <v>10548.9</v>
      </c>
      <c r="O3195" s="12">
        <v>11789.64</v>
      </c>
    </row>
    <row r="3196" spans="1:15">
      <c r="A3196" t="s">
        <v>3370</v>
      </c>
      <c r="B3196" t="s">
        <v>328</v>
      </c>
      <c r="C3196" s="9">
        <f>DATE(2026-D3156,1,1)</f>
        <v>33970</v>
      </c>
      <c r="D3196">
        <v>22</v>
      </c>
      <c r="E3196" t="s">
        <v>17</v>
      </c>
      <c r="F3196" t="s">
        <v>29</v>
      </c>
      <c r="G3196" s="9">
        <v>45461</v>
      </c>
      <c r="H3196" s="9">
        <v>45666</v>
      </c>
      <c r="I3196">
        <v>1</v>
      </c>
      <c r="J3196" t="s">
        <v>35</v>
      </c>
      <c r="K3196">
        <v>13</v>
      </c>
      <c r="L3196">
        <v>3</v>
      </c>
      <c r="M3196" s="11">
        <v>20955.11</v>
      </c>
      <c r="N3196" s="12">
        <v>7928.29</v>
      </c>
      <c r="O3196" s="12">
        <v>15074.85</v>
      </c>
    </row>
    <row r="3197" spans="1:15">
      <c r="A3197" t="s">
        <v>3371</v>
      </c>
      <c r="B3197" t="s">
        <v>166</v>
      </c>
      <c r="C3197" s="9">
        <v>28856</v>
      </c>
      <c r="D3197">
        <f ca="1">DATEDIF(C3148,TODAY(),"Y")</f>
        <v>58</v>
      </c>
      <c r="E3197" t="s">
        <v>21</v>
      </c>
      <c r="F3197" t="s">
        <v>74</v>
      </c>
      <c r="G3197" s="9">
        <v>45449</v>
      </c>
      <c r="H3197" s="9">
        <v>44992</v>
      </c>
      <c r="I3197">
        <v>38</v>
      </c>
      <c r="J3197" t="s">
        <v>26</v>
      </c>
      <c r="K3197">
        <v>4</v>
      </c>
      <c r="L3197">
        <v>6</v>
      </c>
      <c r="M3197" s="11">
        <v>27572.400000000001</v>
      </c>
      <c r="N3197" s="12">
        <v>9479.3700000000008</v>
      </c>
      <c r="O3197" s="12">
        <v>11598.89</v>
      </c>
    </row>
    <row r="3198" spans="1:15">
      <c r="A3198" t="s">
        <v>3372</v>
      </c>
      <c r="B3198" t="s">
        <v>97</v>
      </c>
      <c r="C3198" s="9">
        <v>38352</v>
      </c>
      <c r="D3198">
        <v>21</v>
      </c>
      <c r="E3198" t="s">
        <v>17</v>
      </c>
      <c r="F3198" t="s">
        <v>74</v>
      </c>
      <c r="G3198" s="9">
        <v>45625</v>
      </c>
      <c r="H3198" s="9">
        <v>45090</v>
      </c>
      <c r="I3198">
        <v>27</v>
      </c>
      <c r="J3198" t="s">
        <v>32</v>
      </c>
      <c r="K3198">
        <v>13</v>
      </c>
      <c r="L3198">
        <v>7</v>
      </c>
      <c r="M3198" s="11">
        <v>27826.31</v>
      </c>
      <c r="N3198" s="12">
        <v>7053.23</v>
      </c>
      <c r="O3198" s="12">
        <v>12334.83</v>
      </c>
    </row>
    <row r="3199" spans="1:15">
      <c r="A3199" t="s">
        <v>3373</v>
      </c>
      <c r="B3199" t="s">
        <v>252</v>
      </c>
      <c r="C3199" s="9">
        <v>40178</v>
      </c>
      <c r="D3199">
        <v>16</v>
      </c>
      <c r="E3199" t="s">
        <v>21</v>
      </c>
      <c r="F3199" t="s">
        <v>22</v>
      </c>
      <c r="G3199" s="9">
        <v>45554</v>
      </c>
      <c r="H3199" s="9">
        <v>45091</v>
      </c>
      <c r="I3199">
        <v>22</v>
      </c>
      <c r="J3199" t="s">
        <v>32</v>
      </c>
      <c r="K3199">
        <v>8</v>
      </c>
      <c r="L3199">
        <v>5</v>
      </c>
      <c r="M3199" s="11">
        <v>15360.89</v>
      </c>
      <c r="N3199" s="12">
        <v>8357.32</v>
      </c>
      <c r="O3199" s="12">
        <v>3013.92</v>
      </c>
    </row>
    <row r="3200" spans="1:15">
      <c r="A3200" t="s">
        <v>3374</v>
      </c>
      <c r="B3200" t="s">
        <v>204</v>
      </c>
      <c r="C3200" s="9">
        <v>21185</v>
      </c>
      <c r="D3200">
        <v>68</v>
      </c>
      <c r="E3200" t="s">
        <v>17</v>
      </c>
      <c r="F3200" t="s">
        <v>49</v>
      </c>
      <c r="G3200" s="9">
        <v>45600</v>
      </c>
      <c r="H3200" s="9">
        <v>45605</v>
      </c>
      <c r="I3200">
        <v>11</v>
      </c>
      <c r="J3200" t="s">
        <v>26</v>
      </c>
      <c r="K3200">
        <v>7</v>
      </c>
      <c r="L3200">
        <v>0</v>
      </c>
      <c r="M3200" s="11">
        <v>9020.74</v>
      </c>
      <c r="N3200" s="12">
        <v>2837.25</v>
      </c>
      <c r="O3200" s="12">
        <v>2948.42</v>
      </c>
    </row>
    <row r="3201" spans="1:15">
      <c r="A3201" t="s">
        <v>3375</v>
      </c>
      <c r="B3201" t="s">
        <v>446</v>
      </c>
      <c r="C3201" s="9">
        <v>42370</v>
      </c>
      <c r="D3201">
        <v>10</v>
      </c>
      <c r="E3201" t="s">
        <v>17</v>
      </c>
      <c r="F3201" t="s">
        <v>49</v>
      </c>
      <c r="G3201" s="9">
        <v>45029</v>
      </c>
      <c r="H3201" s="9">
        <v>44966</v>
      </c>
      <c r="I3201">
        <v>21</v>
      </c>
      <c r="J3201" t="s">
        <v>26</v>
      </c>
      <c r="K3201">
        <v>9</v>
      </c>
      <c r="L3201">
        <v>7</v>
      </c>
      <c r="M3201" s="11">
        <v>27582.74</v>
      </c>
      <c r="N3201" s="12">
        <v>830.95</v>
      </c>
      <c r="O3201" s="12">
        <v>7882.86</v>
      </c>
    </row>
    <row r="3202" spans="1:15">
      <c r="A3202" t="s">
        <v>3376</v>
      </c>
      <c r="B3202" t="s">
        <v>147</v>
      </c>
      <c r="C3202" s="9">
        <v>12054</v>
      </c>
      <c r="D3202">
        <v>93</v>
      </c>
      <c r="E3202" t="s">
        <v>17</v>
      </c>
      <c r="F3202" t="s">
        <v>25</v>
      </c>
      <c r="G3202" s="9">
        <v>45445</v>
      </c>
      <c r="H3202" s="9">
        <v>45592</v>
      </c>
      <c r="I3202">
        <v>28</v>
      </c>
      <c r="J3202" t="s">
        <v>32</v>
      </c>
      <c r="K3202">
        <v>12</v>
      </c>
      <c r="L3202">
        <v>0</v>
      </c>
      <c r="M3202" s="11">
        <v>23492.36</v>
      </c>
      <c r="N3202" s="12">
        <v>5338.86</v>
      </c>
      <c r="O3202" s="12">
        <v>6862.42</v>
      </c>
    </row>
    <row r="3203" spans="1:15">
      <c r="A3203" t="s">
        <v>3377</v>
      </c>
      <c r="B3203" t="s">
        <v>151</v>
      </c>
      <c r="C3203" s="9">
        <f>DATE(2026-D3163,1,1)</f>
        <v>28126</v>
      </c>
      <c r="D3203">
        <v>14</v>
      </c>
      <c r="E3203" t="s">
        <v>21</v>
      </c>
      <c r="F3203" t="s">
        <v>5184</v>
      </c>
      <c r="G3203" s="9">
        <v>45288</v>
      </c>
      <c r="H3203" s="9">
        <v>45247</v>
      </c>
      <c r="I3203">
        <v>36</v>
      </c>
      <c r="J3203" t="s">
        <v>32</v>
      </c>
      <c r="K3203">
        <v>0</v>
      </c>
      <c r="L3203">
        <v>8</v>
      </c>
      <c r="M3203" s="11">
        <v>0</v>
      </c>
      <c r="N3203" s="12">
        <v>6987.93</v>
      </c>
      <c r="O3203" s="12">
        <v>14212.42</v>
      </c>
    </row>
    <row r="3204" spans="1:15">
      <c r="A3204" t="s">
        <v>3378</v>
      </c>
      <c r="B3204" t="s">
        <v>479</v>
      </c>
      <c r="C3204" s="9">
        <v>13150</v>
      </c>
      <c r="D3204">
        <v>90</v>
      </c>
      <c r="E3204" t="s">
        <v>21</v>
      </c>
      <c r="F3204" t="s">
        <v>49</v>
      </c>
      <c r="G3204" s="9">
        <v>45610</v>
      </c>
      <c r="H3204" s="9">
        <v>45287</v>
      </c>
      <c r="I3204">
        <v>25</v>
      </c>
      <c r="J3204" t="s">
        <v>26</v>
      </c>
      <c r="K3204">
        <v>11</v>
      </c>
      <c r="L3204">
        <v>1</v>
      </c>
      <c r="M3204" s="11">
        <v>24953.86</v>
      </c>
      <c r="N3204" s="12">
        <v>13590.44</v>
      </c>
      <c r="O3204" s="12">
        <v>14427.48</v>
      </c>
    </row>
    <row r="3205" spans="1:15">
      <c r="A3205" t="s">
        <v>3379</v>
      </c>
      <c r="B3205" t="s">
        <v>145</v>
      </c>
      <c r="C3205" s="9">
        <v>33604</v>
      </c>
      <c r="D3205">
        <v>34</v>
      </c>
      <c r="E3205" t="s">
        <v>21</v>
      </c>
      <c r="F3205" t="s">
        <v>49</v>
      </c>
      <c r="G3205" s="9">
        <v>45182</v>
      </c>
      <c r="H3205" s="9">
        <v>45196</v>
      </c>
      <c r="I3205">
        <v>22</v>
      </c>
      <c r="J3205" t="s">
        <v>26</v>
      </c>
      <c r="K3205">
        <v>11</v>
      </c>
      <c r="L3205">
        <v>9</v>
      </c>
      <c r="M3205" s="11">
        <v>13494.33</v>
      </c>
      <c r="N3205" s="12">
        <v>6209.09</v>
      </c>
      <c r="O3205" s="12">
        <v>11232.22</v>
      </c>
    </row>
    <row r="3206" spans="1:15">
      <c r="A3206" t="s">
        <v>3380</v>
      </c>
      <c r="B3206" t="s">
        <v>249</v>
      </c>
      <c r="C3206" s="9">
        <v>34334</v>
      </c>
      <c r="D3206">
        <v>32</v>
      </c>
      <c r="E3206" t="s">
        <v>17</v>
      </c>
      <c r="F3206" t="s">
        <v>5184</v>
      </c>
      <c r="G3206" s="9">
        <v>45173</v>
      </c>
      <c r="H3206" s="9">
        <v>45251</v>
      </c>
      <c r="I3206">
        <v>16</v>
      </c>
      <c r="J3206" t="s">
        <v>26</v>
      </c>
      <c r="K3206">
        <v>2</v>
      </c>
      <c r="L3206">
        <v>5</v>
      </c>
      <c r="M3206" s="11">
        <v>2921.94</v>
      </c>
      <c r="N3206" s="12">
        <v>6508.78</v>
      </c>
      <c r="O3206" s="12">
        <v>7980.38</v>
      </c>
    </row>
    <row r="3207" spans="1:15">
      <c r="A3207" t="s">
        <v>3381</v>
      </c>
      <c r="B3207" t="s">
        <v>446</v>
      </c>
      <c r="C3207" s="9">
        <v>15707</v>
      </c>
      <c r="D3207">
        <v>83</v>
      </c>
      <c r="E3207" t="s">
        <v>21</v>
      </c>
      <c r="F3207" t="s">
        <v>49</v>
      </c>
      <c r="G3207" s="9">
        <v>45118</v>
      </c>
      <c r="H3207" s="9">
        <v>45253</v>
      </c>
      <c r="I3207">
        <v>1</v>
      </c>
      <c r="J3207" t="s">
        <v>35</v>
      </c>
      <c r="K3207">
        <v>6</v>
      </c>
      <c r="L3207">
        <v>7</v>
      </c>
      <c r="M3207" s="11">
        <v>28116.26</v>
      </c>
      <c r="N3207" s="12">
        <v>10122.469999999999</v>
      </c>
      <c r="O3207" s="12">
        <v>13503.87</v>
      </c>
    </row>
    <row r="3208" spans="1:15">
      <c r="A3208" t="s">
        <v>3382</v>
      </c>
      <c r="B3208" t="s">
        <v>149</v>
      </c>
      <c r="C3208" s="9">
        <f>DATE(2026-D3168,1,1)</f>
        <v>42370</v>
      </c>
      <c r="D3208">
        <v>15</v>
      </c>
      <c r="E3208" t="s">
        <v>17</v>
      </c>
      <c r="F3208" t="s">
        <v>18</v>
      </c>
      <c r="G3208" s="9">
        <v>45552</v>
      </c>
      <c r="H3208" s="9">
        <v>45514</v>
      </c>
      <c r="I3208">
        <v>31</v>
      </c>
      <c r="J3208" t="s">
        <v>26</v>
      </c>
      <c r="K3208">
        <v>12</v>
      </c>
      <c r="L3208">
        <v>4</v>
      </c>
      <c r="M3208" s="11">
        <v>15787.22</v>
      </c>
      <c r="N3208" s="12">
        <v>3101.79</v>
      </c>
      <c r="O3208" s="12">
        <v>13715.65</v>
      </c>
    </row>
    <row r="3209" spans="1:15">
      <c r="A3209" t="s">
        <v>3383</v>
      </c>
      <c r="B3209" t="s">
        <v>302</v>
      </c>
      <c r="C3209" s="9">
        <v>33969</v>
      </c>
      <c r="D3209">
        <v>33</v>
      </c>
      <c r="E3209" t="s">
        <v>21</v>
      </c>
      <c r="F3209" t="s">
        <v>18</v>
      </c>
      <c r="G3209" s="9">
        <v>45461</v>
      </c>
      <c r="H3209" s="9">
        <v>45184</v>
      </c>
      <c r="I3209">
        <v>29</v>
      </c>
      <c r="J3209" t="s">
        <v>26</v>
      </c>
      <c r="K3209">
        <v>14</v>
      </c>
      <c r="L3209">
        <v>1</v>
      </c>
      <c r="M3209" s="11">
        <v>20706.36</v>
      </c>
      <c r="N3209" s="12">
        <v>13074.59</v>
      </c>
      <c r="O3209" s="12">
        <v>16162.95</v>
      </c>
    </row>
    <row r="3210" spans="1:15">
      <c r="A3210" t="s">
        <v>3384</v>
      </c>
      <c r="B3210" t="s">
        <v>392</v>
      </c>
      <c r="C3210" s="9">
        <v>22281</v>
      </c>
      <c r="D3210">
        <v>65</v>
      </c>
      <c r="E3210" t="s">
        <v>21</v>
      </c>
      <c r="F3210" t="s">
        <v>25</v>
      </c>
      <c r="G3210" s="9">
        <v>45240</v>
      </c>
      <c r="H3210" s="9">
        <v>45127</v>
      </c>
      <c r="I3210">
        <v>22</v>
      </c>
      <c r="J3210" t="s">
        <v>32</v>
      </c>
      <c r="K3210">
        <v>1</v>
      </c>
      <c r="L3210">
        <v>4</v>
      </c>
      <c r="M3210" s="11">
        <v>11464.91</v>
      </c>
      <c r="N3210" s="12">
        <v>6414.61</v>
      </c>
      <c r="O3210" s="12">
        <v>16215.78</v>
      </c>
    </row>
    <row r="3211" spans="1:15">
      <c r="A3211" t="s">
        <v>3385</v>
      </c>
      <c r="B3211" t="s">
        <v>215</v>
      </c>
      <c r="C3211" s="9">
        <v>31778</v>
      </c>
      <c r="D3211">
        <v>39</v>
      </c>
      <c r="E3211" t="s">
        <v>21</v>
      </c>
      <c r="F3211" t="s">
        <v>25</v>
      </c>
      <c r="G3211" s="9">
        <v>45202</v>
      </c>
      <c r="H3211" s="9">
        <v>45365</v>
      </c>
      <c r="I3211">
        <v>19</v>
      </c>
      <c r="J3211" t="s">
        <v>32</v>
      </c>
      <c r="K3211">
        <v>12</v>
      </c>
      <c r="L3211">
        <v>0</v>
      </c>
      <c r="M3211" s="11">
        <v>3640.12</v>
      </c>
      <c r="N3211" s="12">
        <v>13961.8</v>
      </c>
      <c r="O3211" s="12">
        <v>1298.3</v>
      </c>
    </row>
    <row r="3212" spans="1:15">
      <c r="A3212" t="s">
        <v>3386</v>
      </c>
      <c r="B3212" t="s">
        <v>117</v>
      </c>
      <c r="C3212" s="9">
        <v>36161</v>
      </c>
      <c r="D3212">
        <v>27</v>
      </c>
      <c r="E3212" t="s">
        <v>5185</v>
      </c>
      <c r="F3212" t="s">
        <v>29</v>
      </c>
      <c r="G3212" s="9">
        <v>45299</v>
      </c>
      <c r="H3212" s="9">
        <v>45537</v>
      </c>
      <c r="I3212">
        <v>25</v>
      </c>
      <c r="J3212" t="s">
        <v>35</v>
      </c>
      <c r="K3212">
        <v>5</v>
      </c>
      <c r="L3212">
        <v>7</v>
      </c>
      <c r="M3212" s="11">
        <v>7792.39</v>
      </c>
      <c r="N3212" s="12">
        <v>4069.03</v>
      </c>
      <c r="O3212" s="12">
        <v>7418.43</v>
      </c>
    </row>
    <row r="3213" spans="1:15">
      <c r="A3213" t="s">
        <v>3387</v>
      </c>
      <c r="B3213" t="s">
        <v>100</v>
      </c>
      <c r="C3213" s="9">
        <f>DATE(2026-D3173,1,1)</f>
        <v>14246</v>
      </c>
      <c r="D3213">
        <v>46</v>
      </c>
      <c r="E3213" t="s">
        <v>17</v>
      </c>
      <c r="F3213" t="s">
        <v>25</v>
      </c>
      <c r="G3213" s="9">
        <v>45370</v>
      </c>
      <c r="H3213" s="9">
        <v>45031</v>
      </c>
      <c r="I3213">
        <v>15</v>
      </c>
      <c r="J3213" t="s">
        <v>35</v>
      </c>
      <c r="K3213">
        <v>10</v>
      </c>
      <c r="L3213">
        <v>7</v>
      </c>
      <c r="M3213" s="11">
        <v>832.02</v>
      </c>
      <c r="N3213" s="12">
        <v>6983.89</v>
      </c>
      <c r="O3213" s="12">
        <v>8340.58</v>
      </c>
    </row>
    <row r="3214" spans="1:15">
      <c r="A3214" t="s">
        <v>3388</v>
      </c>
      <c r="B3214" t="s">
        <v>105</v>
      </c>
      <c r="C3214" s="9">
        <v>32143</v>
      </c>
      <c r="D3214">
        <v>38</v>
      </c>
      <c r="E3214" t="s">
        <v>21</v>
      </c>
      <c r="F3214" t="s">
        <v>22</v>
      </c>
      <c r="G3214" s="9">
        <v>45574</v>
      </c>
      <c r="H3214" s="9">
        <v>45299</v>
      </c>
      <c r="I3214">
        <v>4</v>
      </c>
      <c r="J3214" t="s">
        <v>32</v>
      </c>
      <c r="K3214">
        <v>5</v>
      </c>
      <c r="L3214">
        <v>1</v>
      </c>
      <c r="M3214" s="11">
        <v>2171.1799999999998</v>
      </c>
      <c r="N3214" s="12">
        <v>11672.42</v>
      </c>
      <c r="O3214" s="12">
        <v>16923.189999999999</v>
      </c>
    </row>
    <row r="3215" spans="1:15">
      <c r="A3215" t="s">
        <v>3389</v>
      </c>
      <c r="B3215" t="s">
        <v>159</v>
      </c>
      <c r="C3215" s="9">
        <v>20820</v>
      </c>
      <c r="D3215">
        <v>69</v>
      </c>
      <c r="E3215" t="s">
        <v>21</v>
      </c>
      <c r="F3215" t="s">
        <v>29</v>
      </c>
      <c r="G3215" s="9">
        <v>45121</v>
      </c>
      <c r="H3215" s="9">
        <v>45091</v>
      </c>
      <c r="I3215">
        <v>8</v>
      </c>
      <c r="J3215" t="s">
        <v>26</v>
      </c>
      <c r="K3215">
        <v>12</v>
      </c>
      <c r="L3215">
        <v>5</v>
      </c>
      <c r="M3215" s="11">
        <v>5750.03</v>
      </c>
      <c r="N3215" s="12">
        <v>8338.9</v>
      </c>
      <c r="O3215" s="12">
        <v>9986.34</v>
      </c>
    </row>
    <row r="3216" spans="1:15">
      <c r="A3216" t="s">
        <v>3390</v>
      </c>
      <c r="B3216" t="s">
        <v>469</v>
      </c>
      <c r="C3216" s="9">
        <v>19724</v>
      </c>
      <c r="D3216">
        <v>72</v>
      </c>
      <c r="E3216" t="s">
        <v>17</v>
      </c>
      <c r="F3216" t="s">
        <v>5184</v>
      </c>
      <c r="G3216" s="9">
        <v>45184</v>
      </c>
      <c r="H3216" s="9">
        <v>45040</v>
      </c>
      <c r="I3216">
        <v>39</v>
      </c>
      <c r="J3216" t="s">
        <v>26</v>
      </c>
      <c r="K3216">
        <v>13</v>
      </c>
      <c r="L3216">
        <v>7</v>
      </c>
      <c r="M3216" s="11">
        <v>16610.84</v>
      </c>
      <c r="N3216" s="12">
        <v>9918.68</v>
      </c>
      <c r="O3216" s="12">
        <v>9725</v>
      </c>
    </row>
    <row r="3217" spans="1:15">
      <c r="A3217" t="s">
        <v>3391</v>
      </c>
      <c r="B3217" t="s">
        <v>46</v>
      </c>
      <c r="C3217" s="9">
        <v>39083</v>
      </c>
      <c r="D3217">
        <v>19</v>
      </c>
      <c r="E3217" t="s">
        <v>21</v>
      </c>
      <c r="F3217" t="s">
        <v>49</v>
      </c>
      <c r="G3217" s="9">
        <v>45508</v>
      </c>
      <c r="H3217" s="9">
        <v>45542</v>
      </c>
      <c r="I3217">
        <v>8</v>
      </c>
      <c r="J3217" t="s">
        <v>32</v>
      </c>
      <c r="K3217">
        <v>0</v>
      </c>
      <c r="L3217">
        <v>9</v>
      </c>
      <c r="M3217" s="11">
        <v>29782.98</v>
      </c>
      <c r="N3217" s="12">
        <v>4210.4399999999996</v>
      </c>
      <c r="O3217" s="12">
        <v>11030.82</v>
      </c>
    </row>
    <row r="3218" spans="1:15">
      <c r="A3218" t="s">
        <v>3392</v>
      </c>
      <c r="B3218" t="s">
        <v>41</v>
      </c>
      <c r="C3218" s="9">
        <v>46022</v>
      </c>
      <c r="D3218">
        <v>0</v>
      </c>
      <c r="E3218" t="s">
        <v>17</v>
      </c>
      <c r="F3218" t="s">
        <v>25</v>
      </c>
      <c r="G3218" s="9">
        <v>45286</v>
      </c>
      <c r="H3218" s="9">
        <v>45476</v>
      </c>
      <c r="I3218">
        <v>6</v>
      </c>
      <c r="J3218" t="s">
        <v>32</v>
      </c>
      <c r="K3218">
        <v>10</v>
      </c>
      <c r="L3218">
        <v>7</v>
      </c>
      <c r="M3218" s="11">
        <v>25233.56</v>
      </c>
      <c r="N3218" s="12">
        <v>4926.8900000000003</v>
      </c>
      <c r="O3218" s="12">
        <v>2457</v>
      </c>
    </row>
    <row r="3219" spans="1:15">
      <c r="A3219" t="s">
        <v>3393</v>
      </c>
      <c r="B3219" t="s">
        <v>502</v>
      </c>
      <c r="C3219" s="9">
        <v>20090</v>
      </c>
      <c r="D3219">
        <v>71</v>
      </c>
      <c r="E3219" t="s">
        <v>17</v>
      </c>
      <c r="F3219" t="s">
        <v>22</v>
      </c>
      <c r="G3219" s="9">
        <v>45474</v>
      </c>
      <c r="H3219" s="9">
        <v>45033</v>
      </c>
      <c r="I3219">
        <v>32</v>
      </c>
      <c r="J3219" t="s">
        <v>26</v>
      </c>
      <c r="K3219">
        <v>8</v>
      </c>
      <c r="L3219">
        <v>6</v>
      </c>
      <c r="M3219" s="11">
        <v>2118.9499999999998</v>
      </c>
      <c r="N3219" s="12">
        <v>7614.2</v>
      </c>
      <c r="O3219" s="12">
        <v>11262.46</v>
      </c>
    </row>
    <row r="3220" spans="1:15">
      <c r="A3220" t="s">
        <v>3394</v>
      </c>
      <c r="B3220" t="s">
        <v>367</v>
      </c>
      <c r="C3220" s="9">
        <v>14611</v>
      </c>
      <c r="D3220">
        <f ca="1">DATEDIF(C3171,TODAY(),"Y")</f>
        <v>72</v>
      </c>
      <c r="E3220" t="s">
        <v>17</v>
      </c>
      <c r="F3220" t="s">
        <v>25</v>
      </c>
      <c r="G3220" s="9">
        <v>45034</v>
      </c>
      <c r="H3220" s="9">
        <v>45626</v>
      </c>
      <c r="I3220">
        <v>34</v>
      </c>
      <c r="J3220" t="s">
        <v>32</v>
      </c>
      <c r="K3220">
        <v>2</v>
      </c>
      <c r="L3220">
        <v>2</v>
      </c>
      <c r="M3220" s="11">
        <v>25191.48</v>
      </c>
      <c r="N3220" s="12">
        <v>3037.2</v>
      </c>
      <c r="O3220" s="12">
        <v>10986.1</v>
      </c>
    </row>
    <row r="3221" spans="1:15">
      <c r="A3221" t="s">
        <v>3395</v>
      </c>
      <c r="B3221" t="s">
        <v>95</v>
      </c>
      <c r="C3221" s="9">
        <v>23377</v>
      </c>
      <c r="D3221">
        <v>62</v>
      </c>
      <c r="E3221" t="s">
        <v>17</v>
      </c>
      <c r="F3221" t="s">
        <v>25</v>
      </c>
      <c r="G3221" s="9">
        <v>44950</v>
      </c>
      <c r="H3221" s="9">
        <v>45291</v>
      </c>
      <c r="I3221">
        <v>20</v>
      </c>
      <c r="J3221" t="s">
        <v>35</v>
      </c>
      <c r="K3221">
        <v>1</v>
      </c>
      <c r="L3221">
        <v>3</v>
      </c>
      <c r="M3221" s="11">
        <v>15857.49</v>
      </c>
      <c r="N3221" s="12">
        <v>1894.59</v>
      </c>
      <c r="O3221" s="12">
        <v>15063.95</v>
      </c>
    </row>
    <row r="3222" spans="1:15">
      <c r="A3222" t="s">
        <v>3396</v>
      </c>
      <c r="B3222" t="s">
        <v>20</v>
      </c>
      <c r="C3222" s="9">
        <v>21916</v>
      </c>
      <c r="D3222">
        <v>66</v>
      </c>
      <c r="E3222" t="s">
        <v>17</v>
      </c>
      <c r="F3222" t="s">
        <v>29</v>
      </c>
      <c r="G3222" s="9">
        <v>45578</v>
      </c>
      <c r="H3222" s="9">
        <v>44948</v>
      </c>
      <c r="I3222">
        <v>30</v>
      </c>
      <c r="J3222" t="s">
        <v>26</v>
      </c>
      <c r="K3222">
        <v>6</v>
      </c>
      <c r="L3222">
        <v>0</v>
      </c>
      <c r="M3222" s="11">
        <v>19639.87</v>
      </c>
      <c r="N3222" s="12">
        <v>12657.04</v>
      </c>
      <c r="O3222" s="12">
        <v>12646.48</v>
      </c>
    </row>
    <row r="3223" spans="1:15">
      <c r="A3223" t="s">
        <v>3397</v>
      </c>
      <c r="B3223" t="s">
        <v>578</v>
      </c>
      <c r="C3223" s="9">
        <v>44927</v>
      </c>
      <c r="D3223">
        <v>3</v>
      </c>
      <c r="E3223" t="s">
        <v>17</v>
      </c>
      <c r="F3223" t="s">
        <v>5184</v>
      </c>
      <c r="G3223" s="9">
        <v>45391</v>
      </c>
      <c r="H3223" s="9">
        <v>45587</v>
      </c>
      <c r="I3223">
        <v>2</v>
      </c>
      <c r="J3223" t="s">
        <v>26</v>
      </c>
      <c r="K3223">
        <v>8</v>
      </c>
      <c r="L3223">
        <v>8</v>
      </c>
      <c r="M3223" s="11">
        <v>3457.85</v>
      </c>
      <c r="N3223" s="12">
        <v>11622.82</v>
      </c>
      <c r="O3223" s="12">
        <v>19096.099999999999</v>
      </c>
    </row>
    <row r="3224" spans="1:15">
      <c r="A3224" t="s">
        <v>3398</v>
      </c>
      <c r="B3224" t="s">
        <v>67</v>
      </c>
      <c r="C3224" s="9">
        <v>25203</v>
      </c>
      <c r="D3224">
        <f ca="1">DATEDIF(C3175,TODAY(),"Y")</f>
        <v>11</v>
      </c>
      <c r="E3224" t="s">
        <v>17</v>
      </c>
      <c r="F3224" t="s">
        <v>5184</v>
      </c>
      <c r="G3224" s="9">
        <v>44948</v>
      </c>
      <c r="H3224" s="9">
        <v>45056</v>
      </c>
      <c r="I3224">
        <v>17</v>
      </c>
      <c r="J3224" t="s">
        <v>35</v>
      </c>
      <c r="K3224">
        <v>8</v>
      </c>
      <c r="L3224">
        <v>9</v>
      </c>
      <c r="M3224" s="11">
        <v>11560.93</v>
      </c>
      <c r="N3224" s="12">
        <v>13980.85</v>
      </c>
      <c r="O3224" s="12">
        <v>1510.04</v>
      </c>
    </row>
    <row r="3225" spans="1:15">
      <c r="A3225" t="s">
        <v>3399</v>
      </c>
      <c r="B3225" t="s">
        <v>336</v>
      </c>
      <c r="C3225" s="9">
        <v>37256</v>
      </c>
      <c r="D3225">
        <v>24</v>
      </c>
      <c r="E3225" t="s">
        <v>17</v>
      </c>
      <c r="F3225" t="s">
        <v>29</v>
      </c>
      <c r="G3225" s="9">
        <v>45428</v>
      </c>
      <c r="H3225" s="9">
        <v>45410</v>
      </c>
      <c r="I3225">
        <v>2</v>
      </c>
      <c r="J3225" t="s">
        <v>26</v>
      </c>
      <c r="K3225">
        <v>7</v>
      </c>
      <c r="L3225">
        <v>9</v>
      </c>
      <c r="M3225" s="11">
        <v>26465.71</v>
      </c>
      <c r="N3225" s="12">
        <v>8798.2800000000007</v>
      </c>
      <c r="O3225" s="12">
        <v>15410.2</v>
      </c>
    </row>
    <row r="3226" spans="1:15">
      <c r="A3226" t="s">
        <v>3400</v>
      </c>
      <c r="B3226" t="s">
        <v>275</v>
      </c>
      <c r="C3226" s="9">
        <v>29221</v>
      </c>
      <c r="D3226">
        <v>46</v>
      </c>
      <c r="E3226" t="s">
        <v>21</v>
      </c>
      <c r="F3226" t="s">
        <v>74</v>
      </c>
      <c r="G3226" s="9">
        <v>45642</v>
      </c>
      <c r="H3226" s="9">
        <v>45626</v>
      </c>
      <c r="I3226">
        <v>26</v>
      </c>
      <c r="J3226" t="s">
        <v>35</v>
      </c>
      <c r="K3226">
        <v>1</v>
      </c>
      <c r="L3226">
        <v>1</v>
      </c>
      <c r="M3226" s="11">
        <v>12473.65</v>
      </c>
      <c r="N3226" s="12">
        <v>6303.98</v>
      </c>
      <c r="O3226" s="12">
        <v>15005.2</v>
      </c>
    </row>
    <row r="3227" spans="1:15">
      <c r="A3227" t="s">
        <v>3401</v>
      </c>
      <c r="B3227" t="s">
        <v>100</v>
      </c>
      <c r="C3227" s="9">
        <v>32508</v>
      </c>
      <c r="D3227">
        <v>37</v>
      </c>
      <c r="E3227" t="s">
        <v>21</v>
      </c>
      <c r="F3227" t="s">
        <v>29</v>
      </c>
      <c r="G3227" s="9">
        <v>45427</v>
      </c>
      <c r="H3227" s="9">
        <v>45723</v>
      </c>
      <c r="I3227">
        <v>23</v>
      </c>
      <c r="J3227" t="s">
        <v>35</v>
      </c>
      <c r="K3227">
        <v>14</v>
      </c>
      <c r="L3227">
        <v>9</v>
      </c>
      <c r="M3227" s="11">
        <v>3376.96</v>
      </c>
      <c r="N3227" s="12">
        <v>1545.32</v>
      </c>
      <c r="O3227" s="12">
        <v>5313.83</v>
      </c>
    </row>
    <row r="3228" spans="1:15">
      <c r="A3228" t="s">
        <v>3402</v>
      </c>
      <c r="B3228" t="s">
        <v>65</v>
      </c>
      <c r="C3228" s="9">
        <v>40909</v>
      </c>
      <c r="D3228">
        <v>14</v>
      </c>
      <c r="E3228" t="s">
        <v>21</v>
      </c>
      <c r="F3228" t="s">
        <v>29</v>
      </c>
      <c r="G3228" s="9">
        <v>45519</v>
      </c>
      <c r="H3228" s="9">
        <v>45126</v>
      </c>
      <c r="I3228">
        <v>35</v>
      </c>
      <c r="J3228" t="s">
        <v>32</v>
      </c>
      <c r="K3228">
        <v>9</v>
      </c>
      <c r="L3228">
        <v>6</v>
      </c>
      <c r="M3228" s="11">
        <v>8987.7999999999993</v>
      </c>
      <c r="N3228" s="12">
        <v>12757.01</v>
      </c>
      <c r="O3228" s="12">
        <v>13940.86</v>
      </c>
    </row>
    <row r="3229" spans="1:15">
      <c r="A3229" t="s">
        <v>3403</v>
      </c>
      <c r="B3229" t="s">
        <v>135</v>
      </c>
      <c r="C3229" s="9">
        <v>23377</v>
      </c>
      <c r="D3229">
        <v>62</v>
      </c>
      <c r="E3229" t="s">
        <v>17</v>
      </c>
      <c r="F3229" t="s">
        <v>18</v>
      </c>
      <c r="G3229" s="9">
        <v>45333</v>
      </c>
      <c r="H3229" s="9">
        <v>45674</v>
      </c>
      <c r="I3229">
        <v>0</v>
      </c>
      <c r="J3229" t="s">
        <v>32</v>
      </c>
      <c r="K3229">
        <v>5</v>
      </c>
      <c r="L3229">
        <v>7</v>
      </c>
      <c r="M3229" s="11">
        <v>0</v>
      </c>
      <c r="N3229" s="12">
        <v>6843.89</v>
      </c>
      <c r="O3229" s="12">
        <v>13152.36</v>
      </c>
    </row>
    <row r="3230" spans="1:15">
      <c r="A3230" t="s">
        <v>3404</v>
      </c>
      <c r="B3230" t="s">
        <v>155</v>
      </c>
      <c r="C3230" s="9">
        <f>DATE(2026-D3190,1,1)</f>
        <v>27760</v>
      </c>
      <c r="D3230">
        <v>20</v>
      </c>
      <c r="E3230" t="s">
        <v>17</v>
      </c>
      <c r="F3230" t="s">
        <v>25</v>
      </c>
      <c r="G3230" s="9">
        <v>45256</v>
      </c>
      <c r="H3230" s="9">
        <v>45547</v>
      </c>
      <c r="I3230">
        <v>18</v>
      </c>
      <c r="J3230" t="s">
        <v>32</v>
      </c>
      <c r="K3230">
        <v>1</v>
      </c>
      <c r="L3230">
        <v>3</v>
      </c>
      <c r="M3230" s="11">
        <v>20450.36</v>
      </c>
      <c r="N3230" s="12">
        <v>8417.01</v>
      </c>
      <c r="O3230" s="12">
        <v>5903.99</v>
      </c>
    </row>
    <row r="3231" spans="1:15">
      <c r="A3231" t="s">
        <v>3405</v>
      </c>
      <c r="B3231" t="s">
        <v>240</v>
      </c>
      <c r="C3231" s="9">
        <v>25568</v>
      </c>
      <c r="D3231">
        <v>56</v>
      </c>
      <c r="E3231" t="s">
        <v>21</v>
      </c>
      <c r="F3231" t="s">
        <v>29</v>
      </c>
      <c r="G3231" s="9">
        <v>45629</v>
      </c>
      <c r="H3231" s="9">
        <v>45448</v>
      </c>
      <c r="I3231">
        <v>10</v>
      </c>
      <c r="J3231" t="s">
        <v>35</v>
      </c>
      <c r="K3231">
        <v>10</v>
      </c>
      <c r="L3231">
        <v>9</v>
      </c>
      <c r="M3231" s="11">
        <v>27286.35</v>
      </c>
      <c r="N3231" s="12">
        <v>4702.8500000000004</v>
      </c>
      <c r="O3231" s="12">
        <v>14448.03</v>
      </c>
    </row>
    <row r="3232" spans="1:15">
      <c r="A3232" t="s">
        <v>3406</v>
      </c>
      <c r="B3232" t="s">
        <v>80</v>
      </c>
      <c r="C3232" s="9">
        <v>27029</v>
      </c>
      <c r="D3232">
        <v>52</v>
      </c>
      <c r="E3232" t="s">
        <v>21</v>
      </c>
      <c r="F3232" t="s">
        <v>25</v>
      </c>
      <c r="G3232" s="9">
        <v>45212</v>
      </c>
      <c r="H3232" s="9">
        <v>45347</v>
      </c>
      <c r="I3232">
        <v>28</v>
      </c>
      <c r="J3232" t="s">
        <v>32</v>
      </c>
      <c r="K3232">
        <v>1</v>
      </c>
      <c r="L3232">
        <v>0</v>
      </c>
      <c r="M3232" s="11">
        <v>0</v>
      </c>
      <c r="N3232" s="12">
        <v>7858.09</v>
      </c>
      <c r="O3232" s="12">
        <v>18606.11</v>
      </c>
    </row>
    <row r="3233" spans="1:15">
      <c r="A3233" t="s">
        <v>3407</v>
      </c>
      <c r="B3233" t="s">
        <v>139</v>
      </c>
      <c r="C3233" s="9">
        <f ca="1">DATE(2026-D3193,1,1)</f>
        <v>33970</v>
      </c>
      <c r="D3233">
        <v>45</v>
      </c>
      <c r="E3233" t="s">
        <v>21</v>
      </c>
      <c r="F3233" t="s">
        <v>25</v>
      </c>
      <c r="G3233" s="9">
        <v>45073</v>
      </c>
      <c r="H3233" s="9">
        <v>45153</v>
      </c>
      <c r="I3233">
        <v>14</v>
      </c>
      <c r="J3233" t="s">
        <v>35</v>
      </c>
      <c r="K3233">
        <v>7</v>
      </c>
      <c r="L3233">
        <v>4</v>
      </c>
      <c r="M3233" s="11">
        <v>0</v>
      </c>
      <c r="N3233" s="12">
        <v>11726.28</v>
      </c>
      <c r="O3233" s="12">
        <v>6034.9</v>
      </c>
    </row>
    <row r="3234" spans="1:15">
      <c r="A3234" t="s">
        <v>3408</v>
      </c>
      <c r="B3234" t="s">
        <v>57</v>
      </c>
      <c r="C3234" s="9">
        <v>41274</v>
      </c>
      <c r="D3234">
        <v>13</v>
      </c>
      <c r="E3234" t="s">
        <v>17</v>
      </c>
      <c r="F3234" t="s">
        <v>18</v>
      </c>
      <c r="G3234" s="9">
        <v>45310</v>
      </c>
      <c r="H3234" s="9">
        <v>45136</v>
      </c>
      <c r="I3234">
        <v>32</v>
      </c>
      <c r="J3234" t="s">
        <v>32</v>
      </c>
      <c r="K3234">
        <v>8</v>
      </c>
      <c r="L3234">
        <v>9</v>
      </c>
      <c r="M3234" s="11">
        <v>0</v>
      </c>
      <c r="N3234" s="12">
        <v>10683.9</v>
      </c>
      <c r="O3234" s="12">
        <v>19599.66</v>
      </c>
    </row>
    <row r="3235" spans="1:15">
      <c r="A3235" t="s">
        <v>3409</v>
      </c>
      <c r="B3235" t="s">
        <v>89</v>
      </c>
      <c r="C3235" s="9">
        <v>18629</v>
      </c>
      <c r="D3235">
        <v>75</v>
      </c>
      <c r="E3235" t="s">
        <v>17</v>
      </c>
      <c r="F3235" t="s">
        <v>25</v>
      </c>
      <c r="G3235" s="9">
        <v>44937</v>
      </c>
      <c r="H3235" s="9">
        <v>45172</v>
      </c>
      <c r="I3235">
        <v>20</v>
      </c>
      <c r="J3235" t="s">
        <v>32</v>
      </c>
      <c r="K3235">
        <v>8</v>
      </c>
      <c r="L3235">
        <v>9</v>
      </c>
      <c r="M3235" s="11">
        <v>54.57</v>
      </c>
      <c r="N3235" s="12">
        <v>14833.84</v>
      </c>
      <c r="O3235" s="12">
        <v>4408.16</v>
      </c>
    </row>
    <row r="3236" spans="1:15">
      <c r="A3236" t="s">
        <v>3410</v>
      </c>
      <c r="B3236" t="s">
        <v>326</v>
      </c>
      <c r="C3236" s="9">
        <v>40178</v>
      </c>
      <c r="D3236">
        <v>16</v>
      </c>
      <c r="E3236" t="s">
        <v>17</v>
      </c>
      <c r="F3236" t="s">
        <v>22</v>
      </c>
      <c r="G3236" s="9">
        <v>45202</v>
      </c>
      <c r="H3236" s="9">
        <v>45215</v>
      </c>
      <c r="I3236">
        <v>0</v>
      </c>
      <c r="J3236" t="s">
        <v>32</v>
      </c>
      <c r="K3236">
        <v>4</v>
      </c>
      <c r="L3236">
        <v>5</v>
      </c>
      <c r="M3236" s="11">
        <v>3293.29</v>
      </c>
      <c r="N3236" s="12">
        <v>7434.73</v>
      </c>
      <c r="O3236" s="12">
        <v>2606.3000000000002</v>
      </c>
    </row>
    <row r="3237" spans="1:15">
      <c r="A3237" t="s">
        <v>3411</v>
      </c>
      <c r="B3237" t="s">
        <v>422</v>
      </c>
      <c r="C3237" s="9">
        <v>32143</v>
      </c>
      <c r="D3237">
        <v>38</v>
      </c>
      <c r="E3237" t="s">
        <v>21</v>
      </c>
      <c r="F3237" t="s">
        <v>29</v>
      </c>
      <c r="G3237" s="9">
        <v>45494</v>
      </c>
      <c r="H3237" s="9">
        <v>44993</v>
      </c>
      <c r="I3237">
        <v>1</v>
      </c>
      <c r="J3237" t="s">
        <v>32</v>
      </c>
      <c r="K3237">
        <v>1</v>
      </c>
      <c r="L3237">
        <v>6</v>
      </c>
      <c r="M3237" s="11">
        <v>12413.06</v>
      </c>
      <c r="N3237" s="12">
        <v>7945.5</v>
      </c>
      <c r="O3237" s="12">
        <v>1448.71</v>
      </c>
    </row>
    <row r="3238" spans="1:15">
      <c r="A3238" t="s">
        <v>3412</v>
      </c>
      <c r="B3238" t="s">
        <v>69</v>
      </c>
      <c r="C3238" s="9">
        <v>43100</v>
      </c>
      <c r="D3238">
        <v>8</v>
      </c>
      <c r="E3238" t="s">
        <v>17</v>
      </c>
      <c r="F3238" t="s">
        <v>25</v>
      </c>
      <c r="G3238" s="9">
        <v>45611</v>
      </c>
      <c r="H3238" s="9">
        <v>45795</v>
      </c>
      <c r="I3238">
        <v>0</v>
      </c>
      <c r="J3238" t="s">
        <v>32</v>
      </c>
      <c r="K3238">
        <v>14</v>
      </c>
      <c r="L3238">
        <v>0</v>
      </c>
      <c r="M3238" s="11">
        <v>2918.73</v>
      </c>
      <c r="N3238" s="12">
        <v>790.89</v>
      </c>
      <c r="O3238" s="12">
        <v>4195.04</v>
      </c>
    </row>
    <row r="3239" spans="1:15">
      <c r="A3239" t="s">
        <v>3413</v>
      </c>
      <c r="B3239" t="s">
        <v>302</v>
      </c>
      <c r="C3239" s="9">
        <v>18263</v>
      </c>
      <c r="D3239">
        <v>76</v>
      </c>
      <c r="E3239" t="s">
        <v>21</v>
      </c>
      <c r="F3239" t="s">
        <v>74</v>
      </c>
      <c r="G3239" s="9">
        <v>45229</v>
      </c>
      <c r="H3239" s="9">
        <v>45080</v>
      </c>
      <c r="I3239">
        <v>17</v>
      </c>
      <c r="J3239" t="s">
        <v>32</v>
      </c>
      <c r="K3239">
        <v>5</v>
      </c>
      <c r="L3239">
        <v>3</v>
      </c>
      <c r="M3239" s="11">
        <v>21915.51</v>
      </c>
      <c r="N3239" s="12">
        <v>5840.74</v>
      </c>
      <c r="O3239" s="12">
        <v>6784.48</v>
      </c>
    </row>
    <row r="3240" spans="1:15">
      <c r="A3240" t="s">
        <v>3414</v>
      </c>
      <c r="B3240" t="s">
        <v>268</v>
      </c>
      <c r="C3240" s="9">
        <v>17533</v>
      </c>
      <c r="D3240">
        <v>78</v>
      </c>
      <c r="E3240" t="s">
        <v>17</v>
      </c>
      <c r="F3240" t="s">
        <v>74</v>
      </c>
      <c r="G3240" s="9">
        <v>45130</v>
      </c>
      <c r="H3240" s="9">
        <v>45418</v>
      </c>
      <c r="I3240">
        <v>6</v>
      </c>
      <c r="J3240" t="s">
        <v>32</v>
      </c>
      <c r="K3240">
        <v>1</v>
      </c>
      <c r="L3240">
        <v>4</v>
      </c>
      <c r="M3240" s="11">
        <v>1640.72</v>
      </c>
      <c r="N3240" s="12">
        <v>13831.56</v>
      </c>
      <c r="O3240" s="12">
        <v>14636.51</v>
      </c>
    </row>
    <row r="3241" spans="1:15">
      <c r="A3241" t="s">
        <v>3415</v>
      </c>
      <c r="B3241" t="s">
        <v>89</v>
      </c>
      <c r="C3241" s="9">
        <v>16437</v>
      </c>
      <c r="D3241">
        <v>81</v>
      </c>
      <c r="E3241" t="s">
        <v>21</v>
      </c>
      <c r="F3241" t="s">
        <v>18</v>
      </c>
      <c r="G3241" s="9">
        <v>45271</v>
      </c>
      <c r="H3241" s="9">
        <v>45362</v>
      </c>
      <c r="I3241">
        <v>1</v>
      </c>
      <c r="J3241" t="s">
        <v>26</v>
      </c>
      <c r="K3241">
        <v>8</v>
      </c>
      <c r="L3241">
        <v>4</v>
      </c>
      <c r="M3241" s="11">
        <v>12195.38</v>
      </c>
      <c r="N3241" s="12">
        <v>5257.14</v>
      </c>
      <c r="O3241" s="12">
        <v>1347.42</v>
      </c>
    </row>
    <row r="3242" spans="1:15">
      <c r="A3242" t="s">
        <v>3416</v>
      </c>
      <c r="B3242" t="s">
        <v>28</v>
      </c>
      <c r="C3242" s="9">
        <v>44196</v>
      </c>
      <c r="D3242">
        <v>5</v>
      </c>
      <c r="E3242" t="s">
        <v>17</v>
      </c>
      <c r="F3242" t="s">
        <v>22</v>
      </c>
      <c r="G3242" s="9">
        <v>45192</v>
      </c>
      <c r="H3242" s="9">
        <v>45630</v>
      </c>
      <c r="I3242">
        <v>22</v>
      </c>
      <c r="J3242" t="s">
        <v>35</v>
      </c>
      <c r="K3242">
        <v>2</v>
      </c>
      <c r="L3242">
        <v>6</v>
      </c>
      <c r="M3242" s="11">
        <v>11464.82</v>
      </c>
      <c r="N3242" s="12">
        <v>11491.68</v>
      </c>
      <c r="O3242" s="12">
        <v>10096.030000000001</v>
      </c>
    </row>
    <row r="3243" spans="1:15">
      <c r="A3243" t="s">
        <v>3417</v>
      </c>
      <c r="B3243" t="s">
        <v>28</v>
      </c>
      <c r="C3243" s="9">
        <v>13150</v>
      </c>
      <c r="D3243">
        <v>90</v>
      </c>
      <c r="E3243" t="s">
        <v>21</v>
      </c>
      <c r="F3243" t="s">
        <v>5184</v>
      </c>
      <c r="G3243" s="9">
        <v>44948</v>
      </c>
      <c r="H3243" s="9">
        <v>45145</v>
      </c>
      <c r="I3243">
        <v>2</v>
      </c>
      <c r="J3243" t="s">
        <v>32</v>
      </c>
      <c r="K3243">
        <v>12</v>
      </c>
      <c r="L3243">
        <v>3</v>
      </c>
      <c r="M3243" s="11">
        <v>16075.09</v>
      </c>
      <c r="N3243" s="12">
        <v>14663.99</v>
      </c>
      <c r="O3243" s="12">
        <v>10326.73</v>
      </c>
    </row>
    <row r="3244" spans="1:15">
      <c r="A3244" t="s">
        <v>3418</v>
      </c>
      <c r="B3244" t="s">
        <v>87</v>
      </c>
      <c r="C3244" s="9">
        <v>37987</v>
      </c>
      <c r="D3244">
        <f ca="1">DATEDIF(C3195,TODAY(),"Y")</f>
        <v>56</v>
      </c>
      <c r="E3244" t="s">
        <v>21</v>
      </c>
      <c r="F3244" t="s">
        <v>5184</v>
      </c>
      <c r="G3244" s="9">
        <v>45462</v>
      </c>
      <c r="H3244" s="9">
        <v>45356</v>
      </c>
      <c r="I3244">
        <v>36</v>
      </c>
      <c r="J3244" t="s">
        <v>35</v>
      </c>
      <c r="K3244">
        <v>2</v>
      </c>
      <c r="L3244">
        <v>9</v>
      </c>
      <c r="M3244" s="11">
        <v>18696.009999999998</v>
      </c>
      <c r="N3244" s="12">
        <v>1902.73</v>
      </c>
      <c r="O3244" s="12">
        <v>4481.66</v>
      </c>
    </row>
    <row r="3245" spans="1:15">
      <c r="A3245" t="s">
        <v>3419</v>
      </c>
      <c r="B3245" t="s">
        <v>332</v>
      </c>
      <c r="C3245" s="9">
        <v>24838</v>
      </c>
      <c r="D3245">
        <v>58</v>
      </c>
      <c r="E3245" t="s">
        <v>5185</v>
      </c>
      <c r="F3245" t="s">
        <v>29</v>
      </c>
      <c r="G3245" s="9">
        <v>45632</v>
      </c>
      <c r="H3245" s="9">
        <v>45429</v>
      </c>
      <c r="I3245">
        <v>9</v>
      </c>
      <c r="J3245" t="s">
        <v>32</v>
      </c>
      <c r="K3245">
        <v>6</v>
      </c>
      <c r="L3245">
        <v>6</v>
      </c>
      <c r="M3245" s="11">
        <v>28382.17</v>
      </c>
      <c r="N3245" s="12">
        <v>5009.8999999999996</v>
      </c>
      <c r="O3245" s="12">
        <v>813.68</v>
      </c>
    </row>
    <row r="3246" spans="1:15">
      <c r="A3246" t="s">
        <v>3420</v>
      </c>
      <c r="B3246" t="s">
        <v>273</v>
      </c>
      <c r="C3246" s="9">
        <v>13150</v>
      </c>
      <c r="D3246">
        <v>90</v>
      </c>
      <c r="E3246" t="s">
        <v>21</v>
      </c>
      <c r="F3246" t="s">
        <v>18</v>
      </c>
      <c r="G3246" s="9">
        <v>45022</v>
      </c>
      <c r="H3246" s="9">
        <v>45593</v>
      </c>
      <c r="I3246">
        <v>37</v>
      </c>
      <c r="J3246" t="s">
        <v>35</v>
      </c>
      <c r="K3246">
        <v>14</v>
      </c>
      <c r="L3246">
        <v>7</v>
      </c>
      <c r="M3246" s="11">
        <v>7771.14</v>
      </c>
      <c r="N3246" s="12">
        <v>7115.61</v>
      </c>
      <c r="O3246" s="12">
        <v>4424.8900000000003</v>
      </c>
    </row>
    <row r="3247" spans="1:15">
      <c r="A3247" t="s">
        <v>3421</v>
      </c>
      <c r="B3247" t="s">
        <v>82</v>
      </c>
      <c r="C3247" s="9">
        <v>29586</v>
      </c>
      <c r="D3247">
        <v>45</v>
      </c>
      <c r="E3247" t="s">
        <v>21</v>
      </c>
      <c r="F3247" t="s">
        <v>74</v>
      </c>
      <c r="G3247" s="9">
        <v>45371</v>
      </c>
      <c r="H3247" s="9">
        <v>45716</v>
      </c>
      <c r="I3247">
        <v>37</v>
      </c>
      <c r="J3247" t="s">
        <v>35</v>
      </c>
      <c r="K3247">
        <v>1</v>
      </c>
      <c r="L3247">
        <v>1</v>
      </c>
      <c r="M3247" s="11">
        <v>19812.53</v>
      </c>
      <c r="N3247" s="12">
        <v>3560.62</v>
      </c>
      <c r="O3247" s="12">
        <v>4530.83</v>
      </c>
    </row>
    <row r="3248" spans="1:15">
      <c r="A3248" t="s">
        <v>3422</v>
      </c>
      <c r="B3248" t="s">
        <v>93</v>
      </c>
      <c r="C3248" s="9">
        <v>32508</v>
      </c>
      <c r="D3248">
        <v>37</v>
      </c>
      <c r="E3248" t="s">
        <v>17</v>
      </c>
      <c r="F3248" t="s">
        <v>22</v>
      </c>
      <c r="G3248" s="9">
        <v>45189</v>
      </c>
      <c r="H3248" s="9">
        <v>45521</v>
      </c>
      <c r="I3248">
        <v>21</v>
      </c>
      <c r="J3248" t="s">
        <v>32</v>
      </c>
      <c r="K3248">
        <v>6</v>
      </c>
      <c r="L3248">
        <v>0</v>
      </c>
      <c r="M3248" s="11">
        <v>570.09</v>
      </c>
      <c r="N3248" s="12">
        <v>186.55</v>
      </c>
      <c r="O3248" s="12">
        <v>13729.28</v>
      </c>
    </row>
    <row r="3249" spans="1:15">
      <c r="A3249" t="s">
        <v>3423</v>
      </c>
      <c r="B3249" t="s">
        <v>37</v>
      </c>
      <c r="C3249" s="9">
        <v>41274</v>
      </c>
      <c r="D3249">
        <v>13</v>
      </c>
      <c r="E3249" t="s">
        <v>17</v>
      </c>
      <c r="F3249" t="s">
        <v>29</v>
      </c>
      <c r="G3249" s="9">
        <v>45510</v>
      </c>
      <c r="H3249" s="9">
        <v>45148</v>
      </c>
      <c r="I3249">
        <v>6</v>
      </c>
      <c r="J3249" t="s">
        <v>32</v>
      </c>
      <c r="K3249">
        <v>7</v>
      </c>
      <c r="L3249">
        <v>9</v>
      </c>
      <c r="M3249" s="11">
        <v>469.29</v>
      </c>
      <c r="N3249" s="12">
        <v>7029.06</v>
      </c>
      <c r="O3249" s="12">
        <v>4598.97</v>
      </c>
    </row>
    <row r="3250" spans="1:15">
      <c r="A3250" t="s">
        <v>3424</v>
      </c>
      <c r="B3250" t="s">
        <v>93</v>
      </c>
      <c r="C3250" s="9">
        <v>20090</v>
      </c>
      <c r="D3250">
        <v>71</v>
      </c>
      <c r="E3250" t="s">
        <v>21</v>
      </c>
      <c r="F3250" t="s">
        <v>25</v>
      </c>
      <c r="G3250" s="9">
        <v>45309</v>
      </c>
      <c r="H3250" s="9">
        <v>45362</v>
      </c>
      <c r="I3250">
        <v>17</v>
      </c>
      <c r="J3250" t="s">
        <v>32</v>
      </c>
      <c r="K3250">
        <v>9</v>
      </c>
      <c r="L3250">
        <v>9</v>
      </c>
      <c r="M3250" s="11">
        <v>273.43</v>
      </c>
      <c r="N3250" s="12">
        <v>8049.24</v>
      </c>
      <c r="O3250" s="12">
        <v>6739.31</v>
      </c>
    </row>
    <row r="3251" spans="1:15">
      <c r="A3251" t="s">
        <v>3425</v>
      </c>
      <c r="B3251" t="s">
        <v>181</v>
      </c>
      <c r="C3251" s="9">
        <v>23742</v>
      </c>
      <c r="D3251">
        <v>61</v>
      </c>
      <c r="E3251" t="s">
        <v>17</v>
      </c>
      <c r="F3251" t="s">
        <v>29</v>
      </c>
      <c r="G3251" s="9">
        <v>45476</v>
      </c>
      <c r="H3251" s="9">
        <v>45207</v>
      </c>
      <c r="I3251">
        <v>2</v>
      </c>
      <c r="J3251" t="s">
        <v>32</v>
      </c>
      <c r="K3251">
        <v>5</v>
      </c>
      <c r="L3251">
        <v>0</v>
      </c>
      <c r="M3251" s="11">
        <v>13191.81</v>
      </c>
      <c r="N3251" s="12">
        <v>9381.52</v>
      </c>
      <c r="O3251" s="12">
        <v>853.34</v>
      </c>
    </row>
    <row r="3252" spans="1:15">
      <c r="A3252" t="s">
        <v>3426</v>
      </c>
      <c r="B3252" t="s">
        <v>196</v>
      </c>
      <c r="C3252" s="9">
        <v>33604</v>
      </c>
      <c r="D3252">
        <v>34</v>
      </c>
      <c r="E3252" t="s">
        <v>17</v>
      </c>
      <c r="F3252" t="s">
        <v>49</v>
      </c>
      <c r="G3252" s="9">
        <v>45318</v>
      </c>
      <c r="H3252" s="9">
        <v>45550</v>
      </c>
      <c r="I3252">
        <v>17</v>
      </c>
      <c r="J3252" t="s">
        <v>32</v>
      </c>
      <c r="K3252">
        <v>1</v>
      </c>
      <c r="L3252">
        <v>0</v>
      </c>
      <c r="M3252" s="11">
        <v>16427.900000000001</v>
      </c>
      <c r="N3252" s="12">
        <v>12408.23</v>
      </c>
      <c r="O3252" s="12">
        <v>12441.31</v>
      </c>
    </row>
    <row r="3253" spans="1:15">
      <c r="A3253" t="s">
        <v>3427</v>
      </c>
      <c r="B3253" t="s">
        <v>139</v>
      </c>
      <c r="C3253" s="9">
        <v>39448</v>
      </c>
      <c r="D3253">
        <v>18</v>
      </c>
      <c r="E3253" t="s">
        <v>21</v>
      </c>
      <c r="F3253" t="s">
        <v>29</v>
      </c>
      <c r="G3253" s="9">
        <v>45527</v>
      </c>
      <c r="H3253" s="9">
        <v>45019</v>
      </c>
      <c r="I3253">
        <v>18</v>
      </c>
      <c r="J3253" t="s">
        <v>32</v>
      </c>
      <c r="K3253">
        <v>13</v>
      </c>
      <c r="L3253">
        <v>8</v>
      </c>
      <c r="M3253" s="11">
        <v>310.54000000000002</v>
      </c>
      <c r="N3253" s="12">
        <v>3795.64</v>
      </c>
      <c r="O3253" s="12">
        <v>9430.2900000000009</v>
      </c>
    </row>
    <row r="3254" spans="1:15">
      <c r="A3254" t="s">
        <v>3428</v>
      </c>
      <c r="B3254" t="s">
        <v>24</v>
      </c>
      <c r="C3254" s="9">
        <f>DATE(2026-D3214,1,1)</f>
        <v>32143</v>
      </c>
      <c r="D3254">
        <v>29</v>
      </c>
      <c r="E3254" t="s">
        <v>21</v>
      </c>
      <c r="F3254" t="s">
        <v>25</v>
      </c>
      <c r="G3254" s="9">
        <v>45466</v>
      </c>
      <c r="H3254" s="9">
        <v>45451</v>
      </c>
      <c r="I3254">
        <v>1</v>
      </c>
      <c r="J3254" t="s">
        <v>32</v>
      </c>
      <c r="K3254">
        <v>5</v>
      </c>
      <c r="L3254">
        <v>3</v>
      </c>
      <c r="M3254" s="11">
        <v>11590.55</v>
      </c>
      <c r="N3254" s="12">
        <v>915.54</v>
      </c>
      <c r="O3254" s="12">
        <v>6833.89</v>
      </c>
    </row>
    <row r="3255" spans="1:15">
      <c r="A3255" t="s">
        <v>3429</v>
      </c>
      <c r="B3255" t="s">
        <v>16</v>
      </c>
      <c r="C3255" s="9">
        <v>17898</v>
      </c>
      <c r="D3255">
        <v>77</v>
      </c>
      <c r="E3255" t="s">
        <v>21</v>
      </c>
      <c r="F3255" t="s">
        <v>49</v>
      </c>
      <c r="G3255" s="9">
        <v>45018</v>
      </c>
      <c r="H3255" s="9">
        <v>45066</v>
      </c>
      <c r="I3255">
        <v>18</v>
      </c>
      <c r="J3255" t="s">
        <v>32</v>
      </c>
      <c r="K3255">
        <v>4</v>
      </c>
      <c r="L3255">
        <v>8</v>
      </c>
      <c r="M3255" s="11">
        <v>746.13</v>
      </c>
      <c r="N3255" s="12">
        <v>1347.52</v>
      </c>
      <c r="O3255" s="12">
        <v>14027.89</v>
      </c>
    </row>
    <row r="3256" spans="1:15">
      <c r="A3256" t="s">
        <v>3430</v>
      </c>
      <c r="B3256" t="s">
        <v>157</v>
      </c>
      <c r="C3256" s="9">
        <v>15707</v>
      </c>
      <c r="D3256">
        <v>83</v>
      </c>
      <c r="E3256" t="s">
        <v>17</v>
      </c>
      <c r="F3256" t="s">
        <v>5184</v>
      </c>
      <c r="G3256" s="9">
        <v>45492</v>
      </c>
      <c r="H3256" s="9">
        <v>45594</v>
      </c>
      <c r="I3256">
        <v>39</v>
      </c>
      <c r="J3256" t="s">
        <v>26</v>
      </c>
      <c r="K3256">
        <v>3</v>
      </c>
      <c r="L3256">
        <v>6</v>
      </c>
      <c r="M3256" s="11">
        <v>19425.16</v>
      </c>
      <c r="N3256" s="12">
        <v>7461.14</v>
      </c>
      <c r="O3256" s="12">
        <v>13610.65</v>
      </c>
    </row>
    <row r="3257" spans="1:15">
      <c r="A3257" t="s">
        <v>3431</v>
      </c>
      <c r="B3257" t="s">
        <v>619</v>
      </c>
      <c r="C3257" s="9">
        <v>37256</v>
      </c>
      <c r="D3257">
        <v>24</v>
      </c>
      <c r="E3257" t="s">
        <v>21</v>
      </c>
      <c r="F3257" t="s">
        <v>22</v>
      </c>
      <c r="G3257" s="9">
        <v>45085</v>
      </c>
      <c r="H3257" s="9">
        <v>44950</v>
      </c>
      <c r="I3257">
        <v>21</v>
      </c>
      <c r="J3257" t="s">
        <v>35</v>
      </c>
      <c r="K3257">
        <v>3</v>
      </c>
      <c r="L3257">
        <v>6</v>
      </c>
      <c r="M3257" s="11">
        <v>18752.580000000002</v>
      </c>
      <c r="N3257" s="12">
        <v>13833.55</v>
      </c>
      <c r="O3257" s="12">
        <v>6490.93</v>
      </c>
    </row>
    <row r="3258" spans="1:15">
      <c r="A3258" t="s">
        <v>3432</v>
      </c>
      <c r="B3258" t="s">
        <v>254</v>
      </c>
      <c r="C3258" s="9">
        <v>31778</v>
      </c>
      <c r="D3258">
        <v>39</v>
      </c>
      <c r="E3258" t="s">
        <v>21</v>
      </c>
      <c r="F3258" t="s">
        <v>18</v>
      </c>
      <c r="G3258" s="9">
        <v>45154</v>
      </c>
      <c r="H3258" s="9">
        <v>45344</v>
      </c>
      <c r="I3258">
        <v>6</v>
      </c>
      <c r="J3258" t="s">
        <v>32</v>
      </c>
      <c r="K3258">
        <v>1</v>
      </c>
      <c r="L3258">
        <v>1</v>
      </c>
      <c r="M3258" s="11">
        <v>23417.61</v>
      </c>
      <c r="N3258" s="12">
        <v>14733.16</v>
      </c>
      <c r="O3258" s="12">
        <v>14159.09</v>
      </c>
    </row>
    <row r="3259" spans="1:15">
      <c r="A3259" t="s">
        <v>3433</v>
      </c>
      <c r="B3259" t="s">
        <v>137</v>
      </c>
      <c r="C3259" s="9">
        <v>14246</v>
      </c>
      <c r="D3259">
        <v>87</v>
      </c>
      <c r="E3259" t="s">
        <v>17</v>
      </c>
      <c r="F3259" t="s">
        <v>22</v>
      </c>
      <c r="G3259" s="9">
        <v>45399</v>
      </c>
      <c r="H3259" s="9">
        <v>45659</v>
      </c>
      <c r="I3259">
        <v>36</v>
      </c>
      <c r="J3259" t="s">
        <v>32</v>
      </c>
      <c r="K3259">
        <v>4</v>
      </c>
      <c r="L3259">
        <v>1</v>
      </c>
      <c r="M3259" s="11">
        <v>16160.96</v>
      </c>
      <c r="N3259" s="12">
        <v>3075.77</v>
      </c>
      <c r="O3259" s="12">
        <v>6899.02</v>
      </c>
    </row>
    <row r="3260" spans="1:15">
      <c r="A3260" t="s">
        <v>3434</v>
      </c>
      <c r="B3260" t="s">
        <v>119</v>
      </c>
      <c r="C3260" s="9">
        <v>41274</v>
      </c>
      <c r="D3260">
        <v>13</v>
      </c>
      <c r="E3260" t="s">
        <v>17</v>
      </c>
      <c r="F3260" t="s">
        <v>29</v>
      </c>
      <c r="G3260" s="9">
        <v>45298</v>
      </c>
      <c r="H3260" s="9">
        <v>45275</v>
      </c>
      <c r="I3260">
        <v>27</v>
      </c>
      <c r="J3260" t="s">
        <v>35</v>
      </c>
      <c r="K3260">
        <v>11</v>
      </c>
      <c r="L3260">
        <v>4</v>
      </c>
      <c r="M3260" s="11">
        <v>18499.97</v>
      </c>
      <c r="N3260" s="12">
        <v>2279.5100000000002</v>
      </c>
      <c r="O3260" s="12">
        <v>4362.1899999999996</v>
      </c>
    </row>
    <row r="3261" spans="1:15">
      <c r="A3261" t="s">
        <v>3435</v>
      </c>
      <c r="B3261" t="s">
        <v>53</v>
      </c>
      <c r="C3261" s="9">
        <v>36891</v>
      </c>
      <c r="D3261">
        <v>25</v>
      </c>
      <c r="E3261" t="s">
        <v>21</v>
      </c>
      <c r="F3261" t="s">
        <v>5184</v>
      </c>
      <c r="G3261" s="9">
        <v>45302</v>
      </c>
      <c r="H3261" s="9">
        <v>45164</v>
      </c>
      <c r="I3261">
        <v>15</v>
      </c>
      <c r="J3261" t="s">
        <v>35</v>
      </c>
      <c r="K3261">
        <v>13</v>
      </c>
      <c r="L3261">
        <v>9</v>
      </c>
      <c r="M3261" s="11">
        <v>8022.29</v>
      </c>
      <c r="N3261" s="12">
        <v>5302.08</v>
      </c>
      <c r="O3261" s="12">
        <v>14368.58</v>
      </c>
    </row>
    <row r="3262" spans="1:15">
      <c r="A3262" t="s">
        <v>3436</v>
      </c>
      <c r="B3262" t="s">
        <v>223</v>
      </c>
      <c r="C3262" s="9">
        <v>14611</v>
      </c>
      <c r="D3262">
        <v>86</v>
      </c>
      <c r="E3262" t="s">
        <v>17</v>
      </c>
      <c r="F3262" t="s">
        <v>18</v>
      </c>
      <c r="G3262" s="9">
        <v>45479</v>
      </c>
      <c r="H3262" s="9">
        <v>45692</v>
      </c>
      <c r="I3262">
        <v>7</v>
      </c>
      <c r="J3262" t="s">
        <v>32</v>
      </c>
      <c r="K3262">
        <v>2</v>
      </c>
      <c r="L3262">
        <v>0</v>
      </c>
      <c r="M3262" s="11">
        <v>2106.34</v>
      </c>
      <c r="N3262" s="12">
        <v>6958.35</v>
      </c>
      <c r="O3262" s="12">
        <v>14533.32</v>
      </c>
    </row>
    <row r="3263" spans="1:15">
      <c r="A3263" t="s">
        <v>3437</v>
      </c>
      <c r="B3263" t="s">
        <v>397</v>
      </c>
      <c r="C3263" s="9">
        <f>DATE(2026-D3223,1,1)</f>
        <v>44927</v>
      </c>
      <c r="D3263">
        <v>21</v>
      </c>
      <c r="E3263" t="s">
        <v>21</v>
      </c>
      <c r="F3263" t="s">
        <v>29</v>
      </c>
      <c r="G3263" s="9">
        <v>44963</v>
      </c>
      <c r="H3263" s="9">
        <v>45110</v>
      </c>
      <c r="I3263">
        <v>38</v>
      </c>
      <c r="J3263" t="s">
        <v>35</v>
      </c>
      <c r="K3263">
        <v>12</v>
      </c>
      <c r="L3263">
        <v>6</v>
      </c>
      <c r="M3263" s="11">
        <v>0</v>
      </c>
      <c r="N3263" s="12">
        <v>12120.98</v>
      </c>
      <c r="O3263" s="12">
        <v>17301.919999999998</v>
      </c>
    </row>
    <row r="3264" spans="1:15">
      <c r="A3264" t="s">
        <v>3438</v>
      </c>
      <c r="B3264" t="s">
        <v>149</v>
      </c>
      <c r="C3264" s="9">
        <v>28856</v>
      </c>
      <c r="D3264">
        <v>47</v>
      </c>
      <c r="E3264" t="s">
        <v>21</v>
      </c>
      <c r="F3264" t="s">
        <v>74</v>
      </c>
      <c r="G3264" s="9">
        <v>45563</v>
      </c>
      <c r="H3264" s="9">
        <v>45435</v>
      </c>
      <c r="I3264">
        <v>18</v>
      </c>
      <c r="J3264" t="s">
        <v>35</v>
      </c>
      <c r="K3264">
        <v>12</v>
      </c>
      <c r="L3264">
        <v>6</v>
      </c>
      <c r="M3264" s="11">
        <v>18161.830000000002</v>
      </c>
      <c r="N3264" s="12">
        <v>11619.1</v>
      </c>
      <c r="O3264" s="12">
        <v>9968.98</v>
      </c>
    </row>
    <row r="3265" spans="1:15">
      <c r="A3265" t="s">
        <v>3439</v>
      </c>
      <c r="B3265" t="s">
        <v>151</v>
      </c>
      <c r="C3265" s="9">
        <v>16072</v>
      </c>
      <c r="D3265">
        <v>82</v>
      </c>
      <c r="E3265" t="s">
        <v>17</v>
      </c>
      <c r="F3265" t="s">
        <v>74</v>
      </c>
      <c r="G3265" s="9">
        <v>45617</v>
      </c>
      <c r="H3265" s="9">
        <v>45125</v>
      </c>
      <c r="I3265">
        <v>19</v>
      </c>
      <c r="J3265" t="s">
        <v>26</v>
      </c>
      <c r="K3265">
        <v>1</v>
      </c>
      <c r="L3265">
        <v>7</v>
      </c>
      <c r="M3265" s="11">
        <v>28119.119999999999</v>
      </c>
      <c r="N3265" s="12">
        <v>13839.99</v>
      </c>
      <c r="O3265" s="12">
        <v>4570.82</v>
      </c>
    </row>
    <row r="3266" spans="1:15">
      <c r="A3266" t="s">
        <v>3440</v>
      </c>
      <c r="B3266" t="s">
        <v>149</v>
      </c>
      <c r="C3266" s="9">
        <v>27760</v>
      </c>
      <c r="D3266">
        <v>50</v>
      </c>
      <c r="E3266" t="s">
        <v>17</v>
      </c>
      <c r="F3266" t="s">
        <v>25</v>
      </c>
      <c r="G3266" s="9">
        <v>44963</v>
      </c>
      <c r="H3266" s="9">
        <v>45609</v>
      </c>
      <c r="I3266">
        <v>14</v>
      </c>
      <c r="J3266" t="s">
        <v>32</v>
      </c>
      <c r="K3266">
        <v>10</v>
      </c>
      <c r="L3266">
        <v>6</v>
      </c>
      <c r="M3266" s="11">
        <v>29671.39</v>
      </c>
      <c r="N3266" s="12">
        <v>12871.51</v>
      </c>
      <c r="O3266" s="12">
        <v>16721.63</v>
      </c>
    </row>
    <row r="3267" spans="1:15">
      <c r="A3267" t="s">
        <v>3441</v>
      </c>
      <c r="B3267" t="s">
        <v>444</v>
      </c>
      <c r="C3267" s="9">
        <v>45292</v>
      </c>
      <c r="D3267">
        <v>2</v>
      </c>
      <c r="E3267" t="s">
        <v>21</v>
      </c>
      <c r="F3267" t="s">
        <v>5184</v>
      </c>
      <c r="G3267" s="9">
        <v>45027</v>
      </c>
      <c r="H3267" s="9">
        <v>45050</v>
      </c>
      <c r="I3267">
        <v>2</v>
      </c>
      <c r="J3267" t="s">
        <v>26</v>
      </c>
      <c r="K3267">
        <v>6</v>
      </c>
      <c r="L3267">
        <v>7</v>
      </c>
      <c r="M3267" s="11">
        <v>25342.16</v>
      </c>
      <c r="N3267" s="12">
        <v>6581.89</v>
      </c>
      <c r="O3267" s="12">
        <v>3410.81</v>
      </c>
    </row>
    <row r="3268" spans="1:15">
      <c r="A3268" t="s">
        <v>3442</v>
      </c>
      <c r="B3268" t="s">
        <v>209</v>
      </c>
      <c r="C3268" s="9">
        <v>31047</v>
      </c>
      <c r="D3268">
        <v>41</v>
      </c>
      <c r="E3268" t="s">
        <v>17</v>
      </c>
      <c r="F3268" t="s">
        <v>5184</v>
      </c>
      <c r="G3268" s="9">
        <v>45469</v>
      </c>
      <c r="H3268" s="9">
        <v>45473</v>
      </c>
      <c r="I3268">
        <v>3</v>
      </c>
      <c r="J3268" t="s">
        <v>35</v>
      </c>
      <c r="K3268">
        <v>6</v>
      </c>
      <c r="L3268">
        <v>2</v>
      </c>
      <c r="M3268" s="11">
        <v>29561.47</v>
      </c>
      <c r="N3268" s="12">
        <v>285.33999999999997</v>
      </c>
      <c r="O3268" s="12">
        <v>18766.13</v>
      </c>
    </row>
    <row r="3269" spans="1:15">
      <c r="A3269" t="s">
        <v>3443</v>
      </c>
      <c r="B3269" t="s">
        <v>87</v>
      </c>
      <c r="C3269" s="9">
        <v>39448</v>
      </c>
      <c r="D3269">
        <v>18</v>
      </c>
      <c r="E3269" t="s">
        <v>17</v>
      </c>
      <c r="F3269" t="s">
        <v>22</v>
      </c>
      <c r="G3269" s="9">
        <v>45116</v>
      </c>
      <c r="H3269" s="9">
        <v>45308</v>
      </c>
      <c r="I3269">
        <v>7</v>
      </c>
      <c r="J3269" t="s">
        <v>32</v>
      </c>
      <c r="K3269">
        <v>13</v>
      </c>
      <c r="L3269">
        <v>2</v>
      </c>
      <c r="M3269" s="11">
        <v>19247.11</v>
      </c>
      <c r="N3269" s="12">
        <v>3548.84</v>
      </c>
      <c r="O3269" s="12">
        <v>6063.74</v>
      </c>
    </row>
    <row r="3270" spans="1:15">
      <c r="A3270" t="s">
        <v>3444</v>
      </c>
      <c r="B3270" t="s">
        <v>300</v>
      </c>
      <c r="C3270" s="9">
        <v>19724</v>
      </c>
      <c r="D3270">
        <f t="shared" ref="D3270:D3271" ca="1" si="17">DATEDIF(C3221,TODAY(),"Y")</f>
        <v>62</v>
      </c>
      <c r="E3270" t="s">
        <v>21</v>
      </c>
      <c r="F3270" t="s">
        <v>74</v>
      </c>
      <c r="G3270" s="9">
        <v>45438</v>
      </c>
      <c r="H3270" s="9">
        <v>45752</v>
      </c>
      <c r="I3270">
        <v>1</v>
      </c>
      <c r="J3270" t="s">
        <v>32</v>
      </c>
      <c r="K3270">
        <v>10</v>
      </c>
      <c r="L3270">
        <v>7</v>
      </c>
      <c r="M3270" s="11">
        <v>2304.4499999999998</v>
      </c>
      <c r="N3270" s="12">
        <v>9150.82</v>
      </c>
      <c r="O3270" s="12">
        <v>277.14</v>
      </c>
    </row>
    <row r="3271" spans="1:15">
      <c r="A3271" t="s">
        <v>3445</v>
      </c>
      <c r="B3271" t="s">
        <v>31</v>
      </c>
      <c r="C3271" s="9">
        <v>36161</v>
      </c>
      <c r="D3271">
        <f t="shared" ca="1" si="17"/>
        <v>66</v>
      </c>
      <c r="E3271" t="s">
        <v>17</v>
      </c>
      <c r="F3271" t="s">
        <v>49</v>
      </c>
      <c r="G3271" s="9">
        <v>45584</v>
      </c>
      <c r="H3271" s="9">
        <v>45442</v>
      </c>
      <c r="I3271">
        <v>4</v>
      </c>
      <c r="J3271" t="s">
        <v>35</v>
      </c>
      <c r="K3271">
        <v>11</v>
      </c>
      <c r="L3271">
        <v>8</v>
      </c>
      <c r="M3271" s="11">
        <v>2239.89</v>
      </c>
      <c r="N3271" s="12">
        <v>7522.42</v>
      </c>
      <c r="O3271" s="12">
        <v>3654</v>
      </c>
    </row>
    <row r="3272" spans="1:15">
      <c r="A3272" t="s">
        <v>3446</v>
      </c>
      <c r="B3272" t="s">
        <v>273</v>
      </c>
      <c r="C3272" s="9">
        <v>15707</v>
      </c>
      <c r="D3272">
        <v>83</v>
      </c>
      <c r="E3272" t="s">
        <v>21</v>
      </c>
      <c r="F3272" t="s">
        <v>49</v>
      </c>
      <c r="G3272" s="9">
        <v>45016</v>
      </c>
      <c r="H3272" s="9">
        <v>44933</v>
      </c>
      <c r="I3272">
        <v>1</v>
      </c>
      <c r="J3272" t="s">
        <v>35</v>
      </c>
      <c r="K3272">
        <v>9</v>
      </c>
      <c r="L3272">
        <v>9</v>
      </c>
      <c r="M3272" s="11">
        <v>24117.15</v>
      </c>
      <c r="N3272" s="12">
        <v>3602.4</v>
      </c>
      <c r="O3272" s="12">
        <v>8237.32</v>
      </c>
    </row>
    <row r="3273" spans="1:15">
      <c r="A3273" t="s">
        <v>3447</v>
      </c>
      <c r="B3273" t="s">
        <v>123</v>
      </c>
      <c r="C3273" s="9">
        <v>29951</v>
      </c>
      <c r="D3273">
        <v>44</v>
      </c>
      <c r="E3273" t="s">
        <v>5185</v>
      </c>
      <c r="F3273" t="s">
        <v>5184</v>
      </c>
      <c r="G3273" s="9">
        <v>44932</v>
      </c>
      <c r="H3273" s="9">
        <v>45231</v>
      </c>
      <c r="I3273">
        <v>34</v>
      </c>
      <c r="J3273" t="s">
        <v>32</v>
      </c>
      <c r="K3273">
        <v>2</v>
      </c>
      <c r="L3273">
        <v>3</v>
      </c>
      <c r="M3273" s="11">
        <v>6724.24</v>
      </c>
      <c r="N3273" s="12">
        <v>1973.99</v>
      </c>
      <c r="O3273" s="12">
        <v>1009.31</v>
      </c>
    </row>
    <row r="3274" spans="1:15">
      <c r="A3274" t="s">
        <v>3448</v>
      </c>
      <c r="B3274" t="s">
        <v>211</v>
      </c>
      <c r="C3274" s="9">
        <v>20455</v>
      </c>
      <c r="D3274">
        <v>70</v>
      </c>
      <c r="E3274" t="s">
        <v>17</v>
      </c>
      <c r="F3274" t="s">
        <v>5184</v>
      </c>
      <c r="G3274" s="9">
        <v>45065</v>
      </c>
      <c r="H3274" s="9">
        <v>45541</v>
      </c>
      <c r="I3274">
        <v>16</v>
      </c>
      <c r="J3274" t="s">
        <v>32</v>
      </c>
      <c r="K3274">
        <v>11</v>
      </c>
      <c r="L3274">
        <v>7</v>
      </c>
      <c r="M3274" s="11">
        <v>1360.14</v>
      </c>
      <c r="N3274" s="12">
        <v>3240.18</v>
      </c>
      <c r="O3274" s="12">
        <v>8131.37</v>
      </c>
    </row>
    <row r="3275" spans="1:15">
      <c r="A3275" t="s">
        <v>3449</v>
      </c>
      <c r="B3275" t="s">
        <v>232</v>
      </c>
      <c r="C3275" s="9">
        <f>DATE(2026-D3235,1,1)</f>
        <v>18629</v>
      </c>
      <c r="D3275">
        <v>77</v>
      </c>
      <c r="E3275" t="s">
        <v>21</v>
      </c>
      <c r="F3275" t="s">
        <v>29</v>
      </c>
      <c r="G3275" s="9">
        <v>45021</v>
      </c>
      <c r="H3275" s="9">
        <v>45119</v>
      </c>
      <c r="I3275">
        <v>25</v>
      </c>
      <c r="J3275" t="s">
        <v>32</v>
      </c>
      <c r="K3275">
        <v>5</v>
      </c>
      <c r="L3275">
        <v>0</v>
      </c>
      <c r="M3275" s="11">
        <v>13904.38</v>
      </c>
      <c r="N3275" s="12">
        <v>3896.17</v>
      </c>
      <c r="O3275" s="12">
        <v>3977.93</v>
      </c>
    </row>
    <row r="3276" spans="1:15">
      <c r="A3276" t="s">
        <v>3450</v>
      </c>
      <c r="B3276" t="s">
        <v>379</v>
      </c>
      <c r="C3276" s="9">
        <v>23377</v>
      </c>
      <c r="D3276">
        <v>62</v>
      </c>
      <c r="E3276" t="s">
        <v>21</v>
      </c>
      <c r="F3276" t="s">
        <v>5184</v>
      </c>
      <c r="G3276" s="9">
        <v>45557</v>
      </c>
      <c r="H3276" s="9">
        <v>45303</v>
      </c>
      <c r="I3276">
        <v>17</v>
      </c>
      <c r="J3276" t="s">
        <v>32</v>
      </c>
      <c r="K3276">
        <v>1</v>
      </c>
      <c r="L3276">
        <v>1</v>
      </c>
      <c r="M3276" s="11">
        <v>9096.7000000000007</v>
      </c>
      <c r="N3276" s="12">
        <v>13009.36</v>
      </c>
      <c r="O3276" s="12">
        <v>280.98</v>
      </c>
    </row>
    <row r="3277" spans="1:15">
      <c r="A3277" t="s">
        <v>3451</v>
      </c>
      <c r="B3277" t="s">
        <v>115</v>
      </c>
      <c r="C3277" s="9">
        <v>19724</v>
      </c>
      <c r="D3277">
        <v>72</v>
      </c>
      <c r="E3277" t="s">
        <v>21</v>
      </c>
      <c r="F3277" t="s">
        <v>18</v>
      </c>
      <c r="G3277" s="9">
        <v>45558</v>
      </c>
      <c r="H3277" s="9">
        <v>45452</v>
      </c>
      <c r="I3277">
        <v>27</v>
      </c>
      <c r="J3277" t="s">
        <v>26</v>
      </c>
      <c r="K3277">
        <v>6</v>
      </c>
      <c r="L3277">
        <v>9</v>
      </c>
      <c r="M3277" s="11">
        <v>17438.55</v>
      </c>
      <c r="N3277" s="12">
        <v>10653.93</v>
      </c>
      <c r="O3277" s="12">
        <v>5910.03</v>
      </c>
    </row>
    <row r="3278" spans="1:15">
      <c r="A3278" t="s">
        <v>3452</v>
      </c>
      <c r="B3278" t="s">
        <v>350</v>
      </c>
      <c r="C3278" s="9">
        <v>39448</v>
      </c>
      <c r="D3278">
        <v>18</v>
      </c>
      <c r="E3278" t="s">
        <v>21</v>
      </c>
      <c r="F3278" t="s">
        <v>49</v>
      </c>
      <c r="G3278" s="9">
        <v>45312</v>
      </c>
      <c r="H3278" s="9">
        <v>44963</v>
      </c>
      <c r="I3278">
        <v>39</v>
      </c>
      <c r="J3278" t="s">
        <v>32</v>
      </c>
      <c r="K3278">
        <v>5</v>
      </c>
      <c r="L3278">
        <v>9</v>
      </c>
      <c r="M3278" s="11">
        <v>17804.61</v>
      </c>
      <c r="N3278" s="12">
        <v>8284.99</v>
      </c>
      <c r="O3278" s="12">
        <v>4448.72</v>
      </c>
    </row>
    <row r="3279" spans="1:15">
      <c r="A3279" t="s">
        <v>3453</v>
      </c>
      <c r="B3279" t="s">
        <v>108</v>
      </c>
      <c r="C3279" s="9">
        <v>29221</v>
      </c>
      <c r="D3279">
        <v>46</v>
      </c>
      <c r="E3279" t="s">
        <v>21</v>
      </c>
      <c r="F3279" t="s">
        <v>29</v>
      </c>
      <c r="G3279" s="9">
        <v>45049</v>
      </c>
      <c r="H3279" s="9">
        <v>44997</v>
      </c>
      <c r="I3279">
        <v>35</v>
      </c>
      <c r="J3279" t="s">
        <v>32</v>
      </c>
      <c r="K3279">
        <v>12</v>
      </c>
      <c r="L3279">
        <v>9</v>
      </c>
      <c r="M3279" s="11">
        <v>20285.78</v>
      </c>
      <c r="N3279" s="12">
        <v>314.12</v>
      </c>
      <c r="O3279" s="12">
        <v>8337.17</v>
      </c>
    </row>
    <row r="3280" spans="1:15">
      <c r="A3280" t="s">
        <v>3454</v>
      </c>
      <c r="B3280" t="s">
        <v>172</v>
      </c>
      <c r="C3280" s="9">
        <v>41274</v>
      </c>
      <c r="D3280">
        <v>13</v>
      </c>
      <c r="E3280" t="s">
        <v>21</v>
      </c>
      <c r="F3280" t="s">
        <v>18</v>
      </c>
      <c r="G3280" s="9">
        <v>45211</v>
      </c>
      <c r="H3280" s="9">
        <v>45216</v>
      </c>
      <c r="I3280">
        <v>1</v>
      </c>
      <c r="J3280" t="s">
        <v>32</v>
      </c>
      <c r="K3280">
        <v>3</v>
      </c>
      <c r="L3280">
        <v>8</v>
      </c>
      <c r="M3280" s="11">
        <v>17081.490000000002</v>
      </c>
      <c r="N3280" s="12">
        <v>12317.95</v>
      </c>
      <c r="O3280" s="12">
        <v>15156.21</v>
      </c>
    </row>
    <row r="3281" spans="1:15">
      <c r="A3281" t="s">
        <v>3455</v>
      </c>
      <c r="B3281" t="s">
        <v>343</v>
      </c>
      <c r="C3281" s="9">
        <v>32508</v>
      </c>
      <c r="D3281">
        <v>37</v>
      </c>
      <c r="E3281" t="s">
        <v>17</v>
      </c>
      <c r="F3281" t="s">
        <v>5184</v>
      </c>
      <c r="G3281" s="9">
        <v>45292</v>
      </c>
      <c r="H3281" s="9">
        <v>45032</v>
      </c>
      <c r="I3281">
        <v>0</v>
      </c>
      <c r="J3281" t="s">
        <v>32</v>
      </c>
      <c r="K3281">
        <v>14</v>
      </c>
      <c r="L3281">
        <v>1</v>
      </c>
      <c r="M3281" s="11">
        <v>11118</v>
      </c>
      <c r="N3281" s="12">
        <v>8286.9500000000007</v>
      </c>
      <c r="O3281" s="12">
        <v>10146.49</v>
      </c>
    </row>
    <row r="3282" spans="1:15">
      <c r="A3282" t="s">
        <v>3456</v>
      </c>
      <c r="B3282" t="s">
        <v>326</v>
      </c>
      <c r="C3282" s="9">
        <v>27029</v>
      </c>
      <c r="D3282">
        <v>52</v>
      </c>
      <c r="E3282" t="s">
        <v>21</v>
      </c>
      <c r="F3282" t="s">
        <v>5184</v>
      </c>
      <c r="G3282" s="9">
        <v>45617</v>
      </c>
      <c r="H3282" s="9">
        <v>45643</v>
      </c>
      <c r="I3282">
        <v>39</v>
      </c>
      <c r="J3282" t="s">
        <v>26</v>
      </c>
      <c r="K3282">
        <v>3</v>
      </c>
      <c r="L3282">
        <v>1</v>
      </c>
      <c r="M3282" s="11">
        <v>221.83</v>
      </c>
      <c r="N3282" s="12">
        <v>9410.11</v>
      </c>
      <c r="O3282" s="12">
        <v>15338.11</v>
      </c>
    </row>
    <row r="3283" spans="1:15">
      <c r="A3283" t="s">
        <v>3457</v>
      </c>
      <c r="B3283" t="s">
        <v>343</v>
      </c>
      <c r="C3283" s="9">
        <f t="shared" ref="C3283:C3284" si="18">DATE(2026-D3243,1,1)</f>
        <v>13150</v>
      </c>
      <c r="D3283">
        <v>60</v>
      </c>
      <c r="E3283" t="s">
        <v>17</v>
      </c>
      <c r="F3283" t="s">
        <v>74</v>
      </c>
      <c r="G3283" s="9">
        <v>45416</v>
      </c>
      <c r="H3283" s="9">
        <v>45240</v>
      </c>
      <c r="I3283">
        <v>36</v>
      </c>
      <c r="J3283" t="s">
        <v>32</v>
      </c>
      <c r="K3283">
        <v>7</v>
      </c>
      <c r="L3283">
        <v>7</v>
      </c>
      <c r="M3283" s="11">
        <v>27105.200000000001</v>
      </c>
      <c r="N3283" s="12">
        <v>984.7</v>
      </c>
      <c r="O3283" s="12">
        <v>6667.25</v>
      </c>
    </row>
    <row r="3284" spans="1:15">
      <c r="A3284" t="s">
        <v>3458</v>
      </c>
      <c r="B3284" t="s">
        <v>37</v>
      </c>
      <c r="C3284" s="9">
        <f t="shared" ca="1" si="18"/>
        <v>25569</v>
      </c>
      <c r="D3284">
        <f ca="1">DATEDIF(C3235,TODAY(),"Y")</f>
        <v>75</v>
      </c>
      <c r="E3284" t="s">
        <v>17</v>
      </c>
      <c r="F3284" t="s">
        <v>29</v>
      </c>
      <c r="G3284" s="9">
        <v>45251</v>
      </c>
      <c r="H3284" s="9">
        <v>44982</v>
      </c>
      <c r="I3284">
        <v>22</v>
      </c>
      <c r="J3284" t="s">
        <v>26</v>
      </c>
      <c r="K3284">
        <v>4</v>
      </c>
      <c r="L3284">
        <v>4</v>
      </c>
      <c r="M3284" s="11">
        <v>9471.11</v>
      </c>
      <c r="N3284" s="12">
        <v>12222.75</v>
      </c>
      <c r="O3284" s="12">
        <v>165.01</v>
      </c>
    </row>
    <row r="3285" spans="1:15">
      <c r="A3285" t="s">
        <v>3459</v>
      </c>
      <c r="B3285" t="s">
        <v>112</v>
      </c>
      <c r="C3285" s="9">
        <v>31778</v>
      </c>
      <c r="D3285">
        <v>39</v>
      </c>
      <c r="E3285" t="s">
        <v>21</v>
      </c>
      <c r="F3285" t="s">
        <v>18</v>
      </c>
      <c r="G3285" s="9">
        <v>45333</v>
      </c>
      <c r="H3285" s="9">
        <v>45034</v>
      </c>
      <c r="I3285">
        <v>1</v>
      </c>
      <c r="J3285" t="s">
        <v>26</v>
      </c>
      <c r="K3285">
        <v>13</v>
      </c>
      <c r="L3285">
        <v>4</v>
      </c>
      <c r="M3285" s="11">
        <v>14968.09</v>
      </c>
      <c r="N3285" s="12">
        <v>12480.42</v>
      </c>
      <c r="O3285" s="12">
        <v>18435.68</v>
      </c>
    </row>
    <row r="3286" spans="1:15">
      <c r="A3286" t="s">
        <v>3460</v>
      </c>
      <c r="B3286" t="s">
        <v>286</v>
      </c>
      <c r="C3286" s="9">
        <v>16802</v>
      </c>
      <c r="D3286">
        <v>80</v>
      </c>
      <c r="E3286" t="s">
        <v>17</v>
      </c>
      <c r="F3286" t="s">
        <v>25</v>
      </c>
      <c r="G3286" s="9">
        <v>45445</v>
      </c>
      <c r="H3286" s="9">
        <v>45580</v>
      </c>
      <c r="I3286">
        <v>36</v>
      </c>
      <c r="J3286" t="s">
        <v>32</v>
      </c>
      <c r="K3286">
        <v>4</v>
      </c>
      <c r="L3286">
        <v>5</v>
      </c>
      <c r="M3286" s="11">
        <v>16486.599999999999</v>
      </c>
      <c r="N3286" s="12">
        <v>13250.13</v>
      </c>
      <c r="O3286" s="12">
        <v>6225.76</v>
      </c>
    </row>
    <row r="3287" spans="1:15">
      <c r="A3287" t="s">
        <v>3461</v>
      </c>
      <c r="B3287" t="s">
        <v>115</v>
      </c>
      <c r="C3287" s="9">
        <v>35430</v>
      </c>
      <c r="D3287">
        <v>29</v>
      </c>
      <c r="E3287" t="s">
        <v>21</v>
      </c>
      <c r="F3287" t="s">
        <v>5184</v>
      </c>
      <c r="G3287" s="9">
        <v>45565</v>
      </c>
      <c r="H3287" s="9">
        <v>45664</v>
      </c>
      <c r="I3287">
        <v>12</v>
      </c>
      <c r="J3287" t="s">
        <v>32</v>
      </c>
      <c r="K3287">
        <v>0</v>
      </c>
      <c r="L3287">
        <v>7</v>
      </c>
      <c r="M3287" s="11">
        <v>9103.01</v>
      </c>
      <c r="N3287" s="12">
        <v>7921.34</v>
      </c>
      <c r="O3287" s="12">
        <v>10490.24</v>
      </c>
    </row>
    <row r="3288" spans="1:15">
      <c r="A3288" t="s">
        <v>3462</v>
      </c>
      <c r="B3288" t="s">
        <v>119</v>
      </c>
      <c r="C3288" s="9">
        <v>43100</v>
      </c>
      <c r="D3288">
        <v>8</v>
      </c>
      <c r="E3288" t="s">
        <v>21</v>
      </c>
      <c r="F3288" t="s">
        <v>22</v>
      </c>
      <c r="G3288" s="9">
        <v>45003</v>
      </c>
      <c r="H3288" s="9">
        <v>45234</v>
      </c>
      <c r="I3288">
        <v>0</v>
      </c>
      <c r="J3288" t="s">
        <v>32</v>
      </c>
      <c r="K3288">
        <v>9</v>
      </c>
      <c r="L3288">
        <v>7</v>
      </c>
      <c r="M3288" s="11">
        <v>8908.67</v>
      </c>
      <c r="N3288" s="12">
        <v>5910.67</v>
      </c>
      <c r="O3288" s="12">
        <v>9331.2199999999993</v>
      </c>
    </row>
    <row r="3289" spans="1:15">
      <c r="A3289" t="s">
        <v>3463</v>
      </c>
      <c r="B3289" t="s">
        <v>168</v>
      </c>
      <c r="C3289" s="9">
        <v>23012</v>
      </c>
      <c r="D3289">
        <v>63</v>
      </c>
      <c r="E3289" t="s">
        <v>17</v>
      </c>
      <c r="F3289" t="s">
        <v>22</v>
      </c>
      <c r="G3289" s="9">
        <v>45160</v>
      </c>
      <c r="H3289" s="9">
        <v>45787</v>
      </c>
      <c r="I3289">
        <v>2</v>
      </c>
      <c r="J3289" t="s">
        <v>26</v>
      </c>
      <c r="K3289">
        <v>14</v>
      </c>
      <c r="L3289">
        <v>8</v>
      </c>
      <c r="M3289" s="11">
        <v>7456.28</v>
      </c>
      <c r="N3289" s="12">
        <v>1095.69</v>
      </c>
      <c r="O3289" s="12">
        <v>11620.01</v>
      </c>
    </row>
    <row r="3290" spans="1:15">
      <c r="A3290" t="s">
        <v>3464</v>
      </c>
      <c r="B3290" t="s">
        <v>328</v>
      </c>
      <c r="C3290" s="9">
        <v>34334</v>
      </c>
      <c r="D3290">
        <v>32</v>
      </c>
      <c r="E3290" t="s">
        <v>21</v>
      </c>
      <c r="F3290" t="s">
        <v>5184</v>
      </c>
      <c r="G3290" s="9">
        <v>45512</v>
      </c>
      <c r="H3290" s="9">
        <v>45748</v>
      </c>
      <c r="I3290">
        <v>37</v>
      </c>
      <c r="J3290" t="s">
        <v>32</v>
      </c>
      <c r="K3290">
        <v>3</v>
      </c>
      <c r="L3290">
        <v>9</v>
      </c>
      <c r="M3290" s="11">
        <v>6922.28</v>
      </c>
      <c r="N3290" s="12">
        <v>2908.28</v>
      </c>
      <c r="O3290" s="12">
        <v>17687.78</v>
      </c>
    </row>
    <row r="3291" spans="1:15">
      <c r="A3291" t="s">
        <v>3465</v>
      </c>
      <c r="B3291" t="s">
        <v>127</v>
      </c>
      <c r="C3291" s="9">
        <v>27395</v>
      </c>
      <c r="D3291">
        <v>51</v>
      </c>
      <c r="E3291" t="s">
        <v>17</v>
      </c>
      <c r="F3291" t="s">
        <v>25</v>
      </c>
      <c r="G3291" s="9">
        <v>45410</v>
      </c>
      <c r="H3291" s="9">
        <v>44963</v>
      </c>
      <c r="I3291">
        <v>33</v>
      </c>
      <c r="J3291" t="s">
        <v>26</v>
      </c>
      <c r="K3291">
        <v>10</v>
      </c>
      <c r="L3291">
        <v>2</v>
      </c>
      <c r="M3291" s="11">
        <v>0</v>
      </c>
      <c r="N3291" s="12">
        <v>3383.53</v>
      </c>
      <c r="O3291" s="12">
        <v>17331.61</v>
      </c>
    </row>
    <row r="3292" spans="1:15">
      <c r="A3292" t="s">
        <v>3466</v>
      </c>
      <c r="B3292" t="s">
        <v>223</v>
      </c>
      <c r="C3292" s="9">
        <v>13880</v>
      </c>
      <c r="D3292">
        <v>88</v>
      </c>
      <c r="E3292" t="s">
        <v>17</v>
      </c>
      <c r="F3292" t="s">
        <v>49</v>
      </c>
      <c r="G3292" s="9">
        <v>45390</v>
      </c>
      <c r="H3292" s="9">
        <v>45060</v>
      </c>
      <c r="I3292">
        <v>37</v>
      </c>
      <c r="J3292" t="s">
        <v>26</v>
      </c>
      <c r="K3292">
        <v>2</v>
      </c>
      <c r="L3292">
        <v>8</v>
      </c>
      <c r="M3292" s="11">
        <v>28716.400000000001</v>
      </c>
      <c r="N3292" s="12">
        <v>940.35</v>
      </c>
      <c r="O3292" s="12">
        <v>19618.71</v>
      </c>
    </row>
    <row r="3293" spans="1:15">
      <c r="A3293" t="s">
        <v>3467</v>
      </c>
      <c r="B3293" t="s">
        <v>209</v>
      </c>
      <c r="C3293" s="9">
        <v>41274</v>
      </c>
      <c r="D3293">
        <v>13</v>
      </c>
      <c r="E3293" t="s">
        <v>5185</v>
      </c>
      <c r="F3293" t="s">
        <v>22</v>
      </c>
      <c r="G3293" s="9">
        <v>45197</v>
      </c>
      <c r="H3293" s="9">
        <v>45814</v>
      </c>
      <c r="I3293">
        <v>35</v>
      </c>
      <c r="J3293" t="s">
        <v>26</v>
      </c>
      <c r="K3293">
        <v>8</v>
      </c>
      <c r="L3293">
        <v>2</v>
      </c>
      <c r="M3293" s="11">
        <v>17656.53</v>
      </c>
      <c r="N3293" s="12">
        <v>2315.63</v>
      </c>
      <c r="O3293" s="12">
        <v>10520.22</v>
      </c>
    </row>
    <row r="3294" spans="1:15">
      <c r="A3294" t="s">
        <v>3468</v>
      </c>
      <c r="B3294" t="s">
        <v>397</v>
      </c>
      <c r="C3294" s="9">
        <v>18994</v>
      </c>
      <c r="D3294">
        <v>74</v>
      </c>
      <c r="E3294" t="s">
        <v>17</v>
      </c>
      <c r="F3294" t="s">
        <v>18</v>
      </c>
      <c r="G3294" s="9">
        <v>45393</v>
      </c>
      <c r="H3294" s="9">
        <v>44952</v>
      </c>
      <c r="I3294">
        <v>34</v>
      </c>
      <c r="J3294" t="s">
        <v>26</v>
      </c>
      <c r="K3294">
        <v>13</v>
      </c>
      <c r="L3294">
        <v>0</v>
      </c>
      <c r="M3294" s="11">
        <v>2796.04</v>
      </c>
      <c r="N3294" s="12">
        <v>13302.05</v>
      </c>
      <c r="O3294" s="12">
        <v>18441.53</v>
      </c>
    </row>
    <row r="3295" spans="1:15">
      <c r="A3295" t="s">
        <v>3469</v>
      </c>
      <c r="B3295" t="s">
        <v>246</v>
      </c>
      <c r="C3295" s="9">
        <v>27029</v>
      </c>
      <c r="D3295">
        <v>52</v>
      </c>
      <c r="E3295" t="s">
        <v>17</v>
      </c>
      <c r="F3295" t="s">
        <v>5184</v>
      </c>
      <c r="G3295" s="9">
        <v>45395</v>
      </c>
      <c r="H3295" s="9">
        <v>45776</v>
      </c>
      <c r="I3295">
        <v>24</v>
      </c>
      <c r="J3295" t="s">
        <v>32</v>
      </c>
      <c r="K3295">
        <v>1</v>
      </c>
      <c r="L3295">
        <v>4</v>
      </c>
      <c r="M3295" s="11">
        <v>17554.73</v>
      </c>
      <c r="N3295" s="12">
        <v>8181.04</v>
      </c>
      <c r="O3295" s="12">
        <v>9597.25</v>
      </c>
    </row>
    <row r="3296" spans="1:15">
      <c r="A3296" t="s">
        <v>3470</v>
      </c>
      <c r="B3296" t="s">
        <v>153</v>
      </c>
      <c r="C3296" s="9">
        <v>24838</v>
      </c>
      <c r="D3296">
        <v>58</v>
      </c>
      <c r="E3296" t="s">
        <v>21</v>
      </c>
      <c r="F3296" t="s">
        <v>5184</v>
      </c>
      <c r="G3296" s="9">
        <v>45558</v>
      </c>
      <c r="H3296" s="9">
        <v>44964</v>
      </c>
      <c r="I3296">
        <v>2</v>
      </c>
      <c r="J3296" t="s">
        <v>35</v>
      </c>
      <c r="K3296">
        <v>7</v>
      </c>
      <c r="L3296">
        <v>6</v>
      </c>
      <c r="M3296" s="11">
        <v>6583.55</v>
      </c>
      <c r="N3296" s="12">
        <v>11467.37</v>
      </c>
      <c r="O3296" s="12">
        <v>792.52</v>
      </c>
    </row>
    <row r="3297" spans="1:15">
      <c r="A3297" t="s">
        <v>3471</v>
      </c>
      <c r="B3297" t="s">
        <v>286</v>
      </c>
      <c r="C3297" s="9">
        <v>17898</v>
      </c>
      <c r="D3297">
        <v>77</v>
      </c>
      <c r="E3297" t="s">
        <v>21</v>
      </c>
      <c r="F3297" t="s">
        <v>5184</v>
      </c>
      <c r="G3297" s="9">
        <v>45473</v>
      </c>
      <c r="H3297" s="9">
        <v>44946</v>
      </c>
      <c r="I3297">
        <v>14</v>
      </c>
      <c r="J3297" t="s">
        <v>32</v>
      </c>
      <c r="K3297">
        <v>9</v>
      </c>
      <c r="L3297">
        <v>2</v>
      </c>
      <c r="M3297" s="11">
        <v>0</v>
      </c>
      <c r="N3297" s="12">
        <v>4125.3599999999997</v>
      </c>
      <c r="O3297" s="12">
        <v>2838.52</v>
      </c>
    </row>
    <row r="3298" spans="1:15">
      <c r="A3298" t="s">
        <v>3472</v>
      </c>
      <c r="B3298" t="s">
        <v>34</v>
      </c>
      <c r="C3298" s="9">
        <v>12054</v>
      </c>
      <c r="D3298">
        <v>93</v>
      </c>
      <c r="E3298" t="s">
        <v>17</v>
      </c>
      <c r="F3298" t="s">
        <v>25</v>
      </c>
      <c r="G3298" s="9">
        <v>45645</v>
      </c>
      <c r="H3298" s="9">
        <v>44962</v>
      </c>
      <c r="I3298">
        <v>35</v>
      </c>
      <c r="J3298" t="s">
        <v>32</v>
      </c>
      <c r="K3298">
        <v>10</v>
      </c>
      <c r="L3298">
        <v>8</v>
      </c>
      <c r="M3298" s="11">
        <v>23935.63</v>
      </c>
      <c r="N3298" s="12">
        <v>2018.97</v>
      </c>
      <c r="O3298" s="12">
        <v>6613.12</v>
      </c>
    </row>
    <row r="3299" spans="1:15">
      <c r="A3299" t="s">
        <v>3473</v>
      </c>
      <c r="B3299" t="s">
        <v>300</v>
      </c>
      <c r="C3299" s="9">
        <v>31412</v>
      </c>
      <c r="D3299">
        <v>40</v>
      </c>
      <c r="E3299" t="s">
        <v>21</v>
      </c>
      <c r="F3299" t="s">
        <v>49</v>
      </c>
      <c r="G3299" s="9">
        <v>45196</v>
      </c>
      <c r="H3299" s="9">
        <v>45290</v>
      </c>
      <c r="I3299">
        <v>38</v>
      </c>
      <c r="J3299" t="s">
        <v>35</v>
      </c>
      <c r="K3299">
        <v>5</v>
      </c>
      <c r="L3299">
        <v>0</v>
      </c>
      <c r="M3299" s="11">
        <v>0</v>
      </c>
      <c r="N3299" s="12">
        <v>5598.81</v>
      </c>
      <c r="O3299" s="12">
        <v>14481.7</v>
      </c>
    </row>
    <row r="3300" spans="1:15">
      <c r="A3300" t="s">
        <v>3474</v>
      </c>
      <c r="B3300" t="s">
        <v>244</v>
      </c>
      <c r="C3300" s="9">
        <v>21551</v>
      </c>
      <c r="D3300">
        <v>67</v>
      </c>
      <c r="E3300" t="s">
        <v>21</v>
      </c>
      <c r="F3300" t="s">
        <v>29</v>
      </c>
      <c r="G3300" s="9">
        <v>45531</v>
      </c>
      <c r="H3300" s="9">
        <v>45345</v>
      </c>
      <c r="I3300">
        <v>9</v>
      </c>
      <c r="J3300" t="s">
        <v>26</v>
      </c>
      <c r="K3300">
        <v>13</v>
      </c>
      <c r="L3300">
        <v>5</v>
      </c>
      <c r="M3300" s="11">
        <v>20844.63</v>
      </c>
      <c r="N3300" s="12">
        <v>11894.78</v>
      </c>
      <c r="O3300" s="12">
        <v>1535.57</v>
      </c>
    </row>
    <row r="3301" spans="1:15">
      <c r="A3301" t="s">
        <v>3475</v>
      </c>
      <c r="B3301" t="s">
        <v>41</v>
      </c>
      <c r="C3301" s="9">
        <v>21551</v>
      </c>
      <c r="D3301">
        <v>67</v>
      </c>
      <c r="E3301" t="s">
        <v>21</v>
      </c>
      <c r="F3301" t="s">
        <v>5184</v>
      </c>
      <c r="G3301" s="9">
        <v>45304</v>
      </c>
      <c r="H3301" s="9">
        <v>45749</v>
      </c>
      <c r="I3301">
        <v>39</v>
      </c>
      <c r="J3301" t="s">
        <v>32</v>
      </c>
      <c r="K3301">
        <v>2</v>
      </c>
      <c r="L3301">
        <v>5</v>
      </c>
      <c r="M3301" s="11">
        <v>27943.74</v>
      </c>
      <c r="N3301" s="12">
        <v>4459.97</v>
      </c>
      <c r="O3301" s="12">
        <v>7167.19</v>
      </c>
    </row>
    <row r="3302" spans="1:15">
      <c r="A3302" t="s">
        <v>3476</v>
      </c>
      <c r="B3302" t="s">
        <v>397</v>
      </c>
      <c r="C3302" s="9">
        <v>12785</v>
      </c>
      <c r="D3302">
        <v>91</v>
      </c>
      <c r="E3302" t="s">
        <v>17</v>
      </c>
      <c r="F3302" t="s">
        <v>29</v>
      </c>
      <c r="G3302" s="9">
        <v>45103</v>
      </c>
      <c r="H3302" s="9">
        <v>45357</v>
      </c>
      <c r="I3302">
        <v>28</v>
      </c>
      <c r="J3302" t="s">
        <v>35</v>
      </c>
      <c r="K3302">
        <v>7</v>
      </c>
      <c r="L3302">
        <v>7</v>
      </c>
      <c r="M3302" s="11">
        <v>27103.33</v>
      </c>
      <c r="N3302" s="12">
        <v>3068.02</v>
      </c>
      <c r="O3302" s="12">
        <v>19645.46</v>
      </c>
    </row>
    <row r="3303" spans="1:15">
      <c r="A3303" t="s">
        <v>3477</v>
      </c>
      <c r="B3303" t="s">
        <v>89</v>
      </c>
      <c r="C3303" s="9">
        <v>43466</v>
      </c>
      <c r="D3303">
        <v>7</v>
      </c>
      <c r="E3303" t="s">
        <v>21</v>
      </c>
      <c r="F3303" t="s">
        <v>18</v>
      </c>
      <c r="G3303" s="9">
        <v>45200</v>
      </c>
      <c r="H3303" s="9">
        <v>45445</v>
      </c>
      <c r="I3303">
        <v>30</v>
      </c>
      <c r="J3303" t="s">
        <v>26</v>
      </c>
      <c r="K3303">
        <v>7</v>
      </c>
      <c r="L3303">
        <v>2</v>
      </c>
      <c r="M3303" s="11">
        <v>16310.69</v>
      </c>
      <c r="N3303" s="12">
        <v>335.96</v>
      </c>
      <c r="O3303" s="12">
        <v>15692.18</v>
      </c>
    </row>
    <row r="3304" spans="1:15">
      <c r="A3304" t="s">
        <v>3478</v>
      </c>
      <c r="B3304" t="s">
        <v>209</v>
      </c>
      <c r="C3304" s="9">
        <v>45657</v>
      </c>
      <c r="D3304">
        <v>1</v>
      </c>
      <c r="E3304" t="s">
        <v>17</v>
      </c>
      <c r="F3304" t="s">
        <v>18</v>
      </c>
      <c r="G3304" s="9">
        <v>45617</v>
      </c>
      <c r="H3304" s="9">
        <v>45394</v>
      </c>
      <c r="I3304">
        <v>26</v>
      </c>
      <c r="J3304" t="s">
        <v>32</v>
      </c>
      <c r="K3304">
        <v>10</v>
      </c>
      <c r="L3304">
        <v>4</v>
      </c>
      <c r="M3304" s="11">
        <v>27189.32</v>
      </c>
      <c r="N3304" s="12">
        <v>9360.17</v>
      </c>
      <c r="O3304" s="12">
        <v>11397.11</v>
      </c>
    </row>
    <row r="3305" spans="1:15">
      <c r="A3305" t="s">
        <v>3479</v>
      </c>
      <c r="B3305" t="s">
        <v>20</v>
      </c>
      <c r="C3305" s="9">
        <v>14976</v>
      </c>
      <c r="D3305">
        <v>85</v>
      </c>
      <c r="E3305" t="s">
        <v>21</v>
      </c>
      <c r="F3305" t="s">
        <v>18</v>
      </c>
      <c r="G3305" s="9">
        <v>45567</v>
      </c>
      <c r="H3305" s="9">
        <v>45824</v>
      </c>
      <c r="I3305">
        <v>35</v>
      </c>
      <c r="J3305" t="s">
        <v>35</v>
      </c>
      <c r="K3305">
        <v>13</v>
      </c>
      <c r="L3305">
        <v>9</v>
      </c>
      <c r="M3305" s="11">
        <v>0</v>
      </c>
      <c r="N3305" s="12">
        <v>6537.33</v>
      </c>
      <c r="O3305" s="12">
        <v>1141.58</v>
      </c>
    </row>
    <row r="3306" spans="1:15">
      <c r="A3306" t="s">
        <v>3480</v>
      </c>
      <c r="B3306" t="s">
        <v>189</v>
      </c>
      <c r="C3306" s="9">
        <v>31412</v>
      </c>
      <c r="D3306">
        <v>40</v>
      </c>
      <c r="E3306" t="s">
        <v>21</v>
      </c>
      <c r="F3306" t="s">
        <v>22</v>
      </c>
      <c r="G3306" s="9">
        <v>45563</v>
      </c>
      <c r="H3306" s="9">
        <v>45126</v>
      </c>
      <c r="I3306">
        <v>0</v>
      </c>
      <c r="J3306" t="s">
        <v>32</v>
      </c>
      <c r="K3306">
        <v>5</v>
      </c>
      <c r="L3306">
        <v>4</v>
      </c>
      <c r="M3306" s="11">
        <v>2680.36</v>
      </c>
      <c r="N3306" s="12">
        <v>3881.35</v>
      </c>
      <c r="O3306" s="12">
        <v>193.84</v>
      </c>
    </row>
    <row r="3307" spans="1:15">
      <c r="A3307" t="s">
        <v>3481</v>
      </c>
      <c r="B3307" t="s">
        <v>176</v>
      </c>
      <c r="C3307" s="9">
        <v>26299</v>
      </c>
      <c r="D3307">
        <v>54</v>
      </c>
      <c r="E3307" t="s">
        <v>21</v>
      </c>
      <c r="F3307" t="s">
        <v>18</v>
      </c>
      <c r="G3307" s="9">
        <v>44953</v>
      </c>
      <c r="H3307" s="9">
        <v>45473</v>
      </c>
      <c r="I3307">
        <v>35</v>
      </c>
      <c r="J3307" t="s">
        <v>35</v>
      </c>
      <c r="K3307">
        <v>3</v>
      </c>
      <c r="L3307">
        <v>7</v>
      </c>
      <c r="M3307" s="11">
        <v>24798.39</v>
      </c>
      <c r="N3307" s="12">
        <v>7796.31</v>
      </c>
      <c r="O3307" s="12">
        <v>2015.49</v>
      </c>
    </row>
    <row r="3308" spans="1:15">
      <c r="A3308" t="s">
        <v>3482</v>
      </c>
      <c r="B3308" t="s">
        <v>73</v>
      </c>
      <c r="C3308" s="9">
        <v>40544</v>
      </c>
      <c r="D3308">
        <v>15</v>
      </c>
      <c r="E3308" t="s">
        <v>21</v>
      </c>
      <c r="F3308" t="s">
        <v>5184</v>
      </c>
      <c r="G3308" s="9">
        <v>45502</v>
      </c>
      <c r="H3308" s="9">
        <v>45495</v>
      </c>
      <c r="I3308">
        <v>38</v>
      </c>
      <c r="J3308" t="s">
        <v>32</v>
      </c>
      <c r="K3308">
        <v>11</v>
      </c>
      <c r="L3308">
        <v>6</v>
      </c>
      <c r="M3308" s="11">
        <v>3501.68</v>
      </c>
      <c r="N3308" s="12">
        <v>10509.36</v>
      </c>
      <c r="O3308" s="12">
        <v>6475.31</v>
      </c>
    </row>
    <row r="3309" spans="1:15">
      <c r="A3309" t="s">
        <v>3483</v>
      </c>
      <c r="B3309" t="s">
        <v>336</v>
      </c>
      <c r="C3309" s="9">
        <v>12419</v>
      </c>
      <c r="D3309">
        <v>92</v>
      </c>
      <c r="E3309" t="s">
        <v>17</v>
      </c>
      <c r="F3309" t="s">
        <v>25</v>
      </c>
      <c r="G3309" s="9">
        <v>44986</v>
      </c>
      <c r="H3309" s="9">
        <v>45695</v>
      </c>
      <c r="I3309">
        <v>37</v>
      </c>
      <c r="J3309" t="s">
        <v>32</v>
      </c>
      <c r="K3309">
        <v>7</v>
      </c>
      <c r="L3309">
        <v>2</v>
      </c>
      <c r="M3309" s="11">
        <v>9136.7800000000007</v>
      </c>
      <c r="N3309" s="12">
        <v>3712</v>
      </c>
      <c r="O3309" s="12">
        <v>12088.51</v>
      </c>
    </row>
    <row r="3310" spans="1:15">
      <c r="A3310" t="s">
        <v>3484</v>
      </c>
      <c r="B3310" t="s">
        <v>514</v>
      </c>
      <c r="C3310" s="9">
        <f ca="1">DATE(2026-D3270,1,1)</f>
        <v>23377</v>
      </c>
      <c r="D3310">
        <v>61</v>
      </c>
      <c r="E3310" t="s">
        <v>21</v>
      </c>
      <c r="F3310" t="s">
        <v>25</v>
      </c>
      <c r="G3310" s="9">
        <v>45143</v>
      </c>
      <c r="H3310" s="9">
        <v>45138</v>
      </c>
      <c r="I3310">
        <v>27</v>
      </c>
      <c r="J3310" t="s">
        <v>32</v>
      </c>
      <c r="K3310">
        <v>12</v>
      </c>
      <c r="L3310">
        <v>6</v>
      </c>
      <c r="M3310" s="11">
        <v>11083.68</v>
      </c>
      <c r="N3310" s="12">
        <v>9131.56</v>
      </c>
      <c r="O3310" s="12">
        <v>3869.35</v>
      </c>
    </row>
    <row r="3311" spans="1:15">
      <c r="A3311" t="s">
        <v>3485</v>
      </c>
      <c r="B3311" t="s">
        <v>275</v>
      </c>
      <c r="C3311" s="9">
        <v>28856</v>
      </c>
      <c r="D3311">
        <v>47</v>
      </c>
      <c r="E3311" t="s">
        <v>21</v>
      </c>
      <c r="F3311" t="s">
        <v>49</v>
      </c>
      <c r="G3311" s="9">
        <v>45607</v>
      </c>
      <c r="H3311" s="9">
        <v>45536</v>
      </c>
      <c r="I3311">
        <v>19</v>
      </c>
      <c r="J3311" t="s">
        <v>35</v>
      </c>
      <c r="K3311">
        <v>11</v>
      </c>
      <c r="L3311">
        <v>9</v>
      </c>
      <c r="M3311" s="11">
        <v>0</v>
      </c>
      <c r="N3311" s="12">
        <v>3902.29</v>
      </c>
      <c r="O3311" s="12">
        <v>928.14</v>
      </c>
    </row>
    <row r="3312" spans="1:15">
      <c r="A3312" t="s">
        <v>3486</v>
      </c>
      <c r="B3312" t="s">
        <v>261</v>
      </c>
      <c r="C3312" s="9">
        <v>35430</v>
      </c>
      <c r="D3312">
        <v>29</v>
      </c>
      <c r="E3312" t="s">
        <v>17</v>
      </c>
      <c r="F3312" t="s">
        <v>25</v>
      </c>
      <c r="G3312" s="9">
        <v>45587</v>
      </c>
      <c r="H3312" s="9">
        <v>45721</v>
      </c>
      <c r="I3312">
        <v>35</v>
      </c>
      <c r="J3312" t="s">
        <v>32</v>
      </c>
      <c r="K3312">
        <v>5</v>
      </c>
      <c r="L3312">
        <v>7</v>
      </c>
      <c r="M3312" s="11">
        <v>2047.87</v>
      </c>
      <c r="N3312" s="12">
        <v>14799.91</v>
      </c>
      <c r="O3312" s="12">
        <v>1726.05</v>
      </c>
    </row>
    <row r="3313" spans="1:15">
      <c r="A3313" t="s">
        <v>3487</v>
      </c>
      <c r="B3313" t="s">
        <v>69</v>
      </c>
      <c r="C3313" s="9">
        <v>42005</v>
      </c>
      <c r="D3313">
        <v>11</v>
      </c>
      <c r="E3313" t="s">
        <v>17</v>
      </c>
      <c r="F3313" t="s">
        <v>22</v>
      </c>
      <c r="G3313" s="9">
        <v>45196</v>
      </c>
      <c r="H3313" s="9">
        <v>45428</v>
      </c>
      <c r="I3313">
        <v>29</v>
      </c>
      <c r="J3313" t="s">
        <v>32</v>
      </c>
      <c r="K3313">
        <v>7</v>
      </c>
      <c r="L3313">
        <v>4</v>
      </c>
      <c r="M3313" s="11">
        <v>13070.71</v>
      </c>
      <c r="N3313" s="12">
        <v>10985.85</v>
      </c>
      <c r="O3313" s="12">
        <v>8478.58</v>
      </c>
    </row>
    <row r="3314" spans="1:15">
      <c r="A3314" t="s">
        <v>3488</v>
      </c>
      <c r="B3314" t="s">
        <v>268</v>
      </c>
      <c r="C3314" s="9">
        <v>33604</v>
      </c>
      <c r="D3314">
        <v>34</v>
      </c>
      <c r="E3314" t="s">
        <v>21</v>
      </c>
      <c r="F3314" t="s">
        <v>29</v>
      </c>
      <c r="G3314" s="9">
        <v>45042</v>
      </c>
      <c r="H3314" s="9">
        <v>45168</v>
      </c>
      <c r="I3314">
        <v>7</v>
      </c>
      <c r="J3314" t="s">
        <v>32</v>
      </c>
      <c r="K3314">
        <v>9</v>
      </c>
      <c r="L3314">
        <v>4</v>
      </c>
      <c r="M3314" s="11">
        <v>12819.83</v>
      </c>
      <c r="N3314" s="12">
        <v>9039.8700000000008</v>
      </c>
      <c r="O3314" s="12">
        <v>15439.85</v>
      </c>
    </row>
    <row r="3315" spans="1:15">
      <c r="A3315" t="s">
        <v>3489</v>
      </c>
      <c r="B3315" t="s">
        <v>139</v>
      </c>
      <c r="C3315" s="9">
        <v>42370</v>
      </c>
      <c r="D3315">
        <v>10</v>
      </c>
      <c r="E3315" t="s">
        <v>21</v>
      </c>
      <c r="F3315" t="s">
        <v>49</v>
      </c>
      <c r="G3315" s="9">
        <v>45171</v>
      </c>
      <c r="H3315" s="9">
        <v>45097</v>
      </c>
      <c r="I3315">
        <v>29</v>
      </c>
      <c r="J3315" t="s">
        <v>32</v>
      </c>
      <c r="K3315">
        <v>1</v>
      </c>
      <c r="L3315">
        <v>0</v>
      </c>
      <c r="M3315" s="11">
        <v>17255.89</v>
      </c>
      <c r="N3315" s="12">
        <v>2584.96</v>
      </c>
      <c r="O3315" s="12">
        <v>16403.86</v>
      </c>
    </row>
    <row r="3316" spans="1:15">
      <c r="A3316" t="s">
        <v>3490</v>
      </c>
      <c r="B3316" t="s">
        <v>387</v>
      </c>
      <c r="C3316" s="9">
        <v>23012</v>
      </c>
      <c r="D3316">
        <v>63</v>
      </c>
      <c r="E3316" t="s">
        <v>5185</v>
      </c>
      <c r="F3316" t="s">
        <v>25</v>
      </c>
      <c r="G3316" s="9">
        <v>45586</v>
      </c>
      <c r="H3316" s="9">
        <v>45786</v>
      </c>
      <c r="I3316">
        <v>1</v>
      </c>
      <c r="J3316" t="s">
        <v>32</v>
      </c>
      <c r="K3316">
        <v>9</v>
      </c>
      <c r="L3316">
        <v>7</v>
      </c>
      <c r="M3316" s="11">
        <v>10293</v>
      </c>
      <c r="N3316" s="12">
        <v>8795.91</v>
      </c>
      <c r="O3316" s="12">
        <v>5750.15</v>
      </c>
    </row>
    <row r="3317" spans="1:15">
      <c r="A3317" t="s">
        <v>3491</v>
      </c>
      <c r="B3317" t="s">
        <v>246</v>
      </c>
      <c r="C3317" s="9">
        <v>28125</v>
      </c>
      <c r="D3317">
        <v>49</v>
      </c>
      <c r="E3317" t="s">
        <v>17</v>
      </c>
      <c r="F3317" t="s">
        <v>18</v>
      </c>
      <c r="G3317" s="9">
        <v>45530</v>
      </c>
      <c r="H3317" s="9">
        <v>45221</v>
      </c>
      <c r="I3317">
        <v>26</v>
      </c>
      <c r="J3317" t="s">
        <v>26</v>
      </c>
      <c r="K3317">
        <v>7</v>
      </c>
      <c r="L3317">
        <v>5</v>
      </c>
      <c r="M3317" s="11">
        <v>17103.46</v>
      </c>
      <c r="N3317" s="12">
        <v>12006.84</v>
      </c>
      <c r="O3317" s="12">
        <v>13235.11</v>
      </c>
    </row>
    <row r="3318" spans="1:15">
      <c r="A3318" t="s">
        <v>3492</v>
      </c>
      <c r="B3318" t="s">
        <v>348</v>
      </c>
      <c r="C3318" s="9">
        <v>15341</v>
      </c>
      <c r="D3318">
        <v>84</v>
      </c>
      <c r="E3318" t="s">
        <v>21</v>
      </c>
      <c r="F3318" t="s">
        <v>25</v>
      </c>
      <c r="G3318" s="9">
        <v>45011</v>
      </c>
      <c r="H3318" s="9">
        <v>45666</v>
      </c>
      <c r="I3318">
        <v>5</v>
      </c>
      <c r="J3318" t="s">
        <v>35</v>
      </c>
      <c r="K3318">
        <v>1</v>
      </c>
      <c r="L3318">
        <v>5</v>
      </c>
      <c r="M3318" s="11">
        <v>29569.78</v>
      </c>
      <c r="N3318" s="12">
        <v>11056.61</v>
      </c>
      <c r="O3318" s="12">
        <v>7793.47</v>
      </c>
    </row>
    <row r="3319" spans="1:15">
      <c r="A3319" t="s">
        <v>3493</v>
      </c>
      <c r="B3319" t="s">
        <v>232</v>
      </c>
      <c r="C3319" s="9">
        <v>38717</v>
      </c>
      <c r="D3319">
        <v>20</v>
      </c>
      <c r="E3319" t="s">
        <v>21</v>
      </c>
      <c r="F3319" t="s">
        <v>74</v>
      </c>
      <c r="G3319" s="9">
        <v>45525</v>
      </c>
      <c r="H3319" s="9">
        <v>45242</v>
      </c>
      <c r="I3319">
        <v>17</v>
      </c>
      <c r="J3319" t="s">
        <v>32</v>
      </c>
      <c r="K3319">
        <v>14</v>
      </c>
      <c r="L3319">
        <v>4</v>
      </c>
      <c r="M3319" s="11">
        <v>1682.25</v>
      </c>
      <c r="N3319" s="12">
        <v>11670.38</v>
      </c>
      <c r="O3319" s="12">
        <v>19447.509999999998</v>
      </c>
    </row>
    <row r="3320" spans="1:15">
      <c r="A3320" t="s">
        <v>3494</v>
      </c>
      <c r="B3320" t="s">
        <v>215</v>
      </c>
      <c r="C3320" s="9">
        <v>21185</v>
      </c>
      <c r="D3320">
        <v>68</v>
      </c>
      <c r="E3320" t="s">
        <v>21</v>
      </c>
      <c r="F3320" t="s">
        <v>49</v>
      </c>
      <c r="G3320" s="9">
        <v>45558</v>
      </c>
      <c r="H3320" s="9">
        <v>45054</v>
      </c>
      <c r="I3320">
        <v>4</v>
      </c>
      <c r="J3320" t="s">
        <v>32</v>
      </c>
      <c r="K3320">
        <v>3</v>
      </c>
      <c r="L3320">
        <v>4</v>
      </c>
      <c r="M3320" s="11">
        <v>26176.17</v>
      </c>
      <c r="N3320" s="12">
        <v>4766.99</v>
      </c>
      <c r="O3320" s="12">
        <v>8039.71</v>
      </c>
    </row>
    <row r="3321" spans="1:15">
      <c r="A3321" t="s">
        <v>3495</v>
      </c>
      <c r="B3321" t="s">
        <v>24</v>
      </c>
      <c r="C3321" s="9">
        <v>28856</v>
      </c>
      <c r="D3321">
        <v>47</v>
      </c>
      <c r="E3321" t="s">
        <v>21</v>
      </c>
      <c r="F3321" t="s">
        <v>5184</v>
      </c>
      <c r="G3321" s="9">
        <v>45376</v>
      </c>
      <c r="H3321" s="9">
        <v>45395</v>
      </c>
      <c r="I3321">
        <v>2</v>
      </c>
      <c r="J3321" t="s">
        <v>35</v>
      </c>
      <c r="K3321">
        <v>11</v>
      </c>
      <c r="L3321">
        <v>2</v>
      </c>
      <c r="M3321" s="11">
        <v>8913.2000000000007</v>
      </c>
      <c r="N3321" s="12">
        <v>4923.95</v>
      </c>
      <c r="O3321" s="12">
        <v>7857.66</v>
      </c>
    </row>
    <row r="3322" spans="1:15">
      <c r="A3322" t="s">
        <v>3496</v>
      </c>
      <c r="B3322" t="s">
        <v>1148</v>
      </c>
      <c r="C3322" s="9">
        <v>39083</v>
      </c>
      <c r="D3322">
        <v>19</v>
      </c>
      <c r="E3322" t="s">
        <v>17</v>
      </c>
      <c r="F3322" t="s">
        <v>5184</v>
      </c>
      <c r="G3322" s="9">
        <v>45462</v>
      </c>
      <c r="H3322" s="9">
        <v>45719</v>
      </c>
      <c r="I3322">
        <v>22</v>
      </c>
      <c r="J3322" t="s">
        <v>32</v>
      </c>
      <c r="K3322">
        <v>11</v>
      </c>
      <c r="L3322">
        <v>2</v>
      </c>
      <c r="M3322" s="11">
        <v>13704.35</v>
      </c>
      <c r="N3322" s="12">
        <v>8083.26</v>
      </c>
      <c r="O3322" s="12">
        <v>9981.51</v>
      </c>
    </row>
    <row r="3323" spans="1:15">
      <c r="A3323" t="s">
        <v>3497</v>
      </c>
      <c r="B3323" t="s">
        <v>292</v>
      </c>
      <c r="C3323" s="9">
        <v>21916</v>
      </c>
      <c r="D3323">
        <v>66</v>
      </c>
      <c r="E3323" t="s">
        <v>17</v>
      </c>
      <c r="F3323" t="s">
        <v>22</v>
      </c>
      <c r="G3323" s="9">
        <v>45015</v>
      </c>
      <c r="H3323" s="9">
        <v>45294</v>
      </c>
      <c r="I3323">
        <v>23</v>
      </c>
      <c r="J3323" t="s">
        <v>35</v>
      </c>
      <c r="K3323">
        <v>0</v>
      </c>
      <c r="L3323">
        <v>1</v>
      </c>
      <c r="M3323" s="11">
        <v>22104.080000000002</v>
      </c>
      <c r="N3323" s="12">
        <v>4179.87</v>
      </c>
      <c r="O3323" s="12">
        <v>412.6</v>
      </c>
    </row>
    <row r="3324" spans="1:15">
      <c r="A3324" t="s">
        <v>3498</v>
      </c>
      <c r="B3324" t="s">
        <v>97</v>
      </c>
      <c r="C3324" s="9">
        <v>30317</v>
      </c>
      <c r="D3324">
        <v>43</v>
      </c>
      <c r="E3324" t="s">
        <v>21</v>
      </c>
      <c r="F3324" t="s">
        <v>25</v>
      </c>
      <c r="G3324" s="9">
        <v>45475</v>
      </c>
      <c r="H3324" s="9">
        <v>44948</v>
      </c>
      <c r="I3324">
        <v>6</v>
      </c>
      <c r="J3324" t="s">
        <v>35</v>
      </c>
      <c r="K3324">
        <v>1</v>
      </c>
      <c r="L3324">
        <v>8</v>
      </c>
      <c r="M3324" s="11">
        <v>27256.11</v>
      </c>
      <c r="N3324" s="12">
        <v>1695.2</v>
      </c>
      <c r="O3324" s="12">
        <v>8300.36</v>
      </c>
    </row>
    <row r="3325" spans="1:15">
      <c r="A3325" t="s">
        <v>3499</v>
      </c>
      <c r="B3325" t="s">
        <v>223</v>
      </c>
      <c r="C3325" s="9">
        <v>34334</v>
      </c>
      <c r="D3325">
        <v>32</v>
      </c>
      <c r="E3325" t="s">
        <v>17</v>
      </c>
      <c r="F3325" t="s">
        <v>25</v>
      </c>
      <c r="G3325" s="9">
        <v>45433</v>
      </c>
      <c r="H3325" s="9">
        <v>45243</v>
      </c>
      <c r="I3325">
        <v>20</v>
      </c>
      <c r="J3325" t="s">
        <v>32</v>
      </c>
      <c r="K3325">
        <v>12</v>
      </c>
      <c r="L3325">
        <v>7</v>
      </c>
      <c r="M3325" s="11">
        <v>223.2</v>
      </c>
      <c r="N3325" s="12">
        <v>6916.83</v>
      </c>
      <c r="O3325" s="12">
        <v>16557.03</v>
      </c>
    </row>
    <row r="3326" spans="1:15">
      <c r="A3326" t="s">
        <v>3500</v>
      </c>
      <c r="B3326" t="s">
        <v>379</v>
      </c>
      <c r="C3326" s="9">
        <v>19724</v>
      </c>
      <c r="D3326">
        <v>72</v>
      </c>
      <c r="E3326" t="s">
        <v>21</v>
      </c>
      <c r="F3326" t="s">
        <v>22</v>
      </c>
      <c r="G3326" s="9">
        <v>45334</v>
      </c>
      <c r="H3326" s="9">
        <v>45685</v>
      </c>
      <c r="I3326">
        <v>37</v>
      </c>
      <c r="J3326" t="s">
        <v>26</v>
      </c>
      <c r="K3326">
        <v>1</v>
      </c>
      <c r="L3326">
        <v>2</v>
      </c>
      <c r="M3326" s="11">
        <v>19696.86</v>
      </c>
      <c r="N3326" s="12">
        <v>28.86</v>
      </c>
      <c r="O3326" s="12">
        <v>12202.85</v>
      </c>
    </row>
    <row r="3327" spans="1:15">
      <c r="A3327" t="s">
        <v>3501</v>
      </c>
      <c r="B3327" t="s">
        <v>479</v>
      </c>
      <c r="C3327" s="9">
        <v>24107</v>
      </c>
      <c r="D3327">
        <v>60</v>
      </c>
      <c r="E3327" t="s">
        <v>21</v>
      </c>
      <c r="F3327" t="s">
        <v>29</v>
      </c>
      <c r="G3327" s="9">
        <v>45197</v>
      </c>
      <c r="H3327" s="9">
        <v>45017</v>
      </c>
      <c r="I3327">
        <v>1</v>
      </c>
      <c r="J3327" t="s">
        <v>26</v>
      </c>
      <c r="K3327">
        <v>5</v>
      </c>
      <c r="L3327">
        <v>4</v>
      </c>
      <c r="M3327" s="11">
        <v>1621.35</v>
      </c>
      <c r="N3327" s="12">
        <v>11411.37</v>
      </c>
      <c r="O3327" s="12">
        <v>19385.36</v>
      </c>
    </row>
    <row r="3328" spans="1:15">
      <c r="A3328" t="s">
        <v>3502</v>
      </c>
      <c r="B3328" t="s">
        <v>289</v>
      </c>
      <c r="C3328" s="9">
        <v>43100</v>
      </c>
      <c r="D3328">
        <v>8</v>
      </c>
      <c r="E3328" t="s">
        <v>21</v>
      </c>
      <c r="F3328" t="s">
        <v>18</v>
      </c>
      <c r="G3328" s="9">
        <v>45450</v>
      </c>
      <c r="H3328" s="9">
        <v>45331</v>
      </c>
      <c r="I3328">
        <v>23</v>
      </c>
      <c r="J3328" t="s">
        <v>35</v>
      </c>
      <c r="K3328">
        <v>13</v>
      </c>
      <c r="L3328">
        <v>9</v>
      </c>
      <c r="M3328" s="11">
        <v>15533.19</v>
      </c>
      <c r="N3328" s="12">
        <v>11245.3</v>
      </c>
      <c r="O3328" s="12">
        <v>6445.02</v>
      </c>
    </row>
    <row r="3329" spans="1:15">
      <c r="A3329" t="s">
        <v>3503</v>
      </c>
      <c r="B3329" t="s">
        <v>95</v>
      </c>
      <c r="C3329" s="9">
        <f>DATE(2026-D3289,1,1)</f>
        <v>23012</v>
      </c>
      <c r="D3329">
        <v>67</v>
      </c>
      <c r="E3329" t="s">
        <v>21</v>
      </c>
      <c r="F3329" t="s">
        <v>18</v>
      </c>
      <c r="G3329" s="9">
        <v>45420</v>
      </c>
      <c r="H3329" s="9">
        <v>45445</v>
      </c>
      <c r="I3329">
        <v>11</v>
      </c>
      <c r="J3329" t="s">
        <v>32</v>
      </c>
      <c r="K3329">
        <v>1</v>
      </c>
      <c r="L3329">
        <v>4</v>
      </c>
      <c r="M3329" s="11">
        <v>22367.68</v>
      </c>
      <c r="N3329" s="12">
        <v>8278.74</v>
      </c>
      <c r="O3329" s="12">
        <v>3146.64</v>
      </c>
    </row>
    <row r="3330" spans="1:15">
      <c r="A3330" t="s">
        <v>3504</v>
      </c>
      <c r="B3330" t="s">
        <v>147</v>
      </c>
      <c r="C3330" s="9">
        <v>33604</v>
      </c>
      <c r="D3330">
        <v>34</v>
      </c>
      <c r="E3330" t="s">
        <v>17</v>
      </c>
      <c r="F3330" t="s">
        <v>29</v>
      </c>
      <c r="G3330" s="9">
        <v>45533</v>
      </c>
      <c r="H3330" s="9">
        <v>45378</v>
      </c>
      <c r="I3330">
        <v>28</v>
      </c>
      <c r="J3330" t="s">
        <v>32</v>
      </c>
      <c r="K3330">
        <v>8</v>
      </c>
      <c r="L3330">
        <v>7</v>
      </c>
      <c r="M3330" s="11">
        <v>4670.79</v>
      </c>
      <c r="N3330" s="12">
        <v>11214.28</v>
      </c>
      <c r="O3330" s="12">
        <v>14986.59</v>
      </c>
    </row>
    <row r="3331" spans="1:15">
      <c r="A3331" t="s">
        <v>3505</v>
      </c>
      <c r="B3331" t="s">
        <v>143</v>
      </c>
      <c r="C3331" s="9">
        <v>16802</v>
      </c>
      <c r="D3331">
        <v>80</v>
      </c>
      <c r="E3331" t="s">
        <v>21</v>
      </c>
      <c r="F3331" t="s">
        <v>29</v>
      </c>
      <c r="G3331" s="9">
        <v>45374</v>
      </c>
      <c r="H3331" s="9">
        <v>45705</v>
      </c>
      <c r="I3331">
        <v>23</v>
      </c>
      <c r="J3331" t="s">
        <v>32</v>
      </c>
      <c r="K3331">
        <v>8</v>
      </c>
      <c r="L3331">
        <v>5</v>
      </c>
      <c r="M3331" s="11">
        <v>22795.439999999999</v>
      </c>
      <c r="N3331" s="12">
        <v>9367.92</v>
      </c>
      <c r="O3331" s="12">
        <v>777.51</v>
      </c>
    </row>
    <row r="3332" spans="1:15">
      <c r="A3332" t="s">
        <v>3506</v>
      </c>
      <c r="B3332" t="s">
        <v>681</v>
      </c>
      <c r="C3332" s="9">
        <v>14246</v>
      </c>
      <c r="D3332">
        <v>87</v>
      </c>
      <c r="E3332" t="s">
        <v>21</v>
      </c>
      <c r="F3332" t="s">
        <v>74</v>
      </c>
      <c r="G3332" s="9">
        <v>45469</v>
      </c>
      <c r="H3332" s="9">
        <v>45536</v>
      </c>
      <c r="I3332">
        <v>16</v>
      </c>
      <c r="J3332" t="s">
        <v>35</v>
      </c>
      <c r="K3332">
        <v>9</v>
      </c>
      <c r="L3332">
        <v>6</v>
      </c>
      <c r="M3332" s="11">
        <v>8940.9</v>
      </c>
      <c r="N3332" s="12">
        <v>10461.83</v>
      </c>
      <c r="O3332" s="12">
        <v>3107.07</v>
      </c>
    </row>
    <row r="3333" spans="1:15">
      <c r="A3333" t="s">
        <v>3507</v>
      </c>
      <c r="B3333" t="s">
        <v>176</v>
      </c>
      <c r="C3333" s="9">
        <v>22646</v>
      </c>
      <c r="D3333">
        <v>64</v>
      </c>
      <c r="E3333" t="s">
        <v>17</v>
      </c>
      <c r="F3333" t="s">
        <v>22</v>
      </c>
      <c r="G3333" s="9">
        <v>45276</v>
      </c>
      <c r="H3333" s="9">
        <v>45077</v>
      </c>
      <c r="I3333">
        <v>35</v>
      </c>
      <c r="J3333" t="s">
        <v>32</v>
      </c>
      <c r="K3333">
        <v>7</v>
      </c>
      <c r="L3333">
        <v>4</v>
      </c>
      <c r="M3333" s="11">
        <v>18121.810000000001</v>
      </c>
      <c r="N3333" s="12">
        <v>969.84</v>
      </c>
      <c r="O3333" s="12">
        <v>10089.69</v>
      </c>
    </row>
    <row r="3334" spans="1:15">
      <c r="A3334" t="s">
        <v>3508</v>
      </c>
      <c r="B3334" t="s">
        <v>131</v>
      </c>
      <c r="C3334" s="9">
        <f>DATE(2026-D3294,1,1)</f>
        <v>18994</v>
      </c>
      <c r="D3334">
        <v>7</v>
      </c>
      <c r="E3334" t="s">
        <v>17</v>
      </c>
      <c r="F3334" t="s">
        <v>49</v>
      </c>
      <c r="G3334" s="9">
        <v>45254</v>
      </c>
      <c r="H3334" s="9">
        <v>45373</v>
      </c>
      <c r="I3334">
        <v>2</v>
      </c>
      <c r="J3334" t="s">
        <v>32</v>
      </c>
      <c r="K3334">
        <v>1</v>
      </c>
      <c r="L3334">
        <v>0</v>
      </c>
      <c r="M3334" s="11">
        <v>19570.25</v>
      </c>
      <c r="N3334" s="12">
        <v>13218.98</v>
      </c>
      <c r="O3334" s="12">
        <v>15046.13</v>
      </c>
    </row>
    <row r="3335" spans="1:15">
      <c r="A3335" t="s">
        <v>3509</v>
      </c>
      <c r="B3335" t="s">
        <v>372</v>
      </c>
      <c r="C3335" s="9">
        <v>29951</v>
      </c>
      <c r="D3335">
        <v>44</v>
      </c>
      <c r="E3335" t="s">
        <v>17</v>
      </c>
      <c r="F3335" t="s">
        <v>18</v>
      </c>
      <c r="G3335" s="9">
        <v>45212</v>
      </c>
      <c r="H3335" s="9">
        <v>45007</v>
      </c>
      <c r="I3335">
        <v>3</v>
      </c>
      <c r="J3335" t="s">
        <v>35</v>
      </c>
      <c r="K3335">
        <v>9</v>
      </c>
      <c r="L3335">
        <v>7</v>
      </c>
      <c r="M3335" s="11">
        <v>19293.91</v>
      </c>
      <c r="N3335" s="12">
        <v>9658.9699999999993</v>
      </c>
      <c r="O3335" s="12">
        <v>11979.5</v>
      </c>
    </row>
    <row r="3336" spans="1:15">
      <c r="A3336" t="s">
        <v>3510</v>
      </c>
      <c r="B3336" t="s">
        <v>201</v>
      </c>
      <c r="C3336" s="9">
        <v>14611</v>
      </c>
      <c r="D3336">
        <v>86</v>
      </c>
      <c r="E3336" t="s">
        <v>17</v>
      </c>
      <c r="F3336" t="s">
        <v>29</v>
      </c>
      <c r="G3336" s="9">
        <v>44961</v>
      </c>
      <c r="H3336" s="9">
        <v>44944</v>
      </c>
      <c r="I3336">
        <v>32</v>
      </c>
      <c r="J3336" t="s">
        <v>26</v>
      </c>
      <c r="K3336">
        <v>4</v>
      </c>
      <c r="L3336">
        <v>3</v>
      </c>
      <c r="M3336" s="11">
        <v>65.62</v>
      </c>
      <c r="N3336" s="12">
        <v>9159.4599999999991</v>
      </c>
      <c r="O3336" s="12">
        <v>19897.34</v>
      </c>
    </row>
    <row r="3337" spans="1:15">
      <c r="A3337" t="s">
        <v>3511</v>
      </c>
      <c r="B3337" t="s">
        <v>127</v>
      </c>
      <c r="C3337" s="9">
        <v>29221</v>
      </c>
      <c r="D3337">
        <v>46</v>
      </c>
      <c r="E3337" t="s">
        <v>21</v>
      </c>
      <c r="F3337" t="s">
        <v>29</v>
      </c>
      <c r="G3337" s="9">
        <v>45459</v>
      </c>
      <c r="H3337" s="9">
        <v>45065</v>
      </c>
      <c r="I3337">
        <v>13</v>
      </c>
      <c r="J3337" t="s">
        <v>26</v>
      </c>
      <c r="K3337">
        <v>13</v>
      </c>
      <c r="L3337">
        <v>4</v>
      </c>
      <c r="M3337" s="11">
        <v>4144.3599999999997</v>
      </c>
      <c r="N3337" s="12">
        <v>5808.61</v>
      </c>
      <c r="O3337" s="12">
        <v>13064.3</v>
      </c>
    </row>
    <row r="3338" spans="1:15">
      <c r="A3338" t="s">
        <v>3512</v>
      </c>
      <c r="B3338" t="s">
        <v>343</v>
      </c>
      <c r="C3338" s="9">
        <v>31778</v>
      </c>
      <c r="D3338">
        <v>39</v>
      </c>
      <c r="E3338" t="s">
        <v>17</v>
      </c>
      <c r="F3338" t="s">
        <v>22</v>
      </c>
      <c r="G3338" s="9">
        <v>45549</v>
      </c>
      <c r="H3338" s="9">
        <v>45579</v>
      </c>
      <c r="I3338">
        <v>28</v>
      </c>
      <c r="J3338" t="s">
        <v>32</v>
      </c>
      <c r="K3338">
        <v>0</v>
      </c>
      <c r="L3338">
        <v>0</v>
      </c>
      <c r="M3338" s="11">
        <v>25614.18</v>
      </c>
      <c r="N3338" s="12">
        <v>422.03</v>
      </c>
      <c r="O3338" s="12">
        <v>14471.84</v>
      </c>
    </row>
    <row r="3339" spans="1:15">
      <c r="A3339" t="s">
        <v>3513</v>
      </c>
      <c r="B3339" t="s">
        <v>145</v>
      </c>
      <c r="C3339" s="9">
        <v>18629</v>
      </c>
      <c r="D3339">
        <v>75</v>
      </c>
      <c r="E3339" t="s">
        <v>17</v>
      </c>
      <c r="F3339" t="s">
        <v>5184</v>
      </c>
      <c r="G3339" s="9">
        <v>45414</v>
      </c>
      <c r="H3339" s="9">
        <v>45778</v>
      </c>
      <c r="I3339">
        <v>15</v>
      </c>
      <c r="J3339" t="s">
        <v>35</v>
      </c>
      <c r="K3339">
        <v>6</v>
      </c>
      <c r="L3339">
        <v>2</v>
      </c>
      <c r="M3339" s="11">
        <v>28165.19</v>
      </c>
      <c r="N3339" s="12">
        <v>13521.93</v>
      </c>
      <c r="O3339" s="12">
        <v>19877.71</v>
      </c>
    </row>
    <row r="3340" spans="1:15">
      <c r="A3340" t="s">
        <v>3514</v>
      </c>
      <c r="B3340" t="s">
        <v>524</v>
      </c>
      <c r="C3340" s="9">
        <f>DATE(2026-D3300,1,1)</f>
        <v>21551</v>
      </c>
      <c r="D3340">
        <v>53</v>
      </c>
      <c r="E3340" t="s">
        <v>17</v>
      </c>
      <c r="F3340" t="s">
        <v>49</v>
      </c>
      <c r="G3340" s="9">
        <v>45413</v>
      </c>
      <c r="H3340" s="9">
        <v>45435</v>
      </c>
      <c r="I3340">
        <v>11</v>
      </c>
      <c r="J3340" t="s">
        <v>32</v>
      </c>
      <c r="K3340">
        <v>8</v>
      </c>
      <c r="L3340">
        <v>1</v>
      </c>
      <c r="M3340" s="11">
        <v>16691.87</v>
      </c>
      <c r="N3340" s="12">
        <v>14784.98</v>
      </c>
      <c r="O3340" s="12">
        <v>11808.5</v>
      </c>
    </row>
    <row r="3341" spans="1:15">
      <c r="A3341" t="s">
        <v>3515</v>
      </c>
      <c r="B3341" t="s">
        <v>59</v>
      </c>
      <c r="C3341" s="9">
        <v>18629</v>
      </c>
      <c r="D3341">
        <v>75</v>
      </c>
      <c r="E3341" t="s">
        <v>17</v>
      </c>
      <c r="F3341" t="s">
        <v>29</v>
      </c>
      <c r="G3341" s="9">
        <v>45071</v>
      </c>
      <c r="H3341" s="9">
        <v>45479</v>
      </c>
      <c r="I3341">
        <v>22</v>
      </c>
      <c r="J3341" t="s">
        <v>32</v>
      </c>
      <c r="K3341">
        <v>13</v>
      </c>
      <c r="L3341">
        <v>1</v>
      </c>
      <c r="M3341" s="11">
        <v>17707.63</v>
      </c>
      <c r="N3341" s="12">
        <v>12116.8</v>
      </c>
      <c r="O3341" s="12">
        <v>14263.83</v>
      </c>
    </row>
    <row r="3342" spans="1:15">
      <c r="A3342" t="s">
        <v>3516</v>
      </c>
      <c r="B3342" t="s">
        <v>159</v>
      </c>
      <c r="C3342" s="9">
        <v>29586</v>
      </c>
      <c r="D3342">
        <v>45</v>
      </c>
      <c r="E3342" t="s">
        <v>21</v>
      </c>
      <c r="F3342" t="s">
        <v>5184</v>
      </c>
      <c r="G3342" s="9">
        <v>45450</v>
      </c>
      <c r="H3342" s="9">
        <v>45607</v>
      </c>
      <c r="I3342">
        <v>12</v>
      </c>
      <c r="J3342" t="s">
        <v>26</v>
      </c>
      <c r="K3342">
        <v>3</v>
      </c>
      <c r="L3342">
        <v>0</v>
      </c>
      <c r="M3342" s="11">
        <v>22528.43</v>
      </c>
      <c r="N3342" s="12">
        <v>13725.59</v>
      </c>
      <c r="O3342" s="12">
        <v>5896.38</v>
      </c>
    </row>
    <row r="3343" spans="1:15">
      <c r="A3343" t="s">
        <v>3517</v>
      </c>
      <c r="B3343" t="s">
        <v>41</v>
      </c>
      <c r="C3343" s="9">
        <v>29221</v>
      </c>
      <c r="D3343">
        <v>46</v>
      </c>
      <c r="E3343" t="s">
        <v>17</v>
      </c>
      <c r="F3343" t="s">
        <v>74</v>
      </c>
      <c r="G3343" s="9">
        <v>45072</v>
      </c>
      <c r="H3343" s="9">
        <v>45001</v>
      </c>
      <c r="I3343">
        <v>23</v>
      </c>
      <c r="J3343" t="s">
        <v>32</v>
      </c>
      <c r="K3343">
        <v>0</v>
      </c>
      <c r="L3343">
        <v>5</v>
      </c>
      <c r="M3343" s="11">
        <v>11886.21</v>
      </c>
      <c r="N3343" s="12">
        <v>1814.36</v>
      </c>
      <c r="O3343" s="12">
        <v>10688.79</v>
      </c>
    </row>
    <row r="3344" spans="1:15">
      <c r="A3344" t="s">
        <v>3518</v>
      </c>
      <c r="B3344" t="s">
        <v>490</v>
      </c>
      <c r="C3344" s="9">
        <v>40909</v>
      </c>
      <c r="D3344">
        <f ca="1">DATEDIF(C3295,TODAY(),"Y")</f>
        <v>52</v>
      </c>
      <c r="E3344" t="s">
        <v>21</v>
      </c>
      <c r="F3344" t="s">
        <v>49</v>
      </c>
      <c r="G3344" s="9">
        <v>45429</v>
      </c>
      <c r="H3344" s="9">
        <v>45001</v>
      </c>
      <c r="I3344">
        <v>33</v>
      </c>
      <c r="J3344" t="s">
        <v>35</v>
      </c>
      <c r="K3344">
        <v>12</v>
      </c>
      <c r="L3344">
        <v>7</v>
      </c>
      <c r="M3344" s="11">
        <v>9504.5</v>
      </c>
      <c r="N3344" s="12">
        <v>1930.13</v>
      </c>
      <c r="O3344" s="12">
        <v>18230.240000000002</v>
      </c>
    </row>
    <row r="3345" spans="1:15">
      <c r="A3345" t="s">
        <v>3519</v>
      </c>
      <c r="B3345" t="s">
        <v>469</v>
      </c>
      <c r="C3345" s="9">
        <v>39448</v>
      </c>
      <c r="D3345">
        <v>18</v>
      </c>
      <c r="E3345" t="s">
        <v>21</v>
      </c>
      <c r="F3345" t="s">
        <v>5184</v>
      </c>
      <c r="G3345" s="9">
        <v>45530</v>
      </c>
      <c r="H3345" s="9">
        <v>44977</v>
      </c>
      <c r="I3345">
        <v>8</v>
      </c>
      <c r="J3345" t="s">
        <v>26</v>
      </c>
      <c r="K3345">
        <v>12</v>
      </c>
      <c r="L3345">
        <v>2</v>
      </c>
      <c r="M3345" s="11">
        <v>22930.15</v>
      </c>
      <c r="N3345" s="12">
        <v>13194.09</v>
      </c>
      <c r="O3345" s="12">
        <v>17051.77</v>
      </c>
    </row>
    <row r="3346" spans="1:15">
      <c r="A3346" t="s">
        <v>3520</v>
      </c>
      <c r="B3346" t="s">
        <v>201</v>
      </c>
      <c r="C3346" s="9">
        <v>36891</v>
      </c>
      <c r="D3346">
        <v>25</v>
      </c>
      <c r="E3346" t="s">
        <v>21</v>
      </c>
      <c r="F3346" t="s">
        <v>74</v>
      </c>
      <c r="G3346" s="9">
        <v>45553</v>
      </c>
      <c r="H3346" s="9">
        <v>44937</v>
      </c>
      <c r="I3346">
        <v>34</v>
      </c>
      <c r="J3346" t="s">
        <v>32</v>
      </c>
      <c r="K3346">
        <v>5</v>
      </c>
      <c r="L3346">
        <v>0</v>
      </c>
      <c r="M3346" s="11">
        <v>362.71</v>
      </c>
      <c r="N3346" s="12">
        <v>862.59</v>
      </c>
      <c r="O3346" s="12">
        <v>6056.39</v>
      </c>
    </row>
    <row r="3347" spans="1:15">
      <c r="A3347" t="s">
        <v>3521</v>
      </c>
      <c r="B3347" t="s">
        <v>300</v>
      </c>
      <c r="C3347" s="9">
        <v>27395</v>
      </c>
      <c r="D3347">
        <v>51</v>
      </c>
      <c r="E3347" t="s">
        <v>17</v>
      </c>
      <c r="F3347" t="s">
        <v>25</v>
      </c>
      <c r="G3347" s="9">
        <v>45453</v>
      </c>
      <c r="H3347" s="9">
        <v>45030</v>
      </c>
      <c r="I3347">
        <v>38</v>
      </c>
      <c r="J3347" t="s">
        <v>26</v>
      </c>
      <c r="K3347">
        <v>1</v>
      </c>
      <c r="L3347">
        <v>9</v>
      </c>
      <c r="M3347" s="11">
        <v>26503.06</v>
      </c>
      <c r="N3347" s="12">
        <v>1398.05</v>
      </c>
      <c r="O3347" s="12">
        <v>7080.08</v>
      </c>
    </row>
    <row r="3348" spans="1:15">
      <c r="A3348" t="s">
        <v>3522</v>
      </c>
      <c r="B3348" t="s">
        <v>95</v>
      </c>
      <c r="C3348" s="9">
        <v>12419</v>
      </c>
      <c r="D3348">
        <v>92</v>
      </c>
      <c r="E3348" t="s">
        <v>21</v>
      </c>
      <c r="F3348" t="s">
        <v>18</v>
      </c>
      <c r="G3348" s="9">
        <v>45198</v>
      </c>
      <c r="H3348" s="9">
        <v>45789</v>
      </c>
      <c r="I3348">
        <v>34</v>
      </c>
      <c r="J3348" t="s">
        <v>35</v>
      </c>
      <c r="K3348">
        <v>12</v>
      </c>
      <c r="L3348">
        <v>1</v>
      </c>
      <c r="M3348" s="11">
        <v>12947.53</v>
      </c>
      <c r="N3348" s="12">
        <v>12252.71</v>
      </c>
      <c r="O3348" s="12">
        <v>16912.11</v>
      </c>
    </row>
    <row r="3349" spans="1:15">
      <c r="A3349" t="s">
        <v>3523</v>
      </c>
      <c r="B3349" t="s">
        <v>341</v>
      </c>
      <c r="C3349" s="9">
        <v>38352</v>
      </c>
      <c r="D3349">
        <v>21</v>
      </c>
      <c r="E3349" t="s">
        <v>17</v>
      </c>
      <c r="F3349" t="s">
        <v>29</v>
      </c>
      <c r="G3349" s="9">
        <v>45460</v>
      </c>
      <c r="H3349" s="9">
        <v>45315</v>
      </c>
      <c r="I3349">
        <v>4</v>
      </c>
      <c r="J3349" t="s">
        <v>32</v>
      </c>
      <c r="K3349">
        <v>3</v>
      </c>
      <c r="L3349">
        <v>2</v>
      </c>
      <c r="M3349" s="11">
        <v>14878.97</v>
      </c>
      <c r="N3349" s="12">
        <v>8354.6200000000008</v>
      </c>
      <c r="O3349" s="12">
        <v>5621.95</v>
      </c>
    </row>
    <row r="3350" spans="1:15">
      <c r="A3350" t="s">
        <v>3524</v>
      </c>
      <c r="B3350" t="s">
        <v>119</v>
      </c>
      <c r="C3350" s="9">
        <v>38717</v>
      </c>
      <c r="D3350">
        <v>20</v>
      </c>
      <c r="E3350" t="s">
        <v>21</v>
      </c>
      <c r="F3350" t="s">
        <v>5184</v>
      </c>
      <c r="G3350" s="9">
        <v>45556</v>
      </c>
      <c r="H3350" s="9">
        <v>45312</v>
      </c>
      <c r="I3350">
        <v>15</v>
      </c>
      <c r="J3350" t="s">
        <v>32</v>
      </c>
      <c r="K3350">
        <v>9</v>
      </c>
      <c r="L3350">
        <v>5</v>
      </c>
      <c r="M3350" s="11">
        <v>18845.48</v>
      </c>
      <c r="N3350" s="12">
        <v>5875.91</v>
      </c>
      <c r="O3350" s="12">
        <v>17741.12</v>
      </c>
    </row>
    <row r="3351" spans="1:15">
      <c r="A3351" t="s">
        <v>3525</v>
      </c>
      <c r="B3351" t="s">
        <v>135</v>
      </c>
      <c r="C3351" s="9">
        <v>27760</v>
      </c>
      <c r="D3351">
        <v>50</v>
      </c>
      <c r="E3351" t="s">
        <v>17</v>
      </c>
      <c r="F3351" t="s">
        <v>49</v>
      </c>
      <c r="G3351" s="9">
        <v>45021</v>
      </c>
      <c r="H3351" s="9">
        <v>45226</v>
      </c>
      <c r="I3351">
        <v>17</v>
      </c>
      <c r="J3351" t="s">
        <v>32</v>
      </c>
      <c r="K3351">
        <v>7</v>
      </c>
      <c r="L3351">
        <v>2</v>
      </c>
      <c r="M3351" s="11">
        <v>7868.77</v>
      </c>
      <c r="N3351" s="12">
        <v>8301.73</v>
      </c>
      <c r="O3351" s="12">
        <v>15452.77</v>
      </c>
    </row>
    <row r="3352" spans="1:15">
      <c r="A3352" t="s">
        <v>3526</v>
      </c>
      <c r="B3352" t="s">
        <v>444</v>
      </c>
      <c r="C3352" s="9">
        <v>32508</v>
      </c>
      <c r="D3352">
        <v>37</v>
      </c>
      <c r="E3352" t="s">
        <v>21</v>
      </c>
      <c r="F3352" t="s">
        <v>74</v>
      </c>
      <c r="G3352" s="9">
        <v>45373</v>
      </c>
      <c r="H3352" s="9">
        <v>45266</v>
      </c>
      <c r="I3352">
        <v>1</v>
      </c>
      <c r="J3352" t="s">
        <v>35</v>
      </c>
      <c r="K3352">
        <v>14</v>
      </c>
      <c r="L3352">
        <v>8</v>
      </c>
      <c r="M3352" s="11">
        <v>17720.32</v>
      </c>
      <c r="N3352" s="12">
        <v>13181.22</v>
      </c>
      <c r="O3352" s="12">
        <v>2962.37</v>
      </c>
    </row>
    <row r="3353" spans="1:15">
      <c r="A3353" t="s">
        <v>3527</v>
      </c>
      <c r="B3353" t="s">
        <v>246</v>
      </c>
      <c r="C3353" s="9">
        <v>39083</v>
      </c>
      <c r="D3353">
        <v>19</v>
      </c>
      <c r="E3353" t="s">
        <v>17</v>
      </c>
      <c r="F3353" t="s">
        <v>18</v>
      </c>
      <c r="G3353" s="9">
        <v>45341</v>
      </c>
      <c r="H3353" s="9">
        <v>45316</v>
      </c>
      <c r="I3353">
        <v>23</v>
      </c>
      <c r="J3353" t="s">
        <v>26</v>
      </c>
      <c r="K3353">
        <v>1</v>
      </c>
      <c r="L3353">
        <v>0</v>
      </c>
      <c r="M3353" s="11">
        <v>20637.689999999999</v>
      </c>
      <c r="N3353" s="12">
        <v>11356.98</v>
      </c>
      <c r="O3353" s="12">
        <v>14367.28</v>
      </c>
    </row>
    <row r="3354" spans="1:15">
      <c r="A3354" t="s">
        <v>3528</v>
      </c>
      <c r="B3354" t="s">
        <v>232</v>
      </c>
      <c r="C3354" s="9">
        <f>DATE(2026-D3314,1,1)</f>
        <v>33604</v>
      </c>
      <c r="D3354">
        <v>28</v>
      </c>
      <c r="E3354" t="s">
        <v>17</v>
      </c>
      <c r="F3354" t="s">
        <v>18</v>
      </c>
      <c r="G3354" s="9">
        <v>45183</v>
      </c>
      <c r="H3354" s="9">
        <v>45401</v>
      </c>
      <c r="I3354">
        <v>20</v>
      </c>
      <c r="J3354" t="s">
        <v>26</v>
      </c>
      <c r="K3354">
        <v>13</v>
      </c>
      <c r="L3354">
        <v>6</v>
      </c>
      <c r="M3354" s="11">
        <v>3096.91</v>
      </c>
      <c r="N3354" s="12">
        <v>10374.11</v>
      </c>
      <c r="O3354" s="12">
        <v>16669.97</v>
      </c>
    </row>
    <row r="3355" spans="1:15">
      <c r="A3355" t="s">
        <v>3529</v>
      </c>
      <c r="B3355" t="s">
        <v>41</v>
      </c>
      <c r="C3355" s="9">
        <v>27760</v>
      </c>
      <c r="D3355">
        <v>50</v>
      </c>
      <c r="E3355" t="s">
        <v>21</v>
      </c>
      <c r="F3355" t="s">
        <v>29</v>
      </c>
      <c r="G3355" s="9">
        <v>45188</v>
      </c>
      <c r="H3355" s="9">
        <v>45543</v>
      </c>
      <c r="I3355">
        <v>29</v>
      </c>
      <c r="J3355" t="s">
        <v>26</v>
      </c>
      <c r="K3355">
        <v>0</v>
      </c>
      <c r="L3355">
        <v>9</v>
      </c>
      <c r="M3355" s="11">
        <v>15374.36</v>
      </c>
      <c r="N3355" s="12">
        <v>14653.28</v>
      </c>
      <c r="O3355" s="12">
        <v>2801.29</v>
      </c>
    </row>
    <row r="3356" spans="1:15">
      <c r="A3356" t="s">
        <v>3530</v>
      </c>
      <c r="B3356" t="s">
        <v>502</v>
      </c>
      <c r="C3356" s="9">
        <v>44927</v>
      </c>
      <c r="D3356">
        <v>3</v>
      </c>
      <c r="E3356" t="s">
        <v>21</v>
      </c>
      <c r="F3356" t="s">
        <v>5184</v>
      </c>
      <c r="G3356" s="9">
        <v>45013</v>
      </c>
      <c r="H3356" s="9">
        <v>45729</v>
      </c>
      <c r="I3356">
        <v>10</v>
      </c>
      <c r="J3356" t="s">
        <v>32</v>
      </c>
      <c r="K3356">
        <v>14</v>
      </c>
      <c r="L3356">
        <v>7</v>
      </c>
      <c r="M3356" s="11">
        <v>9547.31</v>
      </c>
      <c r="N3356" s="12">
        <v>7819.6</v>
      </c>
      <c r="O3356" s="12">
        <v>9092.7099999999991</v>
      </c>
    </row>
    <row r="3357" spans="1:15">
      <c r="A3357" t="s">
        <v>3531</v>
      </c>
      <c r="B3357" t="s">
        <v>100</v>
      </c>
      <c r="C3357" s="9">
        <v>26299</v>
      </c>
      <c r="D3357">
        <v>54</v>
      </c>
      <c r="E3357" t="s">
        <v>17</v>
      </c>
      <c r="F3357" t="s">
        <v>18</v>
      </c>
      <c r="G3357" s="9">
        <v>45362</v>
      </c>
      <c r="H3357" s="9">
        <v>45719</v>
      </c>
      <c r="I3357">
        <v>10</v>
      </c>
      <c r="J3357" t="s">
        <v>32</v>
      </c>
      <c r="K3357">
        <v>3</v>
      </c>
      <c r="L3357">
        <v>8</v>
      </c>
      <c r="M3357" s="11">
        <v>16499.41</v>
      </c>
      <c r="N3357" s="12">
        <v>94.86</v>
      </c>
      <c r="O3357" s="12">
        <v>17238.830000000002</v>
      </c>
    </row>
    <row r="3358" spans="1:15">
      <c r="A3358" t="s">
        <v>3532</v>
      </c>
      <c r="B3358" t="s">
        <v>246</v>
      </c>
      <c r="C3358" s="9">
        <v>20455</v>
      </c>
      <c r="D3358">
        <v>70</v>
      </c>
      <c r="E3358" t="s">
        <v>17</v>
      </c>
      <c r="F3358" t="s">
        <v>29</v>
      </c>
      <c r="G3358" s="9">
        <v>45496</v>
      </c>
      <c r="H3358" s="9">
        <v>45069</v>
      </c>
      <c r="I3358">
        <v>14</v>
      </c>
      <c r="J3358" t="s">
        <v>26</v>
      </c>
      <c r="K3358">
        <v>12</v>
      </c>
      <c r="L3358">
        <v>7</v>
      </c>
      <c r="M3358" s="11">
        <v>149.47999999999999</v>
      </c>
      <c r="N3358" s="12">
        <v>6435.49</v>
      </c>
      <c r="O3358" s="12">
        <v>3892.87</v>
      </c>
    </row>
    <row r="3359" spans="1:15">
      <c r="A3359" t="s">
        <v>3533</v>
      </c>
      <c r="B3359" t="s">
        <v>578</v>
      </c>
      <c r="C3359" s="9">
        <v>12785</v>
      </c>
      <c r="D3359">
        <v>91</v>
      </c>
      <c r="E3359" t="s">
        <v>17</v>
      </c>
      <c r="F3359" t="s">
        <v>5184</v>
      </c>
      <c r="G3359" s="9">
        <v>45034</v>
      </c>
      <c r="H3359" s="9">
        <v>45736</v>
      </c>
      <c r="I3359">
        <v>22</v>
      </c>
      <c r="J3359" t="s">
        <v>32</v>
      </c>
      <c r="K3359">
        <v>2</v>
      </c>
      <c r="L3359">
        <v>4</v>
      </c>
      <c r="M3359" s="11">
        <v>22151.75</v>
      </c>
      <c r="N3359" s="12">
        <v>1448.58</v>
      </c>
      <c r="O3359" s="12">
        <v>8926.69</v>
      </c>
    </row>
    <row r="3360" spans="1:15">
      <c r="A3360" t="s">
        <v>3534</v>
      </c>
      <c r="B3360" t="s">
        <v>170</v>
      </c>
      <c r="C3360" s="9">
        <v>36161</v>
      </c>
      <c r="D3360">
        <v>27</v>
      </c>
      <c r="E3360" t="s">
        <v>21</v>
      </c>
      <c r="F3360" t="s">
        <v>5184</v>
      </c>
      <c r="G3360" s="9">
        <v>44945</v>
      </c>
      <c r="H3360" s="9">
        <v>45097</v>
      </c>
      <c r="I3360">
        <v>19</v>
      </c>
      <c r="J3360" t="s">
        <v>32</v>
      </c>
      <c r="K3360">
        <v>1</v>
      </c>
      <c r="L3360">
        <v>0</v>
      </c>
      <c r="M3360" s="11">
        <v>4636.34</v>
      </c>
      <c r="N3360" s="12">
        <v>1746.81</v>
      </c>
      <c r="O3360" s="12">
        <v>12216.68</v>
      </c>
    </row>
    <row r="3361" spans="1:15">
      <c r="A3361" t="s">
        <v>3535</v>
      </c>
      <c r="B3361" t="s">
        <v>326</v>
      </c>
      <c r="C3361" s="9">
        <v>44927</v>
      </c>
      <c r="D3361">
        <v>3</v>
      </c>
      <c r="E3361" t="s">
        <v>17</v>
      </c>
      <c r="F3361" t="s">
        <v>25</v>
      </c>
      <c r="G3361" s="9">
        <v>45291</v>
      </c>
      <c r="H3361" s="9">
        <v>44940</v>
      </c>
      <c r="I3361">
        <v>24</v>
      </c>
      <c r="J3361" t="s">
        <v>35</v>
      </c>
      <c r="K3361">
        <v>12</v>
      </c>
      <c r="L3361">
        <v>0</v>
      </c>
      <c r="M3361" s="11">
        <v>20526.3</v>
      </c>
      <c r="N3361" s="12">
        <v>3823.51</v>
      </c>
      <c r="O3361" s="12">
        <v>1854.77</v>
      </c>
    </row>
    <row r="3362" spans="1:15">
      <c r="A3362" t="s">
        <v>3536</v>
      </c>
      <c r="B3362" t="s">
        <v>237</v>
      </c>
      <c r="C3362" s="9">
        <v>38352</v>
      </c>
      <c r="D3362">
        <v>21</v>
      </c>
      <c r="E3362" t="s">
        <v>21</v>
      </c>
      <c r="F3362" t="s">
        <v>29</v>
      </c>
      <c r="G3362" s="9">
        <v>45579</v>
      </c>
      <c r="H3362" s="9">
        <v>45596</v>
      </c>
      <c r="I3362">
        <v>14</v>
      </c>
      <c r="J3362" t="s">
        <v>35</v>
      </c>
      <c r="K3362">
        <v>14</v>
      </c>
      <c r="L3362">
        <v>7</v>
      </c>
      <c r="M3362" s="11">
        <v>0</v>
      </c>
      <c r="N3362" s="12">
        <v>5720.51</v>
      </c>
      <c r="O3362" s="12">
        <v>4162.32</v>
      </c>
    </row>
    <row r="3363" spans="1:15">
      <c r="A3363" t="s">
        <v>3537</v>
      </c>
      <c r="B3363" t="s">
        <v>55</v>
      </c>
      <c r="C3363" s="9">
        <f>DATE(2026-D3323,1,1)</f>
        <v>21916</v>
      </c>
      <c r="D3363">
        <v>75</v>
      </c>
      <c r="E3363" t="s">
        <v>17</v>
      </c>
      <c r="F3363" t="s">
        <v>22</v>
      </c>
      <c r="G3363" s="9">
        <v>45305</v>
      </c>
      <c r="H3363" s="9">
        <v>45376</v>
      </c>
      <c r="I3363">
        <v>23</v>
      </c>
      <c r="J3363" t="s">
        <v>32</v>
      </c>
      <c r="K3363">
        <v>5</v>
      </c>
      <c r="L3363">
        <v>6</v>
      </c>
      <c r="M3363" s="11">
        <v>22454.67</v>
      </c>
      <c r="N3363" s="12">
        <v>7223.99</v>
      </c>
      <c r="O3363" s="12">
        <v>9281.2800000000007</v>
      </c>
    </row>
    <row r="3364" spans="1:15">
      <c r="A3364" t="s">
        <v>3538</v>
      </c>
      <c r="B3364" t="s">
        <v>343</v>
      </c>
      <c r="C3364" s="9">
        <v>29951</v>
      </c>
      <c r="D3364">
        <v>44</v>
      </c>
      <c r="E3364" t="s">
        <v>17</v>
      </c>
      <c r="F3364" t="s">
        <v>74</v>
      </c>
      <c r="G3364" s="9">
        <v>45086</v>
      </c>
      <c r="H3364" s="9">
        <v>45101</v>
      </c>
      <c r="I3364">
        <v>35</v>
      </c>
      <c r="J3364" t="s">
        <v>32</v>
      </c>
      <c r="K3364">
        <v>7</v>
      </c>
      <c r="L3364">
        <v>4</v>
      </c>
      <c r="M3364" s="11">
        <v>24433.81</v>
      </c>
      <c r="N3364" s="12">
        <v>2547.3000000000002</v>
      </c>
      <c r="O3364" s="12">
        <v>7411</v>
      </c>
    </row>
    <row r="3365" spans="1:15">
      <c r="A3365" t="s">
        <v>3539</v>
      </c>
      <c r="B3365" t="s">
        <v>427</v>
      </c>
      <c r="C3365" s="9">
        <v>21916</v>
      </c>
      <c r="D3365">
        <v>66</v>
      </c>
      <c r="E3365" t="s">
        <v>21</v>
      </c>
      <c r="F3365" t="s">
        <v>22</v>
      </c>
      <c r="G3365" s="9">
        <v>45026</v>
      </c>
      <c r="H3365" s="9">
        <v>45601</v>
      </c>
      <c r="I3365">
        <v>11</v>
      </c>
      <c r="J3365" t="s">
        <v>32</v>
      </c>
      <c r="K3365">
        <v>1</v>
      </c>
      <c r="L3365">
        <v>9</v>
      </c>
      <c r="M3365" s="11">
        <v>8886.23</v>
      </c>
      <c r="N3365" s="12">
        <v>4675.8100000000004</v>
      </c>
      <c r="O3365" s="12">
        <v>6428</v>
      </c>
    </row>
    <row r="3366" spans="1:15">
      <c r="A3366" t="s">
        <v>3540</v>
      </c>
      <c r="B3366" t="s">
        <v>51</v>
      </c>
      <c r="C3366" s="9">
        <v>14976</v>
      </c>
      <c r="D3366">
        <f ca="1">DATEDIF(C3317,TODAY(),"Y")</f>
        <v>49</v>
      </c>
      <c r="E3366" t="s">
        <v>17</v>
      </c>
      <c r="F3366" t="s">
        <v>5184</v>
      </c>
      <c r="G3366" s="9">
        <v>45191</v>
      </c>
      <c r="H3366" s="9">
        <v>45059</v>
      </c>
      <c r="I3366">
        <v>11</v>
      </c>
      <c r="J3366" t="s">
        <v>26</v>
      </c>
      <c r="K3366">
        <v>6</v>
      </c>
      <c r="L3366">
        <v>2</v>
      </c>
      <c r="M3366" s="11">
        <v>28996.95</v>
      </c>
      <c r="N3366" s="12">
        <v>4148.09</v>
      </c>
      <c r="O3366" s="12">
        <v>429.98</v>
      </c>
    </row>
    <row r="3367" spans="1:15">
      <c r="A3367" t="s">
        <v>3541</v>
      </c>
      <c r="B3367" t="s">
        <v>189</v>
      </c>
      <c r="C3367" s="9">
        <v>22281</v>
      </c>
      <c r="D3367">
        <v>65</v>
      </c>
      <c r="E3367" t="s">
        <v>17</v>
      </c>
      <c r="F3367" t="s">
        <v>5184</v>
      </c>
      <c r="G3367" s="9">
        <v>44975</v>
      </c>
      <c r="H3367" s="9">
        <v>45467</v>
      </c>
      <c r="I3367">
        <v>9</v>
      </c>
      <c r="J3367" t="s">
        <v>35</v>
      </c>
      <c r="K3367">
        <v>7</v>
      </c>
      <c r="L3367">
        <v>8</v>
      </c>
      <c r="M3367" s="11">
        <v>226.45</v>
      </c>
      <c r="N3367" s="12">
        <v>5478.71</v>
      </c>
      <c r="O3367" s="12">
        <v>18551.490000000002</v>
      </c>
    </row>
    <row r="3368" spans="1:15">
      <c r="A3368" t="s">
        <v>3542</v>
      </c>
      <c r="B3368" t="s">
        <v>133</v>
      </c>
      <c r="C3368" s="9">
        <v>14246</v>
      </c>
      <c r="D3368">
        <v>87</v>
      </c>
      <c r="E3368" t="s">
        <v>17</v>
      </c>
      <c r="F3368" t="s">
        <v>18</v>
      </c>
      <c r="G3368" s="9">
        <v>45603</v>
      </c>
      <c r="H3368" s="9">
        <v>45522</v>
      </c>
      <c r="I3368">
        <v>2</v>
      </c>
      <c r="J3368" t="s">
        <v>35</v>
      </c>
      <c r="K3368">
        <v>0</v>
      </c>
      <c r="L3368">
        <v>3</v>
      </c>
      <c r="M3368" s="11">
        <v>14176.6</v>
      </c>
      <c r="N3368" s="12">
        <v>1619.86</v>
      </c>
      <c r="O3368" s="12">
        <v>17415.599999999999</v>
      </c>
    </row>
    <row r="3369" spans="1:15">
      <c r="A3369" t="s">
        <v>3543</v>
      </c>
      <c r="B3369" t="s">
        <v>55</v>
      </c>
      <c r="C3369" s="9">
        <v>33969</v>
      </c>
      <c r="D3369">
        <v>33</v>
      </c>
      <c r="E3369" t="s">
        <v>21</v>
      </c>
      <c r="F3369" t="s">
        <v>18</v>
      </c>
      <c r="G3369" s="9">
        <v>45341</v>
      </c>
      <c r="H3369" s="9">
        <v>45824</v>
      </c>
      <c r="I3369">
        <v>34</v>
      </c>
      <c r="J3369" t="s">
        <v>35</v>
      </c>
      <c r="K3369">
        <v>11</v>
      </c>
      <c r="L3369">
        <v>5</v>
      </c>
      <c r="M3369" s="11">
        <v>7743.69</v>
      </c>
      <c r="N3369" s="12">
        <v>5960.11</v>
      </c>
      <c r="O3369" s="12">
        <v>7791.65</v>
      </c>
    </row>
    <row r="3370" spans="1:15">
      <c r="A3370" t="s">
        <v>3544</v>
      </c>
      <c r="B3370" t="s">
        <v>110</v>
      </c>
      <c r="C3370" s="9">
        <v>13150</v>
      </c>
      <c r="D3370">
        <v>90</v>
      </c>
      <c r="E3370" t="s">
        <v>21</v>
      </c>
      <c r="F3370" t="s">
        <v>18</v>
      </c>
      <c r="G3370" s="9">
        <v>44985</v>
      </c>
      <c r="H3370" s="9">
        <v>45802</v>
      </c>
      <c r="I3370">
        <v>1</v>
      </c>
      <c r="J3370" t="s">
        <v>32</v>
      </c>
      <c r="K3370">
        <v>1</v>
      </c>
      <c r="L3370">
        <v>3</v>
      </c>
      <c r="M3370" s="11">
        <v>22066.35</v>
      </c>
      <c r="N3370" s="12">
        <v>8315.26</v>
      </c>
      <c r="O3370" s="12">
        <v>3545.64</v>
      </c>
    </row>
    <row r="3371" spans="1:15">
      <c r="A3371" t="s">
        <v>3545</v>
      </c>
      <c r="B3371" t="s">
        <v>343</v>
      </c>
      <c r="C3371" s="9">
        <v>26299</v>
      </c>
      <c r="D3371">
        <f ca="1">DATEDIF(C3322,TODAY(),"Y")</f>
        <v>19</v>
      </c>
      <c r="E3371" t="s">
        <v>17</v>
      </c>
      <c r="F3371" t="s">
        <v>5184</v>
      </c>
      <c r="G3371" s="9">
        <v>45109</v>
      </c>
      <c r="H3371" s="9">
        <v>45196</v>
      </c>
      <c r="I3371">
        <v>26</v>
      </c>
      <c r="J3371" t="s">
        <v>32</v>
      </c>
      <c r="K3371">
        <v>4</v>
      </c>
      <c r="L3371">
        <v>8</v>
      </c>
      <c r="M3371" s="11">
        <v>24059.31</v>
      </c>
      <c r="N3371" s="12">
        <v>1454.22</v>
      </c>
      <c r="O3371" s="12">
        <v>1287.82</v>
      </c>
    </row>
    <row r="3372" spans="1:15">
      <c r="A3372" t="s">
        <v>3546</v>
      </c>
      <c r="B3372" t="s">
        <v>110</v>
      </c>
      <c r="C3372" s="9">
        <v>46022</v>
      </c>
      <c r="D3372">
        <v>0</v>
      </c>
      <c r="E3372" t="s">
        <v>21</v>
      </c>
      <c r="F3372" t="s">
        <v>29</v>
      </c>
      <c r="G3372" s="9">
        <v>45585</v>
      </c>
      <c r="H3372" s="9">
        <v>45178</v>
      </c>
      <c r="I3372">
        <v>22</v>
      </c>
      <c r="J3372" t="s">
        <v>26</v>
      </c>
      <c r="K3372">
        <v>12</v>
      </c>
      <c r="L3372">
        <v>3</v>
      </c>
      <c r="M3372" s="11">
        <v>24582.97</v>
      </c>
      <c r="N3372" s="12">
        <v>7811.55</v>
      </c>
      <c r="O3372" s="12">
        <v>2376.08</v>
      </c>
    </row>
    <row r="3373" spans="1:15">
      <c r="A3373" t="s">
        <v>3547</v>
      </c>
      <c r="B3373" t="s">
        <v>237</v>
      </c>
      <c r="C3373" s="9">
        <v>20090</v>
      </c>
      <c r="D3373">
        <v>71</v>
      </c>
      <c r="E3373" t="s">
        <v>21</v>
      </c>
      <c r="F3373" t="s">
        <v>49</v>
      </c>
      <c r="G3373" s="9">
        <v>45373</v>
      </c>
      <c r="H3373" s="9">
        <v>45297</v>
      </c>
      <c r="I3373">
        <v>1</v>
      </c>
      <c r="J3373" t="s">
        <v>32</v>
      </c>
      <c r="K3373">
        <v>5</v>
      </c>
      <c r="L3373">
        <v>7</v>
      </c>
      <c r="M3373" s="11">
        <v>8555.57</v>
      </c>
      <c r="N3373" s="12">
        <v>11338.69</v>
      </c>
      <c r="O3373" s="12">
        <v>12000.65</v>
      </c>
    </row>
    <row r="3374" spans="1:15">
      <c r="A3374" t="s">
        <v>3548</v>
      </c>
      <c r="B3374" t="s">
        <v>596</v>
      </c>
      <c r="C3374" s="9">
        <v>14611</v>
      </c>
      <c r="D3374">
        <v>86</v>
      </c>
      <c r="E3374" t="s">
        <v>5185</v>
      </c>
      <c r="F3374" t="s">
        <v>29</v>
      </c>
      <c r="G3374" s="9">
        <v>45227</v>
      </c>
      <c r="H3374" s="9">
        <v>45545</v>
      </c>
      <c r="I3374">
        <v>13</v>
      </c>
      <c r="J3374" t="s">
        <v>26</v>
      </c>
      <c r="K3374">
        <v>0</v>
      </c>
      <c r="L3374">
        <v>2</v>
      </c>
      <c r="M3374" s="11">
        <v>7861.29</v>
      </c>
      <c r="N3374" s="12">
        <v>123.6</v>
      </c>
      <c r="O3374" s="12">
        <v>14651.74</v>
      </c>
    </row>
    <row r="3375" spans="1:15">
      <c r="A3375" t="s">
        <v>3549</v>
      </c>
      <c r="B3375" t="s">
        <v>137</v>
      </c>
      <c r="C3375" s="9">
        <v>32508</v>
      </c>
      <c r="D3375">
        <v>37</v>
      </c>
      <c r="E3375" t="s">
        <v>21</v>
      </c>
      <c r="F3375" t="s">
        <v>74</v>
      </c>
      <c r="G3375" s="9">
        <v>45534</v>
      </c>
      <c r="H3375" s="9">
        <v>45700</v>
      </c>
      <c r="I3375">
        <v>1</v>
      </c>
      <c r="J3375" t="s">
        <v>32</v>
      </c>
      <c r="K3375">
        <v>3</v>
      </c>
      <c r="L3375">
        <v>7</v>
      </c>
      <c r="M3375" s="11">
        <v>20146.54</v>
      </c>
      <c r="N3375" s="12">
        <v>712.92</v>
      </c>
      <c r="O3375" s="12">
        <v>3044.08</v>
      </c>
    </row>
    <row r="3376" spans="1:15">
      <c r="A3376" t="s">
        <v>3550</v>
      </c>
      <c r="B3376" t="s">
        <v>292</v>
      </c>
      <c r="C3376" s="9">
        <v>44196</v>
      </c>
      <c r="D3376">
        <v>5</v>
      </c>
      <c r="E3376" t="s">
        <v>5185</v>
      </c>
      <c r="F3376" t="s">
        <v>29</v>
      </c>
      <c r="G3376" s="9">
        <v>45481</v>
      </c>
      <c r="H3376" s="9">
        <v>45792</v>
      </c>
      <c r="I3376">
        <v>20</v>
      </c>
      <c r="J3376" t="s">
        <v>35</v>
      </c>
      <c r="K3376">
        <v>14</v>
      </c>
      <c r="L3376">
        <v>2</v>
      </c>
      <c r="M3376" s="11">
        <v>27809.62</v>
      </c>
      <c r="N3376" s="12">
        <v>6997.11</v>
      </c>
      <c r="O3376" s="12">
        <v>2167.09</v>
      </c>
    </row>
    <row r="3377" spans="1:15">
      <c r="A3377" t="s">
        <v>3551</v>
      </c>
      <c r="B3377" t="s">
        <v>37</v>
      </c>
      <c r="C3377" s="9">
        <v>14976</v>
      </c>
      <c r="D3377">
        <v>85</v>
      </c>
      <c r="E3377" t="s">
        <v>21</v>
      </c>
      <c r="F3377" t="s">
        <v>18</v>
      </c>
      <c r="G3377" s="9">
        <v>45280</v>
      </c>
      <c r="H3377" s="9">
        <v>45453</v>
      </c>
      <c r="I3377">
        <v>1</v>
      </c>
      <c r="J3377" t="s">
        <v>26</v>
      </c>
      <c r="K3377">
        <v>3</v>
      </c>
      <c r="L3377">
        <v>4</v>
      </c>
      <c r="M3377" s="11">
        <v>7253.26</v>
      </c>
      <c r="N3377" s="12">
        <v>13091.66</v>
      </c>
      <c r="O3377" s="12">
        <v>13790.69</v>
      </c>
    </row>
    <row r="3378" spans="1:15">
      <c r="A3378" t="s">
        <v>3552</v>
      </c>
      <c r="B3378" t="s">
        <v>379</v>
      </c>
      <c r="C3378" s="9">
        <v>37256</v>
      </c>
      <c r="D3378">
        <v>24</v>
      </c>
      <c r="E3378" t="s">
        <v>21</v>
      </c>
      <c r="F3378" t="s">
        <v>25</v>
      </c>
      <c r="G3378" s="9">
        <v>45139</v>
      </c>
      <c r="H3378" s="9">
        <v>45519</v>
      </c>
      <c r="I3378">
        <v>17</v>
      </c>
      <c r="J3378" t="s">
        <v>32</v>
      </c>
      <c r="K3378">
        <v>5</v>
      </c>
      <c r="L3378">
        <v>0</v>
      </c>
      <c r="M3378" s="11">
        <v>27273.29</v>
      </c>
      <c r="N3378" s="12">
        <v>14966.83</v>
      </c>
      <c r="O3378" s="12">
        <v>10292.15</v>
      </c>
    </row>
    <row r="3379" spans="1:15">
      <c r="A3379" t="s">
        <v>3553</v>
      </c>
      <c r="B3379" t="s">
        <v>105</v>
      </c>
      <c r="C3379" s="9">
        <v>16437</v>
      </c>
      <c r="D3379">
        <v>81</v>
      </c>
      <c r="E3379" t="s">
        <v>17</v>
      </c>
      <c r="F3379" t="s">
        <v>74</v>
      </c>
      <c r="G3379" s="9">
        <v>45115</v>
      </c>
      <c r="H3379" s="9">
        <v>45815</v>
      </c>
      <c r="I3379">
        <v>14</v>
      </c>
      <c r="J3379" t="s">
        <v>32</v>
      </c>
      <c r="K3379">
        <v>10</v>
      </c>
      <c r="L3379">
        <v>5</v>
      </c>
      <c r="M3379" s="11">
        <v>17539.57</v>
      </c>
      <c r="N3379" s="12">
        <v>1400.91</v>
      </c>
      <c r="O3379" s="12">
        <v>7373.92</v>
      </c>
    </row>
    <row r="3380" spans="1:15">
      <c r="A3380" t="s">
        <v>3554</v>
      </c>
      <c r="B3380" t="s">
        <v>348</v>
      </c>
      <c r="C3380" s="9">
        <v>40178</v>
      </c>
      <c r="D3380">
        <v>16</v>
      </c>
      <c r="E3380" t="s">
        <v>17</v>
      </c>
      <c r="F3380" t="s">
        <v>22</v>
      </c>
      <c r="G3380" s="9">
        <v>45569</v>
      </c>
      <c r="H3380" s="9">
        <v>45433</v>
      </c>
      <c r="I3380">
        <v>3</v>
      </c>
      <c r="J3380" t="s">
        <v>32</v>
      </c>
      <c r="K3380">
        <v>9</v>
      </c>
      <c r="L3380">
        <v>1</v>
      </c>
      <c r="M3380" s="11">
        <v>22007.11</v>
      </c>
      <c r="N3380" s="12">
        <v>275.13</v>
      </c>
      <c r="O3380" s="12">
        <v>14472.08</v>
      </c>
    </row>
    <row r="3381" spans="1:15">
      <c r="A3381" t="s">
        <v>3555</v>
      </c>
      <c r="B3381" t="s">
        <v>246</v>
      </c>
      <c r="C3381" s="9">
        <v>24107</v>
      </c>
      <c r="D3381">
        <v>60</v>
      </c>
      <c r="E3381" t="s">
        <v>17</v>
      </c>
      <c r="F3381" t="s">
        <v>25</v>
      </c>
      <c r="G3381" s="9">
        <v>45273</v>
      </c>
      <c r="H3381" s="9">
        <v>45599</v>
      </c>
      <c r="I3381">
        <v>15</v>
      </c>
      <c r="J3381" t="s">
        <v>35</v>
      </c>
      <c r="K3381">
        <v>1</v>
      </c>
      <c r="L3381">
        <v>2</v>
      </c>
      <c r="M3381" s="11">
        <v>12916.71</v>
      </c>
      <c r="N3381" s="12">
        <v>3431.55</v>
      </c>
      <c r="O3381" s="12">
        <v>9059.11</v>
      </c>
    </row>
    <row r="3382" spans="1:15">
      <c r="A3382" t="s">
        <v>3556</v>
      </c>
      <c r="B3382" t="s">
        <v>69</v>
      </c>
      <c r="C3382" s="9">
        <v>42005</v>
      </c>
      <c r="D3382">
        <v>11</v>
      </c>
      <c r="E3382" t="s">
        <v>17</v>
      </c>
      <c r="F3382" t="s">
        <v>74</v>
      </c>
      <c r="G3382" s="9">
        <v>45063</v>
      </c>
      <c r="H3382" s="9">
        <v>45105</v>
      </c>
      <c r="I3382">
        <v>17</v>
      </c>
      <c r="J3382" t="s">
        <v>32</v>
      </c>
      <c r="K3382">
        <v>8</v>
      </c>
      <c r="L3382">
        <v>0</v>
      </c>
      <c r="M3382" s="11">
        <v>24109.15</v>
      </c>
      <c r="N3382" s="12">
        <v>7012.05</v>
      </c>
      <c r="O3382" s="12">
        <v>9248.94</v>
      </c>
    </row>
    <row r="3383" spans="1:15">
      <c r="A3383" t="s">
        <v>3557</v>
      </c>
      <c r="B3383" t="s">
        <v>286</v>
      </c>
      <c r="C3383" s="9">
        <v>44196</v>
      </c>
      <c r="D3383">
        <v>5</v>
      </c>
      <c r="E3383" t="s">
        <v>17</v>
      </c>
      <c r="F3383" t="s">
        <v>74</v>
      </c>
      <c r="G3383" s="9">
        <v>44956</v>
      </c>
      <c r="H3383" s="9">
        <v>45594</v>
      </c>
      <c r="I3383">
        <v>36</v>
      </c>
      <c r="J3383" t="s">
        <v>26</v>
      </c>
      <c r="K3383">
        <v>6</v>
      </c>
      <c r="L3383">
        <v>5</v>
      </c>
      <c r="M3383" s="11">
        <v>29100.03</v>
      </c>
      <c r="N3383" s="12">
        <v>8576.94</v>
      </c>
      <c r="O3383" s="12">
        <v>216.4</v>
      </c>
    </row>
    <row r="3384" spans="1:15">
      <c r="A3384" t="s">
        <v>3558</v>
      </c>
      <c r="B3384" t="s">
        <v>240</v>
      </c>
      <c r="C3384" s="9">
        <v>13515</v>
      </c>
      <c r="D3384">
        <v>89</v>
      </c>
      <c r="E3384" t="s">
        <v>21</v>
      </c>
      <c r="F3384" t="s">
        <v>5184</v>
      </c>
      <c r="G3384" s="9">
        <v>45072</v>
      </c>
      <c r="H3384" s="9">
        <v>45474</v>
      </c>
      <c r="I3384">
        <v>38</v>
      </c>
      <c r="J3384" t="s">
        <v>32</v>
      </c>
      <c r="K3384">
        <v>3</v>
      </c>
      <c r="L3384">
        <v>4</v>
      </c>
      <c r="M3384" s="11">
        <v>4702.5600000000004</v>
      </c>
      <c r="N3384" s="12">
        <v>14602.27</v>
      </c>
      <c r="O3384" s="12">
        <v>6251.79</v>
      </c>
    </row>
    <row r="3385" spans="1:15">
      <c r="A3385" t="s">
        <v>3559</v>
      </c>
      <c r="B3385" t="s">
        <v>286</v>
      </c>
      <c r="C3385" s="9">
        <v>36526</v>
      </c>
      <c r="D3385">
        <v>26</v>
      </c>
      <c r="E3385" t="s">
        <v>21</v>
      </c>
      <c r="F3385" t="s">
        <v>18</v>
      </c>
      <c r="G3385" s="9">
        <v>45394</v>
      </c>
      <c r="H3385" s="9">
        <v>45186</v>
      </c>
      <c r="I3385">
        <v>31</v>
      </c>
      <c r="J3385" t="s">
        <v>32</v>
      </c>
      <c r="K3385">
        <v>10</v>
      </c>
      <c r="L3385">
        <v>9</v>
      </c>
      <c r="M3385" s="11">
        <v>11259.56</v>
      </c>
      <c r="N3385" s="12">
        <v>13326.96</v>
      </c>
      <c r="O3385" s="12">
        <v>1.2</v>
      </c>
    </row>
    <row r="3386" spans="1:15">
      <c r="A3386" t="s">
        <v>3560</v>
      </c>
      <c r="B3386" t="s">
        <v>654</v>
      </c>
      <c r="C3386" s="9">
        <v>43466</v>
      </c>
      <c r="D3386">
        <v>7</v>
      </c>
      <c r="E3386" t="s">
        <v>21</v>
      </c>
      <c r="F3386" t="s">
        <v>5184</v>
      </c>
      <c r="G3386" s="9">
        <v>45543</v>
      </c>
      <c r="H3386" s="9">
        <v>45187</v>
      </c>
      <c r="I3386">
        <v>37</v>
      </c>
      <c r="J3386" t="s">
        <v>32</v>
      </c>
      <c r="K3386">
        <v>1</v>
      </c>
      <c r="L3386">
        <v>1</v>
      </c>
      <c r="M3386" s="11">
        <v>25804.93</v>
      </c>
      <c r="N3386" s="12">
        <v>8431.48</v>
      </c>
      <c r="O3386" s="12">
        <v>18469.330000000002</v>
      </c>
    </row>
    <row r="3387" spans="1:15">
      <c r="A3387" t="s">
        <v>3561</v>
      </c>
      <c r="B3387" t="s">
        <v>93</v>
      </c>
      <c r="C3387" s="9">
        <v>16072</v>
      </c>
      <c r="D3387">
        <v>82</v>
      </c>
      <c r="E3387" t="s">
        <v>17</v>
      </c>
      <c r="F3387" t="s">
        <v>22</v>
      </c>
      <c r="G3387" s="9">
        <v>45429</v>
      </c>
      <c r="H3387" s="9">
        <v>45062</v>
      </c>
      <c r="I3387">
        <v>21</v>
      </c>
      <c r="J3387" t="s">
        <v>32</v>
      </c>
      <c r="K3387">
        <v>11</v>
      </c>
      <c r="L3387">
        <v>7</v>
      </c>
      <c r="M3387" s="11">
        <v>4888.5200000000004</v>
      </c>
      <c r="N3387" s="12">
        <v>5425.71</v>
      </c>
      <c r="O3387" s="12">
        <v>5808.18</v>
      </c>
    </row>
    <row r="3388" spans="1:15">
      <c r="A3388" t="s">
        <v>3562</v>
      </c>
      <c r="B3388" t="s">
        <v>172</v>
      </c>
      <c r="C3388" s="9">
        <v>22646</v>
      </c>
      <c r="D3388">
        <v>64</v>
      </c>
      <c r="E3388" t="s">
        <v>21</v>
      </c>
      <c r="F3388" t="s">
        <v>29</v>
      </c>
      <c r="G3388" s="9">
        <v>45117</v>
      </c>
      <c r="H3388" s="9">
        <v>45388</v>
      </c>
      <c r="I3388">
        <v>15</v>
      </c>
      <c r="J3388" t="s">
        <v>26</v>
      </c>
      <c r="K3388">
        <v>14</v>
      </c>
      <c r="L3388">
        <v>8</v>
      </c>
      <c r="M3388" s="11">
        <v>12095.39</v>
      </c>
      <c r="N3388" s="12">
        <v>4819.46</v>
      </c>
      <c r="O3388" s="12">
        <v>3528.45</v>
      </c>
    </row>
    <row r="3389" spans="1:15">
      <c r="A3389" t="s">
        <v>3563</v>
      </c>
      <c r="B3389" t="s">
        <v>65</v>
      </c>
      <c r="C3389" s="9">
        <v>25568</v>
      </c>
      <c r="D3389">
        <v>56</v>
      </c>
      <c r="E3389" t="s">
        <v>21</v>
      </c>
      <c r="F3389" t="s">
        <v>5184</v>
      </c>
      <c r="G3389" s="9">
        <v>45397</v>
      </c>
      <c r="H3389" s="9">
        <v>45416</v>
      </c>
      <c r="I3389">
        <v>27</v>
      </c>
      <c r="J3389" t="s">
        <v>32</v>
      </c>
      <c r="K3389">
        <v>11</v>
      </c>
      <c r="L3389">
        <v>2</v>
      </c>
      <c r="M3389" s="11">
        <v>4566.51</v>
      </c>
      <c r="N3389" s="12">
        <v>8589.3700000000008</v>
      </c>
      <c r="O3389" s="12">
        <v>1727.04</v>
      </c>
    </row>
    <row r="3390" spans="1:15">
      <c r="A3390" t="s">
        <v>3564</v>
      </c>
      <c r="B3390" t="s">
        <v>176</v>
      </c>
      <c r="C3390" s="9">
        <v>12419</v>
      </c>
      <c r="D3390">
        <v>92</v>
      </c>
      <c r="E3390" t="s">
        <v>21</v>
      </c>
      <c r="F3390" t="s">
        <v>22</v>
      </c>
      <c r="G3390" s="9">
        <v>45616</v>
      </c>
      <c r="H3390" s="9">
        <v>45570</v>
      </c>
      <c r="I3390">
        <v>2</v>
      </c>
      <c r="J3390" t="s">
        <v>32</v>
      </c>
      <c r="K3390">
        <v>7</v>
      </c>
      <c r="L3390">
        <v>5</v>
      </c>
      <c r="M3390" s="11">
        <v>19275.23</v>
      </c>
      <c r="N3390" s="12">
        <v>10820.29</v>
      </c>
      <c r="O3390" s="12">
        <v>837.38</v>
      </c>
    </row>
    <row r="3391" spans="1:15">
      <c r="A3391" t="s">
        <v>3565</v>
      </c>
      <c r="B3391" t="s">
        <v>275</v>
      </c>
      <c r="C3391" s="9">
        <v>31778</v>
      </c>
      <c r="D3391">
        <f ca="1">DATEDIF(C3342,TODAY(),"Y")</f>
        <v>45</v>
      </c>
      <c r="E3391" t="s">
        <v>21</v>
      </c>
      <c r="F3391" t="s">
        <v>18</v>
      </c>
      <c r="G3391" s="9">
        <v>45271</v>
      </c>
      <c r="H3391" s="9">
        <v>45008</v>
      </c>
      <c r="I3391">
        <v>20</v>
      </c>
      <c r="J3391" t="s">
        <v>32</v>
      </c>
      <c r="K3391">
        <v>9</v>
      </c>
      <c r="L3391">
        <v>5</v>
      </c>
      <c r="M3391" s="11">
        <v>6768.73</v>
      </c>
      <c r="N3391" s="12">
        <v>7224.99</v>
      </c>
      <c r="O3391" s="12">
        <v>17708.78</v>
      </c>
    </row>
    <row r="3392" spans="1:15">
      <c r="A3392" t="s">
        <v>3566</v>
      </c>
      <c r="B3392" t="s">
        <v>155</v>
      </c>
      <c r="C3392" s="9">
        <v>41274</v>
      </c>
      <c r="D3392">
        <v>13</v>
      </c>
      <c r="E3392" t="s">
        <v>21</v>
      </c>
      <c r="F3392" t="s">
        <v>18</v>
      </c>
      <c r="G3392" s="9">
        <v>44927</v>
      </c>
      <c r="H3392" s="9">
        <v>45294</v>
      </c>
      <c r="I3392">
        <v>26</v>
      </c>
      <c r="J3392" t="s">
        <v>26</v>
      </c>
      <c r="K3392">
        <v>1</v>
      </c>
      <c r="L3392">
        <v>9</v>
      </c>
      <c r="M3392" s="11">
        <v>11114.46</v>
      </c>
      <c r="N3392" s="12">
        <v>4565.9799999999996</v>
      </c>
      <c r="O3392" s="12">
        <v>3287.11</v>
      </c>
    </row>
    <row r="3393" spans="1:15">
      <c r="A3393" t="s">
        <v>3567</v>
      </c>
      <c r="B3393" t="s">
        <v>246</v>
      </c>
      <c r="C3393" s="9">
        <v>33604</v>
      </c>
      <c r="D3393">
        <v>34</v>
      </c>
      <c r="E3393" t="s">
        <v>17</v>
      </c>
      <c r="F3393" t="s">
        <v>5184</v>
      </c>
      <c r="G3393" s="9">
        <v>45036</v>
      </c>
      <c r="H3393" s="9">
        <v>44986</v>
      </c>
      <c r="I3393">
        <v>38</v>
      </c>
      <c r="J3393" t="s">
        <v>35</v>
      </c>
      <c r="K3393">
        <v>5</v>
      </c>
      <c r="L3393">
        <v>5</v>
      </c>
      <c r="M3393" s="11">
        <v>14479.58</v>
      </c>
      <c r="N3393" s="12">
        <v>9197.48</v>
      </c>
      <c r="O3393" s="12">
        <v>12311.45</v>
      </c>
    </row>
    <row r="3394" spans="1:15">
      <c r="A3394" t="s">
        <v>3568</v>
      </c>
      <c r="B3394" t="s">
        <v>100</v>
      </c>
      <c r="C3394" s="9">
        <v>28856</v>
      </c>
      <c r="D3394">
        <v>47</v>
      </c>
      <c r="E3394" t="s">
        <v>21</v>
      </c>
      <c r="F3394" t="s">
        <v>18</v>
      </c>
      <c r="G3394" s="9">
        <v>44990</v>
      </c>
      <c r="H3394" s="9">
        <v>45001</v>
      </c>
      <c r="I3394">
        <v>38</v>
      </c>
      <c r="J3394" t="s">
        <v>35</v>
      </c>
      <c r="K3394">
        <v>8</v>
      </c>
      <c r="L3394">
        <v>7</v>
      </c>
      <c r="M3394" s="11">
        <v>8562.43</v>
      </c>
      <c r="N3394" s="12">
        <v>8369.1299999999992</v>
      </c>
      <c r="O3394" s="12">
        <v>12989.48</v>
      </c>
    </row>
    <row r="3395" spans="1:15">
      <c r="A3395" t="s">
        <v>3569</v>
      </c>
      <c r="B3395" t="s">
        <v>278</v>
      </c>
      <c r="C3395" s="9">
        <f>DATE(2026-D3355,1,1)</f>
        <v>27760</v>
      </c>
      <c r="D3395">
        <v>83</v>
      </c>
      <c r="E3395" t="s">
        <v>17</v>
      </c>
      <c r="F3395" t="s">
        <v>25</v>
      </c>
      <c r="G3395" s="9">
        <v>44979</v>
      </c>
      <c r="H3395" s="9">
        <v>45166</v>
      </c>
      <c r="I3395">
        <v>29</v>
      </c>
      <c r="J3395" t="s">
        <v>32</v>
      </c>
      <c r="K3395">
        <v>10</v>
      </c>
      <c r="L3395">
        <v>4</v>
      </c>
      <c r="M3395" s="11">
        <v>20236.98</v>
      </c>
      <c r="N3395" s="12">
        <v>6410.53</v>
      </c>
      <c r="O3395" s="12">
        <v>6282.64</v>
      </c>
    </row>
    <row r="3396" spans="1:15">
      <c r="A3396" t="s">
        <v>3570</v>
      </c>
      <c r="B3396" t="s">
        <v>67</v>
      </c>
      <c r="C3396" s="9">
        <v>25934</v>
      </c>
      <c r="D3396">
        <v>55</v>
      </c>
      <c r="E3396" t="s">
        <v>17</v>
      </c>
      <c r="F3396" t="s">
        <v>22</v>
      </c>
      <c r="G3396" s="9">
        <v>45188</v>
      </c>
      <c r="H3396" s="9">
        <v>45056</v>
      </c>
      <c r="I3396">
        <v>1</v>
      </c>
      <c r="J3396" t="s">
        <v>35</v>
      </c>
      <c r="K3396">
        <v>5</v>
      </c>
      <c r="L3396">
        <v>9</v>
      </c>
      <c r="M3396" s="11">
        <v>2893.11</v>
      </c>
      <c r="N3396" s="12">
        <v>11225.34</v>
      </c>
      <c r="O3396" s="12">
        <v>16648.25</v>
      </c>
    </row>
    <row r="3397" spans="1:15">
      <c r="A3397" t="s">
        <v>3571</v>
      </c>
      <c r="B3397" t="s">
        <v>223</v>
      </c>
      <c r="C3397" s="9">
        <v>28490</v>
      </c>
      <c r="D3397">
        <v>48</v>
      </c>
      <c r="E3397" t="s">
        <v>21</v>
      </c>
      <c r="F3397" t="s">
        <v>22</v>
      </c>
      <c r="G3397" s="9">
        <v>45455</v>
      </c>
      <c r="H3397" s="9">
        <v>45339</v>
      </c>
      <c r="I3397">
        <v>33</v>
      </c>
      <c r="J3397" t="s">
        <v>26</v>
      </c>
      <c r="K3397">
        <v>12</v>
      </c>
      <c r="L3397">
        <v>9</v>
      </c>
      <c r="M3397" s="11">
        <v>26333.919999999998</v>
      </c>
      <c r="N3397" s="12">
        <v>4233.32</v>
      </c>
      <c r="O3397" s="12">
        <v>4202.01</v>
      </c>
    </row>
    <row r="3398" spans="1:15">
      <c r="A3398" t="s">
        <v>3572</v>
      </c>
      <c r="B3398" t="s">
        <v>479</v>
      </c>
      <c r="C3398" s="9">
        <v>41639</v>
      </c>
      <c r="D3398">
        <v>12</v>
      </c>
      <c r="E3398" t="s">
        <v>17</v>
      </c>
      <c r="F3398" t="s">
        <v>74</v>
      </c>
      <c r="G3398" s="9">
        <v>45228</v>
      </c>
      <c r="H3398" s="9">
        <v>45242</v>
      </c>
      <c r="I3398">
        <v>14</v>
      </c>
      <c r="J3398" t="s">
        <v>32</v>
      </c>
      <c r="K3398">
        <v>8</v>
      </c>
      <c r="L3398">
        <v>7</v>
      </c>
      <c r="M3398" s="11">
        <v>14180.88</v>
      </c>
      <c r="N3398" s="12">
        <v>7273.88</v>
      </c>
      <c r="O3398" s="12">
        <v>1336.31</v>
      </c>
    </row>
    <row r="3399" spans="1:15">
      <c r="A3399" t="s">
        <v>3573</v>
      </c>
      <c r="B3399" t="s">
        <v>89</v>
      </c>
      <c r="C3399" s="9">
        <v>24107</v>
      </c>
      <c r="D3399">
        <v>60</v>
      </c>
      <c r="E3399" t="s">
        <v>21</v>
      </c>
      <c r="F3399" t="s">
        <v>49</v>
      </c>
      <c r="G3399" s="9">
        <v>45160</v>
      </c>
      <c r="H3399" s="9">
        <v>45301</v>
      </c>
      <c r="I3399">
        <v>1</v>
      </c>
      <c r="J3399" t="s">
        <v>26</v>
      </c>
      <c r="K3399">
        <v>10</v>
      </c>
      <c r="L3399">
        <v>2</v>
      </c>
      <c r="M3399" s="11">
        <v>16970.830000000002</v>
      </c>
      <c r="N3399" s="12">
        <v>14105.09</v>
      </c>
      <c r="O3399" s="12">
        <v>1277.69</v>
      </c>
    </row>
    <row r="3400" spans="1:15">
      <c r="A3400" t="s">
        <v>3574</v>
      </c>
      <c r="B3400" t="s">
        <v>135</v>
      </c>
      <c r="C3400" s="9">
        <f>DATE(2026-D3360,1,1)</f>
        <v>36161</v>
      </c>
      <c r="D3400">
        <f ca="1">DATEDIF(C3351,TODAY(),"Y")</f>
        <v>50</v>
      </c>
      <c r="E3400" t="s">
        <v>17</v>
      </c>
      <c r="F3400" t="s">
        <v>29</v>
      </c>
      <c r="G3400" s="9">
        <v>44999</v>
      </c>
      <c r="H3400" s="9">
        <v>45364</v>
      </c>
      <c r="I3400">
        <v>1</v>
      </c>
      <c r="J3400" t="s">
        <v>35</v>
      </c>
      <c r="K3400">
        <v>6</v>
      </c>
      <c r="L3400">
        <v>6</v>
      </c>
      <c r="M3400" s="11">
        <v>18474.96</v>
      </c>
      <c r="N3400" s="12">
        <v>10842.43</v>
      </c>
      <c r="O3400" s="12">
        <v>5938.58</v>
      </c>
    </row>
    <row r="3401" spans="1:15">
      <c r="A3401" t="s">
        <v>3575</v>
      </c>
      <c r="B3401" t="s">
        <v>490</v>
      </c>
      <c r="C3401" s="9">
        <v>29586</v>
      </c>
      <c r="D3401">
        <v>45</v>
      </c>
      <c r="E3401" t="s">
        <v>5185</v>
      </c>
      <c r="F3401" t="s">
        <v>18</v>
      </c>
      <c r="G3401" s="9">
        <v>45283</v>
      </c>
      <c r="H3401" s="9">
        <v>45065</v>
      </c>
      <c r="I3401">
        <v>31</v>
      </c>
      <c r="J3401" t="s">
        <v>35</v>
      </c>
      <c r="K3401">
        <v>13</v>
      </c>
      <c r="L3401">
        <v>0</v>
      </c>
      <c r="M3401" s="11">
        <v>1320.3</v>
      </c>
      <c r="N3401" s="12">
        <v>5819.58</v>
      </c>
      <c r="O3401" s="12">
        <v>9211.25</v>
      </c>
    </row>
    <row r="3402" spans="1:15">
      <c r="A3402" t="s">
        <v>3576</v>
      </c>
      <c r="B3402" t="s">
        <v>16</v>
      </c>
      <c r="C3402" s="9">
        <v>23742</v>
      </c>
      <c r="D3402">
        <v>61</v>
      </c>
      <c r="E3402" t="s">
        <v>17</v>
      </c>
      <c r="F3402" t="s">
        <v>22</v>
      </c>
      <c r="G3402" s="9">
        <v>45529</v>
      </c>
      <c r="H3402" s="9">
        <v>45382</v>
      </c>
      <c r="I3402">
        <v>2</v>
      </c>
      <c r="J3402" t="s">
        <v>32</v>
      </c>
      <c r="K3402">
        <v>8</v>
      </c>
      <c r="L3402">
        <v>3</v>
      </c>
      <c r="M3402" s="11">
        <v>22588.22</v>
      </c>
      <c r="N3402" s="12">
        <v>8192.67</v>
      </c>
      <c r="O3402" s="12">
        <v>12550.2</v>
      </c>
    </row>
    <row r="3403" spans="1:15">
      <c r="A3403" t="s">
        <v>3577</v>
      </c>
      <c r="B3403" t="s">
        <v>82</v>
      </c>
      <c r="C3403" s="9">
        <v>43466</v>
      </c>
      <c r="D3403">
        <v>7</v>
      </c>
      <c r="E3403" t="s">
        <v>17</v>
      </c>
      <c r="F3403" t="s">
        <v>22</v>
      </c>
      <c r="G3403" s="9">
        <v>45410</v>
      </c>
      <c r="H3403" s="9">
        <v>45542</v>
      </c>
      <c r="I3403">
        <v>20</v>
      </c>
      <c r="J3403" t="s">
        <v>35</v>
      </c>
      <c r="K3403">
        <v>14</v>
      </c>
      <c r="L3403">
        <v>4</v>
      </c>
      <c r="M3403" s="11">
        <v>28351.23</v>
      </c>
      <c r="N3403" s="12">
        <v>6082.23</v>
      </c>
      <c r="O3403" s="12">
        <v>14547.04</v>
      </c>
    </row>
    <row r="3404" spans="1:15">
      <c r="A3404" t="s">
        <v>3578</v>
      </c>
      <c r="B3404" t="s">
        <v>133</v>
      </c>
      <c r="C3404" s="9">
        <v>30682</v>
      </c>
      <c r="D3404">
        <v>42</v>
      </c>
      <c r="E3404" t="s">
        <v>21</v>
      </c>
      <c r="F3404" t="s">
        <v>74</v>
      </c>
      <c r="G3404" s="9">
        <v>44932</v>
      </c>
      <c r="H3404" s="9">
        <v>45826</v>
      </c>
      <c r="I3404">
        <v>3</v>
      </c>
      <c r="J3404" t="s">
        <v>32</v>
      </c>
      <c r="K3404">
        <v>6</v>
      </c>
      <c r="L3404">
        <v>6</v>
      </c>
      <c r="M3404" s="11">
        <v>15357.19</v>
      </c>
      <c r="N3404" s="12">
        <v>1688.22</v>
      </c>
      <c r="O3404" s="12">
        <v>3491.69</v>
      </c>
    </row>
    <row r="3405" spans="1:15">
      <c r="A3405" t="s">
        <v>3579</v>
      </c>
      <c r="B3405" t="s">
        <v>93</v>
      </c>
      <c r="C3405" s="9">
        <v>39083</v>
      </c>
      <c r="D3405">
        <v>19</v>
      </c>
      <c r="E3405" t="s">
        <v>21</v>
      </c>
      <c r="F3405" t="s">
        <v>29</v>
      </c>
      <c r="G3405" s="9">
        <v>45636</v>
      </c>
      <c r="H3405" s="9">
        <v>44936</v>
      </c>
      <c r="I3405">
        <v>13</v>
      </c>
      <c r="J3405" t="s">
        <v>32</v>
      </c>
      <c r="K3405">
        <v>2</v>
      </c>
      <c r="L3405">
        <v>5</v>
      </c>
      <c r="M3405" s="11">
        <v>11421.5</v>
      </c>
      <c r="N3405" s="12">
        <v>5024.0600000000004</v>
      </c>
      <c r="O3405" s="12">
        <v>13646.85</v>
      </c>
    </row>
    <row r="3406" spans="1:15">
      <c r="A3406" t="s">
        <v>3580</v>
      </c>
      <c r="B3406" t="s">
        <v>681</v>
      </c>
      <c r="C3406" s="9">
        <v>13515</v>
      </c>
      <c r="D3406">
        <v>89</v>
      </c>
      <c r="E3406" t="s">
        <v>17</v>
      </c>
      <c r="F3406" t="s">
        <v>49</v>
      </c>
      <c r="G3406" s="9">
        <v>45634</v>
      </c>
      <c r="H3406" s="9">
        <v>45159</v>
      </c>
      <c r="I3406">
        <v>1</v>
      </c>
      <c r="J3406" t="s">
        <v>32</v>
      </c>
      <c r="K3406">
        <v>14</v>
      </c>
      <c r="L3406">
        <v>5</v>
      </c>
      <c r="M3406" s="11">
        <v>23436.27</v>
      </c>
      <c r="N3406" s="12">
        <v>12906.65</v>
      </c>
      <c r="O3406" s="12">
        <v>3569.06</v>
      </c>
    </row>
    <row r="3407" spans="1:15">
      <c r="A3407" t="s">
        <v>3581</v>
      </c>
      <c r="B3407" t="s">
        <v>71</v>
      </c>
      <c r="C3407" s="9">
        <v>32143</v>
      </c>
      <c r="D3407">
        <v>38</v>
      </c>
      <c r="E3407" t="s">
        <v>21</v>
      </c>
      <c r="F3407" t="s">
        <v>49</v>
      </c>
      <c r="G3407" s="9">
        <v>45063</v>
      </c>
      <c r="H3407" s="9">
        <v>45538</v>
      </c>
      <c r="I3407">
        <v>9</v>
      </c>
      <c r="J3407" t="s">
        <v>32</v>
      </c>
      <c r="K3407">
        <v>12</v>
      </c>
      <c r="L3407">
        <v>1</v>
      </c>
      <c r="M3407" s="11">
        <v>21470.77</v>
      </c>
      <c r="N3407" s="12">
        <v>6918.03</v>
      </c>
      <c r="O3407" s="12">
        <v>19943.580000000002</v>
      </c>
    </row>
    <row r="3408" spans="1:15">
      <c r="A3408" t="s">
        <v>3582</v>
      </c>
      <c r="B3408" t="s">
        <v>232</v>
      </c>
      <c r="C3408" s="9">
        <v>15341</v>
      </c>
      <c r="D3408">
        <v>84</v>
      </c>
      <c r="E3408" t="s">
        <v>21</v>
      </c>
      <c r="F3408" t="s">
        <v>18</v>
      </c>
      <c r="G3408" s="9">
        <v>45330</v>
      </c>
      <c r="H3408" s="9">
        <v>45657</v>
      </c>
      <c r="I3408">
        <v>24</v>
      </c>
      <c r="J3408" t="s">
        <v>32</v>
      </c>
      <c r="K3408">
        <v>1</v>
      </c>
      <c r="L3408">
        <v>1</v>
      </c>
      <c r="M3408" s="11">
        <v>19354.759999999998</v>
      </c>
      <c r="N3408" s="12">
        <v>8769.56</v>
      </c>
      <c r="O3408" s="12">
        <v>19177.27</v>
      </c>
    </row>
    <row r="3409" spans="1:15">
      <c r="A3409" t="s">
        <v>3583</v>
      </c>
      <c r="B3409" t="s">
        <v>392</v>
      </c>
      <c r="C3409" s="9">
        <v>28490</v>
      </c>
      <c r="D3409">
        <v>48</v>
      </c>
      <c r="E3409" t="s">
        <v>21</v>
      </c>
      <c r="F3409" t="s">
        <v>49</v>
      </c>
      <c r="G3409" s="9">
        <v>45554</v>
      </c>
      <c r="H3409" s="9">
        <v>45324</v>
      </c>
      <c r="I3409">
        <v>16</v>
      </c>
      <c r="J3409" t="s">
        <v>26</v>
      </c>
      <c r="K3409">
        <v>2</v>
      </c>
      <c r="L3409">
        <v>1</v>
      </c>
      <c r="M3409" s="11">
        <v>28943.22</v>
      </c>
      <c r="N3409" s="12">
        <v>2721.7</v>
      </c>
      <c r="O3409" s="12">
        <v>1958.39</v>
      </c>
    </row>
    <row r="3410" spans="1:15">
      <c r="A3410" t="s">
        <v>3584</v>
      </c>
      <c r="B3410" t="s">
        <v>192</v>
      </c>
      <c r="C3410" s="9">
        <v>23012</v>
      </c>
      <c r="D3410">
        <v>63</v>
      </c>
      <c r="E3410" t="s">
        <v>17</v>
      </c>
      <c r="F3410" t="s">
        <v>49</v>
      </c>
      <c r="G3410" s="9">
        <v>45481</v>
      </c>
      <c r="H3410" s="9">
        <v>45676</v>
      </c>
      <c r="I3410">
        <v>25</v>
      </c>
      <c r="J3410" t="s">
        <v>35</v>
      </c>
      <c r="K3410">
        <v>4</v>
      </c>
      <c r="L3410">
        <v>9</v>
      </c>
      <c r="M3410" s="11">
        <v>0</v>
      </c>
      <c r="N3410" s="12">
        <v>5343.47</v>
      </c>
      <c r="O3410" s="12">
        <v>13067.91</v>
      </c>
    </row>
    <row r="3411" spans="1:15">
      <c r="A3411" t="s">
        <v>3585</v>
      </c>
      <c r="B3411" t="s">
        <v>196</v>
      </c>
      <c r="C3411" s="9">
        <v>23742</v>
      </c>
      <c r="D3411">
        <v>61</v>
      </c>
      <c r="E3411" t="s">
        <v>21</v>
      </c>
      <c r="F3411" t="s">
        <v>5184</v>
      </c>
      <c r="G3411" s="9">
        <v>45496</v>
      </c>
      <c r="H3411" s="9">
        <v>45661</v>
      </c>
      <c r="I3411">
        <v>32</v>
      </c>
      <c r="J3411" t="s">
        <v>35</v>
      </c>
      <c r="K3411">
        <v>14</v>
      </c>
      <c r="L3411">
        <v>7</v>
      </c>
      <c r="M3411" s="11">
        <v>7075.46</v>
      </c>
      <c r="N3411" s="12">
        <v>13938.07</v>
      </c>
      <c r="O3411" s="12">
        <v>18055.66</v>
      </c>
    </row>
    <row r="3412" spans="1:15">
      <c r="A3412" t="s">
        <v>3586</v>
      </c>
      <c r="B3412" t="s">
        <v>170</v>
      </c>
      <c r="C3412" s="9">
        <v>26664</v>
      </c>
      <c r="D3412">
        <v>53</v>
      </c>
      <c r="E3412" t="s">
        <v>17</v>
      </c>
      <c r="F3412" t="s">
        <v>29</v>
      </c>
      <c r="G3412" s="9">
        <v>45132</v>
      </c>
      <c r="H3412" s="9">
        <v>45607</v>
      </c>
      <c r="I3412">
        <v>1</v>
      </c>
      <c r="J3412" t="s">
        <v>32</v>
      </c>
      <c r="K3412">
        <v>8</v>
      </c>
      <c r="L3412">
        <v>6</v>
      </c>
      <c r="M3412" s="11">
        <v>255.36</v>
      </c>
      <c r="N3412" s="12">
        <v>4713.68</v>
      </c>
      <c r="O3412" s="12">
        <v>1522.12</v>
      </c>
    </row>
    <row r="3413" spans="1:15">
      <c r="A3413" t="s">
        <v>3587</v>
      </c>
      <c r="B3413" t="s">
        <v>37</v>
      </c>
      <c r="C3413" s="9">
        <v>43100</v>
      </c>
      <c r="D3413">
        <v>8</v>
      </c>
      <c r="E3413" t="s">
        <v>21</v>
      </c>
      <c r="F3413" t="s">
        <v>29</v>
      </c>
      <c r="G3413" s="9">
        <v>45336</v>
      </c>
      <c r="H3413" s="9">
        <v>45809</v>
      </c>
      <c r="I3413">
        <v>4</v>
      </c>
      <c r="J3413" t="s">
        <v>32</v>
      </c>
      <c r="K3413">
        <v>9</v>
      </c>
      <c r="L3413">
        <v>0</v>
      </c>
      <c r="M3413" s="11">
        <v>13330.59</v>
      </c>
      <c r="N3413" s="12">
        <v>3758.42</v>
      </c>
      <c r="O3413" s="12">
        <v>2392.0300000000002</v>
      </c>
    </row>
    <row r="3414" spans="1:15">
      <c r="A3414" t="s">
        <v>3588</v>
      </c>
      <c r="B3414" t="s">
        <v>147</v>
      </c>
      <c r="C3414" s="9">
        <v>14246</v>
      </c>
      <c r="D3414">
        <v>87</v>
      </c>
      <c r="E3414" t="s">
        <v>21</v>
      </c>
      <c r="F3414" t="s">
        <v>5184</v>
      </c>
      <c r="G3414" s="9">
        <v>45532</v>
      </c>
      <c r="H3414" s="9">
        <v>45501</v>
      </c>
      <c r="I3414">
        <v>34</v>
      </c>
      <c r="J3414" t="s">
        <v>32</v>
      </c>
      <c r="K3414">
        <v>11</v>
      </c>
      <c r="L3414">
        <v>8</v>
      </c>
      <c r="M3414" s="11">
        <v>19395.87</v>
      </c>
      <c r="N3414" s="12">
        <v>838.5</v>
      </c>
      <c r="O3414" s="12">
        <v>6874.65</v>
      </c>
    </row>
    <row r="3415" spans="1:15">
      <c r="A3415" t="s">
        <v>3589</v>
      </c>
      <c r="B3415" t="s">
        <v>73</v>
      </c>
      <c r="C3415" s="9">
        <v>32873</v>
      </c>
      <c r="D3415">
        <v>36</v>
      </c>
      <c r="E3415" t="s">
        <v>17</v>
      </c>
      <c r="F3415" t="s">
        <v>18</v>
      </c>
      <c r="G3415" s="9">
        <v>44962</v>
      </c>
      <c r="H3415" s="9">
        <v>45245</v>
      </c>
      <c r="I3415">
        <v>22</v>
      </c>
      <c r="J3415" t="s">
        <v>32</v>
      </c>
      <c r="K3415">
        <v>4</v>
      </c>
      <c r="L3415">
        <v>7</v>
      </c>
      <c r="M3415" s="11">
        <v>4750.24</v>
      </c>
      <c r="N3415" s="12">
        <v>1458.46</v>
      </c>
      <c r="O3415" s="12">
        <v>1824.14</v>
      </c>
    </row>
    <row r="3416" spans="1:15">
      <c r="A3416" t="s">
        <v>3590</v>
      </c>
      <c r="B3416" t="s">
        <v>232</v>
      </c>
      <c r="C3416" s="9">
        <v>28490</v>
      </c>
      <c r="D3416">
        <v>48</v>
      </c>
      <c r="E3416" t="s">
        <v>21</v>
      </c>
      <c r="F3416" t="s">
        <v>22</v>
      </c>
      <c r="G3416" s="9">
        <v>45156</v>
      </c>
      <c r="H3416" s="9">
        <v>45434</v>
      </c>
      <c r="I3416">
        <v>38</v>
      </c>
      <c r="J3416" t="s">
        <v>32</v>
      </c>
      <c r="K3416">
        <v>4</v>
      </c>
      <c r="L3416">
        <v>8</v>
      </c>
      <c r="M3416" s="11">
        <v>285.79000000000002</v>
      </c>
      <c r="N3416" s="12">
        <v>8771.84</v>
      </c>
      <c r="O3416" s="12">
        <v>17700.400000000001</v>
      </c>
    </row>
    <row r="3417" spans="1:15">
      <c r="A3417" t="s">
        <v>3591</v>
      </c>
      <c r="B3417" t="s">
        <v>244</v>
      </c>
      <c r="C3417" s="9">
        <v>31412</v>
      </c>
      <c r="D3417">
        <v>40</v>
      </c>
      <c r="E3417" t="s">
        <v>17</v>
      </c>
      <c r="F3417" t="s">
        <v>74</v>
      </c>
      <c r="G3417" s="9">
        <v>45153</v>
      </c>
      <c r="H3417" s="9">
        <v>45449</v>
      </c>
      <c r="I3417">
        <v>14</v>
      </c>
      <c r="J3417" t="s">
        <v>26</v>
      </c>
      <c r="K3417">
        <v>12</v>
      </c>
      <c r="L3417">
        <v>3</v>
      </c>
      <c r="M3417" s="11">
        <v>0</v>
      </c>
      <c r="N3417" s="12">
        <v>9900.49</v>
      </c>
      <c r="O3417" s="12">
        <v>17498.45</v>
      </c>
    </row>
    <row r="3418" spans="1:15">
      <c r="A3418" t="s">
        <v>3592</v>
      </c>
      <c r="B3418" t="s">
        <v>46</v>
      </c>
      <c r="C3418" s="9">
        <v>40178</v>
      </c>
      <c r="D3418">
        <v>16</v>
      </c>
      <c r="E3418" t="s">
        <v>21</v>
      </c>
      <c r="F3418" t="s">
        <v>18</v>
      </c>
      <c r="G3418" s="9">
        <v>45621</v>
      </c>
      <c r="H3418" s="9">
        <v>45673</v>
      </c>
      <c r="I3418">
        <v>38</v>
      </c>
      <c r="J3418" t="s">
        <v>35</v>
      </c>
      <c r="K3418">
        <v>10</v>
      </c>
      <c r="L3418">
        <v>4</v>
      </c>
      <c r="M3418" s="11">
        <v>8709.4</v>
      </c>
      <c r="N3418" s="12">
        <v>9623.7099999999991</v>
      </c>
      <c r="O3418" s="12">
        <v>18969.12</v>
      </c>
    </row>
    <row r="3419" spans="1:15">
      <c r="A3419" t="s">
        <v>3593</v>
      </c>
      <c r="B3419" t="s">
        <v>356</v>
      </c>
      <c r="C3419" s="9">
        <v>14246</v>
      </c>
      <c r="D3419">
        <v>87</v>
      </c>
      <c r="E3419" t="s">
        <v>21</v>
      </c>
      <c r="F3419" t="s">
        <v>25</v>
      </c>
      <c r="G3419" s="9">
        <v>45188</v>
      </c>
      <c r="H3419" s="9">
        <v>45014</v>
      </c>
      <c r="I3419">
        <v>11</v>
      </c>
      <c r="J3419" t="s">
        <v>32</v>
      </c>
      <c r="K3419">
        <v>5</v>
      </c>
      <c r="L3419">
        <v>4</v>
      </c>
      <c r="M3419" s="11">
        <v>13714.51</v>
      </c>
      <c r="N3419" s="12">
        <v>8097.44</v>
      </c>
      <c r="O3419" s="12">
        <v>4020.34</v>
      </c>
    </row>
    <row r="3420" spans="1:15">
      <c r="A3420" t="s">
        <v>3594</v>
      </c>
      <c r="B3420" t="s">
        <v>242</v>
      </c>
      <c r="C3420" s="9">
        <v>38717</v>
      </c>
      <c r="D3420">
        <v>20</v>
      </c>
      <c r="E3420" t="s">
        <v>21</v>
      </c>
      <c r="F3420" t="s">
        <v>49</v>
      </c>
      <c r="G3420" s="9">
        <v>45057</v>
      </c>
      <c r="H3420" s="9">
        <v>45706</v>
      </c>
      <c r="I3420">
        <v>34</v>
      </c>
      <c r="J3420" t="s">
        <v>26</v>
      </c>
      <c r="K3420">
        <v>10</v>
      </c>
      <c r="L3420">
        <v>8</v>
      </c>
      <c r="M3420" s="11">
        <v>2277.66</v>
      </c>
      <c r="N3420" s="12">
        <v>7364.57</v>
      </c>
      <c r="O3420" s="12">
        <v>811.56</v>
      </c>
    </row>
    <row r="3421" spans="1:15">
      <c r="A3421" t="s">
        <v>3595</v>
      </c>
      <c r="B3421" t="s">
        <v>211</v>
      </c>
      <c r="C3421" s="9">
        <v>27760</v>
      </c>
      <c r="D3421">
        <v>50</v>
      </c>
      <c r="E3421" t="s">
        <v>17</v>
      </c>
      <c r="F3421" t="s">
        <v>5184</v>
      </c>
      <c r="G3421" s="9">
        <v>45503</v>
      </c>
      <c r="H3421" s="9">
        <v>45643</v>
      </c>
      <c r="I3421">
        <v>1</v>
      </c>
      <c r="J3421" t="s">
        <v>35</v>
      </c>
      <c r="K3421">
        <v>9</v>
      </c>
      <c r="L3421">
        <v>7</v>
      </c>
      <c r="M3421" s="11">
        <v>0</v>
      </c>
      <c r="N3421" s="12">
        <v>1082.1099999999999</v>
      </c>
      <c r="O3421" s="12">
        <v>8837.02</v>
      </c>
    </row>
    <row r="3422" spans="1:15">
      <c r="A3422" t="s">
        <v>3596</v>
      </c>
      <c r="B3422" t="s">
        <v>397</v>
      </c>
      <c r="C3422" s="9">
        <v>24838</v>
      </c>
      <c r="D3422">
        <v>58</v>
      </c>
      <c r="E3422" t="s">
        <v>17</v>
      </c>
      <c r="F3422" t="s">
        <v>74</v>
      </c>
      <c r="G3422" s="9">
        <v>45374</v>
      </c>
      <c r="H3422" s="9">
        <v>45245</v>
      </c>
      <c r="I3422">
        <v>21</v>
      </c>
      <c r="J3422" t="s">
        <v>26</v>
      </c>
      <c r="K3422">
        <v>1</v>
      </c>
      <c r="L3422">
        <v>9</v>
      </c>
      <c r="M3422" s="11">
        <v>12425.09</v>
      </c>
      <c r="N3422" s="12">
        <v>12610.43</v>
      </c>
      <c r="O3422" s="12">
        <v>17599.12</v>
      </c>
    </row>
    <row r="3423" spans="1:15">
      <c r="A3423" t="s">
        <v>3597</v>
      </c>
      <c r="B3423" t="s">
        <v>143</v>
      </c>
      <c r="C3423" s="9">
        <v>32143</v>
      </c>
      <c r="D3423">
        <f ca="1">DATEDIF(C3374,TODAY(),"Y")</f>
        <v>86</v>
      </c>
      <c r="E3423" t="s">
        <v>17</v>
      </c>
      <c r="F3423" t="s">
        <v>22</v>
      </c>
      <c r="G3423" s="9">
        <v>45112</v>
      </c>
      <c r="H3423" s="9">
        <v>45260</v>
      </c>
      <c r="I3423">
        <v>12</v>
      </c>
      <c r="J3423" t="s">
        <v>32</v>
      </c>
      <c r="K3423">
        <v>14</v>
      </c>
      <c r="L3423">
        <v>5</v>
      </c>
      <c r="M3423" s="11">
        <v>0</v>
      </c>
      <c r="N3423" s="12">
        <v>7696.21</v>
      </c>
      <c r="O3423" s="12">
        <v>12732.78</v>
      </c>
    </row>
    <row r="3424" spans="1:15">
      <c r="A3424" t="s">
        <v>3598</v>
      </c>
      <c r="B3424" t="s">
        <v>93</v>
      </c>
      <c r="C3424" s="9">
        <v>26299</v>
      </c>
      <c r="D3424">
        <v>54</v>
      </c>
      <c r="E3424" t="s">
        <v>21</v>
      </c>
      <c r="F3424" t="s">
        <v>22</v>
      </c>
      <c r="G3424" s="9">
        <v>45555</v>
      </c>
      <c r="H3424" s="9">
        <v>45287</v>
      </c>
      <c r="I3424">
        <v>30</v>
      </c>
      <c r="J3424" t="s">
        <v>26</v>
      </c>
      <c r="K3424">
        <v>8</v>
      </c>
      <c r="L3424">
        <v>9</v>
      </c>
      <c r="M3424" s="11">
        <v>25896.45</v>
      </c>
      <c r="N3424" s="12">
        <v>1978.72</v>
      </c>
      <c r="O3424" s="12">
        <v>19966.169999999998</v>
      </c>
    </row>
    <row r="3425" spans="1:15">
      <c r="A3425" t="s">
        <v>3599</v>
      </c>
      <c r="B3425" t="s">
        <v>244</v>
      </c>
      <c r="C3425" s="9">
        <v>31412</v>
      </c>
      <c r="D3425">
        <v>40</v>
      </c>
      <c r="E3425" t="s">
        <v>17</v>
      </c>
      <c r="F3425" t="s">
        <v>29</v>
      </c>
      <c r="G3425" s="9">
        <v>45112</v>
      </c>
      <c r="H3425" s="9">
        <v>45168</v>
      </c>
      <c r="I3425">
        <v>9</v>
      </c>
      <c r="J3425" t="s">
        <v>26</v>
      </c>
      <c r="K3425">
        <v>1</v>
      </c>
      <c r="L3425">
        <v>9</v>
      </c>
      <c r="M3425" s="11">
        <v>5264.56</v>
      </c>
      <c r="N3425" s="12">
        <v>2037.74</v>
      </c>
      <c r="O3425" s="12">
        <v>18104.3</v>
      </c>
    </row>
    <row r="3426" spans="1:15">
      <c r="A3426" t="s">
        <v>3600</v>
      </c>
      <c r="B3426" t="s">
        <v>232</v>
      </c>
      <c r="C3426" s="9">
        <v>32143</v>
      </c>
      <c r="D3426">
        <v>38</v>
      </c>
      <c r="E3426" t="s">
        <v>17</v>
      </c>
      <c r="F3426" t="s">
        <v>25</v>
      </c>
      <c r="G3426" s="9">
        <v>45200</v>
      </c>
      <c r="H3426" s="9">
        <v>44983</v>
      </c>
      <c r="I3426">
        <v>16</v>
      </c>
      <c r="J3426" t="s">
        <v>32</v>
      </c>
      <c r="K3426">
        <v>14</v>
      </c>
      <c r="L3426">
        <v>0</v>
      </c>
      <c r="M3426" s="11">
        <v>16459.900000000001</v>
      </c>
      <c r="N3426" s="12">
        <v>7694.35</v>
      </c>
      <c r="O3426" s="12">
        <v>7794.28</v>
      </c>
    </row>
    <row r="3427" spans="1:15">
      <c r="A3427" t="s">
        <v>3601</v>
      </c>
      <c r="B3427" t="s">
        <v>278</v>
      </c>
      <c r="C3427" s="9">
        <v>41639</v>
      </c>
      <c r="D3427">
        <v>12</v>
      </c>
      <c r="E3427" t="s">
        <v>17</v>
      </c>
      <c r="F3427" t="s">
        <v>22</v>
      </c>
      <c r="G3427" s="9">
        <v>45589</v>
      </c>
      <c r="H3427" s="9">
        <v>45037</v>
      </c>
      <c r="I3427">
        <v>2</v>
      </c>
      <c r="J3427" t="s">
        <v>32</v>
      </c>
      <c r="K3427">
        <v>5</v>
      </c>
      <c r="L3427">
        <v>6</v>
      </c>
      <c r="M3427" s="11">
        <v>21803.06</v>
      </c>
      <c r="N3427" s="12">
        <v>3668.65</v>
      </c>
      <c r="O3427" s="12">
        <v>694.61</v>
      </c>
    </row>
    <row r="3428" spans="1:15">
      <c r="A3428" t="s">
        <v>3602</v>
      </c>
      <c r="B3428" t="s">
        <v>119</v>
      </c>
      <c r="C3428" s="9">
        <v>23012</v>
      </c>
      <c r="D3428">
        <v>63</v>
      </c>
      <c r="E3428" t="s">
        <v>17</v>
      </c>
      <c r="F3428" t="s">
        <v>25</v>
      </c>
      <c r="G3428" s="9">
        <v>45278</v>
      </c>
      <c r="H3428" s="9">
        <v>44976</v>
      </c>
      <c r="I3428">
        <v>2</v>
      </c>
      <c r="J3428" t="s">
        <v>32</v>
      </c>
      <c r="K3428">
        <v>10</v>
      </c>
      <c r="L3428">
        <v>8</v>
      </c>
      <c r="M3428" s="11">
        <v>8401.44</v>
      </c>
      <c r="N3428" s="12">
        <v>13829.47</v>
      </c>
      <c r="O3428" s="12">
        <v>3.94</v>
      </c>
    </row>
    <row r="3429" spans="1:15">
      <c r="A3429" t="s">
        <v>3603</v>
      </c>
      <c r="B3429" t="s">
        <v>187</v>
      </c>
      <c r="C3429" s="9">
        <f>DATE(2026-D3389,1,1)</f>
        <v>25569</v>
      </c>
      <c r="D3429">
        <v>10</v>
      </c>
      <c r="E3429" t="s">
        <v>17</v>
      </c>
      <c r="F3429" t="s">
        <v>49</v>
      </c>
      <c r="G3429" s="9">
        <v>45339</v>
      </c>
      <c r="H3429" s="9">
        <v>45682</v>
      </c>
      <c r="I3429">
        <v>6</v>
      </c>
      <c r="J3429" t="s">
        <v>32</v>
      </c>
      <c r="K3429">
        <v>2</v>
      </c>
      <c r="L3429">
        <v>3</v>
      </c>
      <c r="M3429" s="11">
        <v>11530.21</v>
      </c>
      <c r="N3429" s="12">
        <v>7484.23</v>
      </c>
      <c r="O3429" s="12">
        <v>12848.54</v>
      </c>
    </row>
    <row r="3430" spans="1:15">
      <c r="A3430" t="s">
        <v>3604</v>
      </c>
      <c r="B3430" t="s">
        <v>615</v>
      </c>
      <c r="C3430" s="9">
        <v>39448</v>
      </c>
      <c r="D3430">
        <v>18</v>
      </c>
      <c r="E3430" t="s">
        <v>21</v>
      </c>
      <c r="F3430" t="s">
        <v>29</v>
      </c>
      <c r="G3430" s="9">
        <v>45077</v>
      </c>
      <c r="H3430" s="9">
        <v>44943</v>
      </c>
      <c r="I3430">
        <v>36</v>
      </c>
      <c r="J3430" t="s">
        <v>35</v>
      </c>
      <c r="K3430">
        <v>4</v>
      </c>
      <c r="L3430">
        <v>3</v>
      </c>
      <c r="M3430" s="11">
        <v>29538.880000000001</v>
      </c>
      <c r="N3430" s="12">
        <v>14676.28</v>
      </c>
      <c r="O3430" s="12">
        <v>18306.900000000001</v>
      </c>
    </row>
    <row r="3431" spans="1:15">
      <c r="A3431" t="s">
        <v>3605</v>
      </c>
      <c r="B3431" t="s">
        <v>332</v>
      </c>
      <c r="C3431" s="9">
        <v>42370</v>
      </c>
      <c r="D3431">
        <v>10</v>
      </c>
      <c r="E3431" t="s">
        <v>17</v>
      </c>
      <c r="F3431" t="s">
        <v>74</v>
      </c>
      <c r="G3431" s="9">
        <v>45310</v>
      </c>
      <c r="H3431" s="9">
        <v>45000</v>
      </c>
      <c r="I3431">
        <v>31</v>
      </c>
      <c r="J3431" t="s">
        <v>32</v>
      </c>
      <c r="K3431">
        <v>4</v>
      </c>
      <c r="L3431">
        <v>4</v>
      </c>
      <c r="M3431" s="11">
        <v>22671.83</v>
      </c>
      <c r="N3431" s="12">
        <v>11012.38</v>
      </c>
      <c r="O3431" s="12">
        <v>8829.0300000000007</v>
      </c>
    </row>
    <row r="3432" spans="1:15">
      <c r="A3432" t="s">
        <v>3606</v>
      </c>
      <c r="B3432" t="s">
        <v>168</v>
      </c>
      <c r="C3432" s="9">
        <v>18263</v>
      </c>
      <c r="D3432">
        <v>76</v>
      </c>
      <c r="E3432" t="s">
        <v>21</v>
      </c>
      <c r="F3432" t="s">
        <v>29</v>
      </c>
      <c r="G3432" s="9">
        <v>44962</v>
      </c>
      <c r="H3432" s="9">
        <v>45811</v>
      </c>
      <c r="I3432">
        <v>26</v>
      </c>
      <c r="J3432" t="s">
        <v>32</v>
      </c>
      <c r="K3432">
        <v>7</v>
      </c>
      <c r="L3432">
        <v>7</v>
      </c>
      <c r="M3432" s="11">
        <v>12833.99</v>
      </c>
      <c r="N3432" s="12">
        <v>12160.48</v>
      </c>
      <c r="O3432" s="12">
        <v>17473.27</v>
      </c>
    </row>
    <row r="3433" spans="1:15">
      <c r="A3433" t="s">
        <v>3607</v>
      </c>
      <c r="B3433" t="s">
        <v>82</v>
      </c>
      <c r="C3433" s="9">
        <v>29586</v>
      </c>
      <c r="D3433">
        <v>45</v>
      </c>
      <c r="E3433" t="s">
        <v>17</v>
      </c>
      <c r="F3433" t="s">
        <v>49</v>
      </c>
      <c r="G3433" s="9">
        <v>45252</v>
      </c>
      <c r="H3433" s="9">
        <v>45129</v>
      </c>
      <c r="I3433">
        <v>1</v>
      </c>
      <c r="J3433" t="s">
        <v>35</v>
      </c>
      <c r="K3433">
        <v>0</v>
      </c>
      <c r="L3433">
        <v>4</v>
      </c>
      <c r="M3433" s="11">
        <v>15789.49</v>
      </c>
      <c r="N3433" s="12">
        <v>5833.18</v>
      </c>
      <c r="O3433" s="12">
        <v>11291.49</v>
      </c>
    </row>
    <row r="3434" spans="1:15">
      <c r="A3434" t="s">
        <v>3608</v>
      </c>
      <c r="B3434" t="s">
        <v>184</v>
      </c>
      <c r="C3434" s="9">
        <f>DATE(2026-D3394,1,1)</f>
        <v>28856</v>
      </c>
      <c r="D3434">
        <v>44</v>
      </c>
      <c r="E3434" t="s">
        <v>21</v>
      </c>
      <c r="F3434" t="s">
        <v>5184</v>
      </c>
      <c r="G3434" s="9">
        <v>45391</v>
      </c>
      <c r="H3434" s="9">
        <v>45020</v>
      </c>
      <c r="I3434">
        <v>16</v>
      </c>
      <c r="J3434" t="s">
        <v>26</v>
      </c>
      <c r="K3434">
        <v>2</v>
      </c>
      <c r="L3434">
        <v>3</v>
      </c>
      <c r="M3434" s="11">
        <v>18586.36</v>
      </c>
      <c r="N3434" s="12">
        <v>2010.31</v>
      </c>
      <c r="O3434" s="12">
        <v>1870.2</v>
      </c>
    </row>
    <row r="3435" spans="1:15">
      <c r="A3435" t="s">
        <v>3609</v>
      </c>
      <c r="B3435" t="s">
        <v>244</v>
      </c>
      <c r="C3435" s="9">
        <v>46022</v>
      </c>
      <c r="D3435">
        <v>0</v>
      </c>
      <c r="E3435" t="s">
        <v>21</v>
      </c>
      <c r="F3435" t="s">
        <v>22</v>
      </c>
      <c r="G3435" s="9">
        <v>45392</v>
      </c>
      <c r="H3435" s="9">
        <v>45576</v>
      </c>
      <c r="I3435">
        <v>25</v>
      </c>
      <c r="J3435" t="s">
        <v>26</v>
      </c>
      <c r="K3435">
        <v>2</v>
      </c>
      <c r="L3435">
        <v>7</v>
      </c>
      <c r="M3435" s="11">
        <v>14714.64</v>
      </c>
      <c r="N3435" s="12">
        <v>10345.44</v>
      </c>
      <c r="O3435" s="12">
        <v>15946.14</v>
      </c>
    </row>
    <row r="3436" spans="1:15">
      <c r="A3436" t="s">
        <v>3610</v>
      </c>
      <c r="B3436" t="s">
        <v>412</v>
      </c>
      <c r="C3436" s="9">
        <v>31778</v>
      </c>
      <c r="D3436">
        <v>39</v>
      </c>
      <c r="E3436" t="s">
        <v>21</v>
      </c>
      <c r="F3436" t="s">
        <v>25</v>
      </c>
      <c r="G3436" s="9">
        <v>45021</v>
      </c>
      <c r="H3436" s="9">
        <v>44960</v>
      </c>
      <c r="I3436">
        <v>32</v>
      </c>
      <c r="J3436" t="s">
        <v>26</v>
      </c>
      <c r="K3436">
        <v>5</v>
      </c>
      <c r="L3436">
        <v>4</v>
      </c>
      <c r="M3436" s="11">
        <v>12054.41</v>
      </c>
      <c r="N3436" s="12">
        <v>6106.07</v>
      </c>
      <c r="O3436" s="12">
        <v>9801.14</v>
      </c>
    </row>
    <row r="3437" spans="1:15">
      <c r="A3437" t="s">
        <v>3611</v>
      </c>
      <c r="B3437" t="s">
        <v>372</v>
      </c>
      <c r="C3437" s="9">
        <v>39448</v>
      </c>
      <c r="D3437">
        <v>18</v>
      </c>
      <c r="E3437" t="s">
        <v>21</v>
      </c>
      <c r="F3437" t="s">
        <v>5184</v>
      </c>
      <c r="G3437" s="9">
        <v>45060</v>
      </c>
      <c r="H3437" s="9">
        <v>45527</v>
      </c>
      <c r="I3437">
        <v>37</v>
      </c>
      <c r="J3437" t="s">
        <v>32</v>
      </c>
      <c r="K3437">
        <v>14</v>
      </c>
      <c r="L3437">
        <v>7</v>
      </c>
      <c r="M3437" s="11">
        <v>10460.17</v>
      </c>
      <c r="N3437" s="12">
        <v>14233.23</v>
      </c>
      <c r="O3437" s="12">
        <v>926.38</v>
      </c>
    </row>
    <row r="3438" spans="1:15">
      <c r="A3438" t="s">
        <v>3612</v>
      </c>
      <c r="B3438" t="s">
        <v>372</v>
      </c>
      <c r="C3438" s="9">
        <v>18629</v>
      </c>
      <c r="D3438">
        <v>75</v>
      </c>
      <c r="E3438" t="s">
        <v>21</v>
      </c>
      <c r="F3438" t="s">
        <v>49</v>
      </c>
      <c r="G3438" s="9">
        <v>45088</v>
      </c>
      <c r="H3438" s="9">
        <v>45346</v>
      </c>
      <c r="I3438">
        <v>19</v>
      </c>
      <c r="J3438" t="s">
        <v>35</v>
      </c>
      <c r="K3438">
        <v>1</v>
      </c>
      <c r="L3438">
        <v>0</v>
      </c>
      <c r="M3438" s="11">
        <v>4653.9399999999996</v>
      </c>
      <c r="N3438" s="12">
        <v>2904.48</v>
      </c>
      <c r="O3438" s="12">
        <v>16273.53</v>
      </c>
    </row>
    <row r="3439" spans="1:15">
      <c r="A3439" t="s">
        <v>3613</v>
      </c>
      <c r="B3439" t="s">
        <v>596</v>
      </c>
      <c r="C3439" s="9">
        <v>20090</v>
      </c>
      <c r="D3439">
        <v>71</v>
      </c>
      <c r="E3439" t="s">
        <v>17</v>
      </c>
      <c r="F3439" t="s">
        <v>22</v>
      </c>
      <c r="G3439" s="9">
        <v>45482</v>
      </c>
      <c r="H3439" s="9">
        <v>45130</v>
      </c>
      <c r="I3439">
        <v>1</v>
      </c>
      <c r="J3439" t="s">
        <v>26</v>
      </c>
      <c r="K3439">
        <v>3</v>
      </c>
      <c r="L3439">
        <v>2</v>
      </c>
      <c r="M3439" s="11">
        <v>29195.439999999999</v>
      </c>
      <c r="N3439" s="12">
        <v>9397.5499999999993</v>
      </c>
      <c r="O3439" s="12">
        <v>15128.85</v>
      </c>
    </row>
    <row r="3440" spans="1:15">
      <c r="A3440" t="s">
        <v>3614</v>
      </c>
      <c r="B3440" t="s">
        <v>117</v>
      </c>
      <c r="C3440" s="9">
        <v>20090</v>
      </c>
      <c r="D3440">
        <v>71</v>
      </c>
      <c r="E3440" t="s">
        <v>17</v>
      </c>
      <c r="F3440" t="s">
        <v>18</v>
      </c>
      <c r="G3440" s="9">
        <v>45226</v>
      </c>
      <c r="H3440" s="9">
        <v>45478</v>
      </c>
      <c r="I3440">
        <v>5</v>
      </c>
      <c r="J3440" t="s">
        <v>32</v>
      </c>
      <c r="K3440">
        <v>12</v>
      </c>
      <c r="L3440">
        <v>6</v>
      </c>
      <c r="M3440" s="11">
        <v>2288.09</v>
      </c>
      <c r="N3440" s="12">
        <v>12990.92</v>
      </c>
      <c r="O3440" s="12">
        <v>9091.4699999999993</v>
      </c>
    </row>
    <row r="3441" spans="1:15">
      <c r="A3441" t="s">
        <v>3615</v>
      </c>
      <c r="B3441" t="s">
        <v>275</v>
      </c>
      <c r="C3441" s="9">
        <v>24107</v>
      </c>
      <c r="D3441">
        <v>60</v>
      </c>
      <c r="E3441" t="s">
        <v>17</v>
      </c>
      <c r="F3441" t="s">
        <v>25</v>
      </c>
      <c r="G3441" s="9">
        <v>45282</v>
      </c>
      <c r="H3441" s="9">
        <v>45553</v>
      </c>
      <c r="I3441">
        <v>2</v>
      </c>
      <c r="J3441" t="s">
        <v>32</v>
      </c>
      <c r="K3441">
        <v>9</v>
      </c>
      <c r="L3441">
        <v>0</v>
      </c>
      <c r="M3441" s="11">
        <v>17831.18</v>
      </c>
      <c r="N3441" s="12">
        <v>6042.44</v>
      </c>
      <c r="O3441" s="12">
        <v>291.23</v>
      </c>
    </row>
    <row r="3442" spans="1:15">
      <c r="A3442" t="s">
        <v>3616</v>
      </c>
      <c r="B3442" t="s">
        <v>306</v>
      </c>
      <c r="C3442" s="9">
        <v>42005</v>
      </c>
      <c r="D3442">
        <v>11</v>
      </c>
      <c r="E3442" t="s">
        <v>17</v>
      </c>
      <c r="F3442" t="s">
        <v>49</v>
      </c>
      <c r="G3442" s="9">
        <v>45166</v>
      </c>
      <c r="H3442" s="9">
        <v>45772</v>
      </c>
      <c r="I3442">
        <v>33</v>
      </c>
      <c r="J3442" t="s">
        <v>32</v>
      </c>
      <c r="K3442">
        <v>2</v>
      </c>
      <c r="L3442">
        <v>4</v>
      </c>
      <c r="M3442" s="11">
        <v>28767.87</v>
      </c>
      <c r="N3442" s="12">
        <v>14305.01</v>
      </c>
      <c r="O3442" s="12">
        <v>6873.43</v>
      </c>
    </row>
    <row r="3443" spans="1:15">
      <c r="A3443" t="s">
        <v>3617</v>
      </c>
      <c r="B3443" t="s">
        <v>215</v>
      </c>
      <c r="C3443" s="9">
        <v>24107</v>
      </c>
      <c r="D3443">
        <v>60</v>
      </c>
      <c r="E3443" t="s">
        <v>21</v>
      </c>
      <c r="F3443" t="s">
        <v>74</v>
      </c>
      <c r="G3443" s="9">
        <v>45490</v>
      </c>
      <c r="H3443" s="9">
        <v>45686</v>
      </c>
      <c r="I3443">
        <v>4</v>
      </c>
      <c r="J3443" t="s">
        <v>35</v>
      </c>
      <c r="K3443">
        <v>0</v>
      </c>
      <c r="L3443">
        <v>5</v>
      </c>
      <c r="M3443" s="11">
        <v>10935.41</v>
      </c>
      <c r="N3443" s="12">
        <v>1149.25</v>
      </c>
      <c r="O3443" s="12">
        <v>8642.51</v>
      </c>
    </row>
    <row r="3444" spans="1:15">
      <c r="A3444" t="s">
        <v>3618</v>
      </c>
      <c r="B3444" t="s">
        <v>131</v>
      </c>
      <c r="C3444" s="9">
        <v>34334</v>
      </c>
      <c r="D3444">
        <v>32</v>
      </c>
      <c r="E3444" t="s">
        <v>17</v>
      </c>
      <c r="F3444" t="s">
        <v>74</v>
      </c>
      <c r="G3444" s="9">
        <v>45512</v>
      </c>
      <c r="H3444" s="9">
        <v>45782</v>
      </c>
      <c r="I3444">
        <v>22</v>
      </c>
      <c r="J3444" t="s">
        <v>35</v>
      </c>
      <c r="K3444">
        <v>14</v>
      </c>
      <c r="L3444">
        <v>0</v>
      </c>
      <c r="M3444" s="11">
        <v>7198.85</v>
      </c>
      <c r="N3444" s="12">
        <v>8803.89</v>
      </c>
      <c r="O3444" s="12">
        <v>3222.83</v>
      </c>
    </row>
    <row r="3445" spans="1:15">
      <c r="A3445" t="s">
        <v>3619</v>
      </c>
      <c r="B3445" t="s">
        <v>105</v>
      </c>
      <c r="C3445" s="9">
        <v>29951</v>
      </c>
      <c r="D3445">
        <v>44</v>
      </c>
      <c r="E3445" t="s">
        <v>21</v>
      </c>
      <c r="F3445" t="s">
        <v>22</v>
      </c>
      <c r="G3445" s="9">
        <v>45093</v>
      </c>
      <c r="H3445" s="9">
        <v>45809</v>
      </c>
      <c r="I3445">
        <v>26</v>
      </c>
      <c r="J3445" t="s">
        <v>32</v>
      </c>
      <c r="K3445">
        <v>3</v>
      </c>
      <c r="L3445">
        <v>6</v>
      </c>
      <c r="M3445" s="11">
        <v>28643.45</v>
      </c>
      <c r="N3445" s="12">
        <v>11660.8</v>
      </c>
      <c r="O3445" s="12">
        <v>3134.19</v>
      </c>
    </row>
    <row r="3446" spans="1:15">
      <c r="A3446" t="s">
        <v>3620</v>
      </c>
      <c r="B3446" t="s">
        <v>619</v>
      </c>
      <c r="C3446" s="9">
        <v>13515</v>
      </c>
      <c r="D3446">
        <v>89</v>
      </c>
      <c r="E3446" t="s">
        <v>17</v>
      </c>
      <c r="F3446" t="s">
        <v>22</v>
      </c>
      <c r="G3446" s="9">
        <v>45066</v>
      </c>
      <c r="H3446" s="9">
        <v>45647</v>
      </c>
      <c r="I3446">
        <v>2</v>
      </c>
      <c r="J3446" t="s">
        <v>32</v>
      </c>
      <c r="K3446">
        <v>7</v>
      </c>
      <c r="L3446">
        <v>8</v>
      </c>
      <c r="M3446" s="11">
        <v>23953.05</v>
      </c>
      <c r="N3446" s="12">
        <v>3027.1</v>
      </c>
      <c r="O3446" s="12">
        <v>3256.31</v>
      </c>
    </row>
    <row r="3447" spans="1:15">
      <c r="A3447" t="s">
        <v>3621</v>
      </c>
      <c r="B3447" t="s">
        <v>149</v>
      </c>
      <c r="C3447" s="9">
        <v>12785</v>
      </c>
      <c r="D3447">
        <v>91</v>
      </c>
      <c r="E3447" t="s">
        <v>21</v>
      </c>
      <c r="F3447" t="s">
        <v>74</v>
      </c>
      <c r="G3447" s="9">
        <v>45065</v>
      </c>
      <c r="H3447" s="9">
        <v>45239</v>
      </c>
      <c r="I3447">
        <v>15</v>
      </c>
      <c r="J3447" t="s">
        <v>32</v>
      </c>
      <c r="K3447">
        <v>13</v>
      </c>
      <c r="L3447">
        <v>8</v>
      </c>
      <c r="M3447" s="11">
        <v>0</v>
      </c>
      <c r="N3447" s="12">
        <v>867.86</v>
      </c>
      <c r="O3447" s="12">
        <v>7348.6</v>
      </c>
    </row>
    <row r="3448" spans="1:15">
      <c r="A3448" t="s">
        <v>3622</v>
      </c>
      <c r="B3448" t="s">
        <v>261</v>
      </c>
      <c r="C3448" s="9">
        <v>21185</v>
      </c>
      <c r="D3448">
        <v>68</v>
      </c>
      <c r="E3448" t="s">
        <v>21</v>
      </c>
      <c r="F3448" t="s">
        <v>18</v>
      </c>
      <c r="G3448" s="9">
        <v>45161</v>
      </c>
      <c r="H3448" s="9">
        <v>45396</v>
      </c>
      <c r="I3448">
        <v>1</v>
      </c>
      <c r="J3448" t="s">
        <v>26</v>
      </c>
      <c r="K3448">
        <v>6</v>
      </c>
      <c r="L3448">
        <v>2</v>
      </c>
      <c r="M3448" s="11">
        <v>18165.650000000001</v>
      </c>
      <c r="N3448" s="12">
        <v>1198.46</v>
      </c>
      <c r="O3448" s="12">
        <v>16332.64</v>
      </c>
    </row>
    <row r="3449" spans="1:15">
      <c r="A3449" t="s">
        <v>3623</v>
      </c>
      <c r="B3449" t="s">
        <v>619</v>
      </c>
      <c r="C3449" s="9">
        <v>43466</v>
      </c>
      <c r="D3449">
        <v>7</v>
      </c>
      <c r="E3449" t="s">
        <v>21</v>
      </c>
      <c r="F3449" t="s">
        <v>29</v>
      </c>
      <c r="G3449" s="9">
        <v>44929</v>
      </c>
      <c r="H3449" s="9">
        <v>45321</v>
      </c>
      <c r="I3449">
        <v>17</v>
      </c>
      <c r="J3449" t="s">
        <v>26</v>
      </c>
      <c r="K3449">
        <v>14</v>
      </c>
      <c r="L3449">
        <v>3</v>
      </c>
      <c r="M3449" s="11">
        <v>10483.85</v>
      </c>
      <c r="N3449" s="12">
        <v>4788.4399999999996</v>
      </c>
      <c r="O3449" s="12">
        <v>15163.09</v>
      </c>
    </row>
    <row r="3450" spans="1:15">
      <c r="A3450" t="s">
        <v>3624</v>
      </c>
      <c r="B3450" t="s">
        <v>286</v>
      </c>
      <c r="C3450" s="9">
        <v>37256</v>
      </c>
      <c r="D3450">
        <v>24</v>
      </c>
      <c r="E3450" t="s">
        <v>21</v>
      </c>
      <c r="F3450" t="s">
        <v>74</v>
      </c>
      <c r="G3450" s="9">
        <v>45182</v>
      </c>
      <c r="H3450" s="9">
        <v>45736</v>
      </c>
      <c r="I3450">
        <v>5</v>
      </c>
      <c r="J3450" t="s">
        <v>26</v>
      </c>
      <c r="K3450">
        <v>7</v>
      </c>
      <c r="L3450">
        <v>0</v>
      </c>
      <c r="M3450" s="11">
        <v>19060.240000000002</v>
      </c>
      <c r="N3450" s="12">
        <v>3347.58</v>
      </c>
      <c r="O3450" s="12">
        <v>103.3</v>
      </c>
    </row>
    <row r="3451" spans="1:15">
      <c r="A3451" t="s">
        <v>3625</v>
      </c>
      <c r="B3451" t="s">
        <v>284</v>
      </c>
      <c r="C3451" s="9">
        <v>13150</v>
      </c>
      <c r="D3451">
        <v>90</v>
      </c>
      <c r="E3451" t="s">
        <v>21</v>
      </c>
      <c r="F3451" t="s">
        <v>22</v>
      </c>
      <c r="G3451" s="9">
        <v>45297</v>
      </c>
      <c r="H3451" s="9">
        <v>45799</v>
      </c>
      <c r="I3451">
        <v>24</v>
      </c>
      <c r="J3451" t="s">
        <v>26</v>
      </c>
      <c r="K3451">
        <v>5</v>
      </c>
      <c r="L3451">
        <v>3</v>
      </c>
      <c r="M3451" s="11">
        <v>21613.279999999999</v>
      </c>
      <c r="N3451" s="12">
        <v>3358.35</v>
      </c>
      <c r="O3451" s="12">
        <v>93.82</v>
      </c>
    </row>
    <row r="3452" spans="1:15">
      <c r="A3452" t="s">
        <v>3626</v>
      </c>
      <c r="B3452" t="s">
        <v>153</v>
      </c>
      <c r="C3452" s="9">
        <v>29586</v>
      </c>
      <c r="D3452">
        <v>45</v>
      </c>
      <c r="E3452" t="s">
        <v>21</v>
      </c>
      <c r="F3452" t="s">
        <v>22</v>
      </c>
      <c r="G3452" s="9">
        <v>45204</v>
      </c>
      <c r="H3452" s="9">
        <v>45138</v>
      </c>
      <c r="I3452">
        <v>36</v>
      </c>
      <c r="J3452" t="s">
        <v>26</v>
      </c>
      <c r="K3452">
        <v>8</v>
      </c>
      <c r="L3452">
        <v>4</v>
      </c>
      <c r="M3452" s="11">
        <v>467.79</v>
      </c>
      <c r="N3452" s="12">
        <v>6877.81</v>
      </c>
      <c r="O3452" s="12">
        <v>1461.7</v>
      </c>
    </row>
    <row r="3453" spans="1:15">
      <c r="A3453" t="s">
        <v>3627</v>
      </c>
      <c r="B3453" t="s">
        <v>1148</v>
      </c>
      <c r="C3453" s="9">
        <v>14611</v>
      </c>
      <c r="D3453">
        <v>86</v>
      </c>
      <c r="E3453" t="s">
        <v>17</v>
      </c>
      <c r="F3453" t="s">
        <v>18</v>
      </c>
      <c r="G3453" s="9">
        <v>45442</v>
      </c>
      <c r="H3453" s="9">
        <v>45794</v>
      </c>
      <c r="I3453">
        <v>32</v>
      </c>
      <c r="J3453" t="s">
        <v>35</v>
      </c>
      <c r="K3453">
        <v>5</v>
      </c>
      <c r="L3453">
        <v>6</v>
      </c>
      <c r="M3453" s="11">
        <v>3089.55</v>
      </c>
      <c r="N3453" s="12">
        <v>1274.01</v>
      </c>
      <c r="O3453" s="12">
        <v>9278.2900000000009</v>
      </c>
    </row>
    <row r="3454" spans="1:15">
      <c r="A3454" t="s">
        <v>3628</v>
      </c>
      <c r="B3454" t="s">
        <v>264</v>
      </c>
      <c r="C3454" s="9">
        <v>35430</v>
      </c>
      <c r="D3454">
        <v>29</v>
      </c>
      <c r="E3454" t="s">
        <v>17</v>
      </c>
      <c r="F3454" t="s">
        <v>74</v>
      </c>
      <c r="G3454" s="9">
        <v>45138</v>
      </c>
      <c r="H3454" s="9">
        <v>45498</v>
      </c>
      <c r="I3454">
        <v>22</v>
      </c>
      <c r="J3454" t="s">
        <v>35</v>
      </c>
      <c r="K3454">
        <v>12</v>
      </c>
      <c r="L3454">
        <v>4</v>
      </c>
      <c r="M3454" s="11">
        <v>0</v>
      </c>
      <c r="N3454" s="12">
        <v>14932.51</v>
      </c>
      <c r="O3454" s="12">
        <v>17766.53</v>
      </c>
    </row>
    <row r="3455" spans="1:15">
      <c r="A3455" t="s">
        <v>3629</v>
      </c>
      <c r="B3455" t="s">
        <v>55</v>
      </c>
      <c r="C3455" s="9">
        <v>29221</v>
      </c>
      <c r="D3455">
        <v>46</v>
      </c>
      <c r="E3455" t="s">
        <v>21</v>
      </c>
      <c r="F3455" t="s">
        <v>18</v>
      </c>
      <c r="G3455" s="9">
        <v>45142</v>
      </c>
      <c r="H3455" s="9">
        <v>45083</v>
      </c>
      <c r="I3455">
        <v>11</v>
      </c>
      <c r="J3455" t="s">
        <v>32</v>
      </c>
      <c r="K3455">
        <v>12</v>
      </c>
      <c r="L3455">
        <v>7</v>
      </c>
      <c r="M3455" s="11">
        <v>9355.42</v>
      </c>
      <c r="N3455" s="12">
        <v>10437.11</v>
      </c>
      <c r="O3455" s="12">
        <v>3563.37</v>
      </c>
    </row>
    <row r="3456" spans="1:15">
      <c r="A3456" t="s">
        <v>3630</v>
      </c>
      <c r="B3456" t="s">
        <v>65</v>
      </c>
      <c r="C3456" s="9">
        <v>14611</v>
      </c>
      <c r="D3456">
        <v>86</v>
      </c>
      <c r="E3456" t="s">
        <v>21</v>
      </c>
      <c r="F3456" t="s">
        <v>74</v>
      </c>
      <c r="G3456" s="9">
        <v>45196</v>
      </c>
      <c r="H3456" s="9">
        <v>45561</v>
      </c>
      <c r="I3456">
        <v>37</v>
      </c>
      <c r="J3456" t="s">
        <v>32</v>
      </c>
      <c r="K3456">
        <v>11</v>
      </c>
      <c r="L3456">
        <v>6</v>
      </c>
      <c r="M3456" s="11">
        <v>26965.74</v>
      </c>
      <c r="N3456" s="12">
        <v>454.4</v>
      </c>
      <c r="O3456" s="12">
        <v>9483.6</v>
      </c>
    </row>
    <row r="3457" spans="1:15">
      <c r="A3457" t="s">
        <v>3631</v>
      </c>
      <c r="B3457" t="s">
        <v>82</v>
      </c>
      <c r="C3457" s="9">
        <v>28490</v>
      </c>
      <c r="D3457">
        <v>48</v>
      </c>
      <c r="E3457" t="s">
        <v>17</v>
      </c>
      <c r="F3457" t="s">
        <v>29</v>
      </c>
      <c r="G3457" s="9">
        <v>45402</v>
      </c>
      <c r="H3457" s="9">
        <v>45559</v>
      </c>
      <c r="I3457">
        <v>28</v>
      </c>
      <c r="J3457" t="s">
        <v>35</v>
      </c>
      <c r="K3457">
        <v>0</v>
      </c>
      <c r="L3457">
        <v>0</v>
      </c>
      <c r="M3457" s="11">
        <v>20377.41</v>
      </c>
      <c r="N3457" s="12">
        <v>10378.56</v>
      </c>
      <c r="O3457" s="12">
        <v>719.02</v>
      </c>
    </row>
    <row r="3458" spans="1:15">
      <c r="A3458" t="s">
        <v>3632</v>
      </c>
      <c r="B3458" t="s">
        <v>115</v>
      </c>
      <c r="C3458" s="9">
        <v>29221</v>
      </c>
      <c r="D3458">
        <v>46</v>
      </c>
      <c r="E3458" t="s">
        <v>21</v>
      </c>
      <c r="F3458" t="s">
        <v>49</v>
      </c>
      <c r="G3458" s="9">
        <v>45454</v>
      </c>
      <c r="H3458" s="9">
        <v>45736</v>
      </c>
      <c r="I3458">
        <v>2</v>
      </c>
      <c r="J3458" t="s">
        <v>32</v>
      </c>
      <c r="K3458">
        <v>10</v>
      </c>
      <c r="L3458">
        <v>1</v>
      </c>
      <c r="M3458" s="11">
        <v>10891.89</v>
      </c>
      <c r="N3458" s="12">
        <v>11877.42</v>
      </c>
      <c r="O3458" s="12">
        <v>308.56</v>
      </c>
    </row>
    <row r="3459" spans="1:15">
      <c r="A3459" t="s">
        <v>3633</v>
      </c>
      <c r="B3459" t="s">
        <v>343</v>
      </c>
      <c r="C3459" s="9">
        <v>15707</v>
      </c>
      <c r="D3459">
        <v>83</v>
      </c>
      <c r="E3459" t="s">
        <v>17</v>
      </c>
      <c r="F3459" t="s">
        <v>74</v>
      </c>
      <c r="G3459" s="9">
        <v>44990</v>
      </c>
      <c r="H3459" s="9">
        <v>45249</v>
      </c>
      <c r="I3459">
        <v>14</v>
      </c>
      <c r="J3459" t="s">
        <v>32</v>
      </c>
      <c r="K3459">
        <v>11</v>
      </c>
      <c r="L3459">
        <v>6</v>
      </c>
      <c r="M3459" s="11">
        <v>24180.67</v>
      </c>
      <c r="N3459" s="12">
        <v>2861.43</v>
      </c>
      <c r="O3459" s="12">
        <v>50.39</v>
      </c>
    </row>
    <row r="3460" spans="1:15">
      <c r="A3460" t="s">
        <v>3634</v>
      </c>
      <c r="B3460" t="s">
        <v>44</v>
      </c>
      <c r="C3460" s="9">
        <v>16437</v>
      </c>
      <c r="D3460">
        <v>81</v>
      </c>
      <c r="E3460" t="s">
        <v>21</v>
      </c>
      <c r="F3460" t="s">
        <v>49</v>
      </c>
      <c r="G3460" s="9">
        <v>45386</v>
      </c>
      <c r="H3460" s="9">
        <v>45362</v>
      </c>
      <c r="I3460">
        <v>7</v>
      </c>
      <c r="J3460" t="s">
        <v>32</v>
      </c>
      <c r="K3460">
        <v>1</v>
      </c>
      <c r="L3460">
        <v>2</v>
      </c>
      <c r="M3460" s="11">
        <v>9357.44</v>
      </c>
      <c r="N3460" s="12">
        <v>12604.15</v>
      </c>
      <c r="O3460" s="12">
        <v>14707.29</v>
      </c>
    </row>
    <row r="3461" spans="1:15">
      <c r="A3461" t="s">
        <v>3635</v>
      </c>
      <c r="B3461" t="s">
        <v>172</v>
      </c>
      <c r="C3461" s="9">
        <v>39813</v>
      </c>
      <c r="D3461">
        <v>17</v>
      </c>
      <c r="E3461" t="s">
        <v>17</v>
      </c>
      <c r="F3461" t="s">
        <v>74</v>
      </c>
      <c r="G3461" s="9">
        <v>44942</v>
      </c>
      <c r="H3461" s="9">
        <v>45501</v>
      </c>
      <c r="I3461">
        <v>13</v>
      </c>
      <c r="J3461" t="s">
        <v>32</v>
      </c>
      <c r="K3461">
        <v>9</v>
      </c>
      <c r="L3461">
        <v>1</v>
      </c>
      <c r="M3461" s="11">
        <v>29718.06</v>
      </c>
      <c r="N3461" s="12">
        <v>9176.48</v>
      </c>
      <c r="O3461" s="12">
        <v>378.88</v>
      </c>
    </row>
    <row r="3462" spans="1:15">
      <c r="A3462" t="s">
        <v>3636</v>
      </c>
      <c r="B3462" t="s">
        <v>163</v>
      </c>
      <c r="C3462" s="9">
        <v>22281</v>
      </c>
      <c r="D3462">
        <f ca="1">DATEDIF(C3413,TODAY(),"Y")</f>
        <v>8</v>
      </c>
      <c r="E3462" t="s">
        <v>17</v>
      </c>
      <c r="F3462" t="s">
        <v>29</v>
      </c>
      <c r="G3462" s="9">
        <v>45490</v>
      </c>
      <c r="H3462" s="9">
        <v>45597</v>
      </c>
      <c r="I3462">
        <v>1</v>
      </c>
      <c r="J3462" t="s">
        <v>32</v>
      </c>
      <c r="K3462">
        <v>8</v>
      </c>
      <c r="L3462">
        <v>8</v>
      </c>
      <c r="M3462" s="11">
        <v>23339.4</v>
      </c>
      <c r="N3462" s="12">
        <v>12312.84</v>
      </c>
      <c r="O3462" s="12">
        <v>5403.69</v>
      </c>
    </row>
    <row r="3463" spans="1:15">
      <c r="A3463" t="s">
        <v>3637</v>
      </c>
      <c r="B3463" t="s">
        <v>246</v>
      </c>
      <c r="C3463" s="9">
        <v>21551</v>
      </c>
      <c r="D3463">
        <v>67</v>
      </c>
      <c r="E3463" t="s">
        <v>17</v>
      </c>
      <c r="F3463" t="s">
        <v>5184</v>
      </c>
      <c r="G3463" s="9">
        <v>44945</v>
      </c>
      <c r="H3463" s="9">
        <v>44967</v>
      </c>
      <c r="I3463">
        <v>2</v>
      </c>
      <c r="J3463" t="s">
        <v>26</v>
      </c>
      <c r="K3463">
        <v>6</v>
      </c>
      <c r="L3463">
        <v>9</v>
      </c>
      <c r="M3463" s="11">
        <v>24155.9</v>
      </c>
      <c r="N3463" s="12">
        <v>10750.4</v>
      </c>
      <c r="O3463" s="12">
        <v>12865.46</v>
      </c>
    </row>
    <row r="3464" spans="1:15">
      <c r="A3464" t="s">
        <v>3638</v>
      </c>
      <c r="B3464" t="s">
        <v>20</v>
      </c>
      <c r="C3464" s="9">
        <v>12054</v>
      </c>
      <c r="D3464">
        <v>93</v>
      </c>
      <c r="E3464" t="s">
        <v>17</v>
      </c>
      <c r="F3464" t="s">
        <v>22</v>
      </c>
      <c r="G3464" s="9">
        <v>45251</v>
      </c>
      <c r="H3464" s="9">
        <v>45681</v>
      </c>
      <c r="I3464">
        <v>39</v>
      </c>
      <c r="J3464" t="s">
        <v>32</v>
      </c>
      <c r="K3464">
        <v>9</v>
      </c>
      <c r="L3464">
        <v>7</v>
      </c>
      <c r="M3464" s="11">
        <v>7459.66</v>
      </c>
      <c r="N3464" s="12">
        <v>10569.43</v>
      </c>
      <c r="O3464" s="12">
        <v>12334.88</v>
      </c>
    </row>
    <row r="3465" spans="1:15">
      <c r="A3465" t="s">
        <v>3639</v>
      </c>
      <c r="B3465" t="s">
        <v>145</v>
      </c>
      <c r="C3465" s="9">
        <v>34334</v>
      </c>
      <c r="D3465">
        <f ca="1">DATEDIF(C3416,TODAY(),"Y")</f>
        <v>48</v>
      </c>
      <c r="E3465" t="s">
        <v>21</v>
      </c>
      <c r="F3465" t="s">
        <v>49</v>
      </c>
      <c r="G3465" s="9">
        <v>45019</v>
      </c>
      <c r="H3465" s="9">
        <v>44967</v>
      </c>
      <c r="I3465">
        <v>38</v>
      </c>
      <c r="J3465" t="s">
        <v>32</v>
      </c>
      <c r="K3465">
        <v>0</v>
      </c>
      <c r="L3465">
        <v>7</v>
      </c>
      <c r="M3465" s="11">
        <v>3923.53</v>
      </c>
      <c r="N3465" s="12">
        <v>2373.62</v>
      </c>
      <c r="O3465" s="12">
        <v>1008.41</v>
      </c>
    </row>
    <row r="3466" spans="1:15">
      <c r="A3466" t="s">
        <v>3640</v>
      </c>
      <c r="B3466" t="s">
        <v>249</v>
      </c>
      <c r="C3466" s="9">
        <v>33239</v>
      </c>
      <c r="D3466">
        <v>35</v>
      </c>
      <c r="E3466" t="s">
        <v>21</v>
      </c>
      <c r="F3466" t="s">
        <v>18</v>
      </c>
      <c r="G3466" s="9">
        <v>44943</v>
      </c>
      <c r="H3466" s="9">
        <v>45380</v>
      </c>
      <c r="I3466">
        <v>17</v>
      </c>
      <c r="J3466" t="s">
        <v>32</v>
      </c>
      <c r="K3466">
        <v>5</v>
      </c>
      <c r="L3466">
        <v>2</v>
      </c>
      <c r="M3466" s="11">
        <v>11380.94</v>
      </c>
      <c r="N3466" s="12">
        <v>4736.95</v>
      </c>
      <c r="O3466" s="12">
        <v>5059</v>
      </c>
    </row>
    <row r="3467" spans="1:15">
      <c r="A3467" t="s">
        <v>3641</v>
      </c>
      <c r="B3467" t="s">
        <v>350</v>
      </c>
      <c r="C3467" s="9">
        <v>16437</v>
      </c>
      <c r="D3467">
        <v>81</v>
      </c>
      <c r="E3467" t="s">
        <v>17</v>
      </c>
      <c r="F3467" t="s">
        <v>74</v>
      </c>
      <c r="G3467" s="9">
        <v>45549</v>
      </c>
      <c r="H3467" s="9">
        <v>45797</v>
      </c>
      <c r="I3467">
        <v>3</v>
      </c>
      <c r="J3467" t="s">
        <v>32</v>
      </c>
      <c r="K3467">
        <v>10</v>
      </c>
      <c r="L3467">
        <v>9</v>
      </c>
      <c r="M3467" s="11">
        <v>9694.19</v>
      </c>
      <c r="N3467" s="12">
        <v>7848.68</v>
      </c>
      <c r="O3467" s="12">
        <v>12750.38</v>
      </c>
    </row>
    <row r="3468" spans="1:15">
      <c r="A3468" t="s">
        <v>3642</v>
      </c>
      <c r="B3468" t="s">
        <v>392</v>
      </c>
      <c r="C3468" s="9">
        <v>39448</v>
      </c>
      <c r="D3468">
        <v>18</v>
      </c>
      <c r="E3468" t="s">
        <v>17</v>
      </c>
      <c r="F3468" t="s">
        <v>22</v>
      </c>
      <c r="G3468" s="9">
        <v>45414</v>
      </c>
      <c r="H3468" s="9">
        <v>45117</v>
      </c>
      <c r="I3468">
        <v>8</v>
      </c>
      <c r="J3468" t="s">
        <v>35</v>
      </c>
      <c r="K3468">
        <v>4</v>
      </c>
      <c r="L3468">
        <v>8</v>
      </c>
      <c r="M3468" s="11">
        <v>22979.88</v>
      </c>
      <c r="N3468" s="12">
        <v>1688.2</v>
      </c>
      <c r="O3468" s="12">
        <v>7784.14</v>
      </c>
    </row>
    <row r="3469" spans="1:15">
      <c r="A3469" t="s">
        <v>3643</v>
      </c>
      <c r="B3469" t="s">
        <v>73</v>
      </c>
      <c r="C3469" s="9">
        <v>36161</v>
      </c>
      <c r="D3469">
        <v>27</v>
      </c>
      <c r="E3469" t="s">
        <v>21</v>
      </c>
      <c r="F3469" t="s">
        <v>74</v>
      </c>
      <c r="G3469" s="9">
        <v>45020</v>
      </c>
      <c r="H3469" s="9">
        <v>45673</v>
      </c>
      <c r="I3469">
        <v>14</v>
      </c>
      <c r="J3469" t="s">
        <v>35</v>
      </c>
      <c r="K3469">
        <v>10</v>
      </c>
      <c r="L3469">
        <v>7</v>
      </c>
      <c r="M3469" s="11">
        <v>4815.79</v>
      </c>
      <c r="N3469" s="12">
        <v>7177.4</v>
      </c>
      <c r="O3469" s="12">
        <v>9263.0400000000009</v>
      </c>
    </row>
    <row r="3470" spans="1:15">
      <c r="A3470" t="s">
        <v>3644</v>
      </c>
      <c r="B3470" t="s">
        <v>100</v>
      </c>
      <c r="C3470" s="9">
        <v>31778</v>
      </c>
      <c r="D3470">
        <v>39</v>
      </c>
      <c r="E3470" t="s">
        <v>17</v>
      </c>
      <c r="F3470" t="s">
        <v>18</v>
      </c>
      <c r="G3470" s="9">
        <v>44936</v>
      </c>
      <c r="H3470" s="9">
        <v>44942</v>
      </c>
      <c r="I3470">
        <v>38</v>
      </c>
      <c r="J3470" t="s">
        <v>26</v>
      </c>
      <c r="K3470">
        <v>8</v>
      </c>
      <c r="L3470">
        <v>1</v>
      </c>
      <c r="M3470" s="11">
        <v>15587.72</v>
      </c>
      <c r="N3470" s="12">
        <v>6679.8</v>
      </c>
      <c r="O3470" s="12">
        <v>4062.42</v>
      </c>
    </row>
    <row r="3471" spans="1:15">
      <c r="A3471" t="s">
        <v>3645</v>
      </c>
      <c r="B3471" t="s">
        <v>209</v>
      </c>
      <c r="C3471" s="9">
        <v>15707</v>
      </c>
      <c r="D3471">
        <v>83</v>
      </c>
      <c r="E3471" t="s">
        <v>21</v>
      </c>
      <c r="F3471" t="s">
        <v>29</v>
      </c>
      <c r="G3471" s="9">
        <v>45650</v>
      </c>
      <c r="H3471" s="9">
        <v>45051</v>
      </c>
      <c r="I3471">
        <v>0</v>
      </c>
      <c r="J3471" t="s">
        <v>32</v>
      </c>
      <c r="K3471">
        <v>2</v>
      </c>
      <c r="L3471">
        <v>6</v>
      </c>
      <c r="M3471" s="11">
        <v>18659.900000000001</v>
      </c>
      <c r="N3471" s="12">
        <v>3478.85</v>
      </c>
      <c r="O3471" s="12">
        <v>658.92</v>
      </c>
    </row>
    <row r="3472" spans="1:15">
      <c r="A3472" t="s">
        <v>3646</v>
      </c>
      <c r="B3472" t="s">
        <v>37</v>
      </c>
      <c r="C3472" s="9">
        <v>18629</v>
      </c>
      <c r="D3472">
        <v>75</v>
      </c>
      <c r="E3472" t="s">
        <v>21</v>
      </c>
      <c r="F3472" t="s">
        <v>25</v>
      </c>
      <c r="G3472" s="9">
        <v>45454</v>
      </c>
      <c r="H3472" s="9">
        <v>45667</v>
      </c>
      <c r="I3472">
        <v>13</v>
      </c>
      <c r="J3472" t="s">
        <v>35</v>
      </c>
      <c r="K3472">
        <v>9</v>
      </c>
      <c r="L3472">
        <v>7</v>
      </c>
      <c r="M3472" s="11">
        <v>11247.55</v>
      </c>
      <c r="N3472" s="12">
        <v>2995.77</v>
      </c>
      <c r="O3472" s="12">
        <v>6838.58</v>
      </c>
    </row>
    <row r="3473" spans="1:15">
      <c r="A3473" t="s">
        <v>3647</v>
      </c>
      <c r="B3473" t="s">
        <v>24</v>
      </c>
      <c r="C3473" s="9">
        <v>40909</v>
      </c>
      <c r="D3473">
        <v>14</v>
      </c>
      <c r="E3473" t="s">
        <v>17</v>
      </c>
      <c r="F3473" t="s">
        <v>74</v>
      </c>
      <c r="G3473" s="9">
        <v>45415</v>
      </c>
      <c r="H3473" s="9">
        <v>45826</v>
      </c>
      <c r="I3473">
        <v>33</v>
      </c>
      <c r="J3473" t="s">
        <v>32</v>
      </c>
      <c r="K3473">
        <v>13</v>
      </c>
      <c r="L3473">
        <v>6</v>
      </c>
      <c r="M3473" s="11">
        <v>5618.52</v>
      </c>
      <c r="N3473" s="12">
        <v>3710.61</v>
      </c>
      <c r="O3473" s="12">
        <v>13627.98</v>
      </c>
    </row>
    <row r="3474" spans="1:15">
      <c r="A3474" t="s">
        <v>3648</v>
      </c>
      <c r="B3474" t="s">
        <v>578</v>
      </c>
      <c r="C3474" s="9">
        <v>31412</v>
      </c>
      <c r="D3474">
        <v>40</v>
      </c>
      <c r="E3474" t="s">
        <v>21</v>
      </c>
      <c r="F3474" t="s">
        <v>5184</v>
      </c>
      <c r="G3474" s="9">
        <v>45070</v>
      </c>
      <c r="H3474" s="9">
        <v>45207</v>
      </c>
      <c r="I3474">
        <v>23</v>
      </c>
      <c r="J3474" t="s">
        <v>32</v>
      </c>
      <c r="K3474">
        <v>2</v>
      </c>
      <c r="L3474">
        <v>8</v>
      </c>
      <c r="M3474" s="11">
        <v>26817.84</v>
      </c>
      <c r="N3474" s="12">
        <v>9076.6</v>
      </c>
      <c r="O3474" s="12">
        <v>15307.24</v>
      </c>
    </row>
    <row r="3475" spans="1:15">
      <c r="A3475" t="s">
        <v>3649</v>
      </c>
      <c r="B3475" t="s">
        <v>397</v>
      </c>
      <c r="C3475" s="9">
        <v>32143</v>
      </c>
      <c r="D3475">
        <f ca="1">DATEDIF(C3426,TODAY(),"Y")</f>
        <v>38</v>
      </c>
      <c r="E3475" t="s">
        <v>17</v>
      </c>
      <c r="F3475" t="s">
        <v>18</v>
      </c>
      <c r="G3475" s="9">
        <v>45480</v>
      </c>
      <c r="H3475" s="9">
        <v>44975</v>
      </c>
      <c r="I3475">
        <v>21</v>
      </c>
      <c r="J3475" t="s">
        <v>26</v>
      </c>
      <c r="K3475">
        <v>13</v>
      </c>
      <c r="L3475">
        <v>6</v>
      </c>
      <c r="M3475" s="11">
        <v>3734.62</v>
      </c>
      <c r="N3475" s="12">
        <v>6224.29</v>
      </c>
      <c r="O3475" s="12">
        <v>11809.85</v>
      </c>
    </row>
    <row r="3476" spans="1:15">
      <c r="A3476" t="s">
        <v>3650</v>
      </c>
      <c r="B3476" t="s">
        <v>261</v>
      </c>
      <c r="C3476" s="9">
        <v>45657</v>
      </c>
      <c r="D3476">
        <v>1</v>
      </c>
      <c r="E3476" t="s">
        <v>21</v>
      </c>
      <c r="F3476" t="s">
        <v>25</v>
      </c>
      <c r="G3476" s="9">
        <v>45441</v>
      </c>
      <c r="H3476" s="9">
        <v>45116</v>
      </c>
      <c r="I3476">
        <v>31</v>
      </c>
      <c r="J3476" t="s">
        <v>32</v>
      </c>
      <c r="K3476">
        <v>1</v>
      </c>
      <c r="L3476">
        <v>6</v>
      </c>
      <c r="M3476" s="11">
        <v>8766.0300000000007</v>
      </c>
      <c r="N3476" s="12">
        <v>6209.39</v>
      </c>
      <c r="O3476" s="12">
        <v>7803.34</v>
      </c>
    </row>
    <row r="3477" spans="1:15">
      <c r="A3477" t="s">
        <v>3651</v>
      </c>
      <c r="B3477" t="s">
        <v>252</v>
      </c>
      <c r="C3477" s="9">
        <v>23377</v>
      </c>
      <c r="D3477">
        <v>62</v>
      </c>
      <c r="E3477" t="s">
        <v>21</v>
      </c>
      <c r="F3477" t="s">
        <v>74</v>
      </c>
      <c r="G3477" s="9">
        <v>45396</v>
      </c>
      <c r="H3477" s="9">
        <v>45231</v>
      </c>
      <c r="I3477">
        <v>17</v>
      </c>
      <c r="J3477" t="s">
        <v>32</v>
      </c>
      <c r="K3477">
        <v>12</v>
      </c>
      <c r="L3477">
        <v>0</v>
      </c>
      <c r="M3477" s="11">
        <v>22575.31</v>
      </c>
      <c r="N3477" s="12">
        <v>2726</v>
      </c>
      <c r="O3477" s="12">
        <v>11621.03</v>
      </c>
    </row>
    <row r="3478" spans="1:15">
      <c r="A3478" t="s">
        <v>3652</v>
      </c>
      <c r="B3478" t="s">
        <v>93</v>
      </c>
      <c r="C3478" s="9">
        <v>35795</v>
      </c>
      <c r="D3478">
        <v>28</v>
      </c>
      <c r="E3478" t="s">
        <v>17</v>
      </c>
      <c r="F3478" t="s">
        <v>49</v>
      </c>
      <c r="G3478" s="9">
        <v>45303</v>
      </c>
      <c r="H3478" s="9">
        <v>45486</v>
      </c>
      <c r="I3478">
        <v>14</v>
      </c>
      <c r="J3478" t="s">
        <v>32</v>
      </c>
      <c r="K3478">
        <v>14</v>
      </c>
      <c r="L3478">
        <v>1</v>
      </c>
      <c r="M3478" s="11">
        <v>17962</v>
      </c>
      <c r="N3478" s="12">
        <v>11810.49</v>
      </c>
      <c r="O3478" s="12">
        <v>14070.27</v>
      </c>
    </row>
    <row r="3479" spans="1:15">
      <c r="A3479" t="s">
        <v>3653</v>
      </c>
      <c r="B3479" t="s">
        <v>44</v>
      </c>
      <c r="C3479" s="9">
        <v>19359</v>
      </c>
      <c r="D3479">
        <v>73</v>
      </c>
      <c r="E3479" t="s">
        <v>17</v>
      </c>
      <c r="F3479" t="s">
        <v>22</v>
      </c>
      <c r="G3479" s="9">
        <v>45594</v>
      </c>
      <c r="H3479" s="9">
        <v>45623</v>
      </c>
      <c r="I3479">
        <v>17</v>
      </c>
      <c r="J3479" t="s">
        <v>26</v>
      </c>
      <c r="K3479">
        <v>4</v>
      </c>
      <c r="L3479">
        <v>4</v>
      </c>
      <c r="M3479" s="11">
        <v>21784.69</v>
      </c>
      <c r="N3479" s="12">
        <v>10505.69</v>
      </c>
      <c r="O3479" s="12">
        <v>15080.96</v>
      </c>
    </row>
    <row r="3480" spans="1:15">
      <c r="A3480" t="s">
        <v>3654</v>
      </c>
      <c r="B3480" t="s">
        <v>664</v>
      </c>
      <c r="C3480" s="9">
        <v>22281</v>
      </c>
      <c r="D3480">
        <v>65</v>
      </c>
      <c r="E3480" t="s">
        <v>21</v>
      </c>
      <c r="F3480" t="s">
        <v>22</v>
      </c>
      <c r="G3480" s="9">
        <v>45420</v>
      </c>
      <c r="H3480" s="9">
        <v>45032</v>
      </c>
      <c r="I3480">
        <v>13</v>
      </c>
      <c r="J3480" t="s">
        <v>26</v>
      </c>
      <c r="K3480">
        <v>1</v>
      </c>
      <c r="L3480">
        <v>0</v>
      </c>
      <c r="M3480" s="11">
        <v>0</v>
      </c>
      <c r="N3480" s="12">
        <v>6436.13</v>
      </c>
      <c r="O3480" s="12">
        <v>1799.17</v>
      </c>
    </row>
    <row r="3481" spans="1:15">
      <c r="A3481" t="s">
        <v>3655</v>
      </c>
      <c r="B3481" t="s">
        <v>170</v>
      </c>
      <c r="C3481" s="9">
        <v>27760</v>
      </c>
      <c r="D3481">
        <v>50</v>
      </c>
      <c r="E3481" t="s">
        <v>21</v>
      </c>
      <c r="F3481" t="s">
        <v>18</v>
      </c>
      <c r="G3481" s="9">
        <v>45611</v>
      </c>
      <c r="H3481" s="9">
        <v>45296</v>
      </c>
      <c r="I3481">
        <v>1</v>
      </c>
      <c r="J3481" t="s">
        <v>32</v>
      </c>
      <c r="K3481">
        <v>13</v>
      </c>
      <c r="L3481">
        <v>9</v>
      </c>
      <c r="M3481" s="11">
        <v>26809.48</v>
      </c>
      <c r="N3481" s="12">
        <v>2133.0300000000002</v>
      </c>
      <c r="O3481" s="12">
        <v>16039.97</v>
      </c>
    </row>
    <row r="3482" spans="1:15">
      <c r="A3482" t="s">
        <v>3656</v>
      </c>
      <c r="B3482" t="s">
        <v>16</v>
      </c>
      <c r="C3482" s="9">
        <v>18994</v>
      </c>
      <c r="D3482">
        <v>74</v>
      </c>
      <c r="E3482" t="s">
        <v>21</v>
      </c>
      <c r="F3482" t="s">
        <v>49</v>
      </c>
      <c r="G3482" s="9">
        <v>45410</v>
      </c>
      <c r="H3482" s="9">
        <v>45428</v>
      </c>
      <c r="I3482">
        <v>15</v>
      </c>
      <c r="J3482" t="s">
        <v>32</v>
      </c>
      <c r="K3482">
        <v>7</v>
      </c>
      <c r="L3482">
        <v>6</v>
      </c>
      <c r="M3482" s="11">
        <v>8789.23</v>
      </c>
      <c r="N3482" s="12">
        <v>10720.51</v>
      </c>
      <c r="O3482" s="12">
        <v>1175.8699999999999</v>
      </c>
    </row>
    <row r="3483" spans="1:15">
      <c r="A3483" t="s">
        <v>3657</v>
      </c>
      <c r="B3483" t="s">
        <v>95</v>
      </c>
      <c r="C3483" s="9">
        <v>18263</v>
      </c>
      <c r="D3483">
        <v>76</v>
      </c>
      <c r="E3483" t="s">
        <v>21</v>
      </c>
      <c r="F3483" t="s">
        <v>29</v>
      </c>
      <c r="G3483" s="9">
        <v>45378</v>
      </c>
      <c r="H3483" s="9">
        <v>45387</v>
      </c>
      <c r="I3483">
        <v>33</v>
      </c>
      <c r="J3483" t="s">
        <v>35</v>
      </c>
      <c r="K3483">
        <v>2</v>
      </c>
      <c r="L3483">
        <v>4</v>
      </c>
      <c r="M3483" s="11">
        <v>13966.31</v>
      </c>
      <c r="N3483" s="12">
        <v>13482.67</v>
      </c>
      <c r="O3483" s="12">
        <v>17396.189999999999</v>
      </c>
    </row>
    <row r="3484" spans="1:15">
      <c r="A3484" t="s">
        <v>3658</v>
      </c>
      <c r="B3484" t="s">
        <v>412</v>
      </c>
      <c r="C3484" s="9">
        <v>42735</v>
      </c>
      <c r="D3484">
        <f ca="1">DATEDIF(C3435,TODAY(),"Y")</f>
        <v>0</v>
      </c>
      <c r="E3484" t="s">
        <v>17</v>
      </c>
      <c r="F3484" t="s">
        <v>25</v>
      </c>
      <c r="G3484" s="9">
        <v>45462</v>
      </c>
      <c r="H3484" s="9">
        <v>45174</v>
      </c>
      <c r="I3484">
        <v>32</v>
      </c>
      <c r="J3484" t="s">
        <v>32</v>
      </c>
      <c r="K3484">
        <v>2</v>
      </c>
      <c r="L3484">
        <v>4</v>
      </c>
      <c r="M3484" s="11">
        <v>20493.46</v>
      </c>
      <c r="N3484" s="12">
        <v>2673.93</v>
      </c>
      <c r="O3484" s="12">
        <v>7784.04</v>
      </c>
    </row>
    <row r="3485" spans="1:15">
      <c r="A3485" t="s">
        <v>3659</v>
      </c>
      <c r="B3485" t="s">
        <v>306</v>
      </c>
      <c r="C3485" s="9">
        <v>41274</v>
      </c>
      <c r="D3485">
        <v>13</v>
      </c>
      <c r="E3485" t="s">
        <v>17</v>
      </c>
      <c r="F3485" t="s">
        <v>18</v>
      </c>
      <c r="G3485" s="9">
        <v>45001</v>
      </c>
      <c r="H3485" s="9">
        <v>45191</v>
      </c>
      <c r="I3485">
        <v>27</v>
      </c>
      <c r="J3485" t="s">
        <v>32</v>
      </c>
      <c r="K3485">
        <v>0</v>
      </c>
      <c r="L3485">
        <v>7</v>
      </c>
      <c r="M3485" s="11">
        <v>23739.74</v>
      </c>
      <c r="N3485" s="12">
        <v>9039.91</v>
      </c>
      <c r="O3485" s="12">
        <v>10893.14</v>
      </c>
    </row>
    <row r="3486" spans="1:15">
      <c r="A3486" t="s">
        <v>3660</v>
      </c>
      <c r="B3486" t="s">
        <v>105</v>
      </c>
      <c r="C3486" s="9">
        <v>16437</v>
      </c>
      <c r="D3486">
        <v>81</v>
      </c>
      <c r="E3486" t="s">
        <v>21</v>
      </c>
      <c r="F3486" t="s">
        <v>5184</v>
      </c>
      <c r="G3486" s="9">
        <v>44966</v>
      </c>
      <c r="H3486" s="9">
        <v>45133</v>
      </c>
      <c r="I3486">
        <v>15</v>
      </c>
      <c r="J3486" t="s">
        <v>32</v>
      </c>
      <c r="K3486">
        <v>14</v>
      </c>
      <c r="L3486">
        <v>8</v>
      </c>
      <c r="M3486" s="11">
        <v>17123.41</v>
      </c>
      <c r="N3486" s="12">
        <v>6364.63</v>
      </c>
      <c r="O3486" s="12">
        <v>5728.65</v>
      </c>
    </row>
    <row r="3487" spans="1:15">
      <c r="A3487" t="s">
        <v>3661</v>
      </c>
      <c r="B3487" t="s">
        <v>201</v>
      </c>
      <c r="C3487" s="9">
        <v>27760</v>
      </c>
      <c r="D3487">
        <v>50</v>
      </c>
      <c r="E3487" t="s">
        <v>21</v>
      </c>
      <c r="F3487" t="s">
        <v>74</v>
      </c>
      <c r="G3487" s="9">
        <v>45228</v>
      </c>
      <c r="H3487" s="9">
        <v>45434</v>
      </c>
      <c r="I3487">
        <v>18</v>
      </c>
      <c r="J3487" t="s">
        <v>32</v>
      </c>
      <c r="K3487">
        <v>0</v>
      </c>
      <c r="L3487">
        <v>9</v>
      </c>
      <c r="M3487" s="11">
        <v>15169.32</v>
      </c>
      <c r="N3487" s="12">
        <v>1314.76</v>
      </c>
      <c r="O3487" s="12">
        <v>8475.9500000000007</v>
      </c>
    </row>
    <row r="3488" spans="1:15">
      <c r="A3488" t="s">
        <v>3662</v>
      </c>
      <c r="B3488" t="s">
        <v>550</v>
      </c>
      <c r="C3488" s="9">
        <v>19724</v>
      </c>
      <c r="D3488">
        <v>72</v>
      </c>
      <c r="E3488" t="s">
        <v>17</v>
      </c>
      <c r="F3488" t="s">
        <v>22</v>
      </c>
      <c r="G3488" s="9">
        <v>45478</v>
      </c>
      <c r="H3488" s="9">
        <v>45457</v>
      </c>
      <c r="I3488">
        <v>29</v>
      </c>
      <c r="J3488" t="s">
        <v>35</v>
      </c>
      <c r="K3488">
        <v>5</v>
      </c>
      <c r="L3488">
        <v>0</v>
      </c>
      <c r="M3488" s="11">
        <v>20598.79</v>
      </c>
      <c r="N3488" s="12">
        <v>10887.41</v>
      </c>
      <c r="O3488" s="12">
        <v>16888.39</v>
      </c>
    </row>
    <row r="3489" spans="1:15">
      <c r="A3489" t="s">
        <v>3663</v>
      </c>
      <c r="B3489" t="s">
        <v>37</v>
      </c>
      <c r="C3489" s="9">
        <v>32143</v>
      </c>
      <c r="D3489">
        <v>38</v>
      </c>
      <c r="E3489" t="s">
        <v>17</v>
      </c>
      <c r="F3489" t="s">
        <v>74</v>
      </c>
      <c r="G3489" s="9">
        <v>44988</v>
      </c>
      <c r="H3489" s="9">
        <v>45291</v>
      </c>
      <c r="I3489">
        <v>2</v>
      </c>
      <c r="J3489" t="s">
        <v>32</v>
      </c>
      <c r="K3489">
        <v>3</v>
      </c>
      <c r="L3489">
        <v>9</v>
      </c>
      <c r="M3489" s="11">
        <v>11151.88</v>
      </c>
      <c r="N3489" s="12">
        <v>1067.21</v>
      </c>
      <c r="O3489" s="12">
        <v>5843.5</v>
      </c>
    </row>
    <row r="3490" spans="1:15">
      <c r="A3490" t="s">
        <v>3664</v>
      </c>
      <c r="B3490" t="s">
        <v>671</v>
      </c>
      <c r="C3490" s="9">
        <v>36161</v>
      </c>
      <c r="D3490">
        <v>27</v>
      </c>
      <c r="E3490" t="s">
        <v>17</v>
      </c>
      <c r="F3490" t="s">
        <v>25</v>
      </c>
      <c r="G3490" s="9">
        <v>45429</v>
      </c>
      <c r="H3490" s="9">
        <v>45690</v>
      </c>
      <c r="I3490">
        <v>38</v>
      </c>
      <c r="J3490" t="s">
        <v>35</v>
      </c>
      <c r="K3490">
        <v>1</v>
      </c>
      <c r="L3490">
        <v>3</v>
      </c>
      <c r="M3490" s="11">
        <v>26757.98</v>
      </c>
      <c r="N3490" s="12">
        <v>10533.47</v>
      </c>
      <c r="O3490" s="12">
        <v>11240.02</v>
      </c>
    </row>
    <row r="3491" spans="1:15">
      <c r="A3491" t="s">
        <v>3665</v>
      </c>
      <c r="B3491" t="s">
        <v>242</v>
      </c>
      <c r="C3491" s="9">
        <v>45292</v>
      </c>
      <c r="D3491">
        <v>2</v>
      </c>
      <c r="E3491" t="s">
        <v>17</v>
      </c>
      <c r="F3491" t="s">
        <v>49</v>
      </c>
      <c r="G3491" s="9">
        <v>45171</v>
      </c>
      <c r="H3491" s="9">
        <v>45677</v>
      </c>
      <c r="I3491">
        <v>20</v>
      </c>
      <c r="J3491" t="s">
        <v>26</v>
      </c>
      <c r="K3491">
        <v>4</v>
      </c>
      <c r="L3491">
        <v>1</v>
      </c>
      <c r="M3491" s="11">
        <v>5972.68</v>
      </c>
      <c r="N3491" s="12">
        <v>4217.29</v>
      </c>
      <c r="O3491" s="12">
        <v>12906.29</v>
      </c>
    </row>
    <row r="3492" spans="1:15">
      <c r="A3492" t="s">
        <v>3666</v>
      </c>
      <c r="B3492" t="s">
        <v>157</v>
      </c>
      <c r="C3492" s="9">
        <v>15707</v>
      </c>
      <c r="D3492">
        <v>83</v>
      </c>
      <c r="E3492" t="s">
        <v>21</v>
      </c>
      <c r="F3492" t="s">
        <v>49</v>
      </c>
      <c r="G3492" s="9">
        <v>44944</v>
      </c>
      <c r="H3492" s="9">
        <v>45267</v>
      </c>
      <c r="I3492">
        <v>27</v>
      </c>
      <c r="J3492" t="s">
        <v>35</v>
      </c>
      <c r="K3492">
        <v>4</v>
      </c>
      <c r="L3492">
        <v>8</v>
      </c>
      <c r="M3492" s="11">
        <v>26462.13</v>
      </c>
      <c r="N3492" s="12">
        <v>8484.9</v>
      </c>
      <c r="O3492" s="12">
        <v>2842.8</v>
      </c>
    </row>
    <row r="3493" spans="1:15">
      <c r="A3493" t="s">
        <v>3667</v>
      </c>
      <c r="B3493" t="s">
        <v>300</v>
      </c>
      <c r="C3493" s="9">
        <v>20820</v>
      </c>
      <c r="D3493">
        <v>69</v>
      </c>
      <c r="E3493" t="s">
        <v>17</v>
      </c>
      <c r="F3493" t="s">
        <v>18</v>
      </c>
      <c r="G3493" s="9">
        <v>45578</v>
      </c>
      <c r="H3493" s="9">
        <v>45334</v>
      </c>
      <c r="I3493">
        <v>24</v>
      </c>
      <c r="J3493" t="s">
        <v>32</v>
      </c>
      <c r="K3493">
        <v>1</v>
      </c>
      <c r="L3493">
        <v>8</v>
      </c>
      <c r="M3493" s="11">
        <v>19130.310000000001</v>
      </c>
      <c r="N3493" s="12">
        <v>2406.81</v>
      </c>
      <c r="O3493" s="12">
        <v>15534.1</v>
      </c>
    </row>
    <row r="3494" spans="1:15">
      <c r="A3494" t="s">
        <v>3668</v>
      </c>
      <c r="B3494" t="s">
        <v>198</v>
      </c>
      <c r="C3494" s="9">
        <v>36526</v>
      </c>
      <c r="D3494">
        <v>26</v>
      </c>
      <c r="E3494" t="s">
        <v>5185</v>
      </c>
      <c r="F3494" t="s">
        <v>18</v>
      </c>
      <c r="G3494" s="9">
        <v>45324</v>
      </c>
      <c r="H3494" s="9">
        <v>45380</v>
      </c>
      <c r="I3494">
        <v>12</v>
      </c>
      <c r="J3494" t="s">
        <v>26</v>
      </c>
      <c r="K3494">
        <v>1</v>
      </c>
      <c r="L3494">
        <v>0</v>
      </c>
      <c r="M3494" s="11">
        <v>17820.080000000002</v>
      </c>
      <c r="N3494" s="12">
        <v>5563.45</v>
      </c>
      <c r="O3494" s="12">
        <v>19981.259999999998</v>
      </c>
    </row>
    <row r="3495" spans="1:15">
      <c r="A3495" t="s">
        <v>3669</v>
      </c>
      <c r="B3495" t="s">
        <v>338</v>
      </c>
      <c r="C3495" s="9">
        <v>45657</v>
      </c>
      <c r="D3495">
        <v>1</v>
      </c>
      <c r="E3495" t="s">
        <v>17</v>
      </c>
      <c r="F3495" t="s">
        <v>49</v>
      </c>
      <c r="G3495" s="9">
        <v>45520</v>
      </c>
      <c r="H3495" s="9">
        <v>45760</v>
      </c>
      <c r="I3495">
        <v>38</v>
      </c>
      <c r="J3495" t="s">
        <v>26</v>
      </c>
      <c r="K3495">
        <v>10</v>
      </c>
      <c r="L3495">
        <v>2</v>
      </c>
      <c r="M3495" s="11">
        <v>13833.62</v>
      </c>
      <c r="N3495" s="12">
        <v>1561.34</v>
      </c>
      <c r="O3495" s="12">
        <v>3016.74</v>
      </c>
    </row>
    <row r="3496" spans="1:15">
      <c r="A3496" t="s">
        <v>3670</v>
      </c>
      <c r="B3496" t="s">
        <v>422</v>
      </c>
      <c r="C3496" s="9">
        <v>12419</v>
      </c>
      <c r="D3496">
        <v>92</v>
      </c>
      <c r="E3496" t="s">
        <v>21</v>
      </c>
      <c r="F3496" t="s">
        <v>18</v>
      </c>
      <c r="G3496" s="9">
        <v>45115</v>
      </c>
      <c r="H3496" s="9">
        <v>45804</v>
      </c>
      <c r="I3496">
        <v>11</v>
      </c>
      <c r="J3496" t="s">
        <v>32</v>
      </c>
      <c r="K3496">
        <v>3</v>
      </c>
      <c r="L3496">
        <v>9</v>
      </c>
      <c r="M3496" s="11">
        <v>4219.75</v>
      </c>
      <c r="N3496" s="12">
        <v>7009.55</v>
      </c>
      <c r="O3496" s="12">
        <v>15334.48</v>
      </c>
    </row>
    <row r="3497" spans="1:15">
      <c r="A3497" t="s">
        <v>3671</v>
      </c>
      <c r="B3497" t="s">
        <v>137</v>
      </c>
      <c r="C3497" s="9">
        <v>32508</v>
      </c>
      <c r="D3497">
        <v>37</v>
      </c>
      <c r="E3497" t="s">
        <v>21</v>
      </c>
      <c r="F3497" t="s">
        <v>49</v>
      </c>
      <c r="G3497" s="9">
        <v>45546</v>
      </c>
      <c r="H3497" s="9">
        <v>45741</v>
      </c>
      <c r="I3497">
        <v>18</v>
      </c>
      <c r="J3497" t="s">
        <v>35</v>
      </c>
      <c r="K3497">
        <v>14</v>
      </c>
      <c r="L3497">
        <v>7</v>
      </c>
      <c r="M3497" s="11">
        <v>25880.49</v>
      </c>
      <c r="N3497" s="12">
        <v>3199.36</v>
      </c>
      <c r="O3497" s="12">
        <v>2856.17</v>
      </c>
    </row>
    <row r="3498" spans="1:15">
      <c r="A3498" t="s">
        <v>3672</v>
      </c>
      <c r="B3498" t="s">
        <v>139</v>
      </c>
      <c r="C3498" s="9">
        <v>45292</v>
      </c>
      <c r="D3498">
        <v>2</v>
      </c>
      <c r="E3498" t="s">
        <v>21</v>
      </c>
      <c r="F3498" t="s">
        <v>25</v>
      </c>
      <c r="G3498" s="9">
        <v>45030</v>
      </c>
      <c r="H3498" s="9">
        <v>45505</v>
      </c>
      <c r="I3498">
        <v>31</v>
      </c>
      <c r="J3498" t="s">
        <v>26</v>
      </c>
      <c r="K3498">
        <v>9</v>
      </c>
      <c r="L3498">
        <v>1</v>
      </c>
      <c r="M3498" s="11">
        <v>1102.29</v>
      </c>
      <c r="N3498" s="12">
        <v>2818.96</v>
      </c>
      <c r="O3498" s="12">
        <v>19000.150000000001</v>
      </c>
    </row>
    <row r="3499" spans="1:15">
      <c r="A3499" t="s">
        <v>3673</v>
      </c>
      <c r="B3499" t="s">
        <v>268</v>
      </c>
      <c r="C3499" s="9">
        <v>40544</v>
      </c>
      <c r="D3499">
        <v>15</v>
      </c>
      <c r="E3499" t="s">
        <v>17</v>
      </c>
      <c r="F3499" t="s">
        <v>18</v>
      </c>
      <c r="G3499" s="9">
        <v>45572</v>
      </c>
      <c r="H3499" s="9">
        <v>45775</v>
      </c>
      <c r="I3499">
        <v>23</v>
      </c>
      <c r="J3499" t="s">
        <v>26</v>
      </c>
      <c r="K3499">
        <v>11</v>
      </c>
      <c r="L3499">
        <v>1</v>
      </c>
      <c r="M3499" s="11">
        <v>7733.95</v>
      </c>
      <c r="N3499" s="12">
        <v>1607.29</v>
      </c>
      <c r="O3499" s="12">
        <v>8160.81</v>
      </c>
    </row>
    <row r="3500" spans="1:15">
      <c r="A3500" t="s">
        <v>3674</v>
      </c>
      <c r="B3500" t="s">
        <v>306</v>
      </c>
      <c r="C3500" s="9">
        <v>12054</v>
      </c>
      <c r="D3500">
        <v>93</v>
      </c>
      <c r="E3500" t="s">
        <v>21</v>
      </c>
      <c r="F3500" t="s">
        <v>49</v>
      </c>
      <c r="G3500" s="9">
        <v>45270</v>
      </c>
      <c r="H3500" s="9">
        <v>45077</v>
      </c>
      <c r="I3500">
        <v>22</v>
      </c>
      <c r="J3500" t="s">
        <v>35</v>
      </c>
      <c r="K3500">
        <v>9</v>
      </c>
      <c r="L3500">
        <v>1</v>
      </c>
      <c r="M3500" s="11">
        <v>2846.06</v>
      </c>
      <c r="N3500" s="12">
        <v>11481.51</v>
      </c>
      <c r="O3500" s="12">
        <v>19596.330000000002</v>
      </c>
    </row>
    <row r="3501" spans="1:15">
      <c r="A3501" t="s">
        <v>3675</v>
      </c>
      <c r="B3501" t="s">
        <v>67</v>
      </c>
      <c r="C3501" s="9">
        <v>31778</v>
      </c>
      <c r="D3501">
        <v>39</v>
      </c>
      <c r="E3501" t="s">
        <v>21</v>
      </c>
      <c r="F3501" t="s">
        <v>18</v>
      </c>
      <c r="G3501" s="9">
        <v>45297</v>
      </c>
      <c r="H3501" s="9">
        <v>45120</v>
      </c>
      <c r="I3501">
        <v>28</v>
      </c>
      <c r="J3501" t="s">
        <v>35</v>
      </c>
      <c r="K3501">
        <v>5</v>
      </c>
      <c r="L3501">
        <v>4</v>
      </c>
      <c r="M3501" s="11">
        <v>2758.48</v>
      </c>
      <c r="N3501" s="12">
        <v>9592.7999999999993</v>
      </c>
      <c r="O3501" s="12">
        <v>1265.1500000000001</v>
      </c>
    </row>
    <row r="3502" spans="1:15">
      <c r="A3502" t="s">
        <v>3676</v>
      </c>
      <c r="B3502" t="s">
        <v>73</v>
      </c>
      <c r="C3502" s="9">
        <v>45657</v>
      </c>
      <c r="D3502">
        <v>1</v>
      </c>
      <c r="E3502" t="s">
        <v>17</v>
      </c>
      <c r="F3502" t="s">
        <v>74</v>
      </c>
      <c r="G3502" s="9">
        <v>44959</v>
      </c>
      <c r="H3502" s="9">
        <v>45074</v>
      </c>
      <c r="I3502">
        <v>3</v>
      </c>
      <c r="J3502" t="s">
        <v>26</v>
      </c>
      <c r="K3502">
        <v>2</v>
      </c>
      <c r="L3502">
        <v>8</v>
      </c>
      <c r="M3502" s="11">
        <v>0</v>
      </c>
      <c r="N3502" s="12">
        <v>2353.56</v>
      </c>
      <c r="O3502" s="12">
        <v>15798.72</v>
      </c>
    </row>
    <row r="3503" spans="1:15">
      <c r="A3503" t="s">
        <v>3677</v>
      </c>
      <c r="B3503" t="s">
        <v>20</v>
      </c>
      <c r="C3503" s="9">
        <v>16802</v>
      </c>
      <c r="D3503">
        <v>80</v>
      </c>
      <c r="E3503" t="s">
        <v>21</v>
      </c>
      <c r="F3503" t="s">
        <v>22</v>
      </c>
      <c r="G3503" s="9">
        <v>45300</v>
      </c>
      <c r="H3503" s="9">
        <v>45333</v>
      </c>
      <c r="I3503">
        <v>1</v>
      </c>
      <c r="J3503" t="s">
        <v>26</v>
      </c>
      <c r="K3503">
        <v>10</v>
      </c>
      <c r="L3503">
        <v>6</v>
      </c>
      <c r="M3503" s="11">
        <v>4392.9799999999996</v>
      </c>
      <c r="N3503" s="12">
        <v>7086.44</v>
      </c>
      <c r="O3503" s="12">
        <v>9414.9</v>
      </c>
    </row>
    <row r="3504" spans="1:15">
      <c r="A3504" t="s">
        <v>3678</v>
      </c>
      <c r="B3504" t="s">
        <v>215</v>
      </c>
      <c r="C3504" s="9">
        <v>31412</v>
      </c>
      <c r="D3504">
        <v>40</v>
      </c>
      <c r="E3504" t="s">
        <v>21</v>
      </c>
      <c r="F3504" t="s">
        <v>74</v>
      </c>
      <c r="G3504" s="9">
        <v>45104</v>
      </c>
      <c r="H3504" s="9">
        <v>45110</v>
      </c>
      <c r="I3504">
        <v>21</v>
      </c>
      <c r="J3504" t="s">
        <v>35</v>
      </c>
      <c r="K3504">
        <v>6</v>
      </c>
      <c r="L3504">
        <v>6</v>
      </c>
      <c r="M3504" s="11">
        <v>17232.27</v>
      </c>
      <c r="N3504" s="12">
        <v>9913.27</v>
      </c>
      <c r="O3504" s="12">
        <v>5718.83</v>
      </c>
    </row>
    <row r="3505" spans="1:15">
      <c r="A3505" t="s">
        <v>3679</v>
      </c>
      <c r="B3505" t="s">
        <v>387</v>
      </c>
      <c r="C3505" s="9">
        <v>42005</v>
      </c>
      <c r="D3505">
        <v>11</v>
      </c>
      <c r="E3505" t="s">
        <v>21</v>
      </c>
      <c r="F3505" t="s">
        <v>29</v>
      </c>
      <c r="G3505" s="9">
        <v>44938</v>
      </c>
      <c r="H3505" s="9">
        <v>45033</v>
      </c>
      <c r="I3505">
        <v>39</v>
      </c>
      <c r="J3505" t="s">
        <v>32</v>
      </c>
      <c r="K3505">
        <v>1</v>
      </c>
      <c r="L3505">
        <v>1</v>
      </c>
      <c r="M3505" s="11">
        <v>18628.349999999999</v>
      </c>
      <c r="N3505" s="12">
        <v>13171.03</v>
      </c>
      <c r="O3505" s="12">
        <v>14932.55</v>
      </c>
    </row>
    <row r="3506" spans="1:15">
      <c r="A3506" t="s">
        <v>3680</v>
      </c>
      <c r="B3506" t="s">
        <v>135</v>
      </c>
      <c r="C3506" s="9">
        <v>33604</v>
      </c>
      <c r="D3506">
        <v>34</v>
      </c>
      <c r="E3506" t="s">
        <v>21</v>
      </c>
      <c r="F3506" t="s">
        <v>49</v>
      </c>
      <c r="G3506" s="9">
        <v>45382</v>
      </c>
      <c r="H3506" s="9">
        <v>45163</v>
      </c>
      <c r="I3506">
        <v>28</v>
      </c>
      <c r="J3506" t="s">
        <v>35</v>
      </c>
      <c r="K3506">
        <v>4</v>
      </c>
      <c r="L3506">
        <v>1</v>
      </c>
      <c r="M3506" s="11">
        <v>26403.86</v>
      </c>
      <c r="N3506" s="12">
        <v>893.58</v>
      </c>
      <c r="O3506" s="12">
        <v>12670.11</v>
      </c>
    </row>
    <row r="3507" spans="1:15">
      <c r="A3507" t="s">
        <v>3681</v>
      </c>
      <c r="B3507" t="s">
        <v>174</v>
      </c>
      <c r="C3507" s="9">
        <v>22646</v>
      </c>
      <c r="D3507">
        <v>64</v>
      </c>
      <c r="E3507" t="s">
        <v>21</v>
      </c>
      <c r="F3507" t="s">
        <v>29</v>
      </c>
      <c r="G3507" s="9">
        <v>45569</v>
      </c>
      <c r="H3507" s="9">
        <v>45565</v>
      </c>
      <c r="I3507">
        <v>16</v>
      </c>
      <c r="J3507" t="s">
        <v>32</v>
      </c>
      <c r="K3507">
        <v>13</v>
      </c>
      <c r="L3507">
        <v>4</v>
      </c>
      <c r="M3507" s="11">
        <v>8639.8700000000008</v>
      </c>
      <c r="N3507" s="12">
        <v>5435.32</v>
      </c>
      <c r="O3507" s="12">
        <v>18047.990000000002</v>
      </c>
    </row>
    <row r="3508" spans="1:15">
      <c r="A3508" t="s">
        <v>3682</v>
      </c>
      <c r="B3508" t="s">
        <v>338</v>
      </c>
      <c r="C3508" s="9">
        <v>26299</v>
      </c>
      <c r="D3508">
        <v>54</v>
      </c>
      <c r="E3508" t="s">
        <v>17</v>
      </c>
      <c r="F3508" t="s">
        <v>49</v>
      </c>
      <c r="G3508" s="9">
        <v>45175</v>
      </c>
      <c r="H3508" s="9">
        <v>45106</v>
      </c>
      <c r="I3508">
        <v>8</v>
      </c>
      <c r="J3508" t="s">
        <v>26</v>
      </c>
      <c r="K3508">
        <v>4</v>
      </c>
      <c r="L3508">
        <v>6</v>
      </c>
      <c r="M3508" s="11">
        <v>8929.94</v>
      </c>
      <c r="N3508" s="12">
        <v>9239.2999999999993</v>
      </c>
      <c r="O3508" s="12">
        <v>4901.07</v>
      </c>
    </row>
    <row r="3509" spans="1:15">
      <c r="A3509" t="s">
        <v>3683</v>
      </c>
      <c r="B3509" t="s">
        <v>367</v>
      </c>
      <c r="C3509" s="9">
        <v>29951</v>
      </c>
      <c r="D3509">
        <v>44</v>
      </c>
      <c r="E3509" t="s">
        <v>17</v>
      </c>
      <c r="F3509" t="s">
        <v>22</v>
      </c>
      <c r="G3509" s="9">
        <v>45374</v>
      </c>
      <c r="H3509" s="9">
        <v>45359</v>
      </c>
      <c r="I3509">
        <v>26</v>
      </c>
      <c r="J3509" t="s">
        <v>32</v>
      </c>
      <c r="K3509">
        <v>7</v>
      </c>
      <c r="L3509">
        <v>6</v>
      </c>
      <c r="M3509" s="11">
        <v>7014.25</v>
      </c>
      <c r="N3509" s="12">
        <v>234.26</v>
      </c>
      <c r="O3509" s="12">
        <v>18788.88</v>
      </c>
    </row>
    <row r="3510" spans="1:15">
      <c r="A3510" t="s">
        <v>3684</v>
      </c>
      <c r="B3510" t="s">
        <v>115</v>
      </c>
      <c r="C3510" s="9">
        <v>17533</v>
      </c>
      <c r="D3510">
        <v>78</v>
      </c>
      <c r="E3510" t="s">
        <v>21</v>
      </c>
      <c r="F3510" t="s">
        <v>18</v>
      </c>
      <c r="G3510" s="9">
        <v>45496</v>
      </c>
      <c r="H3510" s="9">
        <v>45328</v>
      </c>
      <c r="I3510">
        <v>2</v>
      </c>
      <c r="J3510" t="s">
        <v>35</v>
      </c>
      <c r="K3510">
        <v>2</v>
      </c>
      <c r="L3510">
        <v>8</v>
      </c>
      <c r="M3510" s="11">
        <v>23345.22</v>
      </c>
      <c r="N3510" s="12">
        <v>3652.9</v>
      </c>
      <c r="O3510" s="12">
        <v>12801.55</v>
      </c>
    </row>
    <row r="3511" spans="1:15">
      <c r="A3511" t="s">
        <v>3685</v>
      </c>
      <c r="B3511" t="s">
        <v>117</v>
      </c>
      <c r="C3511" s="9">
        <v>13515</v>
      </c>
      <c r="D3511">
        <v>89</v>
      </c>
      <c r="E3511" t="s">
        <v>21</v>
      </c>
      <c r="F3511" t="s">
        <v>49</v>
      </c>
      <c r="G3511" s="9">
        <v>44930</v>
      </c>
      <c r="H3511" s="9">
        <v>45452</v>
      </c>
      <c r="I3511">
        <v>15</v>
      </c>
      <c r="J3511" t="s">
        <v>26</v>
      </c>
      <c r="K3511">
        <v>14</v>
      </c>
      <c r="L3511">
        <v>2</v>
      </c>
      <c r="M3511" s="11">
        <v>12555.83</v>
      </c>
      <c r="N3511" s="12">
        <v>11173.51</v>
      </c>
      <c r="O3511" s="12">
        <v>8953.7199999999993</v>
      </c>
    </row>
    <row r="3512" spans="1:15">
      <c r="A3512" t="s">
        <v>3686</v>
      </c>
      <c r="B3512" t="s">
        <v>242</v>
      </c>
      <c r="C3512" s="9">
        <v>15341</v>
      </c>
      <c r="D3512">
        <v>84</v>
      </c>
      <c r="E3512" t="s">
        <v>17</v>
      </c>
      <c r="F3512" t="s">
        <v>74</v>
      </c>
      <c r="G3512" s="9">
        <v>45162</v>
      </c>
      <c r="H3512" s="9">
        <v>45670</v>
      </c>
      <c r="I3512">
        <v>0</v>
      </c>
      <c r="J3512" t="s">
        <v>26</v>
      </c>
      <c r="K3512">
        <v>5</v>
      </c>
      <c r="L3512">
        <v>0</v>
      </c>
      <c r="M3512" s="11">
        <v>16348.87</v>
      </c>
      <c r="N3512" s="12">
        <v>5336.05</v>
      </c>
      <c r="O3512" s="12">
        <v>967.94</v>
      </c>
    </row>
    <row r="3513" spans="1:15">
      <c r="A3513" t="s">
        <v>3687</v>
      </c>
      <c r="B3513" t="s">
        <v>261</v>
      </c>
      <c r="C3513" s="9">
        <v>23742</v>
      </c>
      <c r="D3513">
        <v>61</v>
      </c>
      <c r="E3513" t="s">
        <v>21</v>
      </c>
      <c r="F3513" t="s">
        <v>18</v>
      </c>
      <c r="G3513" s="9">
        <v>45099</v>
      </c>
      <c r="H3513" s="9">
        <v>45467</v>
      </c>
      <c r="I3513">
        <v>37</v>
      </c>
      <c r="J3513" t="s">
        <v>32</v>
      </c>
      <c r="K3513">
        <v>8</v>
      </c>
      <c r="L3513">
        <v>8</v>
      </c>
      <c r="M3513" s="11">
        <v>10925.83</v>
      </c>
      <c r="N3513" s="12">
        <v>1267.42</v>
      </c>
      <c r="O3513" s="12">
        <v>15280.04</v>
      </c>
    </row>
    <row r="3514" spans="1:15">
      <c r="A3514" t="s">
        <v>3688</v>
      </c>
      <c r="B3514" t="s">
        <v>427</v>
      </c>
      <c r="C3514" s="9">
        <v>28490</v>
      </c>
      <c r="D3514">
        <v>48</v>
      </c>
      <c r="E3514" t="s">
        <v>21</v>
      </c>
      <c r="F3514" t="s">
        <v>22</v>
      </c>
      <c r="G3514" s="9">
        <v>45248</v>
      </c>
      <c r="H3514" s="9">
        <v>45818</v>
      </c>
      <c r="I3514">
        <v>8</v>
      </c>
      <c r="J3514" t="s">
        <v>35</v>
      </c>
      <c r="K3514">
        <v>1</v>
      </c>
      <c r="L3514">
        <v>0</v>
      </c>
      <c r="M3514" s="11">
        <v>4282.79</v>
      </c>
      <c r="N3514" s="12">
        <v>9398.93</v>
      </c>
      <c r="O3514" s="12">
        <v>17153.87</v>
      </c>
    </row>
    <row r="3515" spans="1:15">
      <c r="A3515" t="s">
        <v>3689</v>
      </c>
      <c r="B3515" t="s">
        <v>95</v>
      </c>
      <c r="C3515" s="9">
        <v>11689</v>
      </c>
      <c r="D3515">
        <v>94</v>
      </c>
      <c r="E3515" t="s">
        <v>17</v>
      </c>
      <c r="F3515" t="s">
        <v>74</v>
      </c>
      <c r="G3515" s="9">
        <v>45297</v>
      </c>
      <c r="H3515" s="9">
        <v>45250</v>
      </c>
      <c r="I3515">
        <v>18</v>
      </c>
      <c r="J3515" t="s">
        <v>26</v>
      </c>
      <c r="K3515">
        <v>9</v>
      </c>
      <c r="L3515">
        <v>7</v>
      </c>
      <c r="M3515" s="11">
        <v>0</v>
      </c>
      <c r="N3515" s="12">
        <v>3750.79</v>
      </c>
      <c r="O3515" s="12">
        <v>16172.65</v>
      </c>
    </row>
    <row r="3516" spans="1:15">
      <c r="A3516" t="s">
        <v>3690</v>
      </c>
      <c r="B3516" t="s">
        <v>112</v>
      </c>
      <c r="C3516" s="9">
        <v>37256</v>
      </c>
      <c r="D3516">
        <v>24</v>
      </c>
      <c r="E3516" t="s">
        <v>21</v>
      </c>
      <c r="F3516" t="s">
        <v>18</v>
      </c>
      <c r="G3516" s="9">
        <v>45474</v>
      </c>
      <c r="H3516" s="9">
        <v>45188</v>
      </c>
      <c r="I3516">
        <v>27</v>
      </c>
      <c r="J3516" t="s">
        <v>32</v>
      </c>
      <c r="K3516">
        <v>1</v>
      </c>
      <c r="L3516">
        <v>4</v>
      </c>
      <c r="M3516" s="11">
        <v>25982.34</v>
      </c>
      <c r="N3516" s="12">
        <v>10524.81</v>
      </c>
      <c r="O3516" s="12">
        <v>14686.89</v>
      </c>
    </row>
    <row r="3517" spans="1:15">
      <c r="A3517" t="s">
        <v>3691</v>
      </c>
      <c r="B3517" t="s">
        <v>204</v>
      </c>
      <c r="C3517" s="9">
        <v>37987</v>
      </c>
      <c r="D3517">
        <v>22</v>
      </c>
      <c r="E3517" t="s">
        <v>21</v>
      </c>
      <c r="F3517" t="s">
        <v>49</v>
      </c>
      <c r="G3517" s="9">
        <v>45222</v>
      </c>
      <c r="H3517" s="9">
        <v>45539</v>
      </c>
      <c r="I3517">
        <v>16</v>
      </c>
      <c r="J3517" t="s">
        <v>32</v>
      </c>
      <c r="K3517">
        <v>0</v>
      </c>
      <c r="L3517">
        <v>7</v>
      </c>
      <c r="M3517" s="11">
        <v>7597.19</v>
      </c>
      <c r="N3517" s="12">
        <v>13502.62</v>
      </c>
      <c r="O3517" s="12">
        <v>19385.16</v>
      </c>
    </row>
    <row r="3518" spans="1:15">
      <c r="A3518" t="s">
        <v>3692</v>
      </c>
      <c r="B3518" t="s">
        <v>129</v>
      </c>
      <c r="C3518" s="9">
        <v>37622</v>
      </c>
      <c r="D3518">
        <v>23</v>
      </c>
      <c r="E3518" t="s">
        <v>21</v>
      </c>
      <c r="F3518" t="s">
        <v>49</v>
      </c>
      <c r="G3518" s="9">
        <v>45326</v>
      </c>
      <c r="H3518" s="9">
        <v>45627</v>
      </c>
      <c r="I3518">
        <v>22</v>
      </c>
      <c r="J3518" t="s">
        <v>32</v>
      </c>
      <c r="K3518">
        <v>2</v>
      </c>
      <c r="L3518">
        <v>6</v>
      </c>
      <c r="M3518" s="11">
        <v>28219.41</v>
      </c>
      <c r="N3518" s="12">
        <v>7917.89</v>
      </c>
      <c r="O3518" s="12">
        <v>16966.97</v>
      </c>
    </row>
    <row r="3519" spans="1:15">
      <c r="A3519" t="s">
        <v>3693</v>
      </c>
      <c r="B3519" t="s">
        <v>157</v>
      </c>
      <c r="C3519" s="9">
        <v>32508</v>
      </c>
      <c r="D3519">
        <v>37</v>
      </c>
      <c r="E3519" t="s">
        <v>17</v>
      </c>
      <c r="F3519" t="s">
        <v>74</v>
      </c>
      <c r="G3519" s="9">
        <v>44984</v>
      </c>
      <c r="H3519" s="9">
        <v>45326</v>
      </c>
      <c r="I3519">
        <v>32</v>
      </c>
      <c r="J3519" t="s">
        <v>35</v>
      </c>
      <c r="K3519">
        <v>10</v>
      </c>
      <c r="L3519">
        <v>8</v>
      </c>
      <c r="M3519" s="11">
        <v>28392.45</v>
      </c>
      <c r="N3519" s="12">
        <v>8987.16</v>
      </c>
      <c r="O3519" s="12">
        <v>18550.37</v>
      </c>
    </row>
    <row r="3520" spans="1:15">
      <c r="A3520" t="s">
        <v>3694</v>
      </c>
      <c r="B3520" t="s">
        <v>63</v>
      </c>
      <c r="C3520" s="9">
        <v>36161</v>
      </c>
      <c r="D3520">
        <v>27</v>
      </c>
      <c r="E3520" t="s">
        <v>21</v>
      </c>
      <c r="F3520" t="s">
        <v>25</v>
      </c>
      <c r="G3520" s="9">
        <v>45456</v>
      </c>
      <c r="H3520" s="9">
        <v>45264</v>
      </c>
      <c r="I3520">
        <v>9</v>
      </c>
      <c r="J3520" t="s">
        <v>32</v>
      </c>
      <c r="K3520">
        <v>4</v>
      </c>
      <c r="L3520">
        <v>1</v>
      </c>
      <c r="M3520" s="11">
        <v>14107.11</v>
      </c>
      <c r="N3520" s="12">
        <v>7716.09</v>
      </c>
      <c r="O3520" s="12">
        <v>14582.62</v>
      </c>
    </row>
    <row r="3521" spans="1:15">
      <c r="A3521" t="s">
        <v>3695</v>
      </c>
      <c r="B3521" t="s">
        <v>84</v>
      </c>
      <c r="C3521" s="9">
        <f t="shared" ref="C3521:C3522" si="19">DATE(2026-D3481,1,1)</f>
        <v>27760</v>
      </c>
      <c r="D3521">
        <v>20</v>
      </c>
      <c r="E3521" t="s">
        <v>21</v>
      </c>
      <c r="F3521" t="s">
        <v>49</v>
      </c>
      <c r="G3521" s="9">
        <v>45474</v>
      </c>
      <c r="H3521" s="9">
        <v>45227</v>
      </c>
      <c r="I3521">
        <v>23</v>
      </c>
      <c r="J3521" t="s">
        <v>32</v>
      </c>
      <c r="K3521">
        <v>2</v>
      </c>
      <c r="L3521">
        <v>8</v>
      </c>
      <c r="M3521" s="11">
        <v>28736.94</v>
      </c>
      <c r="N3521" s="12">
        <v>12261.63</v>
      </c>
      <c r="O3521" s="12">
        <v>16386.16</v>
      </c>
    </row>
    <row r="3522" spans="1:15">
      <c r="A3522" t="s">
        <v>3696</v>
      </c>
      <c r="B3522" t="s">
        <v>252</v>
      </c>
      <c r="C3522" s="9">
        <f t="shared" si="19"/>
        <v>18994</v>
      </c>
      <c r="D3522">
        <v>53</v>
      </c>
      <c r="E3522" t="s">
        <v>21</v>
      </c>
      <c r="F3522" t="s">
        <v>25</v>
      </c>
      <c r="G3522" s="9">
        <v>45334</v>
      </c>
      <c r="H3522" s="9">
        <v>45046</v>
      </c>
      <c r="I3522">
        <v>2</v>
      </c>
      <c r="J3522" t="s">
        <v>26</v>
      </c>
      <c r="K3522">
        <v>13</v>
      </c>
      <c r="L3522">
        <v>9</v>
      </c>
      <c r="M3522" s="11">
        <v>368.86</v>
      </c>
      <c r="N3522" s="12">
        <v>3625.72</v>
      </c>
      <c r="O3522" s="12">
        <v>5712.08</v>
      </c>
    </row>
    <row r="3523" spans="1:15">
      <c r="A3523" t="s">
        <v>3697</v>
      </c>
      <c r="B3523" t="s">
        <v>223</v>
      </c>
      <c r="C3523" s="9">
        <v>39813</v>
      </c>
      <c r="D3523">
        <v>17</v>
      </c>
      <c r="E3523" t="s">
        <v>17</v>
      </c>
      <c r="F3523" t="s">
        <v>18</v>
      </c>
      <c r="G3523" s="9">
        <v>45567</v>
      </c>
      <c r="H3523" s="9">
        <v>45485</v>
      </c>
      <c r="I3523">
        <v>16</v>
      </c>
      <c r="J3523" t="s">
        <v>32</v>
      </c>
      <c r="K3523">
        <v>4</v>
      </c>
      <c r="L3523">
        <v>4</v>
      </c>
      <c r="M3523" s="11">
        <v>2295.34</v>
      </c>
      <c r="N3523" s="12">
        <v>6023.16</v>
      </c>
      <c r="O3523" s="12">
        <v>13344.87</v>
      </c>
    </row>
    <row r="3524" spans="1:15">
      <c r="A3524" t="s">
        <v>3698</v>
      </c>
      <c r="B3524" t="s">
        <v>326</v>
      </c>
      <c r="C3524" s="9">
        <v>33239</v>
      </c>
      <c r="D3524">
        <v>35</v>
      </c>
      <c r="E3524" t="s">
        <v>21</v>
      </c>
      <c r="F3524" t="s">
        <v>25</v>
      </c>
      <c r="G3524" s="9">
        <v>45439</v>
      </c>
      <c r="H3524" s="9">
        <v>45340</v>
      </c>
      <c r="I3524">
        <v>24</v>
      </c>
      <c r="J3524" t="s">
        <v>26</v>
      </c>
      <c r="K3524">
        <v>14</v>
      </c>
      <c r="L3524">
        <v>4</v>
      </c>
      <c r="M3524" s="11">
        <v>6920.95</v>
      </c>
      <c r="N3524" s="12">
        <v>13425.47</v>
      </c>
      <c r="O3524" s="12">
        <v>4031.33</v>
      </c>
    </row>
    <row r="3525" spans="1:15">
      <c r="A3525" t="s">
        <v>3699</v>
      </c>
      <c r="B3525" t="s">
        <v>207</v>
      </c>
      <c r="C3525" s="9">
        <v>29951</v>
      </c>
      <c r="D3525">
        <v>44</v>
      </c>
      <c r="E3525" t="s">
        <v>21</v>
      </c>
      <c r="F3525" t="s">
        <v>74</v>
      </c>
      <c r="G3525" s="9">
        <v>44990</v>
      </c>
      <c r="H3525" s="9">
        <v>45507</v>
      </c>
      <c r="I3525">
        <v>35</v>
      </c>
      <c r="J3525" t="s">
        <v>26</v>
      </c>
      <c r="K3525">
        <v>0</v>
      </c>
      <c r="L3525">
        <v>0</v>
      </c>
      <c r="M3525" s="11">
        <v>5880.4</v>
      </c>
      <c r="N3525" s="12">
        <v>10854.69</v>
      </c>
      <c r="O3525" s="12">
        <v>1292.3399999999999</v>
      </c>
    </row>
    <row r="3526" spans="1:15">
      <c r="A3526" t="s">
        <v>3700</v>
      </c>
      <c r="B3526" t="s">
        <v>350</v>
      </c>
      <c r="C3526" s="9">
        <v>19724</v>
      </c>
      <c r="D3526">
        <v>72</v>
      </c>
      <c r="E3526" t="s">
        <v>17</v>
      </c>
      <c r="F3526" t="s">
        <v>29</v>
      </c>
      <c r="G3526" s="9">
        <v>45500</v>
      </c>
      <c r="H3526" s="9">
        <v>45311</v>
      </c>
      <c r="I3526">
        <v>26</v>
      </c>
      <c r="J3526" t="s">
        <v>32</v>
      </c>
      <c r="K3526">
        <v>7</v>
      </c>
      <c r="L3526">
        <v>5</v>
      </c>
      <c r="M3526" s="11">
        <v>7205.45</v>
      </c>
      <c r="N3526" s="12">
        <v>4801.29</v>
      </c>
      <c r="O3526" s="12">
        <v>11543.05</v>
      </c>
    </row>
    <row r="3527" spans="1:15">
      <c r="A3527" t="s">
        <v>3701</v>
      </c>
      <c r="B3527" t="s">
        <v>133</v>
      </c>
      <c r="C3527" s="9">
        <v>27029</v>
      </c>
      <c r="D3527">
        <f ca="1">DATEDIF(C3478,TODAY(),"Y")</f>
        <v>28</v>
      </c>
      <c r="E3527" t="s">
        <v>17</v>
      </c>
      <c r="F3527" t="s">
        <v>29</v>
      </c>
      <c r="G3527" s="9">
        <v>45346</v>
      </c>
      <c r="H3527" s="9">
        <v>45407</v>
      </c>
      <c r="I3527">
        <v>9</v>
      </c>
      <c r="J3527" t="s">
        <v>32</v>
      </c>
      <c r="K3527">
        <v>9</v>
      </c>
      <c r="L3527">
        <v>9</v>
      </c>
      <c r="M3527" s="11">
        <v>13294.98</v>
      </c>
      <c r="N3527" s="12">
        <v>12489.48</v>
      </c>
      <c r="O3527" s="12">
        <v>15636.47</v>
      </c>
    </row>
    <row r="3528" spans="1:15">
      <c r="A3528" t="s">
        <v>3702</v>
      </c>
      <c r="B3528" t="s">
        <v>16</v>
      </c>
      <c r="C3528" s="9">
        <v>35430</v>
      </c>
      <c r="D3528">
        <v>29</v>
      </c>
      <c r="E3528" t="s">
        <v>21</v>
      </c>
      <c r="F3528" t="s">
        <v>74</v>
      </c>
      <c r="G3528" s="9">
        <v>45072</v>
      </c>
      <c r="H3528" s="9">
        <v>45232</v>
      </c>
      <c r="I3528">
        <v>16</v>
      </c>
      <c r="J3528" t="s">
        <v>32</v>
      </c>
      <c r="K3528">
        <v>1</v>
      </c>
      <c r="L3528">
        <v>9</v>
      </c>
      <c r="M3528" s="11">
        <v>1419.1</v>
      </c>
      <c r="N3528" s="12">
        <v>3582.36</v>
      </c>
      <c r="O3528" s="12">
        <v>1563.43</v>
      </c>
    </row>
    <row r="3529" spans="1:15">
      <c r="A3529" t="s">
        <v>3703</v>
      </c>
      <c r="B3529" t="s">
        <v>309</v>
      </c>
      <c r="C3529" s="9">
        <v>24473</v>
      </c>
      <c r="D3529">
        <v>59</v>
      </c>
      <c r="E3529" t="s">
        <v>21</v>
      </c>
      <c r="F3529" t="s">
        <v>5184</v>
      </c>
      <c r="G3529" s="9">
        <v>45198</v>
      </c>
      <c r="H3529" s="9">
        <v>45610</v>
      </c>
      <c r="I3529">
        <v>6</v>
      </c>
      <c r="J3529" t="s">
        <v>26</v>
      </c>
      <c r="K3529">
        <v>5</v>
      </c>
      <c r="L3529">
        <v>9</v>
      </c>
      <c r="M3529" s="11">
        <v>16439.34</v>
      </c>
      <c r="N3529" s="12">
        <v>9512.69</v>
      </c>
      <c r="O3529" s="12">
        <v>3543.76</v>
      </c>
    </row>
    <row r="3530" spans="1:15">
      <c r="A3530" t="s">
        <v>3704</v>
      </c>
      <c r="B3530" t="s">
        <v>59</v>
      </c>
      <c r="C3530" s="9">
        <f>DATE(2026-D3490,1,1)</f>
        <v>36161</v>
      </c>
      <c r="D3530">
        <v>31</v>
      </c>
      <c r="E3530" t="s">
        <v>17</v>
      </c>
      <c r="F3530" t="s">
        <v>29</v>
      </c>
      <c r="G3530" s="9">
        <v>44943</v>
      </c>
      <c r="H3530" s="9">
        <v>45797</v>
      </c>
      <c r="I3530">
        <v>15</v>
      </c>
      <c r="J3530" t="s">
        <v>32</v>
      </c>
      <c r="K3530">
        <v>14</v>
      </c>
      <c r="L3530">
        <v>9</v>
      </c>
      <c r="M3530" s="11">
        <v>8938.35</v>
      </c>
      <c r="N3530" s="12">
        <v>14346.85</v>
      </c>
      <c r="O3530" s="12">
        <v>1768.64</v>
      </c>
    </row>
    <row r="3531" spans="1:15">
      <c r="A3531" t="s">
        <v>3705</v>
      </c>
      <c r="B3531" t="s">
        <v>546</v>
      </c>
      <c r="C3531" s="9">
        <v>21916</v>
      </c>
      <c r="D3531">
        <v>66</v>
      </c>
      <c r="E3531" t="s">
        <v>17</v>
      </c>
      <c r="F3531" t="s">
        <v>74</v>
      </c>
      <c r="G3531" s="9">
        <v>45024</v>
      </c>
      <c r="H3531" s="9">
        <v>45123</v>
      </c>
      <c r="I3531">
        <v>26</v>
      </c>
      <c r="J3531" t="s">
        <v>35</v>
      </c>
      <c r="K3531">
        <v>1</v>
      </c>
      <c r="L3531">
        <v>2</v>
      </c>
      <c r="M3531" s="11">
        <v>1682.2</v>
      </c>
      <c r="N3531" s="12">
        <v>8620.66</v>
      </c>
      <c r="O3531" s="12">
        <v>12646.98</v>
      </c>
    </row>
    <row r="3532" spans="1:15">
      <c r="A3532" t="s">
        <v>3706</v>
      </c>
      <c r="B3532" t="s">
        <v>153</v>
      </c>
      <c r="C3532" s="9">
        <v>21916</v>
      </c>
      <c r="D3532">
        <v>66</v>
      </c>
      <c r="E3532" t="s">
        <v>21</v>
      </c>
      <c r="F3532" t="s">
        <v>49</v>
      </c>
      <c r="G3532" s="9">
        <v>45378</v>
      </c>
      <c r="H3532" s="9">
        <v>45260</v>
      </c>
      <c r="I3532">
        <v>0</v>
      </c>
      <c r="J3532" t="s">
        <v>35</v>
      </c>
      <c r="K3532">
        <v>6</v>
      </c>
      <c r="L3532">
        <v>9</v>
      </c>
      <c r="M3532" s="11">
        <v>22472.880000000001</v>
      </c>
      <c r="N3532" s="12">
        <v>11992.01</v>
      </c>
      <c r="O3532" s="12">
        <v>1497.99</v>
      </c>
    </row>
    <row r="3533" spans="1:15">
      <c r="A3533" t="s">
        <v>3707</v>
      </c>
      <c r="B3533" t="s">
        <v>163</v>
      </c>
      <c r="C3533" s="9">
        <f>DATE(2026-D3493,1,1)</f>
        <v>20821</v>
      </c>
      <c r="D3533">
        <v>27</v>
      </c>
      <c r="E3533" t="s">
        <v>21</v>
      </c>
      <c r="F3533" t="s">
        <v>25</v>
      </c>
      <c r="G3533" s="9">
        <v>45169</v>
      </c>
      <c r="H3533" s="9">
        <v>44947</v>
      </c>
      <c r="I3533">
        <v>20</v>
      </c>
      <c r="J3533" t="s">
        <v>32</v>
      </c>
      <c r="K3533">
        <v>2</v>
      </c>
      <c r="L3533">
        <v>2</v>
      </c>
      <c r="M3533" s="11">
        <v>19429.61</v>
      </c>
      <c r="N3533" s="12">
        <v>11031.46</v>
      </c>
      <c r="O3533" s="12">
        <v>1775.24</v>
      </c>
    </row>
    <row r="3534" spans="1:15">
      <c r="A3534" t="s">
        <v>3708</v>
      </c>
      <c r="B3534" t="s">
        <v>619</v>
      </c>
      <c r="C3534" s="9">
        <v>30317</v>
      </c>
      <c r="D3534">
        <v>43</v>
      </c>
      <c r="E3534" t="s">
        <v>21</v>
      </c>
      <c r="F3534" t="s">
        <v>29</v>
      </c>
      <c r="G3534" s="9">
        <v>45405</v>
      </c>
      <c r="H3534" s="9">
        <v>45550</v>
      </c>
      <c r="I3534">
        <v>27</v>
      </c>
      <c r="J3534" t="s">
        <v>32</v>
      </c>
      <c r="K3534">
        <v>12</v>
      </c>
      <c r="L3534">
        <v>2</v>
      </c>
      <c r="M3534" s="11">
        <v>23699.62</v>
      </c>
      <c r="N3534" s="12">
        <v>12985.82</v>
      </c>
      <c r="O3534" s="12">
        <v>5209.76</v>
      </c>
    </row>
    <row r="3535" spans="1:15">
      <c r="A3535" t="s">
        <v>3709</v>
      </c>
      <c r="B3535" t="s">
        <v>261</v>
      </c>
      <c r="C3535" s="9">
        <v>17533</v>
      </c>
      <c r="D3535">
        <v>78</v>
      </c>
      <c r="E3535" t="s">
        <v>21</v>
      </c>
      <c r="F3535" t="s">
        <v>49</v>
      </c>
      <c r="G3535" s="9">
        <v>45127</v>
      </c>
      <c r="H3535" s="9">
        <v>45585</v>
      </c>
      <c r="I3535">
        <v>21</v>
      </c>
      <c r="J3535" t="s">
        <v>32</v>
      </c>
      <c r="K3535">
        <v>9</v>
      </c>
      <c r="L3535">
        <v>3</v>
      </c>
      <c r="M3535" s="11">
        <v>0</v>
      </c>
      <c r="N3535" s="12">
        <v>14531.46</v>
      </c>
      <c r="O3535" s="12">
        <v>5331.72</v>
      </c>
    </row>
    <row r="3536" spans="1:15">
      <c r="A3536" t="s">
        <v>3710</v>
      </c>
      <c r="B3536" t="s">
        <v>275</v>
      </c>
      <c r="C3536" s="9">
        <v>31412</v>
      </c>
      <c r="D3536">
        <v>40</v>
      </c>
      <c r="E3536" t="s">
        <v>17</v>
      </c>
      <c r="F3536" t="s">
        <v>29</v>
      </c>
      <c r="G3536" s="9">
        <v>45399</v>
      </c>
      <c r="H3536" s="9">
        <v>45631</v>
      </c>
      <c r="I3536">
        <v>34</v>
      </c>
      <c r="J3536" t="s">
        <v>32</v>
      </c>
      <c r="K3536">
        <v>10</v>
      </c>
      <c r="L3536">
        <v>8</v>
      </c>
      <c r="M3536" s="11">
        <v>17365.84</v>
      </c>
      <c r="N3536" s="12">
        <v>334.75</v>
      </c>
      <c r="O3536" s="12">
        <v>11105.82</v>
      </c>
    </row>
    <row r="3537" spans="1:15">
      <c r="A3537" t="s">
        <v>3711</v>
      </c>
      <c r="B3537" t="s">
        <v>261</v>
      </c>
      <c r="C3537" s="9">
        <f>DATE(2026-D3497,1,1)</f>
        <v>32509</v>
      </c>
      <c r="D3537">
        <v>62</v>
      </c>
      <c r="E3537" t="s">
        <v>21</v>
      </c>
      <c r="F3537" t="s">
        <v>18</v>
      </c>
      <c r="G3537" s="9">
        <v>45105</v>
      </c>
      <c r="H3537" s="9">
        <v>45360</v>
      </c>
      <c r="I3537">
        <v>34</v>
      </c>
      <c r="J3537" t="s">
        <v>32</v>
      </c>
      <c r="K3537">
        <v>13</v>
      </c>
      <c r="L3537">
        <v>7</v>
      </c>
      <c r="M3537" s="11">
        <v>23494.84</v>
      </c>
      <c r="N3537" s="12">
        <v>418.05</v>
      </c>
      <c r="O3537" s="12">
        <v>546.95000000000005</v>
      </c>
    </row>
    <row r="3538" spans="1:15">
      <c r="A3538" t="s">
        <v>3712</v>
      </c>
      <c r="B3538" t="s">
        <v>97</v>
      </c>
      <c r="C3538" s="9">
        <v>37987</v>
      </c>
      <c r="D3538">
        <v>22</v>
      </c>
      <c r="E3538" t="s">
        <v>17</v>
      </c>
      <c r="F3538" t="s">
        <v>74</v>
      </c>
      <c r="G3538" s="9">
        <v>45434</v>
      </c>
      <c r="H3538" s="9">
        <v>45810</v>
      </c>
      <c r="I3538">
        <v>1</v>
      </c>
      <c r="J3538" t="s">
        <v>32</v>
      </c>
      <c r="K3538">
        <v>11</v>
      </c>
      <c r="L3538">
        <v>5</v>
      </c>
      <c r="M3538" s="11">
        <v>5575.07</v>
      </c>
      <c r="N3538" s="12">
        <v>8916.33</v>
      </c>
      <c r="O3538" s="12">
        <v>12268.43</v>
      </c>
    </row>
    <row r="3539" spans="1:15">
      <c r="A3539" t="s">
        <v>3713</v>
      </c>
      <c r="B3539" t="s">
        <v>20</v>
      </c>
      <c r="C3539" s="9">
        <v>18994</v>
      </c>
      <c r="D3539">
        <v>74</v>
      </c>
      <c r="E3539" t="s">
        <v>17</v>
      </c>
      <c r="F3539" t="s">
        <v>74</v>
      </c>
      <c r="G3539" s="9">
        <v>45379</v>
      </c>
      <c r="H3539" s="9">
        <v>45353</v>
      </c>
      <c r="I3539">
        <v>25</v>
      </c>
      <c r="J3539" t="s">
        <v>35</v>
      </c>
      <c r="K3539">
        <v>3</v>
      </c>
      <c r="L3539">
        <v>7</v>
      </c>
      <c r="M3539" s="11">
        <v>12016.19</v>
      </c>
      <c r="N3539" s="12">
        <v>14313.68</v>
      </c>
      <c r="O3539" s="12">
        <v>8175.33</v>
      </c>
    </row>
    <row r="3540" spans="1:15">
      <c r="A3540" t="s">
        <v>3714</v>
      </c>
      <c r="B3540" t="s">
        <v>194</v>
      </c>
      <c r="C3540" s="9">
        <v>28856</v>
      </c>
      <c r="D3540">
        <v>47</v>
      </c>
      <c r="E3540" t="s">
        <v>21</v>
      </c>
      <c r="F3540" t="s">
        <v>49</v>
      </c>
      <c r="G3540" s="9">
        <v>45196</v>
      </c>
      <c r="H3540" s="9">
        <v>45156</v>
      </c>
      <c r="I3540">
        <v>13</v>
      </c>
      <c r="J3540" t="s">
        <v>26</v>
      </c>
      <c r="K3540">
        <v>5</v>
      </c>
      <c r="L3540">
        <v>7</v>
      </c>
      <c r="M3540" s="11">
        <v>15667.17</v>
      </c>
      <c r="N3540" s="12">
        <v>7285.25</v>
      </c>
      <c r="O3540" s="12">
        <v>3492.51</v>
      </c>
    </row>
    <row r="3541" spans="1:15">
      <c r="A3541" t="s">
        <v>3715</v>
      </c>
      <c r="B3541" t="s">
        <v>300</v>
      </c>
      <c r="C3541" s="9">
        <v>34700</v>
      </c>
      <c r="D3541">
        <v>31</v>
      </c>
      <c r="E3541" t="s">
        <v>21</v>
      </c>
      <c r="F3541" t="s">
        <v>5184</v>
      </c>
      <c r="G3541" s="9">
        <v>45160</v>
      </c>
      <c r="H3541" s="9">
        <v>45451</v>
      </c>
      <c r="I3541">
        <v>10</v>
      </c>
      <c r="J3541" t="s">
        <v>26</v>
      </c>
      <c r="K3541">
        <v>1</v>
      </c>
      <c r="L3541">
        <v>0</v>
      </c>
      <c r="M3541" s="11">
        <v>16007.02</v>
      </c>
      <c r="N3541" s="12">
        <v>12596.69</v>
      </c>
      <c r="O3541" s="12">
        <v>13032.26</v>
      </c>
    </row>
    <row r="3542" spans="1:15">
      <c r="A3542" t="s">
        <v>3716</v>
      </c>
      <c r="B3542" t="s">
        <v>444</v>
      </c>
      <c r="C3542" s="9">
        <v>25568</v>
      </c>
      <c r="D3542">
        <v>56</v>
      </c>
      <c r="E3542" t="s">
        <v>17</v>
      </c>
      <c r="F3542" t="s">
        <v>18</v>
      </c>
      <c r="G3542" s="9">
        <v>45550</v>
      </c>
      <c r="H3542" s="9">
        <v>45144</v>
      </c>
      <c r="I3542">
        <v>5</v>
      </c>
      <c r="J3542" t="s">
        <v>35</v>
      </c>
      <c r="K3542">
        <v>7</v>
      </c>
      <c r="L3542">
        <v>8</v>
      </c>
      <c r="M3542" s="11">
        <v>0</v>
      </c>
      <c r="N3542" s="12">
        <v>11518.62</v>
      </c>
      <c r="O3542" s="12">
        <v>6526.45</v>
      </c>
    </row>
    <row r="3543" spans="1:15">
      <c r="A3543" t="s">
        <v>3717</v>
      </c>
      <c r="B3543" t="s">
        <v>145</v>
      </c>
      <c r="C3543" s="9">
        <v>34334</v>
      </c>
      <c r="D3543">
        <v>32</v>
      </c>
      <c r="E3543" t="s">
        <v>21</v>
      </c>
      <c r="F3543" t="s">
        <v>25</v>
      </c>
      <c r="G3543" s="9">
        <v>45412</v>
      </c>
      <c r="H3543" s="9">
        <v>45518</v>
      </c>
      <c r="I3543">
        <v>22</v>
      </c>
      <c r="J3543" t="s">
        <v>26</v>
      </c>
      <c r="K3543">
        <v>7</v>
      </c>
      <c r="L3543">
        <v>0</v>
      </c>
      <c r="M3543" s="11">
        <v>23776.2</v>
      </c>
      <c r="N3543" s="12">
        <v>7473.78</v>
      </c>
      <c r="O3543" s="12">
        <v>16532.54</v>
      </c>
    </row>
    <row r="3544" spans="1:15">
      <c r="A3544" t="s">
        <v>3718</v>
      </c>
      <c r="B3544" t="s">
        <v>24</v>
      </c>
      <c r="C3544" s="9">
        <v>37622</v>
      </c>
      <c r="D3544">
        <v>23</v>
      </c>
      <c r="E3544" t="s">
        <v>17</v>
      </c>
      <c r="F3544" t="s">
        <v>18</v>
      </c>
      <c r="G3544" s="9">
        <v>45504</v>
      </c>
      <c r="H3544" s="9">
        <v>45302</v>
      </c>
      <c r="I3544">
        <v>1</v>
      </c>
      <c r="J3544" t="s">
        <v>32</v>
      </c>
      <c r="K3544">
        <v>6</v>
      </c>
      <c r="L3544">
        <v>1</v>
      </c>
      <c r="M3544" s="11">
        <v>19839.009999999998</v>
      </c>
      <c r="N3544" s="12">
        <v>7697.58</v>
      </c>
      <c r="O3544" s="12">
        <v>19787.59</v>
      </c>
    </row>
    <row r="3545" spans="1:15">
      <c r="A3545" t="s">
        <v>3719</v>
      </c>
      <c r="B3545" t="s">
        <v>502</v>
      </c>
      <c r="C3545" s="9">
        <v>32143</v>
      </c>
      <c r="D3545">
        <v>38</v>
      </c>
      <c r="E3545" t="s">
        <v>5185</v>
      </c>
      <c r="F3545" t="s">
        <v>5184</v>
      </c>
      <c r="G3545" s="9">
        <v>45264</v>
      </c>
      <c r="H3545" s="9">
        <v>44963</v>
      </c>
      <c r="I3545">
        <v>27</v>
      </c>
      <c r="J3545" t="s">
        <v>32</v>
      </c>
      <c r="K3545">
        <v>1</v>
      </c>
      <c r="L3545">
        <v>8</v>
      </c>
      <c r="M3545" s="11">
        <v>940.99</v>
      </c>
      <c r="N3545" s="12">
        <v>6540.5</v>
      </c>
      <c r="O3545" s="12">
        <v>15558.48</v>
      </c>
    </row>
    <row r="3546" spans="1:15">
      <c r="A3546" t="s">
        <v>3720</v>
      </c>
      <c r="B3546" t="s">
        <v>237</v>
      </c>
      <c r="C3546" s="9">
        <v>33969</v>
      </c>
      <c r="D3546">
        <v>33</v>
      </c>
      <c r="E3546" t="s">
        <v>21</v>
      </c>
      <c r="F3546" t="s">
        <v>18</v>
      </c>
      <c r="G3546" s="9">
        <v>45374</v>
      </c>
      <c r="H3546" s="9">
        <v>45703</v>
      </c>
      <c r="I3546">
        <v>37</v>
      </c>
      <c r="J3546" t="s">
        <v>35</v>
      </c>
      <c r="K3546">
        <v>10</v>
      </c>
      <c r="L3546">
        <v>6</v>
      </c>
      <c r="M3546" s="11">
        <v>10212.11</v>
      </c>
      <c r="N3546" s="12">
        <v>3782.98</v>
      </c>
      <c r="O3546" s="12">
        <v>14834.1</v>
      </c>
    </row>
    <row r="3547" spans="1:15">
      <c r="A3547" t="s">
        <v>3721</v>
      </c>
      <c r="B3547" t="s">
        <v>487</v>
      </c>
      <c r="C3547" s="9">
        <v>25934</v>
      </c>
      <c r="D3547">
        <v>55</v>
      </c>
      <c r="E3547" t="s">
        <v>21</v>
      </c>
      <c r="F3547" t="s">
        <v>22</v>
      </c>
      <c r="G3547" s="9">
        <v>45510</v>
      </c>
      <c r="H3547" s="9">
        <v>44955</v>
      </c>
      <c r="I3547">
        <v>0</v>
      </c>
      <c r="J3547" t="s">
        <v>35</v>
      </c>
      <c r="K3547">
        <v>11</v>
      </c>
      <c r="L3547">
        <v>9</v>
      </c>
      <c r="M3547" s="11">
        <v>16959.39</v>
      </c>
      <c r="N3547" s="12">
        <v>12880.68</v>
      </c>
      <c r="O3547" s="12">
        <v>7038.58</v>
      </c>
    </row>
    <row r="3548" spans="1:15">
      <c r="A3548" t="s">
        <v>3722</v>
      </c>
      <c r="B3548" t="s">
        <v>93</v>
      </c>
      <c r="C3548" s="9">
        <v>36161</v>
      </c>
      <c r="D3548">
        <v>27</v>
      </c>
      <c r="E3548" t="s">
        <v>21</v>
      </c>
      <c r="F3548" t="s">
        <v>25</v>
      </c>
      <c r="G3548" s="9">
        <v>45283</v>
      </c>
      <c r="H3548" s="9">
        <v>45299</v>
      </c>
      <c r="I3548">
        <v>20</v>
      </c>
      <c r="J3548" t="s">
        <v>35</v>
      </c>
      <c r="K3548">
        <v>10</v>
      </c>
      <c r="L3548">
        <v>0</v>
      </c>
      <c r="M3548" s="11">
        <v>14990.02</v>
      </c>
      <c r="N3548" s="12">
        <v>3143.55</v>
      </c>
      <c r="O3548" s="12">
        <v>10645.57</v>
      </c>
    </row>
    <row r="3549" spans="1:15">
      <c r="A3549" t="s">
        <v>3723</v>
      </c>
      <c r="B3549" t="s">
        <v>204</v>
      </c>
      <c r="C3549" s="9">
        <v>32873</v>
      </c>
      <c r="D3549">
        <v>36</v>
      </c>
      <c r="E3549" t="s">
        <v>17</v>
      </c>
      <c r="F3549" t="s">
        <v>25</v>
      </c>
      <c r="G3549" s="9">
        <v>44975</v>
      </c>
      <c r="H3549" s="9">
        <v>45013</v>
      </c>
      <c r="I3549">
        <v>26</v>
      </c>
      <c r="J3549" t="s">
        <v>35</v>
      </c>
      <c r="K3549">
        <v>0</v>
      </c>
      <c r="L3549">
        <v>2</v>
      </c>
      <c r="M3549" s="11">
        <v>866.31</v>
      </c>
      <c r="N3549" s="12">
        <v>13603.81</v>
      </c>
      <c r="O3549" s="12">
        <v>958.89</v>
      </c>
    </row>
    <row r="3550" spans="1:15">
      <c r="A3550" t="s">
        <v>3724</v>
      </c>
      <c r="B3550" t="s">
        <v>268</v>
      </c>
      <c r="C3550" s="9">
        <v>43831</v>
      </c>
      <c r="D3550">
        <v>6</v>
      </c>
      <c r="E3550" t="s">
        <v>17</v>
      </c>
      <c r="F3550" t="s">
        <v>18</v>
      </c>
      <c r="G3550" s="9">
        <v>45422</v>
      </c>
      <c r="H3550" s="9">
        <v>45115</v>
      </c>
      <c r="I3550">
        <v>38</v>
      </c>
      <c r="J3550" t="s">
        <v>26</v>
      </c>
      <c r="K3550">
        <v>0</v>
      </c>
      <c r="L3550">
        <v>0</v>
      </c>
      <c r="M3550" s="11">
        <v>29409.42</v>
      </c>
      <c r="N3550" s="12">
        <v>5395.91</v>
      </c>
      <c r="O3550" s="12">
        <v>14519.44</v>
      </c>
    </row>
    <row r="3551" spans="1:15">
      <c r="A3551" t="s">
        <v>3725</v>
      </c>
      <c r="B3551" t="s">
        <v>46</v>
      </c>
      <c r="C3551" s="9">
        <v>21551</v>
      </c>
      <c r="D3551">
        <f ca="1">DATEDIF(C3502,TODAY(),"Y")</f>
        <v>1</v>
      </c>
      <c r="E3551" t="s">
        <v>17</v>
      </c>
      <c r="F3551" t="s">
        <v>29</v>
      </c>
      <c r="G3551" s="9">
        <v>45272</v>
      </c>
      <c r="H3551" s="9">
        <v>45232</v>
      </c>
      <c r="I3551">
        <v>27</v>
      </c>
      <c r="J3551" t="s">
        <v>26</v>
      </c>
      <c r="K3551">
        <v>14</v>
      </c>
      <c r="L3551">
        <v>4</v>
      </c>
      <c r="M3551" s="11">
        <v>28661.22</v>
      </c>
      <c r="N3551" s="12">
        <v>397.46</v>
      </c>
      <c r="O3551" s="12">
        <v>13468.31</v>
      </c>
    </row>
    <row r="3552" spans="1:15">
      <c r="A3552" t="s">
        <v>3726</v>
      </c>
      <c r="B3552" t="s">
        <v>204</v>
      </c>
      <c r="C3552" s="9">
        <v>32873</v>
      </c>
      <c r="D3552">
        <v>36</v>
      </c>
      <c r="E3552" t="s">
        <v>17</v>
      </c>
      <c r="F3552" t="s">
        <v>22</v>
      </c>
      <c r="G3552" s="9">
        <v>45628</v>
      </c>
      <c r="H3552" s="9">
        <v>45693</v>
      </c>
      <c r="I3552">
        <v>8</v>
      </c>
      <c r="J3552" t="s">
        <v>26</v>
      </c>
      <c r="K3552">
        <v>1</v>
      </c>
      <c r="L3552">
        <v>3</v>
      </c>
      <c r="M3552" s="11">
        <v>23099.73</v>
      </c>
      <c r="N3552" s="12">
        <v>2525.67</v>
      </c>
      <c r="O3552" s="12">
        <v>5313.98</v>
      </c>
    </row>
    <row r="3553" spans="1:15">
      <c r="A3553" t="s">
        <v>3727</v>
      </c>
      <c r="B3553" t="s">
        <v>87</v>
      </c>
      <c r="C3553" s="9">
        <v>25934</v>
      </c>
      <c r="D3553">
        <v>55</v>
      </c>
      <c r="E3553" t="s">
        <v>21</v>
      </c>
      <c r="F3553" t="s">
        <v>29</v>
      </c>
      <c r="G3553" s="9">
        <v>45219</v>
      </c>
      <c r="H3553" s="9">
        <v>45349</v>
      </c>
      <c r="I3553">
        <v>18</v>
      </c>
      <c r="J3553" t="s">
        <v>32</v>
      </c>
      <c r="K3553">
        <v>0</v>
      </c>
      <c r="L3553">
        <v>7</v>
      </c>
      <c r="M3553" s="11">
        <v>1188.27</v>
      </c>
      <c r="N3553" s="12">
        <v>13317.37</v>
      </c>
      <c r="O3553" s="12">
        <v>10636.14</v>
      </c>
    </row>
    <row r="3554" spans="1:15">
      <c r="A3554" t="s">
        <v>3728</v>
      </c>
      <c r="B3554" t="s">
        <v>117</v>
      </c>
      <c r="C3554" s="9">
        <v>22646</v>
      </c>
      <c r="D3554">
        <v>64</v>
      </c>
      <c r="E3554" t="s">
        <v>17</v>
      </c>
      <c r="F3554" t="s">
        <v>18</v>
      </c>
      <c r="G3554" s="9">
        <v>45615</v>
      </c>
      <c r="H3554" s="9">
        <v>45007</v>
      </c>
      <c r="I3554">
        <v>24</v>
      </c>
      <c r="J3554" t="s">
        <v>32</v>
      </c>
      <c r="K3554">
        <v>1</v>
      </c>
      <c r="L3554">
        <v>8</v>
      </c>
      <c r="M3554" s="11">
        <v>12621.34</v>
      </c>
      <c r="N3554" s="12">
        <v>1926.67</v>
      </c>
      <c r="O3554" s="12">
        <v>13554.21</v>
      </c>
    </row>
    <row r="3555" spans="1:15">
      <c r="A3555" t="s">
        <v>3729</v>
      </c>
      <c r="B3555" t="s">
        <v>350</v>
      </c>
      <c r="C3555" s="9">
        <v>22646</v>
      </c>
      <c r="D3555">
        <v>64</v>
      </c>
      <c r="E3555" t="s">
        <v>17</v>
      </c>
      <c r="F3555" t="s">
        <v>29</v>
      </c>
      <c r="G3555" s="9">
        <v>45599</v>
      </c>
      <c r="H3555" s="9">
        <v>45113</v>
      </c>
      <c r="I3555">
        <v>21</v>
      </c>
      <c r="J3555" t="s">
        <v>32</v>
      </c>
      <c r="K3555">
        <v>9</v>
      </c>
      <c r="L3555">
        <v>3</v>
      </c>
      <c r="M3555" s="11">
        <v>11997.97</v>
      </c>
      <c r="N3555" s="12">
        <v>11081.61</v>
      </c>
      <c r="O3555" s="12">
        <v>7294.67</v>
      </c>
    </row>
    <row r="3556" spans="1:15">
      <c r="A3556" t="s">
        <v>3730</v>
      </c>
      <c r="B3556" t="s">
        <v>444</v>
      </c>
      <c r="C3556" s="9">
        <v>29221</v>
      </c>
      <c r="D3556">
        <v>46</v>
      </c>
      <c r="E3556" t="s">
        <v>17</v>
      </c>
      <c r="F3556" t="s">
        <v>25</v>
      </c>
      <c r="G3556" s="9">
        <v>45076</v>
      </c>
      <c r="H3556" s="9">
        <v>44932</v>
      </c>
      <c r="I3556">
        <v>28</v>
      </c>
      <c r="J3556" t="s">
        <v>32</v>
      </c>
      <c r="K3556">
        <v>3</v>
      </c>
      <c r="L3556">
        <v>2</v>
      </c>
      <c r="M3556" s="11">
        <v>16519.79</v>
      </c>
      <c r="N3556" s="12">
        <v>2742.21</v>
      </c>
      <c r="O3556" s="12">
        <v>14484.72</v>
      </c>
    </row>
    <row r="3557" spans="1:15">
      <c r="A3557" t="s">
        <v>3731</v>
      </c>
      <c r="B3557" t="s">
        <v>350</v>
      </c>
      <c r="C3557" s="9">
        <v>39083</v>
      </c>
      <c r="D3557">
        <v>19</v>
      </c>
      <c r="E3557" t="s">
        <v>21</v>
      </c>
      <c r="F3557" t="s">
        <v>25</v>
      </c>
      <c r="G3557" s="9">
        <v>45508</v>
      </c>
      <c r="H3557" s="9">
        <v>45485</v>
      </c>
      <c r="I3557">
        <v>27</v>
      </c>
      <c r="J3557" t="s">
        <v>35</v>
      </c>
      <c r="K3557">
        <v>4</v>
      </c>
      <c r="L3557">
        <v>3</v>
      </c>
      <c r="M3557" s="11">
        <v>1205.82</v>
      </c>
      <c r="N3557" s="12">
        <v>7483.99</v>
      </c>
      <c r="O3557" s="12">
        <v>15913.92</v>
      </c>
    </row>
    <row r="3558" spans="1:15">
      <c r="A3558" t="s">
        <v>3732</v>
      </c>
      <c r="B3558" t="s">
        <v>379</v>
      </c>
      <c r="C3558" s="9">
        <v>39448</v>
      </c>
      <c r="D3558">
        <v>18</v>
      </c>
      <c r="E3558" t="s">
        <v>17</v>
      </c>
      <c r="F3558" t="s">
        <v>29</v>
      </c>
      <c r="G3558" s="9">
        <v>45471</v>
      </c>
      <c r="H3558" s="9">
        <v>45793</v>
      </c>
      <c r="I3558">
        <v>2</v>
      </c>
      <c r="J3558" t="s">
        <v>35</v>
      </c>
      <c r="K3558">
        <v>11</v>
      </c>
      <c r="L3558">
        <v>2</v>
      </c>
      <c r="M3558" s="11">
        <v>12421.53</v>
      </c>
      <c r="N3558" s="12">
        <v>3078.11</v>
      </c>
      <c r="O3558" s="12">
        <v>4393.09</v>
      </c>
    </row>
    <row r="3559" spans="1:15">
      <c r="A3559" t="s">
        <v>3733</v>
      </c>
      <c r="B3559" t="s">
        <v>115</v>
      </c>
      <c r="C3559" s="9">
        <f>DATE(2026-D3519,1,1)</f>
        <v>32509</v>
      </c>
      <c r="D3559">
        <v>28</v>
      </c>
      <c r="E3559" t="s">
        <v>17</v>
      </c>
      <c r="F3559" t="s">
        <v>25</v>
      </c>
      <c r="G3559" s="9">
        <v>45186</v>
      </c>
      <c r="H3559" s="9">
        <v>45424</v>
      </c>
      <c r="I3559">
        <v>2</v>
      </c>
      <c r="J3559" t="s">
        <v>26</v>
      </c>
      <c r="K3559">
        <v>14</v>
      </c>
      <c r="L3559">
        <v>5</v>
      </c>
      <c r="M3559" s="11">
        <v>22614.1</v>
      </c>
      <c r="N3559" s="12">
        <v>4997.4799999999996</v>
      </c>
      <c r="O3559" s="12">
        <v>5955.21</v>
      </c>
    </row>
    <row r="3560" spans="1:15">
      <c r="A3560" t="s">
        <v>3734</v>
      </c>
      <c r="B3560" t="s">
        <v>39</v>
      </c>
      <c r="C3560" s="9">
        <v>19359</v>
      </c>
      <c r="D3560">
        <v>73</v>
      </c>
      <c r="E3560" t="s">
        <v>17</v>
      </c>
      <c r="F3560" t="s">
        <v>74</v>
      </c>
      <c r="G3560" s="9">
        <v>45248</v>
      </c>
      <c r="H3560" s="9">
        <v>45436</v>
      </c>
      <c r="I3560">
        <v>5</v>
      </c>
      <c r="J3560" t="s">
        <v>26</v>
      </c>
      <c r="K3560">
        <v>5</v>
      </c>
      <c r="L3560">
        <v>0</v>
      </c>
      <c r="M3560" s="11">
        <v>29939.24</v>
      </c>
      <c r="N3560" s="12">
        <v>1872.33</v>
      </c>
      <c r="O3560" s="12">
        <v>7971.41</v>
      </c>
    </row>
    <row r="3561" spans="1:15">
      <c r="A3561" t="s">
        <v>3735</v>
      </c>
      <c r="B3561" t="s">
        <v>338</v>
      </c>
      <c r="C3561" s="9">
        <v>24473</v>
      </c>
      <c r="D3561">
        <v>59</v>
      </c>
      <c r="E3561" t="s">
        <v>17</v>
      </c>
      <c r="F3561" t="s">
        <v>25</v>
      </c>
      <c r="G3561" s="9">
        <v>45003</v>
      </c>
      <c r="H3561" s="9">
        <v>45541</v>
      </c>
      <c r="I3561">
        <v>39</v>
      </c>
      <c r="J3561" t="s">
        <v>32</v>
      </c>
      <c r="K3561">
        <v>8</v>
      </c>
      <c r="L3561">
        <v>1</v>
      </c>
      <c r="M3561" s="11">
        <v>17661.02</v>
      </c>
      <c r="N3561" s="12">
        <v>8340.0300000000007</v>
      </c>
      <c r="O3561" s="12">
        <v>4637.13</v>
      </c>
    </row>
    <row r="3562" spans="1:15">
      <c r="A3562" t="s">
        <v>3736</v>
      </c>
      <c r="B3562" t="s">
        <v>110</v>
      </c>
      <c r="C3562" s="9">
        <v>39813</v>
      </c>
      <c r="D3562">
        <v>17</v>
      </c>
      <c r="E3562" t="s">
        <v>17</v>
      </c>
      <c r="F3562" t="s">
        <v>18</v>
      </c>
      <c r="G3562" s="9">
        <v>45036</v>
      </c>
      <c r="H3562" s="9">
        <v>44929</v>
      </c>
      <c r="I3562">
        <v>31</v>
      </c>
      <c r="J3562" t="s">
        <v>32</v>
      </c>
      <c r="K3562">
        <v>5</v>
      </c>
      <c r="L3562">
        <v>7</v>
      </c>
      <c r="M3562" s="11">
        <v>28188.68</v>
      </c>
      <c r="N3562" s="12">
        <v>5487.38</v>
      </c>
      <c r="O3562" s="12">
        <v>15489.71</v>
      </c>
    </row>
    <row r="3563" spans="1:15">
      <c r="A3563" t="s">
        <v>3737</v>
      </c>
      <c r="B3563" t="s">
        <v>664</v>
      </c>
      <c r="C3563" s="9">
        <v>12785</v>
      </c>
      <c r="D3563">
        <v>91</v>
      </c>
      <c r="E3563" t="s">
        <v>17</v>
      </c>
      <c r="F3563" t="s">
        <v>49</v>
      </c>
      <c r="G3563" s="9">
        <v>45577</v>
      </c>
      <c r="H3563" s="9">
        <v>45144</v>
      </c>
      <c r="I3563">
        <v>13</v>
      </c>
      <c r="J3563" t="s">
        <v>26</v>
      </c>
      <c r="K3563">
        <v>14</v>
      </c>
      <c r="L3563">
        <v>2</v>
      </c>
      <c r="M3563" s="11">
        <v>29955.42</v>
      </c>
      <c r="N3563" s="12">
        <v>5482.26</v>
      </c>
      <c r="O3563" s="12">
        <v>11394.04</v>
      </c>
    </row>
    <row r="3564" spans="1:15">
      <c r="A3564" t="s">
        <v>3738</v>
      </c>
      <c r="B3564" t="s">
        <v>252</v>
      </c>
      <c r="C3564" s="9">
        <v>33604</v>
      </c>
      <c r="D3564">
        <v>34</v>
      </c>
      <c r="E3564" t="s">
        <v>17</v>
      </c>
      <c r="F3564" t="s">
        <v>29</v>
      </c>
      <c r="G3564" s="9">
        <v>45473</v>
      </c>
      <c r="H3564" s="9">
        <v>45464</v>
      </c>
      <c r="I3564">
        <v>24</v>
      </c>
      <c r="J3564" t="s">
        <v>35</v>
      </c>
      <c r="K3564">
        <v>0</v>
      </c>
      <c r="L3564">
        <v>3</v>
      </c>
      <c r="M3564" s="11">
        <v>12760.85</v>
      </c>
      <c r="N3564" s="12">
        <v>578.61</v>
      </c>
      <c r="O3564" s="12">
        <v>7540.07</v>
      </c>
    </row>
    <row r="3565" spans="1:15">
      <c r="A3565" t="s">
        <v>3739</v>
      </c>
      <c r="B3565" t="s">
        <v>286</v>
      </c>
      <c r="C3565" s="9">
        <v>30682</v>
      </c>
      <c r="D3565">
        <v>42</v>
      </c>
      <c r="E3565" t="s">
        <v>17</v>
      </c>
      <c r="F3565" t="s">
        <v>22</v>
      </c>
      <c r="G3565" s="9">
        <v>45349</v>
      </c>
      <c r="H3565" s="9">
        <v>45184</v>
      </c>
      <c r="I3565">
        <v>1</v>
      </c>
      <c r="J3565" t="s">
        <v>26</v>
      </c>
      <c r="K3565">
        <v>11</v>
      </c>
      <c r="L3565">
        <v>0</v>
      </c>
      <c r="M3565" s="11">
        <v>19895.060000000001</v>
      </c>
      <c r="N3565" s="12">
        <v>2041.93</v>
      </c>
      <c r="O3565" s="12">
        <v>222.84</v>
      </c>
    </row>
    <row r="3566" spans="1:15">
      <c r="A3566" t="s">
        <v>3740</v>
      </c>
      <c r="B3566" t="s">
        <v>596</v>
      </c>
      <c r="C3566" s="9">
        <v>11689</v>
      </c>
      <c r="D3566">
        <v>94</v>
      </c>
      <c r="E3566" t="s">
        <v>21</v>
      </c>
      <c r="F3566" t="s">
        <v>5184</v>
      </c>
      <c r="G3566" s="9">
        <v>45320</v>
      </c>
      <c r="H3566" s="9">
        <v>45662</v>
      </c>
      <c r="I3566">
        <v>16</v>
      </c>
      <c r="J3566" t="s">
        <v>35</v>
      </c>
      <c r="K3566">
        <v>5</v>
      </c>
      <c r="L3566">
        <v>2</v>
      </c>
      <c r="M3566" s="11">
        <v>6003.06</v>
      </c>
      <c r="N3566" s="12">
        <v>10612.96</v>
      </c>
      <c r="O3566" s="12">
        <v>6450.01</v>
      </c>
    </row>
    <row r="3567" spans="1:15">
      <c r="A3567" t="s">
        <v>3741</v>
      </c>
      <c r="B3567" t="s">
        <v>578</v>
      </c>
      <c r="C3567" s="9">
        <v>13150</v>
      </c>
      <c r="D3567">
        <v>90</v>
      </c>
      <c r="E3567" t="s">
        <v>21</v>
      </c>
      <c r="F3567" t="s">
        <v>29</v>
      </c>
      <c r="G3567" s="9">
        <v>45161</v>
      </c>
      <c r="H3567" s="9">
        <v>45380</v>
      </c>
      <c r="I3567">
        <v>26</v>
      </c>
      <c r="J3567" t="s">
        <v>35</v>
      </c>
      <c r="K3567">
        <v>0</v>
      </c>
      <c r="L3567">
        <v>0</v>
      </c>
      <c r="M3567" s="11">
        <v>14007.22</v>
      </c>
      <c r="N3567" s="12">
        <v>4384.8</v>
      </c>
      <c r="O3567" s="12">
        <v>16713.689999999999</v>
      </c>
    </row>
    <row r="3568" spans="1:15">
      <c r="A3568" t="s">
        <v>3742</v>
      </c>
      <c r="B3568" t="s">
        <v>619</v>
      </c>
      <c r="C3568" s="9">
        <v>42370</v>
      </c>
      <c r="D3568">
        <f t="shared" ref="D3568:D3569" ca="1" si="20">DATEDIF(C3519,TODAY(),"Y")</f>
        <v>37</v>
      </c>
      <c r="E3568" t="s">
        <v>21</v>
      </c>
      <c r="F3568" t="s">
        <v>5184</v>
      </c>
      <c r="G3568" s="9">
        <v>45256</v>
      </c>
      <c r="H3568" s="9">
        <v>45351</v>
      </c>
      <c r="I3568">
        <v>38</v>
      </c>
      <c r="J3568" t="s">
        <v>32</v>
      </c>
      <c r="K3568">
        <v>0</v>
      </c>
      <c r="L3568">
        <v>9</v>
      </c>
      <c r="M3568" s="11">
        <v>1891.55</v>
      </c>
      <c r="N3568" s="12">
        <v>6631.04</v>
      </c>
      <c r="O3568" s="12">
        <v>14844.58</v>
      </c>
    </row>
    <row r="3569" spans="1:15">
      <c r="A3569" t="s">
        <v>3743</v>
      </c>
      <c r="B3569" t="s">
        <v>131</v>
      </c>
      <c r="C3569" s="9">
        <v>28490</v>
      </c>
      <c r="D3569">
        <f t="shared" ca="1" si="20"/>
        <v>27</v>
      </c>
      <c r="E3569" t="s">
        <v>17</v>
      </c>
      <c r="F3569" t="s">
        <v>5184</v>
      </c>
      <c r="G3569" s="9">
        <v>45638</v>
      </c>
      <c r="H3569" s="9">
        <v>45251</v>
      </c>
      <c r="I3569">
        <v>0</v>
      </c>
      <c r="J3569" t="s">
        <v>32</v>
      </c>
      <c r="K3569">
        <v>10</v>
      </c>
      <c r="L3569">
        <v>4</v>
      </c>
      <c r="M3569" s="11">
        <v>389.07</v>
      </c>
      <c r="N3569" s="12">
        <v>11446.02</v>
      </c>
      <c r="O3569" s="12">
        <v>1254.32</v>
      </c>
    </row>
    <row r="3570" spans="1:15">
      <c r="A3570" t="s">
        <v>3744</v>
      </c>
      <c r="B3570" t="s">
        <v>348</v>
      </c>
      <c r="C3570" s="9">
        <v>32508</v>
      </c>
      <c r="D3570">
        <v>37</v>
      </c>
      <c r="E3570" t="s">
        <v>17</v>
      </c>
      <c r="F3570" t="s">
        <v>25</v>
      </c>
      <c r="G3570" s="9">
        <v>45251</v>
      </c>
      <c r="H3570" s="9">
        <v>45426</v>
      </c>
      <c r="I3570">
        <v>8</v>
      </c>
      <c r="J3570" t="s">
        <v>32</v>
      </c>
      <c r="K3570">
        <v>4</v>
      </c>
      <c r="L3570">
        <v>0</v>
      </c>
      <c r="M3570" s="11">
        <v>26734.04</v>
      </c>
      <c r="N3570" s="12">
        <v>6671.36</v>
      </c>
      <c r="O3570" s="12">
        <v>16009.05</v>
      </c>
    </row>
    <row r="3571" spans="1:15">
      <c r="A3571" t="s">
        <v>3745</v>
      </c>
      <c r="B3571" t="s">
        <v>226</v>
      </c>
      <c r="C3571" s="9">
        <v>23012</v>
      </c>
      <c r="D3571">
        <v>63</v>
      </c>
      <c r="E3571" t="s">
        <v>5185</v>
      </c>
      <c r="F3571" t="s">
        <v>25</v>
      </c>
      <c r="G3571" s="9">
        <v>45077</v>
      </c>
      <c r="H3571" s="9">
        <v>45508</v>
      </c>
      <c r="I3571">
        <v>5</v>
      </c>
      <c r="J3571" t="s">
        <v>35</v>
      </c>
      <c r="K3571">
        <v>4</v>
      </c>
      <c r="L3571">
        <v>8</v>
      </c>
      <c r="M3571" s="11">
        <v>25681.21</v>
      </c>
      <c r="N3571" s="12">
        <v>3384.14</v>
      </c>
      <c r="O3571" s="12">
        <v>3499</v>
      </c>
    </row>
    <row r="3572" spans="1:15">
      <c r="A3572" t="s">
        <v>3746</v>
      </c>
      <c r="B3572" t="s">
        <v>78</v>
      </c>
      <c r="C3572" s="9">
        <v>21185</v>
      </c>
      <c r="D3572">
        <v>68</v>
      </c>
      <c r="E3572" t="s">
        <v>21</v>
      </c>
      <c r="F3572" t="s">
        <v>49</v>
      </c>
      <c r="G3572" s="9">
        <v>45472</v>
      </c>
      <c r="H3572" s="9">
        <v>45124</v>
      </c>
      <c r="I3572">
        <v>36</v>
      </c>
      <c r="J3572" t="s">
        <v>26</v>
      </c>
      <c r="K3572">
        <v>6</v>
      </c>
      <c r="L3572">
        <v>6</v>
      </c>
      <c r="M3572" s="11">
        <v>9017.9699999999993</v>
      </c>
      <c r="N3572" s="12">
        <v>8247.36</v>
      </c>
      <c r="O3572" s="12">
        <v>19739.78</v>
      </c>
    </row>
    <row r="3573" spans="1:15">
      <c r="A3573" t="s">
        <v>3747</v>
      </c>
      <c r="B3573" t="s">
        <v>127</v>
      </c>
      <c r="C3573" s="9">
        <v>43466</v>
      </c>
      <c r="D3573">
        <f ca="1">DATEDIF(C3524,TODAY(),"Y")</f>
        <v>35</v>
      </c>
      <c r="E3573" t="s">
        <v>21</v>
      </c>
      <c r="F3573" t="s">
        <v>49</v>
      </c>
      <c r="G3573" s="9">
        <v>45562</v>
      </c>
      <c r="H3573" s="9">
        <v>45431</v>
      </c>
      <c r="I3573">
        <v>30</v>
      </c>
      <c r="J3573" t="s">
        <v>35</v>
      </c>
      <c r="K3573">
        <v>3</v>
      </c>
      <c r="L3573">
        <v>7</v>
      </c>
      <c r="M3573" s="11">
        <v>13437.07</v>
      </c>
      <c r="N3573" s="12">
        <v>12018.09</v>
      </c>
      <c r="O3573" s="12">
        <v>17357.79</v>
      </c>
    </row>
    <row r="3574" spans="1:15">
      <c r="A3574" t="s">
        <v>3748</v>
      </c>
      <c r="B3574" t="s">
        <v>774</v>
      </c>
      <c r="C3574" s="9">
        <v>33969</v>
      </c>
      <c r="D3574">
        <v>33</v>
      </c>
      <c r="E3574" t="s">
        <v>21</v>
      </c>
      <c r="F3574" t="s">
        <v>22</v>
      </c>
      <c r="G3574" s="9">
        <v>44958</v>
      </c>
      <c r="H3574" s="9">
        <v>45199</v>
      </c>
      <c r="I3574">
        <v>5</v>
      </c>
      <c r="J3574" t="s">
        <v>32</v>
      </c>
      <c r="K3574">
        <v>3</v>
      </c>
      <c r="L3574">
        <v>8</v>
      </c>
      <c r="M3574" s="11">
        <v>14555.11</v>
      </c>
      <c r="N3574" s="12">
        <v>8994.6299999999992</v>
      </c>
      <c r="O3574" s="12">
        <v>18256.54</v>
      </c>
    </row>
    <row r="3575" spans="1:15">
      <c r="A3575" t="s">
        <v>3749</v>
      </c>
      <c r="B3575" t="s">
        <v>207</v>
      </c>
      <c r="C3575" s="9">
        <v>28856</v>
      </c>
      <c r="D3575">
        <v>47</v>
      </c>
      <c r="E3575" t="s">
        <v>21</v>
      </c>
      <c r="F3575" t="s">
        <v>18</v>
      </c>
      <c r="G3575" s="9">
        <v>45198</v>
      </c>
      <c r="H3575" s="9">
        <v>45621</v>
      </c>
      <c r="I3575">
        <v>22</v>
      </c>
      <c r="J3575" t="s">
        <v>35</v>
      </c>
      <c r="K3575">
        <v>8</v>
      </c>
      <c r="L3575">
        <v>9</v>
      </c>
      <c r="M3575" s="11">
        <v>15381.38</v>
      </c>
      <c r="N3575" s="12">
        <v>6302.72</v>
      </c>
      <c r="O3575" s="12">
        <v>15365.95</v>
      </c>
    </row>
    <row r="3576" spans="1:15">
      <c r="A3576" t="s">
        <v>3750</v>
      </c>
      <c r="B3576" t="s">
        <v>48</v>
      </c>
      <c r="C3576" s="9">
        <v>25934</v>
      </c>
      <c r="D3576">
        <v>55</v>
      </c>
      <c r="E3576" t="s">
        <v>17</v>
      </c>
      <c r="F3576" t="s">
        <v>74</v>
      </c>
      <c r="G3576" s="9">
        <v>45562</v>
      </c>
      <c r="H3576" s="9">
        <v>44945</v>
      </c>
      <c r="I3576">
        <v>21</v>
      </c>
      <c r="J3576" t="s">
        <v>35</v>
      </c>
      <c r="K3576">
        <v>1</v>
      </c>
      <c r="L3576">
        <v>7</v>
      </c>
      <c r="M3576" s="11">
        <v>3604.42</v>
      </c>
      <c r="N3576" s="12">
        <v>1884.37</v>
      </c>
      <c r="O3576" s="12">
        <v>14186.61</v>
      </c>
    </row>
    <row r="3577" spans="1:15">
      <c r="A3577" t="s">
        <v>3751</v>
      </c>
      <c r="B3577" t="s">
        <v>69</v>
      </c>
      <c r="C3577" s="9">
        <v>18629</v>
      </c>
      <c r="D3577">
        <v>75</v>
      </c>
      <c r="E3577" t="s">
        <v>21</v>
      </c>
      <c r="F3577" t="s">
        <v>18</v>
      </c>
      <c r="G3577" s="9">
        <v>45294</v>
      </c>
      <c r="H3577" s="9">
        <v>45034</v>
      </c>
      <c r="I3577">
        <v>23</v>
      </c>
      <c r="J3577" t="s">
        <v>32</v>
      </c>
      <c r="K3577">
        <v>2</v>
      </c>
      <c r="L3577">
        <v>2</v>
      </c>
      <c r="M3577" s="11">
        <v>23139.29</v>
      </c>
      <c r="N3577" s="12">
        <v>3730.7</v>
      </c>
      <c r="O3577" s="12">
        <v>4813.1899999999996</v>
      </c>
    </row>
    <row r="3578" spans="1:15">
      <c r="A3578" t="s">
        <v>3752</v>
      </c>
      <c r="B3578" t="s">
        <v>412</v>
      </c>
      <c r="C3578" s="9">
        <v>22646</v>
      </c>
      <c r="D3578">
        <f ca="1">DATEDIF(C3529,TODAY(),"Y")</f>
        <v>59</v>
      </c>
      <c r="E3578" t="s">
        <v>17</v>
      </c>
      <c r="F3578" t="s">
        <v>22</v>
      </c>
      <c r="G3578" s="9">
        <v>45418</v>
      </c>
      <c r="H3578" s="9">
        <v>45456</v>
      </c>
      <c r="I3578">
        <v>23</v>
      </c>
      <c r="J3578" t="s">
        <v>35</v>
      </c>
      <c r="K3578">
        <v>1</v>
      </c>
      <c r="L3578">
        <v>6</v>
      </c>
      <c r="M3578" s="11">
        <v>10108.379999999999</v>
      </c>
      <c r="N3578" s="12">
        <v>14191.78</v>
      </c>
      <c r="O3578" s="12">
        <v>11686.61</v>
      </c>
    </row>
    <row r="3579" spans="1:15">
      <c r="A3579" t="s">
        <v>3753</v>
      </c>
      <c r="B3579" t="s">
        <v>207</v>
      </c>
      <c r="C3579" s="9">
        <v>35065</v>
      </c>
      <c r="D3579">
        <v>30</v>
      </c>
      <c r="E3579" t="s">
        <v>17</v>
      </c>
      <c r="F3579" t="s">
        <v>29</v>
      </c>
      <c r="G3579" s="9">
        <v>45242</v>
      </c>
      <c r="H3579" s="9">
        <v>45052</v>
      </c>
      <c r="I3579">
        <v>14</v>
      </c>
      <c r="J3579" t="s">
        <v>32</v>
      </c>
      <c r="K3579">
        <v>8</v>
      </c>
      <c r="L3579">
        <v>6</v>
      </c>
      <c r="M3579" s="11">
        <v>466.7</v>
      </c>
      <c r="N3579" s="12">
        <v>11577.12</v>
      </c>
      <c r="O3579" s="12">
        <v>13898.14</v>
      </c>
    </row>
    <row r="3580" spans="1:15">
      <c r="A3580" t="s">
        <v>3754</v>
      </c>
      <c r="B3580" t="s">
        <v>39</v>
      </c>
      <c r="C3580" s="9">
        <v>44927</v>
      </c>
      <c r="D3580">
        <v>3</v>
      </c>
      <c r="E3580" t="s">
        <v>21</v>
      </c>
      <c r="F3580" t="s">
        <v>25</v>
      </c>
      <c r="G3580" s="9">
        <v>45516</v>
      </c>
      <c r="H3580" s="9">
        <v>45410</v>
      </c>
      <c r="I3580">
        <v>24</v>
      </c>
      <c r="J3580" t="s">
        <v>32</v>
      </c>
      <c r="K3580">
        <v>14</v>
      </c>
      <c r="L3580">
        <v>6</v>
      </c>
      <c r="M3580" s="11">
        <v>20135.13</v>
      </c>
      <c r="N3580" s="12">
        <v>1313.58</v>
      </c>
      <c r="O3580" s="12">
        <v>5690.53</v>
      </c>
    </row>
    <row r="3581" spans="1:15">
      <c r="A3581" t="s">
        <v>3755</v>
      </c>
      <c r="B3581" t="s">
        <v>379</v>
      </c>
      <c r="C3581" s="9">
        <v>28125</v>
      </c>
      <c r="D3581">
        <v>49</v>
      </c>
      <c r="E3581" t="s">
        <v>17</v>
      </c>
      <c r="F3581" t="s">
        <v>18</v>
      </c>
      <c r="G3581" s="9">
        <v>45514</v>
      </c>
      <c r="H3581" s="9">
        <v>45521</v>
      </c>
      <c r="I3581">
        <v>26</v>
      </c>
      <c r="J3581" t="s">
        <v>32</v>
      </c>
      <c r="K3581">
        <v>3</v>
      </c>
      <c r="L3581">
        <v>7</v>
      </c>
      <c r="M3581" s="11">
        <v>24811.26</v>
      </c>
      <c r="N3581" s="12">
        <v>82.72</v>
      </c>
      <c r="O3581" s="12">
        <v>7905.99</v>
      </c>
    </row>
    <row r="3582" spans="1:15">
      <c r="A3582" t="s">
        <v>3756</v>
      </c>
      <c r="B3582" t="s">
        <v>356</v>
      </c>
      <c r="C3582" s="9">
        <v>21185</v>
      </c>
      <c r="D3582">
        <v>68</v>
      </c>
      <c r="E3582" t="s">
        <v>21</v>
      </c>
      <c r="F3582" t="s">
        <v>5184</v>
      </c>
      <c r="G3582" s="9">
        <v>45498</v>
      </c>
      <c r="H3582" s="9">
        <v>44931</v>
      </c>
      <c r="I3582">
        <v>36</v>
      </c>
      <c r="J3582" t="s">
        <v>32</v>
      </c>
      <c r="K3582">
        <v>13</v>
      </c>
      <c r="L3582">
        <v>3</v>
      </c>
      <c r="M3582" s="11">
        <v>27502.87</v>
      </c>
      <c r="N3582" s="12">
        <v>2631.29</v>
      </c>
      <c r="O3582" s="12">
        <v>18935.71</v>
      </c>
    </row>
    <row r="3583" spans="1:15">
      <c r="A3583" t="s">
        <v>3757</v>
      </c>
      <c r="B3583" t="s">
        <v>356</v>
      </c>
      <c r="C3583" s="9">
        <v>35430</v>
      </c>
      <c r="D3583">
        <v>29</v>
      </c>
      <c r="E3583" t="s">
        <v>21</v>
      </c>
      <c r="F3583" t="s">
        <v>25</v>
      </c>
      <c r="G3583" s="9">
        <v>45523</v>
      </c>
      <c r="H3583" s="9">
        <v>45554</v>
      </c>
      <c r="I3583">
        <v>6</v>
      </c>
      <c r="J3583" t="s">
        <v>35</v>
      </c>
      <c r="K3583">
        <v>13</v>
      </c>
      <c r="L3583">
        <v>5</v>
      </c>
      <c r="M3583" s="11">
        <v>20069.36</v>
      </c>
      <c r="N3583" s="12">
        <v>14158.36</v>
      </c>
      <c r="O3583" s="12">
        <v>8099.95</v>
      </c>
    </row>
    <row r="3584" spans="1:15">
      <c r="A3584" t="s">
        <v>3758</v>
      </c>
      <c r="B3584" t="s">
        <v>187</v>
      </c>
      <c r="C3584" s="9">
        <v>14246</v>
      </c>
      <c r="D3584">
        <v>87</v>
      </c>
      <c r="E3584" t="s">
        <v>17</v>
      </c>
      <c r="F3584" t="s">
        <v>25</v>
      </c>
      <c r="G3584" s="9">
        <v>45294</v>
      </c>
      <c r="H3584" s="9">
        <v>45278</v>
      </c>
      <c r="I3584">
        <v>11</v>
      </c>
      <c r="J3584" t="s">
        <v>32</v>
      </c>
      <c r="K3584">
        <v>6</v>
      </c>
      <c r="L3584">
        <v>1</v>
      </c>
      <c r="M3584" s="11">
        <v>5334.01</v>
      </c>
      <c r="N3584" s="12">
        <v>8700.58</v>
      </c>
      <c r="O3584" s="12">
        <v>6239.15</v>
      </c>
    </row>
    <row r="3585" spans="1:15">
      <c r="A3585" t="s">
        <v>3759</v>
      </c>
      <c r="B3585" t="s">
        <v>387</v>
      </c>
      <c r="C3585" s="9">
        <v>24838</v>
      </c>
      <c r="D3585">
        <v>58</v>
      </c>
      <c r="E3585" t="s">
        <v>17</v>
      </c>
      <c r="F3585" t="s">
        <v>18</v>
      </c>
      <c r="G3585" s="9">
        <v>45006</v>
      </c>
      <c r="H3585" s="9">
        <v>45278</v>
      </c>
      <c r="I3585">
        <v>2</v>
      </c>
      <c r="J3585" t="s">
        <v>32</v>
      </c>
      <c r="K3585">
        <v>1</v>
      </c>
      <c r="L3585">
        <v>6</v>
      </c>
      <c r="M3585" s="11">
        <v>17488.310000000001</v>
      </c>
      <c r="N3585" s="12">
        <v>12579.9</v>
      </c>
      <c r="O3585" s="12">
        <v>2054.9699999999998</v>
      </c>
    </row>
    <row r="3586" spans="1:15">
      <c r="A3586" t="s">
        <v>3760</v>
      </c>
      <c r="B3586" t="s">
        <v>422</v>
      </c>
      <c r="C3586" s="9">
        <v>21916</v>
      </c>
      <c r="D3586">
        <v>66</v>
      </c>
      <c r="E3586" t="s">
        <v>21</v>
      </c>
      <c r="F3586" t="s">
        <v>18</v>
      </c>
      <c r="G3586" s="9">
        <v>45098</v>
      </c>
      <c r="H3586" s="9">
        <v>45576</v>
      </c>
      <c r="I3586">
        <v>27</v>
      </c>
      <c r="J3586" t="s">
        <v>26</v>
      </c>
      <c r="K3586">
        <v>12</v>
      </c>
      <c r="L3586">
        <v>8</v>
      </c>
      <c r="M3586" s="11">
        <v>27308.74</v>
      </c>
      <c r="N3586" s="12">
        <v>6978.38</v>
      </c>
      <c r="O3586" s="12">
        <v>6760.96</v>
      </c>
    </row>
    <row r="3587" spans="1:15">
      <c r="A3587" t="s">
        <v>3761</v>
      </c>
      <c r="B3587" t="s">
        <v>201</v>
      </c>
      <c r="C3587" s="9">
        <v>18994</v>
      </c>
      <c r="D3587">
        <f ca="1">DATEDIF(C3538,TODAY(),"Y")</f>
        <v>22</v>
      </c>
      <c r="E3587" t="s">
        <v>21</v>
      </c>
      <c r="F3587" t="s">
        <v>5184</v>
      </c>
      <c r="G3587" s="9">
        <v>45184</v>
      </c>
      <c r="H3587" s="9">
        <v>45726</v>
      </c>
      <c r="I3587">
        <v>25</v>
      </c>
      <c r="J3587" t="s">
        <v>32</v>
      </c>
      <c r="K3587">
        <v>1</v>
      </c>
      <c r="L3587">
        <v>4</v>
      </c>
      <c r="M3587" s="11">
        <v>10192.08</v>
      </c>
      <c r="N3587" s="12">
        <v>12399.54</v>
      </c>
      <c r="O3587" s="12">
        <v>12204.07</v>
      </c>
    </row>
    <row r="3588" spans="1:15">
      <c r="A3588" t="s">
        <v>3762</v>
      </c>
      <c r="B3588" t="s">
        <v>275</v>
      </c>
      <c r="C3588" s="9">
        <v>29951</v>
      </c>
      <c r="D3588">
        <v>44</v>
      </c>
      <c r="E3588" t="s">
        <v>21</v>
      </c>
      <c r="F3588" t="s">
        <v>5184</v>
      </c>
      <c r="G3588" s="9">
        <v>45205</v>
      </c>
      <c r="H3588" s="9">
        <v>45155</v>
      </c>
      <c r="I3588">
        <v>34</v>
      </c>
      <c r="J3588" t="s">
        <v>32</v>
      </c>
      <c r="K3588">
        <v>1</v>
      </c>
      <c r="L3588">
        <v>3</v>
      </c>
      <c r="M3588" s="11">
        <v>28577.200000000001</v>
      </c>
      <c r="N3588" s="12">
        <v>508.75</v>
      </c>
      <c r="O3588" s="12">
        <v>2869.42</v>
      </c>
    </row>
    <row r="3589" spans="1:15">
      <c r="A3589" t="s">
        <v>3763</v>
      </c>
      <c r="B3589" t="s">
        <v>145</v>
      </c>
      <c r="C3589" s="9">
        <v>44927</v>
      </c>
      <c r="D3589">
        <v>3</v>
      </c>
      <c r="E3589" t="s">
        <v>21</v>
      </c>
      <c r="F3589" t="s">
        <v>49</v>
      </c>
      <c r="G3589" s="9">
        <v>45430</v>
      </c>
      <c r="H3589" s="9">
        <v>44943</v>
      </c>
      <c r="I3589">
        <v>5</v>
      </c>
      <c r="J3589" t="s">
        <v>35</v>
      </c>
      <c r="K3589">
        <v>11</v>
      </c>
      <c r="L3589">
        <v>1</v>
      </c>
      <c r="M3589" s="11">
        <v>2479.21</v>
      </c>
      <c r="N3589" s="12">
        <v>6402.29</v>
      </c>
      <c r="O3589" s="12">
        <v>12066.26</v>
      </c>
    </row>
    <row r="3590" spans="1:15">
      <c r="A3590" t="s">
        <v>3764</v>
      </c>
      <c r="B3590" t="s">
        <v>163</v>
      </c>
      <c r="C3590" s="9">
        <v>36891</v>
      </c>
      <c r="D3590">
        <v>25</v>
      </c>
      <c r="E3590" t="s">
        <v>5185</v>
      </c>
      <c r="F3590" t="s">
        <v>22</v>
      </c>
      <c r="G3590" s="9">
        <v>45484</v>
      </c>
      <c r="H3590" s="9">
        <v>45737</v>
      </c>
      <c r="I3590">
        <v>12</v>
      </c>
      <c r="J3590" t="s">
        <v>32</v>
      </c>
      <c r="K3590">
        <v>4</v>
      </c>
      <c r="L3590">
        <v>6</v>
      </c>
      <c r="M3590" s="11">
        <v>21705.61</v>
      </c>
      <c r="N3590" s="12">
        <v>5663.92</v>
      </c>
      <c r="O3590" s="12">
        <v>14798.03</v>
      </c>
    </row>
    <row r="3591" spans="1:15">
      <c r="A3591" t="s">
        <v>3765</v>
      </c>
      <c r="B3591" t="s">
        <v>240</v>
      </c>
      <c r="C3591" s="9">
        <v>36526</v>
      </c>
      <c r="D3591">
        <v>26</v>
      </c>
      <c r="E3591" t="s">
        <v>17</v>
      </c>
      <c r="F3591" t="s">
        <v>22</v>
      </c>
      <c r="G3591" s="9">
        <v>45417</v>
      </c>
      <c r="H3591" s="9">
        <v>45352</v>
      </c>
      <c r="I3591">
        <v>25</v>
      </c>
      <c r="J3591" t="s">
        <v>32</v>
      </c>
      <c r="K3591">
        <v>8</v>
      </c>
      <c r="L3591">
        <v>1</v>
      </c>
      <c r="M3591" s="11">
        <v>3157.29</v>
      </c>
      <c r="N3591" s="12">
        <v>14723.2</v>
      </c>
      <c r="O3591" s="12">
        <v>15341.7</v>
      </c>
    </row>
    <row r="3592" spans="1:15">
      <c r="A3592" t="s">
        <v>3766</v>
      </c>
      <c r="B3592" t="s">
        <v>125</v>
      </c>
      <c r="C3592" s="9">
        <v>29586</v>
      </c>
      <c r="D3592">
        <v>45</v>
      </c>
      <c r="E3592" t="s">
        <v>21</v>
      </c>
      <c r="F3592" t="s">
        <v>5184</v>
      </c>
      <c r="G3592" s="9">
        <v>45511</v>
      </c>
      <c r="H3592" s="9">
        <v>45391</v>
      </c>
      <c r="I3592">
        <v>33</v>
      </c>
      <c r="J3592" t="s">
        <v>32</v>
      </c>
      <c r="K3592">
        <v>1</v>
      </c>
      <c r="L3592">
        <v>1</v>
      </c>
      <c r="M3592" s="11">
        <v>23865.7</v>
      </c>
      <c r="N3592" s="12">
        <v>4507.1400000000003</v>
      </c>
      <c r="O3592" s="12">
        <v>19694.650000000001</v>
      </c>
    </row>
    <row r="3593" spans="1:15">
      <c r="A3593" t="s">
        <v>3767</v>
      </c>
      <c r="B3593" t="s">
        <v>490</v>
      </c>
      <c r="C3593" s="9">
        <f>DATE(2026-D3553,1,1)</f>
        <v>25934</v>
      </c>
      <c r="D3593">
        <v>63</v>
      </c>
      <c r="E3593" t="s">
        <v>17</v>
      </c>
      <c r="F3593" t="s">
        <v>74</v>
      </c>
      <c r="G3593" s="9">
        <v>45492</v>
      </c>
      <c r="H3593" s="9">
        <v>45651</v>
      </c>
      <c r="I3593">
        <v>30</v>
      </c>
      <c r="J3593" t="s">
        <v>35</v>
      </c>
      <c r="K3593">
        <v>8</v>
      </c>
      <c r="L3593">
        <v>8</v>
      </c>
      <c r="M3593" s="11">
        <v>2478.5</v>
      </c>
      <c r="N3593" s="12">
        <v>6253.75</v>
      </c>
      <c r="O3593" s="12">
        <v>8634.69</v>
      </c>
    </row>
    <row r="3594" spans="1:15">
      <c r="A3594" t="s">
        <v>3768</v>
      </c>
      <c r="B3594" t="s">
        <v>57</v>
      </c>
      <c r="C3594" s="9">
        <v>13150</v>
      </c>
      <c r="D3594">
        <v>90</v>
      </c>
      <c r="E3594" t="s">
        <v>21</v>
      </c>
      <c r="F3594" t="s">
        <v>5184</v>
      </c>
      <c r="G3594" s="9">
        <v>45263</v>
      </c>
      <c r="H3594" s="9">
        <v>45173</v>
      </c>
      <c r="I3594">
        <v>3</v>
      </c>
      <c r="J3594" t="s">
        <v>32</v>
      </c>
      <c r="K3594">
        <v>10</v>
      </c>
      <c r="L3594">
        <v>1</v>
      </c>
      <c r="M3594" s="11">
        <v>9434.61</v>
      </c>
      <c r="N3594" s="12">
        <v>11382.01</v>
      </c>
      <c r="O3594" s="12">
        <v>551.9</v>
      </c>
    </row>
    <row r="3595" spans="1:15">
      <c r="A3595" t="s">
        <v>3769</v>
      </c>
      <c r="B3595" t="s">
        <v>41</v>
      </c>
      <c r="C3595" s="9">
        <v>27760</v>
      </c>
      <c r="D3595">
        <v>50</v>
      </c>
      <c r="E3595" t="s">
        <v>21</v>
      </c>
      <c r="F3595" t="s">
        <v>49</v>
      </c>
      <c r="G3595" s="9">
        <v>45447</v>
      </c>
      <c r="H3595" s="9">
        <v>45725</v>
      </c>
      <c r="I3595">
        <v>9</v>
      </c>
      <c r="J3595" t="s">
        <v>35</v>
      </c>
      <c r="K3595">
        <v>1</v>
      </c>
      <c r="L3595">
        <v>9</v>
      </c>
      <c r="M3595" s="11">
        <v>23194.28</v>
      </c>
      <c r="N3595" s="12">
        <v>13210.7</v>
      </c>
      <c r="O3595" s="12">
        <v>17079.27</v>
      </c>
    </row>
    <row r="3596" spans="1:15">
      <c r="A3596" t="s">
        <v>3770</v>
      </c>
      <c r="B3596" t="s">
        <v>284</v>
      </c>
      <c r="C3596" s="9">
        <f>DATE(2026-D3556,1,1)</f>
        <v>29221</v>
      </c>
      <c r="D3596">
        <v>49</v>
      </c>
      <c r="E3596" t="s">
        <v>17</v>
      </c>
      <c r="F3596" t="s">
        <v>74</v>
      </c>
      <c r="G3596" s="9">
        <v>45252</v>
      </c>
      <c r="H3596" s="9">
        <v>45721</v>
      </c>
      <c r="I3596">
        <v>4</v>
      </c>
      <c r="J3596" t="s">
        <v>32</v>
      </c>
      <c r="K3596">
        <v>13</v>
      </c>
      <c r="L3596">
        <v>2</v>
      </c>
      <c r="M3596" s="11">
        <v>13535.89</v>
      </c>
      <c r="N3596" s="12">
        <v>13175.82</v>
      </c>
      <c r="O3596" s="12">
        <v>1578.64</v>
      </c>
    </row>
    <row r="3597" spans="1:15">
      <c r="A3597" t="s">
        <v>3771</v>
      </c>
      <c r="B3597" t="s">
        <v>187</v>
      </c>
      <c r="C3597" s="9">
        <v>44196</v>
      </c>
      <c r="D3597">
        <v>5</v>
      </c>
      <c r="E3597" t="s">
        <v>17</v>
      </c>
      <c r="F3597" t="s">
        <v>18</v>
      </c>
      <c r="G3597" s="9">
        <v>45098</v>
      </c>
      <c r="H3597" s="9">
        <v>45104</v>
      </c>
      <c r="I3597">
        <v>25</v>
      </c>
      <c r="J3597" t="s">
        <v>32</v>
      </c>
      <c r="K3597">
        <v>3</v>
      </c>
      <c r="L3597">
        <v>2</v>
      </c>
      <c r="M3597" s="11">
        <v>26421.94</v>
      </c>
      <c r="N3597" s="12">
        <v>5917.66</v>
      </c>
      <c r="O3597" s="12">
        <v>17219.310000000001</v>
      </c>
    </row>
    <row r="3598" spans="1:15">
      <c r="A3598" t="s">
        <v>3772</v>
      </c>
      <c r="B3598" t="s">
        <v>268</v>
      </c>
      <c r="C3598" s="9">
        <v>24838</v>
      </c>
      <c r="D3598">
        <v>58</v>
      </c>
      <c r="E3598" t="s">
        <v>17</v>
      </c>
      <c r="F3598" t="s">
        <v>22</v>
      </c>
      <c r="G3598" s="9">
        <v>45010</v>
      </c>
      <c r="H3598" s="9">
        <v>45470</v>
      </c>
      <c r="I3598">
        <v>4</v>
      </c>
      <c r="J3598" t="s">
        <v>35</v>
      </c>
      <c r="K3598">
        <v>3</v>
      </c>
      <c r="L3598">
        <v>1</v>
      </c>
      <c r="M3598" s="11">
        <v>11753</v>
      </c>
      <c r="N3598" s="12">
        <v>14228.32</v>
      </c>
      <c r="O3598" s="12">
        <v>19652.28</v>
      </c>
    </row>
    <row r="3599" spans="1:15">
      <c r="A3599" t="s">
        <v>3773</v>
      </c>
      <c r="B3599" t="s">
        <v>336</v>
      </c>
      <c r="C3599" s="9">
        <v>40909</v>
      </c>
      <c r="D3599">
        <v>14</v>
      </c>
      <c r="E3599" t="s">
        <v>17</v>
      </c>
      <c r="F3599" t="s">
        <v>22</v>
      </c>
      <c r="G3599" s="9">
        <v>45450</v>
      </c>
      <c r="H3599" s="9">
        <v>45436</v>
      </c>
      <c r="I3599">
        <v>38</v>
      </c>
      <c r="J3599" t="s">
        <v>35</v>
      </c>
      <c r="K3599">
        <v>0</v>
      </c>
      <c r="L3599">
        <v>9</v>
      </c>
      <c r="M3599" s="11">
        <v>29846.22</v>
      </c>
      <c r="N3599" s="12">
        <v>9802.6299999999992</v>
      </c>
      <c r="O3599" s="12">
        <v>18127.14</v>
      </c>
    </row>
    <row r="3600" spans="1:15">
      <c r="A3600" t="s">
        <v>3774</v>
      </c>
      <c r="B3600" t="s">
        <v>163</v>
      </c>
      <c r="C3600" s="9">
        <v>35430</v>
      </c>
      <c r="D3600">
        <v>29</v>
      </c>
      <c r="E3600" t="s">
        <v>17</v>
      </c>
      <c r="F3600" t="s">
        <v>74</v>
      </c>
      <c r="G3600" s="9">
        <v>45407</v>
      </c>
      <c r="H3600" s="9">
        <v>45489</v>
      </c>
      <c r="I3600">
        <v>2</v>
      </c>
      <c r="J3600" t="s">
        <v>32</v>
      </c>
      <c r="K3600">
        <v>1</v>
      </c>
      <c r="L3600">
        <v>2</v>
      </c>
      <c r="M3600" s="11">
        <v>69.58</v>
      </c>
      <c r="N3600" s="12">
        <v>12767.03</v>
      </c>
      <c r="O3600" s="12">
        <v>19276.61</v>
      </c>
    </row>
    <row r="3601" spans="1:15">
      <c r="A3601" t="s">
        <v>3775</v>
      </c>
      <c r="B3601" t="s">
        <v>198</v>
      </c>
      <c r="C3601" s="9">
        <v>31047</v>
      </c>
      <c r="D3601">
        <v>41</v>
      </c>
      <c r="E3601" t="s">
        <v>21</v>
      </c>
      <c r="F3601" t="s">
        <v>29</v>
      </c>
      <c r="G3601" s="9">
        <v>45470</v>
      </c>
      <c r="H3601" s="9">
        <v>45582</v>
      </c>
      <c r="I3601">
        <v>21</v>
      </c>
      <c r="J3601" t="s">
        <v>26</v>
      </c>
      <c r="K3601">
        <v>12</v>
      </c>
      <c r="L3601">
        <v>8</v>
      </c>
      <c r="M3601" s="11">
        <v>20729.900000000001</v>
      </c>
      <c r="N3601" s="12">
        <v>13894.16</v>
      </c>
      <c r="O3601" s="12">
        <v>369.05</v>
      </c>
    </row>
    <row r="3602" spans="1:15">
      <c r="A3602" t="s">
        <v>3776</v>
      </c>
      <c r="B3602" t="s">
        <v>51</v>
      </c>
      <c r="C3602" s="9">
        <v>32873</v>
      </c>
      <c r="D3602">
        <v>36</v>
      </c>
      <c r="E3602" t="s">
        <v>17</v>
      </c>
      <c r="F3602" t="s">
        <v>49</v>
      </c>
      <c r="G3602" s="9">
        <v>45344</v>
      </c>
      <c r="H3602" s="9">
        <v>45491</v>
      </c>
      <c r="I3602">
        <v>16</v>
      </c>
      <c r="J3602" t="s">
        <v>32</v>
      </c>
      <c r="K3602">
        <v>11</v>
      </c>
      <c r="L3602">
        <v>2</v>
      </c>
      <c r="M3602" s="11">
        <v>27434.57</v>
      </c>
      <c r="N3602" s="12">
        <v>3504</v>
      </c>
      <c r="O3602" s="12">
        <v>128.53</v>
      </c>
    </row>
    <row r="3603" spans="1:15">
      <c r="A3603" t="s">
        <v>3777</v>
      </c>
      <c r="B3603" t="s">
        <v>112</v>
      </c>
      <c r="C3603" s="9">
        <v>31047</v>
      </c>
      <c r="D3603">
        <v>41</v>
      </c>
      <c r="E3603" t="s">
        <v>5185</v>
      </c>
      <c r="F3603" t="s">
        <v>49</v>
      </c>
      <c r="G3603" s="9">
        <v>45265</v>
      </c>
      <c r="H3603" s="9">
        <v>45160</v>
      </c>
      <c r="I3603">
        <v>29</v>
      </c>
      <c r="J3603" t="s">
        <v>26</v>
      </c>
      <c r="K3603">
        <v>7</v>
      </c>
      <c r="L3603">
        <v>4</v>
      </c>
      <c r="M3603" s="11">
        <v>15847.59</v>
      </c>
      <c r="N3603" s="12">
        <v>7487.98</v>
      </c>
      <c r="O3603" s="12">
        <v>4126.99</v>
      </c>
    </row>
    <row r="3604" spans="1:15">
      <c r="A3604" t="s">
        <v>3778</v>
      </c>
      <c r="B3604" t="s">
        <v>63</v>
      </c>
      <c r="C3604" s="9">
        <v>33604</v>
      </c>
      <c r="D3604">
        <v>34</v>
      </c>
      <c r="E3604" t="s">
        <v>21</v>
      </c>
      <c r="F3604" t="s">
        <v>49</v>
      </c>
      <c r="G3604" s="9">
        <v>45246</v>
      </c>
      <c r="H3604" s="9">
        <v>45605</v>
      </c>
      <c r="I3604">
        <v>27</v>
      </c>
      <c r="J3604" t="s">
        <v>32</v>
      </c>
      <c r="K3604">
        <v>11</v>
      </c>
      <c r="L3604">
        <v>6</v>
      </c>
      <c r="M3604" s="11">
        <v>29649.53</v>
      </c>
      <c r="N3604" s="12">
        <v>8816.9599999999991</v>
      </c>
      <c r="O3604" s="12">
        <v>15954.12</v>
      </c>
    </row>
    <row r="3605" spans="1:15">
      <c r="A3605" t="s">
        <v>3779</v>
      </c>
      <c r="B3605" t="s">
        <v>37</v>
      </c>
      <c r="C3605" s="9">
        <v>14611</v>
      </c>
      <c r="D3605">
        <v>86</v>
      </c>
      <c r="E3605" t="s">
        <v>17</v>
      </c>
      <c r="F3605" t="s">
        <v>22</v>
      </c>
      <c r="G3605" s="9">
        <v>45230</v>
      </c>
      <c r="H3605" s="9">
        <v>44965</v>
      </c>
      <c r="I3605">
        <v>2</v>
      </c>
      <c r="J3605" t="s">
        <v>32</v>
      </c>
      <c r="K3605">
        <v>1</v>
      </c>
      <c r="L3605">
        <v>0</v>
      </c>
      <c r="M3605" s="11">
        <v>21094.75</v>
      </c>
      <c r="N3605" s="12">
        <v>12036.57</v>
      </c>
      <c r="O3605" s="12">
        <v>1697.23</v>
      </c>
    </row>
    <row r="3606" spans="1:15">
      <c r="A3606" t="s">
        <v>3780</v>
      </c>
      <c r="B3606" t="s">
        <v>681</v>
      </c>
      <c r="C3606" s="9">
        <v>44196</v>
      </c>
      <c r="D3606">
        <v>5</v>
      </c>
      <c r="E3606" t="s">
        <v>17</v>
      </c>
      <c r="F3606" t="s">
        <v>25</v>
      </c>
      <c r="G3606" s="9">
        <v>45198</v>
      </c>
      <c r="H3606" s="9">
        <v>45418</v>
      </c>
      <c r="I3606">
        <v>29</v>
      </c>
      <c r="J3606" t="s">
        <v>26</v>
      </c>
      <c r="K3606">
        <v>11</v>
      </c>
      <c r="L3606">
        <v>0</v>
      </c>
      <c r="M3606" s="11">
        <v>12600.55</v>
      </c>
      <c r="N3606" s="12">
        <v>6017.49</v>
      </c>
      <c r="O3606" s="12">
        <v>14905.02</v>
      </c>
    </row>
    <row r="3607" spans="1:15">
      <c r="A3607" t="s">
        <v>3781</v>
      </c>
      <c r="B3607" t="s">
        <v>1148</v>
      </c>
      <c r="C3607" s="9">
        <v>21551</v>
      </c>
      <c r="D3607">
        <v>67</v>
      </c>
      <c r="E3607" t="s">
        <v>21</v>
      </c>
      <c r="F3607" t="s">
        <v>22</v>
      </c>
      <c r="G3607" s="9">
        <v>45616</v>
      </c>
      <c r="H3607" s="9">
        <v>45371</v>
      </c>
      <c r="I3607">
        <v>17</v>
      </c>
      <c r="J3607" t="s">
        <v>26</v>
      </c>
      <c r="K3607">
        <v>1</v>
      </c>
      <c r="L3607">
        <v>9</v>
      </c>
      <c r="M3607" s="11">
        <v>15219.01</v>
      </c>
      <c r="N3607" s="12">
        <v>3156.74</v>
      </c>
      <c r="O3607" s="12">
        <v>152.46</v>
      </c>
    </row>
    <row r="3608" spans="1:15">
      <c r="A3608" t="s">
        <v>3782</v>
      </c>
      <c r="B3608" t="s">
        <v>615</v>
      </c>
      <c r="C3608" s="9">
        <v>39813</v>
      </c>
      <c r="D3608">
        <v>17</v>
      </c>
      <c r="E3608" t="s">
        <v>17</v>
      </c>
      <c r="F3608" t="s">
        <v>25</v>
      </c>
      <c r="G3608" s="9">
        <v>45040</v>
      </c>
      <c r="H3608" s="9">
        <v>44947</v>
      </c>
      <c r="I3608">
        <v>18</v>
      </c>
      <c r="J3608" t="s">
        <v>32</v>
      </c>
      <c r="K3608">
        <v>10</v>
      </c>
      <c r="L3608">
        <v>1</v>
      </c>
      <c r="M3608" s="11">
        <v>26262.82</v>
      </c>
      <c r="N3608" s="12">
        <v>11148.52</v>
      </c>
      <c r="O3608" s="12">
        <v>14595.1</v>
      </c>
    </row>
    <row r="3609" spans="1:15">
      <c r="A3609" t="s">
        <v>3783</v>
      </c>
      <c r="B3609" t="s">
        <v>487</v>
      </c>
      <c r="C3609" s="9">
        <v>19724</v>
      </c>
      <c r="D3609">
        <v>72</v>
      </c>
      <c r="E3609" t="s">
        <v>21</v>
      </c>
      <c r="F3609" t="s">
        <v>22</v>
      </c>
      <c r="G3609" s="9">
        <v>45333</v>
      </c>
      <c r="H3609" s="9">
        <v>45538</v>
      </c>
      <c r="I3609">
        <v>16</v>
      </c>
      <c r="J3609" t="s">
        <v>32</v>
      </c>
      <c r="K3609">
        <v>14</v>
      </c>
      <c r="L3609">
        <v>0</v>
      </c>
      <c r="M3609" s="11">
        <v>28706.3</v>
      </c>
      <c r="N3609" s="12">
        <v>8885.02</v>
      </c>
      <c r="O3609" s="12">
        <v>4926.3900000000003</v>
      </c>
    </row>
    <row r="3610" spans="1:15">
      <c r="A3610" t="s">
        <v>3784</v>
      </c>
      <c r="B3610" t="s">
        <v>48</v>
      </c>
      <c r="C3610" s="9">
        <v>35795</v>
      </c>
      <c r="D3610">
        <v>28</v>
      </c>
      <c r="E3610" t="s">
        <v>17</v>
      </c>
      <c r="F3610" t="s">
        <v>18</v>
      </c>
      <c r="G3610" s="9">
        <v>44952</v>
      </c>
      <c r="H3610" s="9">
        <v>45654</v>
      </c>
      <c r="I3610">
        <v>27</v>
      </c>
      <c r="J3610" t="s">
        <v>32</v>
      </c>
      <c r="K3610">
        <v>0</v>
      </c>
      <c r="L3610">
        <v>0</v>
      </c>
      <c r="M3610" s="11">
        <v>16454.53</v>
      </c>
      <c r="N3610" s="12">
        <v>13474.48</v>
      </c>
      <c r="O3610" s="12">
        <v>8752.82</v>
      </c>
    </row>
    <row r="3611" spans="1:15">
      <c r="A3611" t="s">
        <v>3785</v>
      </c>
      <c r="B3611" t="s">
        <v>170</v>
      </c>
      <c r="C3611" s="9">
        <v>18263</v>
      </c>
      <c r="D3611">
        <v>76</v>
      </c>
      <c r="E3611" t="s">
        <v>21</v>
      </c>
      <c r="F3611" t="s">
        <v>22</v>
      </c>
      <c r="G3611" s="9">
        <v>45163</v>
      </c>
      <c r="H3611" s="9">
        <v>45483</v>
      </c>
      <c r="I3611">
        <v>25</v>
      </c>
      <c r="J3611" t="s">
        <v>26</v>
      </c>
      <c r="K3611">
        <v>6</v>
      </c>
      <c r="L3611">
        <v>9</v>
      </c>
      <c r="M3611" s="11">
        <v>8868.08</v>
      </c>
      <c r="N3611" s="12">
        <v>9825.4500000000007</v>
      </c>
      <c r="O3611" s="12">
        <v>19527.759999999998</v>
      </c>
    </row>
    <row r="3612" spans="1:15">
      <c r="A3612" t="s">
        <v>3786</v>
      </c>
      <c r="B3612" t="s">
        <v>166</v>
      </c>
      <c r="C3612" s="9">
        <v>24838</v>
      </c>
      <c r="D3612">
        <v>58</v>
      </c>
      <c r="E3612" t="s">
        <v>17</v>
      </c>
      <c r="F3612" t="s">
        <v>18</v>
      </c>
      <c r="G3612" s="9">
        <v>45236</v>
      </c>
      <c r="H3612" s="9">
        <v>45038</v>
      </c>
      <c r="I3612">
        <v>29</v>
      </c>
      <c r="J3612" t="s">
        <v>26</v>
      </c>
      <c r="K3612">
        <v>4</v>
      </c>
      <c r="L3612">
        <v>3</v>
      </c>
      <c r="M3612" s="11">
        <v>6799.42</v>
      </c>
      <c r="N3612" s="12">
        <v>252.41</v>
      </c>
      <c r="O3612" s="12">
        <v>10989.88</v>
      </c>
    </row>
    <row r="3613" spans="1:15">
      <c r="A3613" t="s">
        <v>3787</v>
      </c>
      <c r="B3613" t="s">
        <v>774</v>
      </c>
      <c r="C3613" s="9">
        <v>29221</v>
      </c>
      <c r="D3613">
        <v>46</v>
      </c>
      <c r="E3613" t="s">
        <v>21</v>
      </c>
      <c r="F3613" t="s">
        <v>25</v>
      </c>
      <c r="G3613" s="9">
        <v>45610</v>
      </c>
      <c r="H3613" s="9">
        <v>45414</v>
      </c>
      <c r="I3613">
        <v>27</v>
      </c>
      <c r="J3613" t="s">
        <v>35</v>
      </c>
      <c r="K3613">
        <v>12</v>
      </c>
      <c r="L3613">
        <v>9</v>
      </c>
      <c r="M3613" s="11">
        <v>14049.97</v>
      </c>
      <c r="N3613" s="12">
        <v>14499.77</v>
      </c>
      <c r="O3613" s="12">
        <v>1399.94</v>
      </c>
    </row>
    <row r="3614" spans="1:15">
      <c r="A3614" t="s">
        <v>3788</v>
      </c>
      <c r="B3614" t="s">
        <v>681</v>
      </c>
      <c r="C3614" s="9">
        <v>40178</v>
      </c>
      <c r="D3614">
        <v>16</v>
      </c>
      <c r="E3614" t="s">
        <v>21</v>
      </c>
      <c r="F3614" t="s">
        <v>49</v>
      </c>
      <c r="G3614" s="9">
        <v>45159</v>
      </c>
      <c r="H3614" s="9">
        <v>45016</v>
      </c>
      <c r="I3614">
        <v>20</v>
      </c>
      <c r="J3614" t="s">
        <v>32</v>
      </c>
      <c r="K3614">
        <v>2</v>
      </c>
      <c r="L3614">
        <v>2</v>
      </c>
      <c r="M3614" s="11">
        <v>8538.33</v>
      </c>
      <c r="N3614" s="12">
        <v>8896.66</v>
      </c>
      <c r="O3614" s="12">
        <v>17449.95</v>
      </c>
    </row>
    <row r="3615" spans="1:15">
      <c r="A3615" t="s">
        <v>3789</v>
      </c>
      <c r="B3615" t="s">
        <v>226</v>
      </c>
      <c r="C3615" s="9">
        <v>38352</v>
      </c>
      <c r="D3615">
        <v>21</v>
      </c>
      <c r="E3615" t="s">
        <v>21</v>
      </c>
      <c r="F3615" t="s">
        <v>25</v>
      </c>
      <c r="G3615" s="9">
        <v>45475</v>
      </c>
      <c r="H3615" s="9">
        <v>45246</v>
      </c>
      <c r="I3615">
        <v>24</v>
      </c>
      <c r="J3615" t="s">
        <v>32</v>
      </c>
      <c r="K3615">
        <v>5</v>
      </c>
      <c r="L3615">
        <v>0</v>
      </c>
      <c r="M3615" s="11">
        <v>12335.52</v>
      </c>
      <c r="N3615" s="12">
        <v>8938.16</v>
      </c>
      <c r="O3615" s="12">
        <v>6405.71</v>
      </c>
    </row>
    <row r="3616" spans="1:15">
      <c r="A3616" t="s">
        <v>3790</v>
      </c>
      <c r="B3616" t="s">
        <v>226</v>
      </c>
      <c r="C3616" s="9">
        <v>21551</v>
      </c>
      <c r="D3616">
        <v>67</v>
      </c>
      <c r="E3616" t="s">
        <v>17</v>
      </c>
      <c r="F3616" t="s">
        <v>74</v>
      </c>
      <c r="G3616" s="9">
        <v>45191</v>
      </c>
      <c r="H3616" s="9">
        <v>45045</v>
      </c>
      <c r="I3616">
        <v>34</v>
      </c>
      <c r="J3616" t="s">
        <v>32</v>
      </c>
      <c r="K3616">
        <v>4</v>
      </c>
      <c r="L3616">
        <v>2</v>
      </c>
      <c r="M3616" s="11">
        <v>24951.24</v>
      </c>
      <c r="N3616" s="12">
        <v>13638.92</v>
      </c>
      <c r="O3616" s="12">
        <v>11665.6</v>
      </c>
    </row>
    <row r="3617" spans="1:15">
      <c r="A3617" t="s">
        <v>3791</v>
      </c>
      <c r="B3617" t="s">
        <v>348</v>
      </c>
      <c r="C3617" s="9">
        <v>21185</v>
      </c>
      <c r="D3617">
        <v>68</v>
      </c>
      <c r="E3617" t="s">
        <v>17</v>
      </c>
      <c r="F3617" t="s">
        <v>49</v>
      </c>
      <c r="G3617" s="9">
        <v>44939</v>
      </c>
      <c r="H3617" s="9">
        <v>45361</v>
      </c>
      <c r="I3617">
        <v>23</v>
      </c>
      <c r="J3617" t="s">
        <v>35</v>
      </c>
      <c r="K3617">
        <v>7</v>
      </c>
      <c r="L3617">
        <v>0</v>
      </c>
      <c r="M3617" s="11">
        <v>13895.62</v>
      </c>
      <c r="N3617" s="12">
        <v>9957.1299999999992</v>
      </c>
      <c r="O3617" s="12">
        <v>14206.62</v>
      </c>
    </row>
    <row r="3618" spans="1:15">
      <c r="A3618" t="s">
        <v>3792</v>
      </c>
      <c r="B3618" t="s">
        <v>479</v>
      </c>
      <c r="C3618" s="9">
        <v>32873</v>
      </c>
      <c r="D3618">
        <v>36</v>
      </c>
      <c r="E3618" t="s">
        <v>17</v>
      </c>
      <c r="F3618" t="s">
        <v>22</v>
      </c>
      <c r="G3618" s="9">
        <v>45422</v>
      </c>
      <c r="H3618" s="9">
        <v>45166</v>
      </c>
      <c r="I3618">
        <v>0</v>
      </c>
      <c r="J3618" t="s">
        <v>32</v>
      </c>
      <c r="K3618">
        <v>4</v>
      </c>
      <c r="L3618">
        <v>2</v>
      </c>
      <c r="M3618" s="11">
        <v>19046.810000000001</v>
      </c>
      <c r="N3618" s="12">
        <v>7189.82</v>
      </c>
      <c r="O3618" s="12">
        <v>15528.02</v>
      </c>
    </row>
    <row r="3619" spans="1:15">
      <c r="A3619" t="s">
        <v>3793</v>
      </c>
      <c r="B3619" t="s">
        <v>204</v>
      </c>
      <c r="C3619" s="9">
        <v>28490</v>
      </c>
      <c r="D3619">
        <v>48</v>
      </c>
      <c r="E3619" t="s">
        <v>17</v>
      </c>
      <c r="F3619" t="s">
        <v>22</v>
      </c>
      <c r="G3619" s="9">
        <v>45242</v>
      </c>
      <c r="H3619" s="9">
        <v>44999</v>
      </c>
      <c r="I3619">
        <v>28</v>
      </c>
      <c r="J3619" t="s">
        <v>35</v>
      </c>
      <c r="K3619">
        <v>0</v>
      </c>
      <c r="L3619">
        <v>3</v>
      </c>
      <c r="M3619" s="11">
        <v>2248.2600000000002</v>
      </c>
      <c r="N3619" s="12">
        <v>1609.28</v>
      </c>
      <c r="O3619" s="12">
        <v>8593.16</v>
      </c>
    </row>
    <row r="3620" spans="1:15">
      <c r="A3620" t="s">
        <v>3794</v>
      </c>
      <c r="B3620" t="s">
        <v>309</v>
      </c>
      <c r="C3620" s="9">
        <v>41639</v>
      </c>
      <c r="D3620">
        <v>12</v>
      </c>
      <c r="E3620" t="s">
        <v>21</v>
      </c>
      <c r="F3620" t="s">
        <v>22</v>
      </c>
      <c r="G3620" s="9">
        <v>45544</v>
      </c>
      <c r="H3620" s="9">
        <v>45749</v>
      </c>
      <c r="I3620">
        <v>1</v>
      </c>
      <c r="J3620" t="s">
        <v>32</v>
      </c>
      <c r="K3620">
        <v>1</v>
      </c>
      <c r="L3620">
        <v>7</v>
      </c>
      <c r="M3620" s="11">
        <v>22744.880000000001</v>
      </c>
      <c r="N3620" s="12">
        <v>14432.98</v>
      </c>
      <c r="O3620" s="12">
        <v>15439.06</v>
      </c>
    </row>
    <row r="3621" spans="1:15">
      <c r="A3621" t="s">
        <v>3795</v>
      </c>
      <c r="B3621" t="s">
        <v>100</v>
      </c>
      <c r="C3621" s="9">
        <v>33969</v>
      </c>
      <c r="D3621">
        <v>33</v>
      </c>
      <c r="E3621" t="s">
        <v>21</v>
      </c>
      <c r="F3621" t="s">
        <v>22</v>
      </c>
      <c r="G3621" s="9">
        <v>45564</v>
      </c>
      <c r="H3621" s="9">
        <v>45326</v>
      </c>
      <c r="I3621">
        <v>7</v>
      </c>
      <c r="J3621" t="s">
        <v>32</v>
      </c>
      <c r="K3621">
        <v>7</v>
      </c>
      <c r="L3621">
        <v>2</v>
      </c>
      <c r="M3621" s="11">
        <v>14228.58</v>
      </c>
      <c r="N3621" s="12">
        <v>1177.31</v>
      </c>
      <c r="O3621" s="12">
        <v>2249.58</v>
      </c>
    </row>
    <row r="3622" spans="1:15">
      <c r="A3622" t="s">
        <v>3796</v>
      </c>
      <c r="B3622" t="s">
        <v>159</v>
      </c>
      <c r="C3622" s="9">
        <v>14976</v>
      </c>
      <c r="D3622">
        <f ca="1">DATEDIF(C3573,TODAY(),"Y")</f>
        <v>7</v>
      </c>
      <c r="E3622" t="s">
        <v>17</v>
      </c>
      <c r="F3622" t="s">
        <v>22</v>
      </c>
      <c r="G3622" s="9">
        <v>45310</v>
      </c>
      <c r="H3622" s="9">
        <v>45743</v>
      </c>
      <c r="I3622">
        <v>35</v>
      </c>
      <c r="J3622" t="s">
        <v>35</v>
      </c>
      <c r="K3622">
        <v>13</v>
      </c>
      <c r="L3622">
        <v>2</v>
      </c>
      <c r="M3622" s="11">
        <v>10508.75</v>
      </c>
      <c r="N3622" s="12">
        <v>2554.5</v>
      </c>
      <c r="O3622" s="12">
        <v>10465.94</v>
      </c>
    </row>
    <row r="3623" spans="1:15">
      <c r="A3623" t="s">
        <v>3797</v>
      </c>
      <c r="B3623" t="s">
        <v>261</v>
      </c>
      <c r="C3623" s="9">
        <v>27029</v>
      </c>
      <c r="D3623">
        <v>52</v>
      </c>
      <c r="E3623" t="s">
        <v>21</v>
      </c>
      <c r="F3623" t="s">
        <v>25</v>
      </c>
      <c r="G3623" s="9">
        <v>45568</v>
      </c>
      <c r="H3623" s="9">
        <v>45331</v>
      </c>
      <c r="I3623">
        <v>16</v>
      </c>
      <c r="J3623" t="s">
        <v>32</v>
      </c>
      <c r="K3623">
        <v>13</v>
      </c>
      <c r="L3623">
        <v>8</v>
      </c>
      <c r="M3623" s="11">
        <v>18135.18</v>
      </c>
      <c r="N3623" s="12">
        <v>12293.05</v>
      </c>
      <c r="O3623" s="12">
        <v>339.9</v>
      </c>
    </row>
    <row r="3624" spans="1:15">
      <c r="A3624" t="s">
        <v>3798</v>
      </c>
      <c r="B3624" t="s">
        <v>412</v>
      </c>
      <c r="C3624" s="9">
        <v>14611</v>
      </c>
      <c r="D3624">
        <v>86</v>
      </c>
      <c r="E3624" t="s">
        <v>5185</v>
      </c>
      <c r="F3624" t="s">
        <v>5184</v>
      </c>
      <c r="G3624" s="9">
        <v>45242</v>
      </c>
      <c r="H3624" s="9">
        <v>45602</v>
      </c>
      <c r="I3624">
        <v>28</v>
      </c>
      <c r="J3624" t="s">
        <v>35</v>
      </c>
      <c r="K3624">
        <v>5</v>
      </c>
      <c r="L3624">
        <v>8</v>
      </c>
      <c r="M3624" s="11">
        <v>0</v>
      </c>
      <c r="N3624" s="12">
        <v>7356.08</v>
      </c>
      <c r="O3624" s="12">
        <v>8066.05</v>
      </c>
    </row>
    <row r="3625" spans="1:15">
      <c r="A3625" t="s">
        <v>3799</v>
      </c>
      <c r="B3625" t="s">
        <v>105</v>
      </c>
      <c r="C3625" s="9">
        <v>27760</v>
      </c>
      <c r="D3625">
        <v>50</v>
      </c>
      <c r="E3625" t="s">
        <v>17</v>
      </c>
      <c r="F3625" t="s">
        <v>18</v>
      </c>
      <c r="G3625" s="9">
        <v>45182</v>
      </c>
      <c r="H3625" s="9">
        <v>45178</v>
      </c>
      <c r="I3625">
        <v>26</v>
      </c>
      <c r="J3625" t="s">
        <v>26</v>
      </c>
      <c r="K3625">
        <v>4</v>
      </c>
      <c r="L3625">
        <v>5</v>
      </c>
      <c r="M3625" s="11">
        <v>12126.96</v>
      </c>
      <c r="N3625" s="12">
        <v>2674.03</v>
      </c>
      <c r="O3625" s="12">
        <v>7231.8</v>
      </c>
    </row>
    <row r="3626" spans="1:15">
      <c r="A3626" t="s">
        <v>3800</v>
      </c>
      <c r="B3626" t="s">
        <v>578</v>
      </c>
      <c r="C3626" s="9">
        <v>45292</v>
      </c>
      <c r="D3626">
        <v>2</v>
      </c>
      <c r="E3626" t="s">
        <v>21</v>
      </c>
      <c r="F3626" t="s">
        <v>5184</v>
      </c>
      <c r="G3626" s="9">
        <v>45367</v>
      </c>
      <c r="H3626" s="9">
        <v>45796</v>
      </c>
      <c r="I3626">
        <v>22</v>
      </c>
      <c r="J3626" t="s">
        <v>32</v>
      </c>
      <c r="K3626">
        <v>11</v>
      </c>
      <c r="L3626">
        <v>9</v>
      </c>
      <c r="M3626" s="11">
        <v>24234.66</v>
      </c>
      <c r="N3626" s="12">
        <v>4292.43</v>
      </c>
      <c r="O3626" s="12">
        <v>19560.47</v>
      </c>
    </row>
    <row r="3627" spans="1:15">
      <c r="A3627" t="s">
        <v>3801</v>
      </c>
      <c r="B3627" t="s">
        <v>286</v>
      </c>
      <c r="C3627" s="9">
        <v>31047</v>
      </c>
      <c r="D3627">
        <v>41</v>
      </c>
      <c r="E3627" t="s">
        <v>21</v>
      </c>
      <c r="F3627" t="s">
        <v>25</v>
      </c>
      <c r="G3627" s="9">
        <v>45041</v>
      </c>
      <c r="H3627" s="9">
        <v>45122</v>
      </c>
      <c r="I3627">
        <v>29</v>
      </c>
      <c r="J3627" t="s">
        <v>26</v>
      </c>
      <c r="K3627">
        <v>3</v>
      </c>
      <c r="L3627">
        <v>3</v>
      </c>
      <c r="M3627" s="11">
        <v>7492.95</v>
      </c>
      <c r="N3627" s="12">
        <v>14910.22</v>
      </c>
      <c r="O3627" s="12">
        <v>7896.76</v>
      </c>
    </row>
    <row r="3628" spans="1:15">
      <c r="A3628" t="s">
        <v>3802</v>
      </c>
      <c r="B3628" t="s">
        <v>204</v>
      </c>
      <c r="C3628" s="9">
        <v>34700</v>
      </c>
      <c r="D3628">
        <v>31</v>
      </c>
      <c r="E3628" t="s">
        <v>17</v>
      </c>
      <c r="F3628" t="s">
        <v>29</v>
      </c>
      <c r="G3628" s="9">
        <v>45225</v>
      </c>
      <c r="H3628" s="9">
        <v>45499</v>
      </c>
      <c r="I3628">
        <v>14</v>
      </c>
      <c r="J3628" t="s">
        <v>35</v>
      </c>
      <c r="K3628">
        <v>1</v>
      </c>
      <c r="L3628">
        <v>9</v>
      </c>
      <c r="M3628" s="11">
        <v>27379.93</v>
      </c>
      <c r="N3628" s="12">
        <v>8760.2999999999993</v>
      </c>
      <c r="O3628" s="12">
        <v>18132.55</v>
      </c>
    </row>
    <row r="3629" spans="1:15">
      <c r="A3629" t="s">
        <v>3803</v>
      </c>
      <c r="B3629" t="s">
        <v>619</v>
      </c>
      <c r="C3629" s="9">
        <v>27760</v>
      </c>
      <c r="D3629">
        <v>50</v>
      </c>
      <c r="E3629" t="s">
        <v>21</v>
      </c>
      <c r="F3629" t="s">
        <v>5184</v>
      </c>
      <c r="G3629" s="9">
        <v>45050</v>
      </c>
      <c r="H3629" s="9">
        <v>45537</v>
      </c>
      <c r="I3629">
        <v>20</v>
      </c>
      <c r="J3629" t="s">
        <v>32</v>
      </c>
      <c r="K3629">
        <v>2</v>
      </c>
      <c r="L3629">
        <v>4</v>
      </c>
      <c r="M3629" s="11">
        <v>17911.13</v>
      </c>
      <c r="N3629" s="12">
        <v>6024.2</v>
      </c>
      <c r="O3629" s="12">
        <v>8649.5300000000007</v>
      </c>
    </row>
    <row r="3630" spans="1:15">
      <c r="A3630" t="s">
        <v>3804</v>
      </c>
      <c r="B3630" t="s">
        <v>67</v>
      </c>
      <c r="C3630" s="9">
        <v>15341</v>
      </c>
      <c r="D3630">
        <v>84</v>
      </c>
      <c r="E3630" t="s">
        <v>21</v>
      </c>
      <c r="F3630" t="s">
        <v>25</v>
      </c>
      <c r="G3630" s="9">
        <v>45182</v>
      </c>
      <c r="H3630" s="9">
        <v>45795</v>
      </c>
      <c r="I3630">
        <v>15</v>
      </c>
      <c r="J3630" t="s">
        <v>35</v>
      </c>
      <c r="K3630">
        <v>1</v>
      </c>
      <c r="L3630">
        <v>8</v>
      </c>
      <c r="M3630" s="11">
        <v>15993.9</v>
      </c>
      <c r="N3630" s="12">
        <v>13143.26</v>
      </c>
      <c r="O3630" s="12">
        <v>10621.09</v>
      </c>
    </row>
    <row r="3631" spans="1:15">
      <c r="A3631" t="s">
        <v>3805</v>
      </c>
      <c r="B3631" t="s">
        <v>300</v>
      </c>
      <c r="C3631" s="9">
        <v>29586</v>
      </c>
      <c r="D3631">
        <v>45</v>
      </c>
      <c r="E3631" t="s">
        <v>21</v>
      </c>
      <c r="F3631" t="s">
        <v>49</v>
      </c>
      <c r="G3631" s="9">
        <v>45577</v>
      </c>
      <c r="H3631" s="9">
        <v>45794</v>
      </c>
      <c r="I3631">
        <v>8</v>
      </c>
      <c r="J3631" t="s">
        <v>35</v>
      </c>
      <c r="K3631">
        <v>3</v>
      </c>
      <c r="L3631">
        <v>0</v>
      </c>
      <c r="M3631" s="11">
        <v>11686.92</v>
      </c>
      <c r="N3631" s="12">
        <v>7195.45</v>
      </c>
      <c r="O3631" s="12">
        <v>6949.39</v>
      </c>
    </row>
    <row r="3632" spans="1:15">
      <c r="A3632" t="s">
        <v>3806</v>
      </c>
      <c r="B3632" t="s">
        <v>444</v>
      </c>
      <c r="C3632" s="9">
        <v>38717</v>
      </c>
      <c r="D3632">
        <v>20</v>
      </c>
      <c r="E3632" t="s">
        <v>17</v>
      </c>
      <c r="F3632" t="s">
        <v>22</v>
      </c>
      <c r="G3632" s="9">
        <v>45644</v>
      </c>
      <c r="H3632" s="9">
        <v>45512</v>
      </c>
      <c r="I3632">
        <v>17</v>
      </c>
      <c r="J3632" t="s">
        <v>26</v>
      </c>
      <c r="K3632">
        <v>5</v>
      </c>
      <c r="L3632">
        <v>6</v>
      </c>
      <c r="M3632" s="11">
        <v>22130.98</v>
      </c>
      <c r="N3632" s="12">
        <v>4619.03</v>
      </c>
      <c r="O3632" s="12">
        <v>12764.31</v>
      </c>
    </row>
    <row r="3633" spans="1:15">
      <c r="A3633" t="s">
        <v>3807</v>
      </c>
      <c r="B3633" t="s">
        <v>166</v>
      </c>
      <c r="C3633" s="9">
        <v>30317</v>
      </c>
      <c r="D3633">
        <v>43</v>
      </c>
      <c r="E3633" t="s">
        <v>17</v>
      </c>
      <c r="F3633" t="s">
        <v>25</v>
      </c>
      <c r="G3633" s="9">
        <v>44973</v>
      </c>
      <c r="H3633" s="9">
        <v>45149</v>
      </c>
      <c r="I3633">
        <v>10</v>
      </c>
      <c r="J3633" t="s">
        <v>32</v>
      </c>
      <c r="K3633">
        <v>0</v>
      </c>
      <c r="L3633">
        <v>6</v>
      </c>
      <c r="M3633" s="11">
        <v>16716.259999999998</v>
      </c>
      <c r="N3633" s="12">
        <v>2463.34</v>
      </c>
      <c r="O3633" s="12">
        <v>14756.32</v>
      </c>
    </row>
    <row r="3634" spans="1:15">
      <c r="A3634" t="s">
        <v>3808</v>
      </c>
      <c r="B3634" t="s">
        <v>166</v>
      </c>
      <c r="C3634" s="9">
        <v>42370</v>
      </c>
      <c r="D3634">
        <v>10</v>
      </c>
      <c r="E3634" t="s">
        <v>21</v>
      </c>
      <c r="F3634" t="s">
        <v>5184</v>
      </c>
      <c r="G3634" s="9">
        <v>45655</v>
      </c>
      <c r="H3634" s="9">
        <v>45558</v>
      </c>
      <c r="I3634">
        <v>21</v>
      </c>
      <c r="J3634" t="s">
        <v>32</v>
      </c>
      <c r="K3634">
        <v>9</v>
      </c>
      <c r="L3634">
        <v>9</v>
      </c>
      <c r="M3634" s="11">
        <v>23794.54</v>
      </c>
      <c r="N3634" s="12">
        <v>11167.04</v>
      </c>
      <c r="O3634" s="12">
        <v>15800.31</v>
      </c>
    </row>
    <row r="3635" spans="1:15">
      <c r="A3635" t="s">
        <v>3809</v>
      </c>
      <c r="B3635" t="s">
        <v>168</v>
      </c>
      <c r="C3635" s="9">
        <v>21551</v>
      </c>
      <c r="D3635">
        <v>67</v>
      </c>
      <c r="E3635" t="s">
        <v>21</v>
      </c>
      <c r="F3635" t="s">
        <v>18</v>
      </c>
      <c r="G3635" s="9">
        <v>45389</v>
      </c>
      <c r="H3635" s="9">
        <v>45109</v>
      </c>
      <c r="I3635">
        <v>17</v>
      </c>
      <c r="J3635" t="s">
        <v>35</v>
      </c>
      <c r="K3635">
        <v>10</v>
      </c>
      <c r="L3635">
        <v>0</v>
      </c>
      <c r="M3635" s="11">
        <v>9616.2099999999991</v>
      </c>
      <c r="N3635" s="12">
        <v>8943.35</v>
      </c>
      <c r="O3635" s="12">
        <v>13848.18</v>
      </c>
    </row>
    <row r="3636" spans="1:15">
      <c r="A3636" t="s">
        <v>3810</v>
      </c>
      <c r="B3636" t="s">
        <v>196</v>
      </c>
      <c r="C3636" s="9">
        <v>46022</v>
      </c>
      <c r="D3636">
        <v>0</v>
      </c>
      <c r="E3636" t="s">
        <v>21</v>
      </c>
      <c r="F3636" t="s">
        <v>5184</v>
      </c>
      <c r="G3636" s="9">
        <v>45276</v>
      </c>
      <c r="H3636" s="9">
        <v>45823</v>
      </c>
      <c r="I3636">
        <v>39</v>
      </c>
      <c r="J3636" t="s">
        <v>26</v>
      </c>
      <c r="K3636">
        <v>6</v>
      </c>
      <c r="L3636">
        <v>0</v>
      </c>
      <c r="M3636" s="11">
        <v>20911.439999999999</v>
      </c>
      <c r="N3636" s="12">
        <v>1385.31</v>
      </c>
      <c r="O3636" s="12">
        <v>6531.95</v>
      </c>
    </row>
    <row r="3637" spans="1:15">
      <c r="A3637" t="s">
        <v>3811</v>
      </c>
      <c r="B3637" t="s">
        <v>654</v>
      </c>
      <c r="C3637" s="9">
        <v>12785</v>
      </c>
      <c r="D3637">
        <v>91</v>
      </c>
      <c r="E3637" t="s">
        <v>17</v>
      </c>
      <c r="F3637" t="s">
        <v>22</v>
      </c>
      <c r="G3637" s="9">
        <v>45049</v>
      </c>
      <c r="H3637" s="9">
        <v>45657</v>
      </c>
      <c r="I3637">
        <v>25</v>
      </c>
      <c r="J3637" t="s">
        <v>32</v>
      </c>
      <c r="K3637">
        <v>13</v>
      </c>
      <c r="L3637">
        <v>8</v>
      </c>
      <c r="M3637" s="11">
        <v>28275</v>
      </c>
      <c r="N3637" s="12">
        <v>8874.6</v>
      </c>
      <c r="O3637" s="12">
        <v>6544.98</v>
      </c>
    </row>
    <row r="3638" spans="1:15">
      <c r="A3638" t="s">
        <v>3812</v>
      </c>
      <c r="B3638" t="s">
        <v>71</v>
      </c>
      <c r="C3638" s="9">
        <v>23377</v>
      </c>
      <c r="D3638">
        <v>62</v>
      </c>
      <c r="E3638" t="s">
        <v>21</v>
      </c>
      <c r="F3638" t="s">
        <v>5184</v>
      </c>
      <c r="G3638" s="9">
        <v>44957</v>
      </c>
      <c r="H3638" s="9">
        <v>45183</v>
      </c>
      <c r="I3638">
        <v>32</v>
      </c>
      <c r="J3638" t="s">
        <v>26</v>
      </c>
      <c r="K3638">
        <v>10</v>
      </c>
      <c r="L3638">
        <v>6</v>
      </c>
      <c r="M3638" s="11">
        <v>8037.52</v>
      </c>
      <c r="N3638" s="12">
        <v>2391.7600000000002</v>
      </c>
      <c r="O3638" s="12">
        <v>6892.95</v>
      </c>
    </row>
    <row r="3639" spans="1:15">
      <c r="A3639" t="s">
        <v>3813</v>
      </c>
      <c r="B3639" t="s">
        <v>192</v>
      </c>
      <c r="C3639" s="9">
        <v>37622</v>
      </c>
      <c r="D3639">
        <v>23</v>
      </c>
      <c r="E3639" t="s">
        <v>21</v>
      </c>
      <c r="F3639" t="s">
        <v>74</v>
      </c>
      <c r="G3639" s="9">
        <v>44981</v>
      </c>
      <c r="H3639" s="9">
        <v>45015</v>
      </c>
      <c r="I3639">
        <v>18</v>
      </c>
      <c r="J3639" t="s">
        <v>26</v>
      </c>
      <c r="K3639">
        <v>8</v>
      </c>
      <c r="L3639">
        <v>3</v>
      </c>
      <c r="M3639" s="11">
        <v>29420.55</v>
      </c>
      <c r="N3639" s="12">
        <v>14725.8</v>
      </c>
      <c r="O3639" s="12">
        <v>660.41</v>
      </c>
    </row>
    <row r="3640" spans="1:15">
      <c r="A3640" t="s">
        <v>3814</v>
      </c>
      <c r="B3640" t="s">
        <v>119</v>
      </c>
      <c r="C3640" s="9">
        <v>41639</v>
      </c>
      <c r="D3640">
        <v>12</v>
      </c>
      <c r="E3640" t="s">
        <v>17</v>
      </c>
      <c r="F3640" t="s">
        <v>29</v>
      </c>
      <c r="G3640" s="9">
        <v>45079</v>
      </c>
      <c r="H3640" s="9">
        <v>45800</v>
      </c>
      <c r="I3640">
        <v>3</v>
      </c>
      <c r="J3640" t="s">
        <v>26</v>
      </c>
      <c r="K3640">
        <v>4</v>
      </c>
      <c r="L3640">
        <v>8</v>
      </c>
      <c r="M3640" s="11">
        <v>12021.08</v>
      </c>
      <c r="N3640" s="12">
        <v>3895.64</v>
      </c>
      <c r="O3640" s="12">
        <v>18855.34</v>
      </c>
    </row>
    <row r="3641" spans="1:15">
      <c r="A3641" t="s">
        <v>3815</v>
      </c>
      <c r="B3641" t="s">
        <v>133</v>
      </c>
      <c r="C3641" s="9">
        <v>42370</v>
      </c>
      <c r="D3641">
        <v>10</v>
      </c>
      <c r="E3641" t="s">
        <v>17</v>
      </c>
      <c r="F3641" t="s">
        <v>49</v>
      </c>
      <c r="G3641" s="9">
        <v>45382</v>
      </c>
      <c r="H3641" s="9">
        <v>45714</v>
      </c>
      <c r="I3641">
        <v>4</v>
      </c>
      <c r="J3641" t="s">
        <v>35</v>
      </c>
      <c r="K3641">
        <v>8</v>
      </c>
      <c r="L3641">
        <v>4</v>
      </c>
      <c r="M3641" s="11">
        <v>675.24</v>
      </c>
      <c r="N3641" s="12">
        <v>10440.24</v>
      </c>
      <c r="O3641" s="12">
        <v>3834.08</v>
      </c>
    </row>
    <row r="3642" spans="1:15">
      <c r="A3642" t="s">
        <v>3816</v>
      </c>
      <c r="B3642" t="s">
        <v>55</v>
      </c>
      <c r="C3642" s="9">
        <v>27760</v>
      </c>
      <c r="D3642">
        <v>50</v>
      </c>
      <c r="E3642" t="s">
        <v>5185</v>
      </c>
      <c r="F3642" t="s">
        <v>18</v>
      </c>
      <c r="G3642" s="9">
        <v>45212</v>
      </c>
      <c r="H3642" s="9">
        <v>45419</v>
      </c>
      <c r="I3642">
        <v>26</v>
      </c>
      <c r="J3642" t="s">
        <v>32</v>
      </c>
      <c r="K3642">
        <v>14</v>
      </c>
      <c r="L3642">
        <v>2</v>
      </c>
      <c r="M3642" s="11">
        <v>10409.89</v>
      </c>
      <c r="N3642" s="12">
        <v>9840.68</v>
      </c>
      <c r="O3642" s="12">
        <v>3100.1</v>
      </c>
    </row>
    <row r="3643" spans="1:15">
      <c r="A3643" t="s">
        <v>3817</v>
      </c>
      <c r="B3643" t="s">
        <v>48</v>
      </c>
      <c r="C3643" s="9">
        <v>40178</v>
      </c>
      <c r="D3643">
        <v>16</v>
      </c>
      <c r="E3643" t="s">
        <v>17</v>
      </c>
      <c r="F3643" t="s">
        <v>29</v>
      </c>
      <c r="G3643" s="9">
        <v>44962</v>
      </c>
      <c r="H3643" s="9">
        <v>45263</v>
      </c>
      <c r="I3643">
        <v>20</v>
      </c>
      <c r="J3643" t="s">
        <v>35</v>
      </c>
      <c r="K3643">
        <v>12</v>
      </c>
      <c r="L3643">
        <v>1</v>
      </c>
      <c r="M3643" s="11">
        <v>4064.09</v>
      </c>
      <c r="N3643" s="12">
        <v>10370.27</v>
      </c>
      <c r="O3643" s="12">
        <v>11002.32</v>
      </c>
    </row>
    <row r="3644" spans="1:15">
      <c r="A3644" t="s">
        <v>3818</v>
      </c>
      <c r="B3644" t="s">
        <v>209</v>
      </c>
      <c r="C3644" s="9">
        <v>16437</v>
      </c>
      <c r="D3644">
        <v>81</v>
      </c>
      <c r="E3644" t="s">
        <v>21</v>
      </c>
      <c r="F3644" t="s">
        <v>25</v>
      </c>
      <c r="G3644" s="9">
        <v>45182</v>
      </c>
      <c r="H3644" s="9">
        <v>45465</v>
      </c>
      <c r="I3644">
        <v>2</v>
      </c>
      <c r="J3644" t="s">
        <v>35</v>
      </c>
      <c r="K3644">
        <v>1</v>
      </c>
      <c r="L3644">
        <v>8</v>
      </c>
      <c r="M3644" s="11">
        <v>8780.7000000000007</v>
      </c>
      <c r="N3644" s="12">
        <v>6449.92</v>
      </c>
      <c r="O3644" s="12">
        <v>853.05</v>
      </c>
    </row>
    <row r="3645" spans="1:15">
      <c r="A3645" t="s">
        <v>3819</v>
      </c>
      <c r="B3645" t="s">
        <v>105</v>
      </c>
      <c r="C3645" s="9">
        <v>14976</v>
      </c>
      <c r="D3645">
        <v>85</v>
      </c>
      <c r="E3645" t="s">
        <v>21</v>
      </c>
      <c r="F3645" t="s">
        <v>29</v>
      </c>
      <c r="G3645" s="9">
        <v>45104</v>
      </c>
      <c r="H3645" s="9">
        <v>45334</v>
      </c>
      <c r="I3645">
        <v>19</v>
      </c>
      <c r="J3645" t="s">
        <v>32</v>
      </c>
      <c r="K3645">
        <v>0</v>
      </c>
      <c r="L3645">
        <v>3</v>
      </c>
      <c r="M3645" s="11">
        <v>2427.0700000000002</v>
      </c>
      <c r="N3645" s="12">
        <v>1114.98</v>
      </c>
      <c r="O3645" s="12">
        <v>16740.650000000001</v>
      </c>
    </row>
    <row r="3646" spans="1:15">
      <c r="A3646" t="s">
        <v>3820</v>
      </c>
      <c r="B3646" t="s">
        <v>41</v>
      </c>
      <c r="C3646" s="9">
        <v>37622</v>
      </c>
      <c r="D3646">
        <v>23</v>
      </c>
      <c r="E3646" t="s">
        <v>21</v>
      </c>
      <c r="F3646" t="s">
        <v>22</v>
      </c>
      <c r="G3646" s="9">
        <v>45474</v>
      </c>
      <c r="H3646" s="9">
        <v>45560</v>
      </c>
      <c r="I3646">
        <v>6</v>
      </c>
      <c r="J3646" t="s">
        <v>32</v>
      </c>
      <c r="K3646">
        <v>6</v>
      </c>
      <c r="L3646">
        <v>6</v>
      </c>
      <c r="M3646" s="11">
        <v>4935.21</v>
      </c>
      <c r="N3646" s="12">
        <v>14700.11</v>
      </c>
      <c r="O3646" s="12">
        <v>17511.63</v>
      </c>
    </row>
    <row r="3647" spans="1:15">
      <c r="A3647" t="s">
        <v>3821</v>
      </c>
      <c r="B3647" t="s">
        <v>87</v>
      </c>
      <c r="C3647" s="9">
        <v>39448</v>
      </c>
      <c r="D3647">
        <v>18</v>
      </c>
      <c r="E3647" t="s">
        <v>21</v>
      </c>
      <c r="F3647" t="s">
        <v>22</v>
      </c>
      <c r="G3647" s="9">
        <v>45180</v>
      </c>
      <c r="H3647" s="9">
        <v>45216</v>
      </c>
      <c r="I3647">
        <v>29</v>
      </c>
      <c r="J3647" t="s">
        <v>32</v>
      </c>
      <c r="K3647">
        <v>11</v>
      </c>
      <c r="L3647">
        <v>0</v>
      </c>
      <c r="M3647" s="11">
        <v>3364.32</v>
      </c>
      <c r="N3647" s="12">
        <v>2872.89</v>
      </c>
      <c r="O3647" s="12">
        <v>7895.98</v>
      </c>
    </row>
    <row r="3648" spans="1:15">
      <c r="A3648" t="s">
        <v>3822</v>
      </c>
      <c r="B3648" t="s">
        <v>65</v>
      </c>
      <c r="C3648" s="9">
        <v>32873</v>
      </c>
      <c r="D3648">
        <v>36</v>
      </c>
      <c r="E3648" t="s">
        <v>17</v>
      </c>
      <c r="F3648" t="s">
        <v>74</v>
      </c>
      <c r="G3648" s="9">
        <v>45434</v>
      </c>
      <c r="H3648" s="9">
        <v>45289</v>
      </c>
      <c r="I3648">
        <v>7</v>
      </c>
      <c r="J3648" t="s">
        <v>26</v>
      </c>
      <c r="K3648">
        <v>2</v>
      </c>
      <c r="L3648">
        <v>8</v>
      </c>
      <c r="M3648" s="11">
        <v>826.03</v>
      </c>
      <c r="N3648" s="12">
        <v>11545.8</v>
      </c>
      <c r="O3648" s="12">
        <v>19425.52</v>
      </c>
    </row>
    <row r="3649" spans="1:15">
      <c r="A3649" t="s">
        <v>3823</v>
      </c>
      <c r="B3649" t="s">
        <v>82</v>
      </c>
      <c r="C3649" s="9">
        <v>15341</v>
      </c>
      <c r="D3649">
        <v>84</v>
      </c>
      <c r="E3649" t="s">
        <v>17</v>
      </c>
      <c r="F3649" t="s">
        <v>29</v>
      </c>
      <c r="G3649" s="9">
        <v>45600</v>
      </c>
      <c r="H3649" s="9">
        <v>45368</v>
      </c>
      <c r="I3649">
        <v>25</v>
      </c>
      <c r="J3649" t="s">
        <v>32</v>
      </c>
      <c r="K3649">
        <v>5</v>
      </c>
      <c r="L3649">
        <v>8</v>
      </c>
      <c r="M3649" s="11">
        <v>8533.68</v>
      </c>
      <c r="N3649" s="12">
        <v>2063.6</v>
      </c>
      <c r="O3649" s="12">
        <v>6417.57</v>
      </c>
    </row>
    <row r="3650" spans="1:15">
      <c r="A3650" t="s">
        <v>3824</v>
      </c>
      <c r="B3650" t="s">
        <v>108</v>
      </c>
      <c r="C3650" s="9">
        <v>43466</v>
      </c>
      <c r="D3650">
        <v>7</v>
      </c>
      <c r="E3650" t="s">
        <v>17</v>
      </c>
      <c r="F3650" t="s">
        <v>5184</v>
      </c>
      <c r="G3650" s="9">
        <v>44947</v>
      </c>
      <c r="H3650" s="9">
        <v>44957</v>
      </c>
      <c r="I3650">
        <v>8</v>
      </c>
      <c r="J3650" t="s">
        <v>32</v>
      </c>
      <c r="K3650">
        <v>5</v>
      </c>
      <c r="L3650">
        <v>9</v>
      </c>
      <c r="M3650" s="11">
        <v>28199.279999999999</v>
      </c>
      <c r="N3650" s="12">
        <v>4217.96</v>
      </c>
      <c r="O3650" s="12">
        <v>5130.75</v>
      </c>
    </row>
    <row r="3651" spans="1:15">
      <c r="A3651" t="s">
        <v>3825</v>
      </c>
      <c r="B3651" t="s">
        <v>309</v>
      </c>
      <c r="C3651" s="9">
        <v>36161</v>
      </c>
      <c r="D3651">
        <f ca="1">DATEDIF(C3602,TODAY(),"Y")</f>
        <v>36</v>
      </c>
      <c r="E3651" t="s">
        <v>21</v>
      </c>
      <c r="F3651" t="s">
        <v>29</v>
      </c>
      <c r="G3651" s="9">
        <v>45001</v>
      </c>
      <c r="H3651" s="9">
        <v>45641</v>
      </c>
      <c r="I3651">
        <v>4</v>
      </c>
      <c r="J3651" t="s">
        <v>35</v>
      </c>
      <c r="K3651">
        <v>14</v>
      </c>
      <c r="L3651">
        <v>5</v>
      </c>
      <c r="M3651" s="11">
        <v>28456.49</v>
      </c>
      <c r="N3651" s="12">
        <v>8398.2999999999993</v>
      </c>
      <c r="O3651" s="12">
        <v>19792.75</v>
      </c>
    </row>
    <row r="3652" spans="1:15">
      <c r="A3652" t="s">
        <v>3826</v>
      </c>
      <c r="B3652" t="s">
        <v>28</v>
      </c>
      <c r="C3652" s="9">
        <v>44561</v>
      </c>
      <c r="D3652">
        <v>4</v>
      </c>
      <c r="E3652" t="s">
        <v>17</v>
      </c>
      <c r="F3652" t="s">
        <v>22</v>
      </c>
      <c r="G3652" s="9">
        <v>45645</v>
      </c>
      <c r="H3652" s="9">
        <v>45821</v>
      </c>
      <c r="I3652">
        <v>27</v>
      </c>
      <c r="J3652" t="s">
        <v>26</v>
      </c>
      <c r="K3652">
        <v>12</v>
      </c>
      <c r="L3652">
        <v>5</v>
      </c>
      <c r="M3652" s="11">
        <v>0</v>
      </c>
      <c r="N3652" s="12">
        <v>6202.04</v>
      </c>
      <c r="O3652" s="12">
        <v>4931.13</v>
      </c>
    </row>
    <row r="3653" spans="1:15">
      <c r="A3653" t="s">
        <v>3827</v>
      </c>
      <c r="B3653" t="s">
        <v>163</v>
      </c>
      <c r="C3653" s="9">
        <v>40178</v>
      </c>
      <c r="D3653">
        <v>16</v>
      </c>
      <c r="E3653" t="s">
        <v>17</v>
      </c>
      <c r="F3653" t="s">
        <v>25</v>
      </c>
      <c r="G3653" s="9">
        <v>45386</v>
      </c>
      <c r="H3653" s="9">
        <v>45475</v>
      </c>
      <c r="I3653">
        <v>35</v>
      </c>
      <c r="J3653" t="s">
        <v>35</v>
      </c>
      <c r="K3653">
        <v>8</v>
      </c>
      <c r="L3653">
        <v>5</v>
      </c>
      <c r="M3653" s="11">
        <v>0</v>
      </c>
      <c r="N3653" s="12">
        <v>14374</v>
      </c>
      <c r="O3653" s="12">
        <v>8829.4699999999993</v>
      </c>
    </row>
    <row r="3654" spans="1:15">
      <c r="A3654" t="s">
        <v>3828</v>
      </c>
      <c r="B3654" t="s">
        <v>137</v>
      </c>
      <c r="C3654" s="9">
        <v>33239</v>
      </c>
      <c r="D3654">
        <v>35</v>
      </c>
      <c r="E3654" t="s">
        <v>21</v>
      </c>
      <c r="F3654" t="s">
        <v>25</v>
      </c>
      <c r="G3654" s="9">
        <v>45104</v>
      </c>
      <c r="H3654" s="9">
        <v>45564</v>
      </c>
      <c r="I3654">
        <v>31</v>
      </c>
      <c r="J3654" t="s">
        <v>32</v>
      </c>
      <c r="K3654">
        <v>7</v>
      </c>
      <c r="L3654">
        <v>4</v>
      </c>
      <c r="M3654" s="11">
        <v>357.77</v>
      </c>
      <c r="N3654" s="12">
        <v>12715.28</v>
      </c>
      <c r="O3654" s="12">
        <v>12198.55</v>
      </c>
    </row>
    <row r="3655" spans="1:15">
      <c r="A3655" t="s">
        <v>3829</v>
      </c>
      <c r="B3655" t="s">
        <v>125</v>
      </c>
      <c r="C3655" s="9">
        <f>DATE(2026-D3615,1,1)</f>
        <v>38353</v>
      </c>
      <c r="D3655">
        <v>18</v>
      </c>
      <c r="E3655" t="s">
        <v>17</v>
      </c>
      <c r="F3655" t="s">
        <v>49</v>
      </c>
      <c r="G3655" s="9">
        <v>45308</v>
      </c>
      <c r="H3655" s="9">
        <v>45150</v>
      </c>
      <c r="I3655">
        <v>25</v>
      </c>
      <c r="J3655" t="s">
        <v>26</v>
      </c>
      <c r="K3655">
        <v>8</v>
      </c>
      <c r="L3655">
        <v>0</v>
      </c>
      <c r="M3655" s="11">
        <v>184.1</v>
      </c>
      <c r="N3655" s="12">
        <v>13826.86</v>
      </c>
      <c r="O3655" s="12">
        <v>6382.86</v>
      </c>
    </row>
    <row r="3656" spans="1:15">
      <c r="A3656" t="s">
        <v>3830</v>
      </c>
      <c r="B3656" t="s">
        <v>289</v>
      </c>
      <c r="C3656" s="9">
        <v>23012</v>
      </c>
      <c r="D3656">
        <v>63</v>
      </c>
      <c r="E3656" t="s">
        <v>21</v>
      </c>
      <c r="F3656" t="s">
        <v>5184</v>
      </c>
      <c r="G3656" s="9">
        <v>44963</v>
      </c>
      <c r="H3656" s="9">
        <v>45674</v>
      </c>
      <c r="I3656">
        <v>29</v>
      </c>
      <c r="J3656" t="s">
        <v>35</v>
      </c>
      <c r="K3656">
        <v>13</v>
      </c>
      <c r="L3656">
        <v>3</v>
      </c>
      <c r="M3656" s="11">
        <v>10682.52</v>
      </c>
      <c r="N3656" s="12">
        <v>9610.4500000000007</v>
      </c>
      <c r="O3656" s="12">
        <v>7622.76</v>
      </c>
    </row>
    <row r="3657" spans="1:15">
      <c r="A3657" t="s">
        <v>3831</v>
      </c>
      <c r="B3657" t="s">
        <v>211</v>
      </c>
      <c r="C3657" s="9">
        <v>13150</v>
      </c>
      <c r="D3657">
        <v>90</v>
      </c>
      <c r="E3657" t="s">
        <v>21</v>
      </c>
      <c r="F3657" t="s">
        <v>5184</v>
      </c>
      <c r="G3657" s="9">
        <v>45046</v>
      </c>
      <c r="H3657" s="9">
        <v>45051</v>
      </c>
      <c r="I3657">
        <v>13</v>
      </c>
      <c r="J3657" t="s">
        <v>35</v>
      </c>
      <c r="K3657">
        <v>12</v>
      </c>
      <c r="L3657">
        <v>9</v>
      </c>
      <c r="M3657" s="11">
        <v>29397.87</v>
      </c>
      <c r="N3657" s="12">
        <v>3283.74</v>
      </c>
      <c r="O3657" s="12">
        <v>14387.26</v>
      </c>
    </row>
    <row r="3658" spans="1:15">
      <c r="A3658" t="s">
        <v>3832</v>
      </c>
      <c r="B3658" t="s">
        <v>292</v>
      </c>
      <c r="C3658" s="9">
        <v>42370</v>
      </c>
      <c r="D3658">
        <v>10</v>
      </c>
      <c r="E3658" t="s">
        <v>17</v>
      </c>
      <c r="F3658" t="s">
        <v>25</v>
      </c>
      <c r="G3658" s="9">
        <v>45556</v>
      </c>
      <c r="H3658" s="9">
        <v>45610</v>
      </c>
      <c r="I3658">
        <v>36</v>
      </c>
      <c r="J3658" t="s">
        <v>35</v>
      </c>
      <c r="K3658">
        <v>6</v>
      </c>
      <c r="L3658">
        <v>0</v>
      </c>
      <c r="M3658" s="11">
        <v>26853.55</v>
      </c>
      <c r="N3658" s="12">
        <v>7777.49</v>
      </c>
      <c r="O3658" s="12">
        <v>14432.8</v>
      </c>
    </row>
    <row r="3659" spans="1:15">
      <c r="A3659" t="s">
        <v>3833</v>
      </c>
      <c r="B3659" t="s">
        <v>84</v>
      </c>
      <c r="C3659" s="9">
        <v>26664</v>
      </c>
      <c r="D3659">
        <v>53</v>
      </c>
      <c r="E3659" t="s">
        <v>17</v>
      </c>
      <c r="F3659" t="s">
        <v>29</v>
      </c>
      <c r="G3659" s="9">
        <v>44927</v>
      </c>
      <c r="H3659" s="9">
        <v>45620</v>
      </c>
      <c r="I3659">
        <v>2</v>
      </c>
      <c r="J3659" t="s">
        <v>26</v>
      </c>
      <c r="K3659">
        <v>10</v>
      </c>
      <c r="L3659">
        <v>4</v>
      </c>
      <c r="M3659" s="11">
        <v>7141.32</v>
      </c>
      <c r="N3659" s="12">
        <v>11483</v>
      </c>
      <c r="O3659" s="12">
        <v>16052.73</v>
      </c>
    </row>
    <row r="3660" spans="1:15">
      <c r="A3660" t="s">
        <v>3834</v>
      </c>
      <c r="B3660" t="s">
        <v>135</v>
      </c>
      <c r="C3660" s="9">
        <v>29951</v>
      </c>
      <c r="D3660">
        <v>44</v>
      </c>
      <c r="E3660" t="s">
        <v>21</v>
      </c>
      <c r="F3660" t="s">
        <v>74</v>
      </c>
      <c r="G3660" s="9">
        <v>45647</v>
      </c>
      <c r="H3660" s="9">
        <v>45142</v>
      </c>
      <c r="I3660">
        <v>31</v>
      </c>
      <c r="J3660" t="s">
        <v>32</v>
      </c>
      <c r="K3660">
        <v>11</v>
      </c>
      <c r="L3660">
        <v>3</v>
      </c>
      <c r="M3660" s="11">
        <v>0</v>
      </c>
      <c r="N3660" s="12">
        <v>970.77</v>
      </c>
      <c r="O3660" s="12">
        <v>11833.4</v>
      </c>
    </row>
    <row r="3661" spans="1:15">
      <c r="A3661" t="s">
        <v>3835</v>
      </c>
      <c r="B3661" t="s">
        <v>215</v>
      </c>
      <c r="C3661" s="9">
        <v>29221</v>
      </c>
      <c r="D3661">
        <v>46</v>
      </c>
      <c r="E3661" t="s">
        <v>21</v>
      </c>
      <c r="F3661" t="s">
        <v>25</v>
      </c>
      <c r="G3661" s="9">
        <v>45237</v>
      </c>
      <c r="H3661" s="9">
        <v>45045</v>
      </c>
      <c r="I3661">
        <v>38</v>
      </c>
      <c r="J3661" t="s">
        <v>32</v>
      </c>
      <c r="K3661">
        <v>13</v>
      </c>
      <c r="L3661">
        <v>7</v>
      </c>
      <c r="M3661" s="11">
        <v>24645.07</v>
      </c>
      <c r="N3661" s="12">
        <v>12946.76</v>
      </c>
      <c r="O3661" s="12">
        <v>4593.83</v>
      </c>
    </row>
    <row r="3662" spans="1:15">
      <c r="A3662" t="s">
        <v>3836</v>
      </c>
      <c r="B3662" t="s">
        <v>135</v>
      </c>
      <c r="C3662" s="9">
        <v>42005</v>
      </c>
      <c r="D3662">
        <v>11</v>
      </c>
      <c r="E3662" t="s">
        <v>5185</v>
      </c>
      <c r="F3662" t="s">
        <v>5184</v>
      </c>
      <c r="G3662" s="9">
        <v>45134</v>
      </c>
      <c r="H3662" s="9">
        <v>45154</v>
      </c>
      <c r="I3662">
        <v>20</v>
      </c>
      <c r="J3662" t="s">
        <v>35</v>
      </c>
      <c r="K3662">
        <v>6</v>
      </c>
      <c r="L3662">
        <v>0</v>
      </c>
      <c r="M3662" s="11">
        <v>22636.799999999999</v>
      </c>
      <c r="N3662" s="12">
        <v>9470.26</v>
      </c>
      <c r="O3662" s="12">
        <v>6595.5</v>
      </c>
    </row>
    <row r="3663" spans="1:15">
      <c r="A3663" t="s">
        <v>3837</v>
      </c>
      <c r="B3663" t="s">
        <v>237</v>
      </c>
      <c r="C3663" s="9">
        <v>38717</v>
      </c>
      <c r="D3663">
        <v>20</v>
      </c>
      <c r="E3663" t="s">
        <v>17</v>
      </c>
      <c r="F3663" t="s">
        <v>5184</v>
      </c>
      <c r="G3663" s="9">
        <v>45080</v>
      </c>
      <c r="H3663" s="9">
        <v>45818</v>
      </c>
      <c r="I3663">
        <v>17</v>
      </c>
      <c r="J3663" t="s">
        <v>26</v>
      </c>
      <c r="K3663">
        <v>5</v>
      </c>
      <c r="L3663">
        <v>7</v>
      </c>
      <c r="M3663" s="11">
        <v>3544.85</v>
      </c>
      <c r="N3663" s="12">
        <v>10853.57</v>
      </c>
      <c r="O3663" s="12">
        <v>18004.21</v>
      </c>
    </row>
    <row r="3664" spans="1:15">
      <c r="A3664" t="s">
        <v>3838</v>
      </c>
      <c r="B3664" t="s">
        <v>332</v>
      </c>
      <c r="C3664" s="9">
        <v>42370</v>
      </c>
      <c r="D3664">
        <v>10</v>
      </c>
      <c r="E3664" t="s">
        <v>17</v>
      </c>
      <c r="F3664" t="s">
        <v>22</v>
      </c>
      <c r="G3664" s="9">
        <v>45609</v>
      </c>
      <c r="H3664" s="9">
        <v>45371</v>
      </c>
      <c r="I3664">
        <v>15</v>
      </c>
      <c r="J3664" t="s">
        <v>32</v>
      </c>
      <c r="K3664">
        <v>8</v>
      </c>
      <c r="L3664">
        <v>7</v>
      </c>
      <c r="M3664" s="11">
        <v>2787.19</v>
      </c>
      <c r="N3664" s="12">
        <v>10414.43</v>
      </c>
      <c r="O3664" s="12">
        <v>14647.94</v>
      </c>
    </row>
    <row r="3665" spans="1:15">
      <c r="A3665" t="s">
        <v>3839</v>
      </c>
      <c r="B3665" t="s">
        <v>89</v>
      </c>
      <c r="C3665" s="9">
        <v>12785</v>
      </c>
      <c r="D3665">
        <v>91</v>
      </c>
      <c r="E3665" t="s">
        <v>21</v>
      </c>
      <c r="F3665" t="s">
        <v>22</v>
      </c>
      <c r="G3665" s="9">
        <v>45241</v>
      </c>
      <c r="H3665" s="9">
        <v>45476</v>
      </c>
      <c r="I3665">
        <v>15</v>
      </c>
      <c r="J3665" t="s">
        <v>35</v>
      </c>
      <c r="K3665">
        <v>3</v>
      </c>
      <c r="L3665">
        <v>0</v>
      </c>
      <c r="M3665" s="11">
        <v>16083.48</v>
      </c>
      <c r="N3665" s="12">
        <v>12716.44</v>
      </c>
      <c r="O3665" s="12">
        <v>1669.37</v>
      </c>
    </row>
    <row r="3666" spans="1:15">
      <c r="A3666" t="s">
        <v>3840</v>
      </c>
      <c r="B3666" t="s">
        <v>252</v>
      </c>
      <c r="C3666" s="9">
        <v>44561</v>
      </c>
      <c r="D3666">
        <f ca="1">DATEDIF(C3617,TODAY(),"Y")</f>
        <v>68</v>
      </c>
      <c r="E3666" t="s">
        <v>21</v>
      </c>
      <c r="F3666" t="s">
        <v>49</v>
      </c>
      <c r="G3666" s="9">
        <v>45233</v>
      </c>
      <c r="H3666" s="9">
        <v>45756</v>
      </c>
      <c r="I3666">
        <v>39</v>
      </c>
      <c r="J3666" t="s">
        <v>26</v>
      </c>
      <c r="K3666">
        <v>7</v>
      </c>
      <c r="L3666">
        <v>8</v>
      </c>
      <c r="M3666" s="11">
        <v>2614.41</v>
      </c>
      <c r="N3666" s="12">
        <v>1312.81</v>
      </c>
      <c r="O3666" s="12">
        <v>15047.69</v>
      </c>
    </row>
    <row r="3667" spans="1:15">
      <c r="A3667" t="s">
        <v>3841</v>
      </c>
      <c r="B3667" t="s">
        <v>261</v>
      </c>
      <c r="C3667" s="9">
        <v>16802</v>
      </c>
      <c r="D3667">
        <v>80</v>
      </c>
      <c r="E3667" t="s">
        <v>21</v>
      </c>
      <c r="F3667" t="s">
        <v>49</v>
      </c>
      <c r="G3667" s="9">
        <v>45430</v>
      </c>
      <c r="H3667" s="9">
        <v>45535</v>
      </c>
      <c r="I3667">
        <v>37</v>
      </c>
      <c r="J3667" t="s">
        <v>32</v>
      </c>
      <c r="K3667">
        <v>12</v>
      </c>
      <c r="L3667">
        <v>8</v>
      </c>
      <c r="M3667" s="11">
        <v>24663.07</v>
      </c>
      <c r="N3667" s="12">
        <v>5655.66</v>
      </c>
      <c r="O3667" s="12">
        <v>6546.22</v>
      </c>
    </row>
    <row r="3668" spans="1:15">
      <c r="A3668" t="s">
        <v>3842</v>
      </c>
      <c r="B3668" t="s">
        <v>155</v>
      </c>
      <c r="C3668" s="9">
        <v>25934</v>
      </c>
      <c r="D3668">
        <v>55</v>
      </c>
      <c r="E3668" t="s">
        <v>21</v>
      </c>
      <c r="F3668" t="s">
        <v>29</v>
      </c>
      <c r="G3668" s="9">
        <v>45545</v>
      </c>
      <c r="H3668" s="9">
        <v>45559</v>
      </c>
      <c r="I3668">
        <v>18</v>
      </c>
      <c r="J3668" t="s">
        <v>35</v>
      </c>
      <c r="K3668">
        <v>10</v>
      </c>
      <c r="L3668">
        <v>5</v>
      </c>
      <c r="M3668" s="11">
        <v>7226.46</v>
      </c>
      <c r="N3668" s="12">
        <v>7539.25</v>
      </c>
      <c r="O3668" s="12">
        <v>366.86</v>
      </c>
    </row>
    <row r="3669" spans="1:15">
      <c r="A3669" t="s">
        <v>3843</v>
      </c>
      <c r="B3669" t="s">
        <v>67</v>
      </c>
      <c r="C3669" s="9">
        <v>39083</v>
      </c>
      <c r="D3669">
        <v>19</v>
      </c>
      <c r="E3669" t="s">
        <v>21</v>
      </c>
      <c r="F3669" t="s">
        <v>25</v>
      </c>
      <c r="G3669" s="9">
        <v>45581</v>
      </c>
      <c r="H3669" s="9">
        <v>45364</v>
      </c>
      <c r="I3669">
        <v>5</v>
      </c>
      <c r="J3669" t="s">
        <v>26</v>
      </c>
      <c r="K3669">
        <v>9</v>
      </c>
      <c r="L3669">
        <v>0</v>
      </c>
      <c r="M3669" s="11">
        <v>5244.06</v>
      </c>
      <c r="N3669" s="12">
        <v>8198.9599999999991</v>
      </c>
      <c r="O3669" s="12">
        <v>9623.01</v>
      </c>
    </row>
    <row r="3670" spans="1:15">
      <c r="A3670" t="s">
        <v>3844</v>
      </c>
      <c r="B3670" t="s">
        <v>356</v>
      </c>
      <c r="C3670" s="9">
        <v>31412</v>
      </c>
      <c r="D3670">
        <v>40</v>
      </c>
      <c r="E3670" t="s">
        <v>21</v>
      </c>
      <c r="F3670" t="s">
        <v>25</v>
      </c>
      <c r="G3670" s="9">
        <v>45446</v>
      </c>
      <c r="H3670" s="9">
        <v>44939</v>
      </c>
      <c r="I3670">
        <v>31</v>
      </c>
      <c r="J3670" t="s">
        <v>35</v>
      </c>
      <c r="K3670">
        <v>5</v>
      </c>
      <c r="L3670">
        <v>6</v>
      </c>
      <c r="M3670" s="11">
        <v>5162.9799999999996</v>
      </c>
      <c r="N3670" s="12">
        <v>14138.33</v>
      </c>
      <c r="O3670" s="12">
        <v>17656.259999999998</v>
      </c>
    </row>
    <row r="3671" spans="1:15">
      <c r="A3671" t="s">
        <v>3845</v>
      </c>
      <c r="B3671" t="s">
        <v>550</v>
      </c>
      <c r="C3671" s="9">
        <v>29586</v>
      </c>
      <c r="D3671">
        <v>45</v>
      </c>
      <c r="E3671" t="s">
        <v>17</v>
      </c>
      <c r="F3671" t="s">
        <v>49</v>
      </c>
      <c r="G3671" s="9">
        <v>45532</v>
      </c>
      <c r="H3671" s="9">
        <v>45049</v>
      </c>
      <c r="I3671">
        <v>8</v>
      </c>
      <c r="J3671" t="s">
        <v>26</v>
      </c>
      <c r="K3671">
        <v>13</v>
      </c>
      <c r="L3671">
        <v>6</v>
      </c>
      <c r="M3671" s="11">
        <v>879.56</v>
      </c>
      <c r="N3671" s="12">
        <v>636.96</v>
      </c>
      <c r="O3671" s="12">
        <v>8831.42</v>
      </c>
    </row>
    <row r="3672" spans="1:15">
      <c r="A3672" t="s">
        <v>3846</v>
      </c>
      <c r="B3672" t="s">
        <v>246</v>
      </c>
      <c r="C3672" s="9">
        <v>42005</v>
      </c>
      <c r="D3672">
        <v>11</v>
      </c>
      <c r="E3672" t="s">
        <v>21</v>
      </c>
      <c r="F3672" t="s">
        <v>25</v>
      </c>
      <c r="G3672" s="9">
        <v>45023</v>
      </c>
      <c r="H3672" s="9">
        <v>45474</v>
      </c>
      <c r="I3672">
        <v>7</v>
      </c>
      <c r="J3672" t="s">
        <v>32</v>
      </c>
      <c r="K3672">
        <v>10</v>
      </c>
      <c r="L3672">
        <v>8</v>
      </c>
      <c r="M3672" s="11">
        <v>19075.96</v>
      </c>
      <c r="N3672" s="12">
        <v>12995.9</v>
      </c>
      <c r="O3672" s="12">
        <v>19774.88</v>
      </c>
    </row>
    <row r="3673" spans="1:15">
      <c r="A3673" t="s">
        <v>3847</v>
      </c>
      <c r="B3673" t="s">
        <v>240</v>
      </c>
      <c r="C3673" s="9">
        <v>20820</v>
      </c>
      <c r="D3673">
        <v>69</v>
      </c>
      <c r="E3673" t="s">
        <v>17</v>
      </c>
      <c r="F3673" t="s">
        <v>29</v>
      </c>
      <c r="G3673" s="9">
        <v>45416</v>
      </c>
      <c r="H3673" s="9">
        <v>45416</v>
      </c>
      <c r="I3673">
        <v>5</v>
      </c>
      <c r="J3673" t="s">
        <v>32</v>
      </c>
      <c r="K3673">
        <v>12</v>
      </c>
      <c r="L3673">
        <v>0</v>
      </c>
      <c r="M3673" s="11">
        <v>4517.13</v>
      </c>
      <c r="N3673" s="12">
        <v>8278.52</v>
      </c>
      <c r="O3673" s="12">
        <v>3479.34</v>
      </c>
    </row>
    <row r="3674" spans="1:15">
      <c r="A3674" t="s">
        <v>3848</v>
      </c>
      <c r="B3674" t="s">
        <v>119</v>
      </c>
      <c r="C3674" s="9">
        <v>40178</v>
      </c>
      <c r="D3674">
        <v>16</v>
      </c>
      <c r="E3674" t="s">
        <v>21</v>
      </c>
      <c r="F3674" t="s">
        <v>74</v>
      </c>
      <c r="G3674" s="9">
        <v>44933</v>
      </c>
      <c r="H3674" s="9">
        <v>45178</v>
      </c>
      <c r="I3674">
        <v>5</v>
      </c>
      <c r="J3674" t="s">
        <v>26</v>
      </c>
      <c r="K3674">
        <v>9</v>
      </c>
      <c r="L3674">
        <v>7</v>
      </c>
      <c r="M3674" s="11">
        <v>6616.81</v>
      </c>
      <c r="N3674" s="12">
        <v>8319.42</v>
      </c>
      <c r="O3674" s="12">
        <v>6953.04</v>
      </c>
    </row>
    <row r="3675" spans="1:15">
      <c r="A3675" t="s">
        <v>3849</v>
      </c>
      <c r="B3675" t="s">
        <v>412</v>
      </c>
      <c r="C3675" s="9">
        <v>39448</v>
      </c>
      <c r="D3675">
        <v>18</v>
      </c>
      <c r="E3675" t="s">
        <v>21</v>
      </c>
      <c r="F3675" t="s">
        <v>22</v>
      </c>
      <c r="G3675" s="9">
        <v>44938</v>
      </c>
      <c r="H3675" s="9">
        <v>45506</v>
      </c>
      <c r="I3675">
        <v>16</v>
      </c>
      <c r="J3675" t="s">
        <v>32</v>
      </c>
      <c r="K3675">
        <v>14</v>
      </c>
      <c r="L3675">
        <v>7</v>
      </c>
      <c r="M3675" s="11">
        <v>22414.83</v>
      </c>
      <c r="N3675" s="12">
        <v>4804.95</v>
      </c>
      <c r="O3675" s="12">
        <v>234.04</v>
      </c>
    </row>
    <row r="3676" spans="1:15">
      <c r="A3676" t="s">
        <v>3850</v>
      </c>
      <c r="B3676" t="s">
        <v>24</v>
      </c>
      <c r="C3676" s="9">
        <v>36891</v>
      </c>
      <c r="D3676">
        <v>25</v>
      </c>
      <c r="E3676" t="s">
        <v>21</v>
      </c>
      <c r="F3676" t="s">
        <v>29</v>
      </c>
      <c r="G3676" s="9">
        <v>45440</v>
      </c>
      <c r="H3676" s="9">
        <v>45409</v>
      </c>
      <c r="I3676">
        <v>2</v>
      </c>
      <c r="J3676" t="s">
        <v>32</v>
      </c>
      <c r="K3676">
        <v>1</v>
      </c>
      <c r="L3676">
        <v>6</v>
      </c>
      <c r="M3676" s="11">
        <v>1253.18</v>
      </c>
      <c r="N3676" s="12">
        <v>9654.2999999999993</v>
      </c>
      <c r="O3676" s="12">
        <v>912.11</v>
      </c>
    </row>
    <row r="3677" spans="1:15">
      <c r="A3677" t="s">
        <v>3851</v>
      </c>
      <c r="B3677" t="s">
        <v>309</v>
      </c>
      <c r="C3677" s="9">
        <v>28856</v>
      </c>
      <c r="D3677">
        <v>47</v>
      </c>
      <c r="E3677" t="s">
        <v>17</v>
      </c>
      <c r="F3677" t="s">
        <v>25</v>
      </c>
      <c r="G3677" s="9">
        <v>45275</v>
      </c>
      <c r="H3677" s="9">
        <v>45477</v>
      </c>
      <c r="I3677">
        <v>0</v>
      </c>
      <c r="J3677" t="s">
        <v>35</v>
      </c>
      <c r="K3677">
        <v>10</v>
      </c>
      <c r="L3677">
        <v>5</v>
      </c>
      <c r="M3677" s="11">
        <v>5683.73</v>
      </c>
      <c r="N3677" s="12">
        <v>9696.2000000000007</v>
      </c>
      <c r="O3677" s="12">
        <v>7021.77</v>
      </c>
    </row>
    <row r="3678" spans="1:15">
      <c r="A3678" t="s">
        <v>3852</v>
      </c>
      <c r="B3678" t="s">
        <v>207</v>
      </c>
      <c r="C3678" s="9">
        <v>27395</v>
      </c>
      <c r="D3678">
        <v>51</v>
      </c>
      <c r="E3678" t="s">
        <v>21</v>
      </c>
      <c r="F3678" t="s">
        <v>29</v>
      </c>
      <c r="G3678" s="9">
        <v>44933</v>
      </c>
      <c r="H3678" s="9">
        <v>45207</v>
      </c>
      <c r="I3678">
        <v>29</v>
      </c>
      <c r="J3678" t="s">
        <v>32</v>
      </c>
      <c r="K3678">
        <v>4</v>
      </c>
      <c r="L3678">
        <v>0</v>
      </c>
      <c r="M3678" s="11">
        <v>4055.13</v>
      </c>
      <c r="N3678" s="12">
        <v>2839.41</v>
      </c>
      <c r="O3678" s="12">
        <v>10520.6</v>
      </c>
    </row>
    <row r="3679" spans="1:15">
      <c r="A3679" t="s">
        <v>3853</v>
      </c>
      <c r="B3679" t="s">
        <v>31</v>
      </c>
      <c r="C3679" s="9">
        <v>20820</v>
      </c>
      <c r="D3679">
        <f ca="1">DATEDIF(C3630,TODAY(),"Y")</f>
        <v>84</v>
      </c>
      <c r="E3679" t="s">
        <v>5185</v>
      </c>
      <c r="F3679" t="s">
        <v>22</v>
      </c>
      <c r="G3679" s="9">
        <v>45426</v>
      </c>
      <c r="H3679" s="9">
        <v>45669</v>
      </c>
      <c r="I3679">
        <v>13</v>
      </c>
      <c r="J3679" t="s">
        <v>35</v>
      </c>
      <c r="K3679">
        <v>1</v>
      </c>
      <c r="L3679">
        <v>9</v>
      </c>
      <c r="M3679" s="11">
        <v>352.11</v>
      </c>
      <c r="N3679" s="12">
        <v>10155.09</v>
      </c>
      <c r="O3679" s="12">
        <v>4665.59</v>
      </c>
    </row>
    <row r="3680" spans="1:15">
      <c r="A3680" t="s">
        <v>3854</v>
      </c>
      <c r="B3680" t="s">
        <v>87</v>
      </c>
      <c r="C3680" s="9">
        <v>26299</v>
      </c>
      <c r="D3680">
        <v>54</v>
      </c>
      <c r="E3680" t="s">
        <v>17</v>
      </c>
      <c r="F3680" t="s">
        <v>18</v>
      </c>
      <c r="G3680" s="9">
        <v>45401</v>
      </c>
      <c r="H3680" s="9">
        <v>45264</v>
      </c>
      <c r="I3680">
        <v>27</v>
      </c>
      <c r="J3680" t="s">
        <v>32</v>
      </c>
      <c r="K3680">
        <v>4</v>
      </c>
      <c r="L3680">
        <v>7</v>
      </c>
      <c r="M3680" s="11">
        <v>15949.94</v>
      </c>
      <c r="N3680" s="12">
        <v>4000.59</v>
      </c>
      <c r="O3680" s="12">
        <v>3245.85</v>
      </c>
    </row>
    <row r="3681" spans="1:15">
      <c r="A3681" t="s">
        <v>3855</v>
      </c>
      <c r="B3681" t="s">
        <v>89</v>
      </c>
      <c r="C3681" s="9">
        <v>18994</v>
      </c>
      <c r="D3681">
        <f ca="1">DATEDIF(C3632,TODAY(),"Y")</f>
        <v>20</v>
      </c>
      <c r="E3681" t="s">
        <v>17</v>
      </c>
      <c r="F3681" t="s">
        <v>5184</v>
      </c>
      <c r="G3681" s="9">
        <v>45450</v>
      </c>
      <c r="H3681" s="9">
        <v>45095</v>
      </c>
      <c r="I3681">
        <v>25</v>
      </c>
      <c r="J3681" t="s">
        <v>32</v>
      </c>
      <c r="K3681">
        <v>11</v>
      </c>
      <c r="L3681">
        <v>4</v>
      </c>
      <c r="M3681" s="11">
        <v>5296.04</v>
      </c>
      <c r="N3681" s="12">
        <v>10331.799999999999</v>
      </c>
      <c r="O3681" s="12">
        <v>8355.5400000000009</v>
      </c>
    </row>
    <row r="3682" spans="1:15">
      <c r="A3682" t="s">
        <v>3856</v>
      </c>
      <c r="B3682" t="s">
        <v>155</v>
      </c>
      <c r="C3682" s="9">
        <v>34334</v>
      </c>
      <c r="D3682">
        <v>32</v>
      </c>
      <c r="E3682" t="s">
        <v>21</v>
      </c>
      <c r="F3682" t="s">
        <v>22</v>
      </c>
      <c r="G3682" s="9">
        <v>44983</v>
      </c>
      <c r="H3682" s="9">
        <v>45255</v>
      </c>
      <c r="I3682">
        <v>25</v>
      </c>
      <c r="J3682" t="s">
        <v>35</v>
      </c>
      <c r="K3682">
        <v>6</v>
      </c>
      <c r="L3682">
        <v>3</v>
      </c>
      <c r="M3682" s="11">
        <v>18803.650000000001</v>
      </c>
      <c r="N3682" s="12">
        <v>9179.14</v>
      </c>
      <c r="O3682" s="12">
        <v>3330.58</v>
      </c>
    </row>
    <row r="3683" spans="1:15">
      <c r="A3683" t="s">
        <v>3857</v>
      </c>
      <c r="B3683" t="s">
        <v>119</v>
      </c>
      <c r="C3683" s="9">
        <v>23742</v>
      </c>
      <c r="D3683">
        <v>61</v>
      </c>
      <c r="E3683" t="s">
        <v>17</v>
      </c>
      <c r="F3683" t="s">
        <v>5184</v>
      </c>
      <c r="G3683" s="9">
        <v>45516</v>
      </c>
      <c r="H3683" s="9">
        <v>45173</v>
      </c>
      <c r="I3683">
        <v>13</v>
      </c>
      <c r="J3683" t="s">
        <v>32</v>
      </c>
      <c r="K3683">
        <v>7</v>
      </c>
      <c r="L3683">
        <v>4</v>
      </c>
      <c r="M3683" s="11">
        <v>14804.28</v>
      </c>
      <c r="N3683" s="12">
        <v>10739.28</v>
      </c>
      <c r="O3683" s="12">
        <v>12581.02</v>
      </c>
    </row>
    <row r="3684" spans="1:15">
      <c r="A3684" t="s">
        <v>3858</v>
      </c>
      <c r="B3684" t="s">
        <v>264</v>
      </c>
      <c r="C3684" s="9">
        <v>14246</v>
      </c>
      <c r="D3684">
        <v>87</v>
      </c>
      <c r="E3684" t="s">
        <v>17</v>
      </c>
      <c r="F3684" t="s">
        <v>22</v>
      </c>
      <c r="G3684" s="9">
        <v>45512</v>
      </c>
      <c r="H3684" s="9">
        <v>45518</v>
      </c>
      <c r="I3684">
        <v>38</v>
      </c>
      <c r="J3684" t="s">
        <v>35</v>
      </c>
      <c r="K3684">
        <v>0</v>
      </c>
      <c r="L3684">
        <v>4</v>
      </c>
      <c r="M3684" s="11">
        <v>19870.28</v>
      </c>
      <c r="N3684" s="12">
        <v>295.5</v>
      </c>
      <c r="O3684" s="12">
        <v>19101.310000000001</v>
      </c>
    </row>
    <row r="3685" spans="1:15">
      <c r="A3685" t="s">
        <v>3859</v>
      </c>
      <c r="B3685" t="s">
        <v>328</v>
      </c>
      <c r="C3685" s="9">
        <v>37987</v>
      </c>
      <c r="D3685">
        <v>22</v>
      </c>
      <c r="E3685" t="s">
        <v>21</v>
      </c>
      <c r="F3685" t="s">
        <v>18</v>
      </c>
      <c r="G3685" s="9">
        <v>45159</v>
      </c>
      <c r="H3685" s="9">
        <v>45553</v>
      </c>
      <c r="I3685">
        <v>30</v>
      </c>
      <c r="J3685" t="s">
        <v>35</v>
      </c>
      <c r="K3685">
        <v>4</v>
      </c>
      <c r="L3685">
        <v>9</v>
      </c>
      <c r="M3685" s="11">
        <v>29437.71</v>
      </c>
      <c r="N3685" s="12">
        <v>1880.48</v>
      </c>
      <c r="O3685" s="12">
        <v>16111.52</v>
      </c>
    </row>
    <row r="3686" spans="1:15">
      <c r="A3686" t="s">
        <v>3860</v>
      </c>
      <c r="B3686" t="s">
        <v>97</v>
      </c>
      <c r="C3686" s="9">
        <v>40909</v>
      </c>
      <c r="D3686">
        <v>14</v>
      </c>
      <c r="E3686" t="s">
        <v>17</v>
      </c>
      <c r="F3686" t="s">
        <v>25</v>
      </c>
      <c r="G3686" s="9">
        <v>44956</v>
      </c>
      <c r="H3686" s="9">
        <v>45228</v>
      </c>
      <c r="I3686">
        <v>22</v>
      </c>
      <c r="J3686" t="s">
        <v>32</v>
      </c>
      <c r="K3686">
        <v>12</v>
      </c>
      <c r="L3686">
        <v>2</v>
      </c>
      <c r="M3686" s="11">
        <v>6206.16</v>
      </c>
      <c r="N3686" s="12">
        <v>12603.01</v>
      </c>
      <c r="O3686" s="12">
        <v>4225.8</v>
      </c>
    </row>
    <row r="3687" spans="1:15">
      <c r="A3687" t="s">
        <v>3861</v>
      </c>
      <c r="B3687" t="s">
        <v>153</v>
      </c>
      <c r="C3687" s="9">
        <v>36526</v>
      </c>
      <c r="D3687">
        <v>26</v>
      </c>
      <c r="E3687" t="s">
        <v>17</v>
      </c>
      <c r="F3687" t="s">
        <v>25</v>
      </c>
      <c r="G3687" s="9">
        <v>45293</v>
      </c>
      <c r="H3687" s="9">
        <v>45656</v>
      </c>
      <c r="I3687">
        <v>15</v>
      </c>
      <c r="J3687" t="s">
        <v>32</v>
      </c>
      <c r="K3687">
        <v>1</v>
      </c>
      <c r="L3687">
        <v>3</v>
      </c>
      <c r="M3687" s="11">
        <v>19809.25</v>
      </c>
      <c r="N3687" s="12">
        <v>5710.85</v>
      </c>
      <c r="O3687" s="12">
        <v>19017.82</v>
      </c>
    </row>
    <row r="3688" spans="1:15">
      <c r="A3688" t="s">
        <v>3862</v>
      </c>
      <c r="B3688" t="s">
        <v>105</v>
      </c>
      <c r="C3688" s="9">
        <v>18994</v>
      </c>
      <c r="D3688">
        <v>74</v>
      </c>
      <c r="E3688" t="s">
        <v>17</v>
      </c>
      <c r="F3688" t="s">
        <v>74</v>
      </c>
      <c r="G3688" s="9">
        <v>45533</v>
      </c>
      <c r="H3688" s="9">
        <v>45127</v>
      </c>
      <c r="I3688">
        <v>23</v>
      </c>
      <c r="J3688" t="s">
        <v>35</v>
      </c>
      <c r="K3688">
        <v>13</v>
      </c>
      <c r="L3688">
        <v>3</v>
      </c>
      <c r="M3688" s="11">
        <v>0</v>
      </c>
      <c r="N3688" s="12">
        <v>12550.78</v>
      </c>
      <c r="O3688" s="12">
        <v>14997.67</v>
      </c>
    </row>
    <row r="3689" spans="1:15">
      <c r="A3689" t="s">
        <v>3863</v>
      </c>
      <c r="B3689" t="s">
        <v>198</v>
      </c>
      <c r="C3689" s="9">
        <v>23012</v>
      </c>
      <c r="D3689">
        <v>63</v>
      </c>
      <c r="E3689" t="s">
        <v>17</v>
      </c>
      <c r="F3689" t="s">
        <v>22</v>
      </c>
      <c r="G3689" s="9">
        <v>44982</v>
      </c>
      <c r="H3689" s="9">
        <v>45820</v>
      </c>
      <c r="I3689">
        <v>3</v>
      </c>
      <c r="J3689" t="s">
        <v>26</v>
      </c>
      <c r="K3689">
        <v>12</v>
      </c>
      <c r="L3689">
        <v>7</v>
      </c>
      <c r="M3689" s="11">
        <v>28700.28</v>
      </c>
      <c r="N3689" s="12">
        <v>940.11</v>
      </c>
      <c r="O3689" s="12">
        <v>3014.94</v>
      </c>
    </row>
    <row r="3690" spans="1:15">
      <c r="A3690" t="s">
        <v>3864</v>
      </c>
      <c r="B3690" t="s">
        <v>139</v>
      </c>
      <c r="C3690" s="9">
        <f>DATE(2026-D3650,1,1)</f>
        <v>43466</v>
      </c>
      <c r="D3690">
        <v>80</v>
      </c>
      <c r="E3690" t="s">
        <v>17</v>
      </c>
      <c r="F3690" t="s">
        <v>29</v>
      </c>
      <c r="G3690" s="9">
        <v>44936</v>
      </c>
      <c r="H3690" s="9">
        <v>45427</v>
      </c>
      <c r="I3690">
        <v>35</v>
      </c>
      <c r="J3690" t="s">
        <v>32</v>
      </c>
      <c r="K3690">
        <v>12</v>
      </c>
      <c r="L3690">
        <v>4</v>
      </c>
      <c r="M3690" s="11">
        <v>18481.2</v>
      </c>
      <c r="N3690" s="12">
        <v>11540.57</v>
      </c>
      <c r="O3690" s="12">
        <v>11546.56</v>
      </c>
    </row>
    <row r="3691" spans="1:15">
      <c r="A3691" t="s">
        <v>3865</v>
      </c>
      <c r="B3691" t="s">
        <v>278</v>
      </c>
      <c r="C3691" s="9">
        <v>27760</v>
      </c>
      <c r="D3691">
        <v>50</v>
      </c>
      <c r="E3691" t="s">
        <v>17</v>
      </c>
      <c r="F3691" t="s">
        <v>74</v>
      </c>
      <c r="G3691" s="9">
        <v>45073</v>
      </c>
      <c r="H3691" s="9">
        <v>45791</v>
      </c>
      <c r="I3691">
        <v>0</v>
      </c>
      <c r="J3691" t="s">
        <v>32</v>
      </c>
      <c r="K3691">
        <v>5</v>
      </c>
      <c r="L3691">
        <v>5</v>
      </c>
      <c r="M3691" s="11">
        <v>0</v>
      </c>
      <c r="N3691" s="12">
        <v>1256.51</v>
      </c>
      <c r="O3691" s="12">
        <v>19326.22</v>
      </c>
    </row>
    <row r="3692" spans="1:15">
      <c r="A3692" t="s">
        <v>3866</v>
      </c>
      <c r="B3692" t="s">
        <v>65</v>
      </c>
      <c r="C3692" s="9">
        <v>27029</v>
      </c>
      <c r="D3692">
        <v>52</v>
      </c>
      <c r="E3692" t="s">
        <v>21</v>
      </c>
      <c r="F3692" t="s">
        <v>25</v>
      </c>
      <c r="G3692" s="9">
        <v>45290</v>
      </c>
      <c r="H3692" s="9">
        <v>45681</v>
      </c>
      <c r="I3692">
        <v>3</v>
      </c>
      <c r="J3692" t="s">
        <v>32</v>
      </c>
      <c r="K3692">
        <v>9</v>
      </c>
      <c r="L3692">
        <v>9</v>
      </c>
      <c r="M3692" s="11">
        <v>1142.3599999999999</v>
      </c>
      <c r="N3692" s="12">
        <v>7024.9</v>
      </c>
      <c r="O3692" s="12">
        <v>1844.84</v>
      </c>
    </row>
    <row r="3693" spans="1:15">
      <c r="A3693" t="s">
        <v>3867</v>
      </c>
      <c r="B3693" t="s">
        <v>240</v>
      </c>
      <c r="C3693" s="9">
        <v>17898</v>
      </c>
      <c r="D3693">
        <f ca="1">DATEDIF(C3644,TODAY(),"Y")</f>
        <v>81</v>
      </c>
      <c r="E3693" t="s">
        <v>17</v>
      </c>
      <c r="F3693" t="s">
        <v>25</v>
      </c>
      <c r="G3693" s="9">
        <v>45525</v>
      </c>
      <c r="H3693" s="9">
        <v>44940</v>
      </c>
      <c r="I3693">
        <v>11</v>
      </c>
      <c r="J3693" t="s">
        <v>26</v>
      </c>
      <c r="K3693">
        <v>2</v>
      </c>
      <c r="L3693">
        <v>1</v>
      </c>
      <c r="M3693" s="11">
        <v>7994.65</v>
      </c>
      <c r="N3693" s="12">
        <v>14063.6</v>
      </c>
      <c r="O3693" s="12">
        <v>5347.2</v>
      </c>
    </row>
    <row r="3694" spans="1:15">
      <c r="A3694" t="s">
        <v>3868</v>
      </c>
      <c r="B3694" t="s">
        <v>157</v>
      </c>
      <c r="C3694" s="9">
        <v>13150</v>
      </c>
      <c r="D3694">
        <v>90</v>
      </c>
      <c r="E3694" t="s">
        <v>17</v>
      </c>
      <c r="F3694" t="s">
        <v>49</v>
      </c>
      <c r="G3694" s="9">
        <v>45179</v>
      </c>
      <c r="H3694" s="9">
        <v>45293</v>
      </c>
      <c r="I3694">
        <v>15</v>
      </c>
      <c r="J3694" t="s">
        <v>26</v>
      </c>
      <c r="K3694">
        <v>12</v>
      </c>
      <c r="L3694">
        <v>8</v>
      </c>
      <c r="M3694" s="11">
        <v>27808.799999999999</v>
      </c>
      <c r="N3694" s="12">
        <v>1165.17</v>
      </c>
      <c r="O3694" s="12">
        <v>7419.24</v>
      </c>
    </row>
    <row r="3695" spans="1:15">
      <c r="A3695" t="s">
        <v>3869</v>
      </c>
      <c r="B3695" t="s">
        <v>578</v>
      </c>
      <c r="C3695" s="9">
        <v>16437</v>
      </c>
      <c r="D3695">
        <v>81</v>
      </c>
      <c r="E3695" t="s">
        <v>17</v>
      </c>
      <c r="F3695" t="s">
        <v>74</v>
      </c>
      <c r="G3695" s="9">
        <v>45625</v>
      </c>
      <c r="H3695" s="9">
        <v>45646</v>
      </c>
      <c r="I3695">
        <v>13</v>
      </c>
      <c r="J3695" t="s">
        <v>32</v>
      </c>
      <c r="K3695">
        <v>13</v>
      </c>
      <c r="L3695">
        <v>7</v>
      </c>
      <c r="M3695" s="11">
        <v>15876.42</v>
      </c>
      <c r="N3695" s="12">
        <v>5259.93</v>
      </c>
      <c r="O3695" s="12">
        <v>2223.44</v>
      </c>
    </row>
    <row r="3696" spans="1:15">
      <c r="A3696" t="s">
        <v>3870</v>
      </c>
      <c r="B3696" t="s">
        <v>254</v>
      </c>
      <c r="C3696" s="9">
        <v>12785</v>
      </c>
      <c r="D3696">
        <v>91</v>
      </c>
      <c r="E3696" t="s">
        <v>5185</v>
      </c>
      <c r="F3696" t="s">
        <v>25</v>
      </c>
      <c r="G3696" s="9">
        <v>45179</v>
      </c>
      <c r="H3696" s="9">
        <v>45701</v>
      </c>
      <c r="I3696">
        <v>21</v>
      </c>
      <c r="J3696" t="s">
        <v>32</v>
      </c>
      <c r="K3696">
        <v>13</v>
      </c>
      <c r="L3696">
        <v>7</v>
      </c>
      <c r="M3696" s="11">
        <v>0</v>
      </c>
      <c r="N3696" s="12">
        <v>7775.23</v>
      </c>
      <c r="O3696" s="12">
        <v>5914.84</v>
      </c>
    </row>
    <row r="3697" spans="1:15">
      <c r="A3697" t="s">
        <v>3871</v>
      </c>
      <c r="B3697" t="s">
        <v>671</v>
      </c>
      <c r="C3697" s="9">
        <v>27760</v>
      </c>
      <c r="D3697">
        <v>50</v>
      </c>
      <c r="E3697" t="s">
        <v>21</v>
      </c>
      <c r="F3697" t="s">
        <v>18</v>
      </c>
      <c r="G3697" s="9">
        <v>45369</v>
      </c>
      <c r="H3697" s="9">
        <v>45024</v>
      </c>
      <c r="I3697">
        <v>10</v>
      </c>
      <c r="J3697" t="s">
        <v>32</v>
      </c>
      <c r="K3697">
        <v>3</v>
      </c>
      <c r="L3697">
        <v>9</v>
      </c>
      <c r="M3697" s="11">
        <v>18123.38</v>
      </c>
      <c r="N3697" s="12">
        <v>13491.86</v>
      </c>
      <c r="O3697" s="12">
        <v>13815.74</v>
      </c>
    </row>
    <row r="3698" spans="1:15">
      <c r="A3698" t="s">
        <v>3872</v>
      </c>
      <c r="B3698" t="s">
        <v>240</v>
      </c>
      <c r="C3698" s="9">
        <v>29221</v>
      </c>
      <c r="D3698">
        <v>46</v>
      </c>
      <c r="E3698" t="s">
        <v>21</v>
      </c>
      <c r="F3698" t="s">
        <v>5184</v>
      </c>
      <c r="G3698" s="9">
        <v>45266</v>
      </c>
      <c r="H3698" s="9">
        <v>44998</v>
      </c>
      <c r="I3698">
        <v>2</v>
      </c>
      <c r="J3698" t="s">
        <v>32</v>
      </c>
      <c r="K3698">
        <v>8</v>
      </c>
      <c r="L3698">
        <v>4</v>
      </c>
      <c r="M3698" s="11">
        <v>9632.57</v>
      </c>
      <c r="N3698" s="12">
        <v>4989.1099999999997</v>
      </c>
      <c r="O3698" s="12">
        <v>9492.5</v>
      </c>
    </row>
    <row r="3699" spans="1:15">
      <c r="A3699" t="s">
        <v>3873</v>
      </c>
      <c r="B3699" t="s">
        <v>444</v>
      </c>
      <c r="C3699" s="9">
        <v>44927</v>
      </c>
      <c r="D3699">
        <v>3</v>
      </c>
      <c r="E3699" t="s">
        <v>21</v>
      </c>
      <c r="F3699" t="s">
        <v>49</v>
      </c>
      <c r="G3699" s="9">
        <v>45442</v>
      </c>
      <c r="H3699" s="9">
        <v>45742</v>
      </c>
      <c r="I3699">
        <v>35</v>
      </c>
      <c r="J3699" t="s">
        <v>26</v>
      </c>
      <c r="K3699">
        <v>4</v>
      </c>
      <c r="L3699">
        <v>4</v>
      </c>
      <c r="M3699" s="11">
        <v>5038.5200000000004</v>
      </c>
      <c r="N3699" s="12">
        <v>12105.62</v>
      </c>
      <c r="O3699" s="12">
        <v>8363.59</v>
      </c>
    </row>
    <row r="3700" spans="1:15">
      <c r="A3700" t="s">
        <v>3874</v>
      </c>
      <c r="B3700" t="s">
        <v>600</v>
      </c>
      <c r="C3700" s="9">
        <v>43831</v>
      </c>
      <c r="D3700">
        <v>6</v>
      </c>
      <c r="E3700" t="s">
        <v>21</v>
      </c>
      <c r="F3700" t="s">
        <v>29</v>
      </c>
      <c r="G3700" s="9">
        <v>45279</v>
      </c>
      <c r="H3700" s="9">
        <v>45788</v>
      </c>
      <c r="I3700">
        <v>11</v>
      </c>
      <c r="J3700" t="s">
        <v>32</v>
      </c>
      <c r="K3700">
        <v>9</v>
      </c>
      <c r="L3700">
        <v>2</v>
      </c>
      <c r="M3700" s="11">
        <v>28604.37</v>
      </c>
      <c r="N3700" s="12">
        <v>10772.6</v>
      </c>
      <c r="O3700" s="12">
        <v>8581.98</v>
      </c>
    </row>
    <row r="3701" spans="1:15">
      <c r="A3701" t="s">
        <v>3875</v>
      </c>
      <c r="B3701" t="s">
        <v>125</v>
      </c>
      <c r="C3701" s="9">
        <v>33604</v>
      </c>
      <c r="D3701">
        <v>34</v>
      </c>
      <c r="E3701" t="s">
        <v>21</v>
      </c>
      <c r="F3701" t="s">
        <v>5184</v>
      </c>
      <c r="G3701" s="9">
        <v>45550</v>
      </c>
      <c r="H3701" s="9">
        <v>45669</v>
      </c>
      <c r="I3701">
        <v>14</v>
      </c>
      <c r="J3701" t="s">
        <v>32</v>
      </c>
      <c r="K3701">
        <v>11</v>
      </c>
      <c r="L3701">
        <v>1</v>
      </c>
      <c r="M3701" s="11">
        <v>22539.24</v>
      </c>
      <c r="N3701" s="12">
        <v>4606.01</v>
      </c>
      <c r="O3701" s="12">
        <v>15169.01</v>
      </c>
    </row>
    <row r="3702" spans="1:15">
      <c r="A3702" t="s">
        <v>3876</v>
      </c>
      <c r="B3702" t="s">
        <v>273</v>
      </c>
      <c r="C3702" s="9">
        <v>28856</v>
      </c>
      <c r="D3702">
        <v>47</v>
      </c>
      <c r="E3702" t="s">
        <v>17</v>
      </c>
      <c r="F3702" t="s">
        <v>49</v>
      </c>
      <c r="G3702" s="9">
        <v>45631</v>
      </c>
      <c r="H3702" s="9">
        <v>45284</v>
      </c>
      <c r="I3702">
        <v>10</v>
      </c>
      <c r="J3702" t="s">
        <v>32</v>
      </c>
      <c r="K3702">
        <v>6</v>
      </c>
      <c r="L3702">
        <v>8</v>
      </c>
      <c r="M3702" s="11">
        <v>15087.03</v>
      </c>
      <c r="N3702" s="12">
        <v>5112.2</v>
      </c>
      <c r="O3702" s="12">
        <v>19824.75</v>
      </c>
    </row>
    <row r="3703" spans="1:15">
      <c r="A3703" t="s">
        <v>3877</v>
      </c>
      <c r="B3703" t="s">
        <v>284</v>
      </c>
      <c r="C3703" s="9">
        <v>19724</v>
      </c>
      <c r="D3703">
        <f ca="1">DATEDIF(C3654,TODAY(),"Y")</f>
        <v>35</v>
      </c>
      <c r="E3703" t="s">
        <v>21</v>
      </c>
      <c r="F3703" t="s">
        <v>22</v>
      </c>
      <c r="G3703" s="9">
        <v>45579</v>
      </c>
      <c r="H3703" s="9">
        <v>45739</v>
      </c>
      <c r="I3703">
        <v>10</v>
      </c>
      <c r="J3703" t="s">
        <v>32</v>
      </c>
      <c r="K3703">
        <v>0</v>
      </c>
      <c r="L3703">
        <v>5</v>
      </c>
      <c r="M3703" s="11">
        <v>10989.51</v>
      </c>
      <c r="N3703" s="12">
        <v>2865.18</v>
      </c>
      <c r="O3703" s="12">
        <v>11731.78</v>
      </c>
    </row>
    <row r="3704" spans="1:15">
      <c r="A3704" t="s">
        <v>3878</v>
      </c>
      <c r="B3704" t="s">
        <v>338</v>
      </c>
      <c r="C3704" s="9">
        <v>20090</v>
      </c>
      <c r="D3704">
        <v>71</v>
      </c>
      <c r="E3704" t="s">
        <v>17</v>
      </c>
      <c r="F3704" t="s">
        <v>22</v>
      </c>
      <c r="G3704" s="9">
        <v>45249</v>
      </c>
      <c r="H3704" s="9">
        <v>45471</v>
      </c>
      <c r="I3704">
        <v>6</v>
      </c>
      <c r="J3704" t="s">
        <v>26</v>
      </c>
      <c r="K3704">
        <v>2</v>
      </c>
      <c r="L3704">
        <v>7</v>
      </c>
      <c r="M3704" s="11">
        <v>14224.55</v>
      </c>
      <c r="N3704" s="12">
        <v>10394.44</v>
      </c>
      <c r="O3704" s="12">
        <v>15006.16</v>
      </c>
    </row>
    <row r="3705" spans="1:15">
      <c r="A3705" t="s">
        <v>3879</v>
      </c>
      <c r="B3705" t="s">
        <v>338</v>
      </c>
      <c r="C3705" s="9">
        <v>29951</v>
      </c>
      <c r="D3705">
        <v>44</v>
      </c>
      <c r="E3705" t="s">
        <v>17</v>
      </c>
      <c r="F3705" t="s">
        <v>29</v>
      </c>
      <c r="G3705" s="9">
        <v>45066</v>
      </c>
      <c r="H3705" s="9">
        <v>45177</v>
      </c>
      <c r="I3705">
        <v>3</v>
      </c>
      <c r="J3705" t="s">
        <v>26</v>
      </c>
      <c r="K3705">
        <v>12</v>
      </c>
      <c r="L3705">
        <v>3</v>
      </c>
      <c r="M3705" s="11">
        <v>526.79</v>
      </c>
      <c r="N3705" s="12">
        <v>8446.5400000000009</v>
      </c>
      <c r="O3705" s="12">
        <v>7388.45</v>
      </c>
    </row>
    <row r="3706" spans="1:15">
      <c r="A3706" t="s">
        <v>3880</v>
      </c>
      <c r="B3706" t="s">
        <v>41</v>
      </c>
      <c r="C3706" s="9">
        <v>16802</v>
      </c>
      <c r="D3706">
        <v>80</v>
      </c>
      <c r="E3706" t="s">
        <v>21</v>
      </c>
      <c r="F3706" t="s">
        <v>18</v>
      </c>
      <c r="G3706" s="9">
        <v>45371</v>
      </c>
      <c r="H3706" s="9">
        <v>45181</v>
      </c>
      <c r="I3706">
        <v>3</v>
      </c>
      <c r="J3706" t="s">
        <v>35</v>
      </c>
      <c r="K3706">
        <v>9</v>
      </c>
      <c r="L3706">
        <v>4</v>
      </c>
      <c r="M3706" s="11">
        <v>7048.55</v>
      </c>
      <c r="N3706" s="12">
        <v>2324.2800000000002</v>
      </c>
      <c r="O3706" s="12">
        <v>17198.87</v>
      </c>
    </row>
    <row r="3707" spans="1:15">
      <c r="A3707" t="s">
        <v>3881</v>
      </c>
      <c r="B3707" t="s">
        <v>289</v>
      </c>
      <c r="C3707" s="9">
        <v>16802</v>
      </c>
      <c r="D3707">
        <v>80</v>
      </c>
      <c r="E3707" t="s">
        <v>21</v>
      </c>
      <c r="F3707" t="s">
        <v>29</v>
      </c>
      <c r="G3707" s="9">
        <v>45021</v>
      </c>
      <c r="H3707" s="9">
        <v>45698</v>
      </c>
      <c r="I3707">
        <v>27</v>
      </c>
      <c r="J3707" t="s">
        <v>26</v>
      </c>
      <c r="K3707">
        <v>2</v>
      </c>
      <c r="L3707">
        <v>9</v>
      </c>
      <c r="M3707" s="11">
        <v>7146.53</v>
      </c>
      <c r="N3707" s="12">
        <v>9301.0499999999993</v>
      </c>
      <c r="O3707" s="12">
        <v>8348.5499999999993</v>
      </c>
    </row>
    <row r="3708" spans="1:15">
      <c r="A3708" t="s">
        <v>3882</v>
      </c>
      <c r="B3708" t="s">
        <v>168</v>
      </c>
      <c r="C3708" s="9">
        <v>20090</v>
      </c>
      <c r="D3708">
        <v>71</v>
      </c>
      <c r="E3708" t="s">
        <v>17</v>
      </c>
      <c r="F3708" t="s">
        <v>74</v>
      </c>
      <c r="G3708" s="9">
        <v>45479</v>
      </c>
      <c r="H3708" s="9">
        <v>45109</v>
      </c>
      <c r="I3708">
        <v>34</v>
      </c>
      <c r="J3708" t="s">
        <v>35</v>
      </c>
      <c r="K3708">
        <v>4</v>
      </c>
      <c r="L3708">
        <v>4</v>
      </c>
      <c r="M3708" s="11">
        <v>13083.09</v>
      </c>
      <c r="N3708" s="12">
        <v>7479.74</v>
      </c>
      <c r="O3708" s="12">
        <v>18695.97</v>
      </c>
    </row>
    <row r="3709" spans="1:15">
      <c r="A3709" t="s">
        <v>3883</v>
      </c>
      <c r="B3709" t="s">
        <v>16</v>
      </c>
      <c r="C3709" s="9">
        <v>39448</v>
      </c>
      <c r="D3709">
        <v>18</v>
      </c>
      <c r="E3709" t="s">
        <v>17</v>
      </c>
      <c r="F3709" t="s">
        <v>5184</v>
      </c>
      <c r="G3709" s="9">
        <v>45346</v>
      </c>
      <c r="H3709" s="9">
        <v>45779</v>
      </c>
      <c r="I3709">
        <v>11</v>
      </c>
      <c r="J3709" t="s">
        <v>26</v>
      </c>
      <c r="K3709">
        <v>2</v>
      </c>
      <c r="L3709">
        <v>9</v>
      </c>
      <c r="M3709" s="11">
        <v>6706.21</v>
      </c>
      <c r="N3709" s="12">
        <v>1388.85</v>
      </c>
      <c r="O3709" s="12">
        <v>14844.44</v>
      </c>
    </row>
    <row r="3710" spans="1:15">
      <c r="A3710" t="s">
        <v>3884</v>
      </c>
      <c r="B3710" t="s">
        <v>87</v>
      </c>
      <c r="C3710" s="9">
        <v>23377</v>
      </c>
      <c r="D3710">
        <v>62</v>
      </c>
      <c r="E3710" t="s">
        <v>17</v>
      </c>
      <c r="F3710" t="s">
        <v>29</v>
      </c>
      <c r="G3710" s="9">
        <v>45440</v>
      </c>
      <c r="H3710" s="9">
        <v>45093</v>
      </c>
      <c r="I3710">
        <v>1</v>
      </c>
      <c r="J3710" t="s">
        <v>26</v>
      </c>
      <c r="K3710">
        <v>9</v>
      </c>
      <c r="L3710">
        <v>3</v>
      </c>
      <c r="M3710" s="11">
        <v>5156.4399999999996</v>
      </c>
      <c r="N3710" s="12">
        <v>14305.55</v>
      </c>
      <c r="O3710" s="12">
        <v>14119.61</v>
      </c>
    </row>
    <row r="3711" spans="1:15">
      <c r="A3711" t="s">
        <v>3885</v>
      </c>
      <c r="B3711" t="s">
        <v>89</v>
      </c>
      <c r="C3711" s="9">
        <v>32508</v>
      </c>
      <c r="D3711">
        <v>37</v>
      </c>
      <c r="E3711" t="s">
        <v>17</v>
      </c>
      <c r="F3711" t="s">
        <v>29</v>
      </c>
      <c r="G3711" s="9">
        <v>45076</v>
      </c>
      <c r="H3711" s="9">
        <v>44931</v>
      </c>
      <c r="I3711">
        <v>31</v>
      </c>
      <c r="J3711" t="s">
        <v>35</v>
      </c>
      <c r="K3711">
        <v>3</v>
      </c>
      <c r="L3711">
        <v>1</v>
      </c>
      <c r="M3711" s="11">
        <v>22848.6</v>
      </c>
      <c r="N3711" s="12">
        <v>12521.34</v>
      </c>
      <c r="O3711" s="12">
        <v>5731.71</v>
      </c>
    </row>
    <row r="3712" spans="1:15">
      <c r="A3712" t="s">
        <v>3886</v>
      </c>
      <c r="B3712" t="s">
        <v>207</v>
      </c>
      <c r="C3712" s="9">
        <v>21916</v>
      </c>
      <c r="D3712">
        <v>66</v>
      </c>
      <c r="E3712" t="s">
        <v>5185</v>
      </c>
      <c r="F3712" t="s">
        <v>49</v>
      </c>
      <c r="G3712" s="9">
        <v>45479</v>
      </c>
      <c r="H3712" s="9">
        <v>45390</v>
      </c>
      <c r="I3712">
        <v>1</v>
      </c>
      <c r="J3712" t="s">
        <v>35</v>
      </c>
      <c r="K3712">
        <v>3</v>
      </c>
      <c r="L3712">
        <v>5</v>
      </c>
      <c r="M3712" s="11">
        <v>26751.919999999998</v>
      </c>
      <c r="N3712" s="12">
        <v>1065.3599999999999</v>
      </c>
      <c r="O3712" s="12">
        <v>15902.36</v>
      </c>
    </row>
    <row r="3713" spans="1:15">
      <c r="A3713" t="s">
        <v>3887</v>
      </c>
      <c r="B3713" t="s">
        <v>48</v>
      </c>
      <c r="C3713" s="9">
        <v>24838</v>
      </c>
      <c r="D3713">
        <v>58</v>
      </c>
      <c r="E3713" t="s">
        <v>17</v>
      </c>
      <c r="F3713" t="s">
        <v>18</v>
      </c>
      <c r="G3713" s="9">
        <v>45277</v>
      </c>
      <c r="H3713" s="9">
        <v>45072</v>
      </c>
      <c r="I3713">
        <v>14</v>
      </c>
      <c r="J3713" t="s">
        <v>35</v>
      </c>
      <c r="K3713">
        <v>6</v>
      </c>
      <c r="L3713">
        <v>3</v>
      </c>
      <c r="M3713" s="11">
        <v>1547.77</v>
      </c>
      <c r="N3713" s="12">
        <v>13969.02</v>
      </c>
      <c r="O3713" s="12">
        <v>2016.15</v>
      </c>
    </row>
    <row r="3714" spans="1:15">
      <c r="A3714" t="s">
        <v>3888</v>
      </c>
      <c r="B3714" t="s">
        <v>302</v>
      </c>
      <c r="C3714" s="9">
        <v>21185</v>
      </c>
      <c r="D3714">
        <v>68</v>
      </c>
      <c r="E3714" t="s">
        <v>17</v>
      </c>
      <c r="F3714" t="s">
        <v>29</v>
      </c>
      <c r="G3714" s="9">
        <v>45042</v>
      </c>
      <c r="H3714" s="9">
        <v>45092</v>
      </c>
      <c r="I3714">
        <v>39</v>
      </c>
      <c r="J3714" t="s">
        <v>32</v>
      </c>
      <c r="K3714">
        <v>2</v>
      </c>
      <c r="L3714">
        <v>3</v>
      </c>
      <c r="M3714" s="11">
        <v>5894.44</v>
      </c>
      <c r="N3714" s="12">
        <v>13750.17</v>
      </c>
      <c r="O3714" s="12">
        <v>10714.29</v>
      </c>
    </row>
    <row r="3715" spans="1:15">
      <c r="A3715" t="s">
        <v>3889</v>
      </c>
      <c r="B3715" t="s">
        <v>539</v>
      </c>
      <c r="C3715" s="9">
        <v>41639</v>
      </c>
      <c r="D3715">
        <v>12</v>
      </c>
      <c r="E3715" t="s">
        <v>17</v>
      </c>
      <c r="F3715" t="s">
        <v>74</v>
      </c>
      <c r="G3715" s="9">
        <v>45558</v>
      </c>
      <c r="H3715" s="9">
        <v>45271</v>
      </c>
      <c r="I3715">
        <v>11</v>
      </c>
      <c r="J3715" t="s">
        <v>35</v>
      </c>
      <c r="K3715">
        <v>10</v>
      </c>
      <c r="L3715">
        <v>9</v>
      </c>
      <c r="M3715" s="11">
        <v>23097.45</v>
      </c>
      <c r="N3715" s="12">
        <v>632.75</v>
      </c>
      <c r="O3715" s="12">
        <v>14681.08</v>
      </c>
    </row>
    <row r="3716" spans="1:15">
      <c r="A3716" t="s">
        <v>3890</v>
      </c>
      <c r="B3716" t="s">
        <v>444</v>
      </c>
      <c r="C3716" s="9">
        <v>29221</v>
      </c>
      <c r="D3716">
        <v>46</v>
      </c>
      <c r="E3716" t="s">
        <v>17</v>
      </c>
      <c r="F3716" t="s">
        <v>49</v>
      </c>
      <c r="G3716" s="9">
        <v>45163</v>
      </c>
      <c r="H3716" s="9">
        <v>45801</v>
      </c>
      <c r="I3716">
        <v>14</v>
      </c>
      <c r="J3716" t="s">
        <v>32</v>
      </c>
      <c r="K3716">
        <v>4</v>
      </c>
      <c r="L3716">
        <v>2</v>
      </c>
      <c r="M3716" s="11">
        <v>24382.959999999999</v>
      </c>
      <c r="N3716" s="12">
        <v>3022.18</v>
      </c>
      <c r="O3716" s="12">
        <v>17660.2</v>
      </c>
    </row>
    <row r="3717" spans="1:15">
      <c r="A3717" t="s">
        <v>3891</v>
      </c>
      <c r="B3717" t="s">
        <v>117</v>
      </c>
      <c r="C3717" s="9">
        <v>24107</v>
      </c>
      <c r="D3717">
        <v>60</v>
      </c>
      <c r="E3717" t="s">
        <v>21</v>
      </c>
      <c r="F3717" t="s">
        <v>18</v>
      </c>
      <c r="G3717" s="9">
        <v>45196</v>
      </c>
      <c r="H3717" s="9">
        <v>45032</v>
      </c>
      <c r="I3717">
        <v>27</v>
      </c>
      <c r="J3717" t="s">
        <v>32</v>
      </c>
      <c r="K3717">
        <v>5</v>
      </c>
      <c r="L3717">
        <v>7</v>
      </c>
      <c r="M3717" s="11">
        <v>14754.88</v>
      </c>
      <c r="N3717" s="12">
        <v>10536.13</v>
      </c>
      <c r="O3717" s="12">
        <v>11350.04</v>
      </c>
    </row>
    <row r="3718" spans="1:15">
      <c r="A3718" t="s">
        <v>3892</v>
      </c>
      <c r="B3718" t="s">
        <v>24</v>
      </c>
      <c r="C3718" s="9">
        <v>35065</v>
      </c>
      <c r="D3718">
        <f ca="1">DATEDIF(C3669,TODAY(),"Y")</f>
        <v>19</v>
      </c>
      <c r="E3718" t="s">
        <v>5185</v>
      </c>
      <c r="F3718" t="s">
        <v>18</v>
      </c>
      <c r="G3718" s="9">
        <v>45217</v>
      </c>
      <c r="H3718" s="9">
        <v>45475</v>
      </c>
      <c r="I3718">
        <v>26</v>
      </c>
      <c r="J3718" t="s">
        <v>35</v>
      </c>
      <c r="K3718">
        <v>6</v>
      </c>
      <c r="L3718">
        <v>5</v>
      </c>
      <c r="M3718" s="11">
        <v>20693.93</v>
      </c>
      <c r="N3718" s="12">
        <v>14018.6</v>
      </c>
      <c r="O3718" s="12">
        <v>5092.29</v>
      </c>
    </row>
    <row r="3719" spans="1:15">
      <c r="A3719" t="s">
        <v>3893</v>
      </c>
      <c r="B3719" t="s">
        <v>487</v>
      </c>
      <c r="C3719" s="9">
        <v>17168</v>
      </c>
      <c r="D3719">
        <v>79</v>
      </c>
      <c r="E3719" t="s">
        <v>21</v>
      </c>
      <c r="F3719" t="s">
        <v>25</v>
      </c>
      <c r="G3719" s="9">
        <v>45360</v>
      </c>
      <c r="H3719" s="9">
        <v>45241</v>
      </c>
      <c r="I3719">
        <v>4</v>
      </c>
      <c r="J3719" t="s">
        <v>35</v>
      </c>
      <c r="K3719">
        <v>7</v>
      </c>
      <c r="L3719">
        <v>8</v>
      </c>
      <c r="M3719" s="11">
        <v>1866.81</v>
      </c>
      <c r="N3719" s="12">
        <v>12346.72</v>
      </c>
      <c r="O3719" s="12">
        <v>16962.11</v>
      </c>
    </row>
    <row r="3720" spans="1:15">
      <c r="A3720" t="s">
        <v>3894</v>
      </c>
      <c r="B3720" t="s">
        <v>31</v>
      </c>
      <c r="C3720" s="9">
        <v>38352</v>
      </c>
      <c r="D3720">
        <v>21</v>
      </c>
      <c r="E3720" t="s">
        <v>17</v>
      </c>
      <c r="F3720" t="s">
        <v>22</v>
      </c>
      <c r="G3720" s="9">
        <v>44935</v>
      </c>
      <c r="H3720" s="9">
        <v>45096</v>
      </c>
      <c r="I3720">
        <v>6</v>
      </c>
      <c r="J3720" t="s">
        <v>35</v>
      </c>
      <c r="K3720">
        <v>8</v>
      </c>
      <c r="L3720">
        <v>4</v>
      </c>
      <c r="M3720" s="11">
        <v>25410.63</v>
      </c>
      <c r="N3720" s="12">
        <v>4228.47</v>
      </c>
      <c r="O3720" s="12">
        <v>15336.41</v>
      </c>
    </row>
    <row r="3721" spans="1:15">
      <c r="A3721" t="s">
        <v>3895</v>
      </c>
      <c r="B3721" t="s">
        <v>427</v>
      </c>
      <c r="C3721" s="9">
        <v>12419</v>
      </c>
      <c r="D3721">
        <v>92</v>
      </c>
      <c r="E3721" t="s">
        <v>21</v>
      </c>
      <c r="F3721" t="s">
        <v>5184</v>
      </c>
      <c r="G3721" s="9">
        <v>45556</v>
      </c>
      <c r="H3721" s="9">
        <v>45447</v>
      </c>
      <c r="I3721">
        <v>20</v>
      </c>
      <c r="J3721" t="s">
        <v>26</v>
      </c>
      <c r="K3721">
        <v>6</v>
      </c>
      <c r="L3721">
        <v>5</v>
      </c>
      <c r="M3721" s="11">
        <v>24898.23</v>
      </c>
      <c r="N3721" s="12">
        <v>501.58</v>
      </c>
      <c r="O3721" s="12">
        <v>2986.65</v>
      </c>
    </row>
    <row r="3722" spans="1:15">
      <c r="A3722" t="s">
        <v>3896</v>
      </c>
      <c r="B3722" t="s">
        <v>123</v>
      </c>
      <c r="C3722" s="9">
        <v>14976</v>
      </c>
      <c r="D3722">
        <v>85</v>
      </c>
      <c r="E3722" t="s">
        <v>21</v>
      </c>
      <c r="F3722" t="s">
        <v>74</v>
      </c>
      <c r="G3722" s="9">
        <v>45401</v>
      </c>
      <c r="H3722" s="9">
        <v>45525</v>
      </c>
      <c r="I3722">
        <v>33</v>
      </c>
      <c r="J3722" t="s">
        <v>26</v>
      </c>
      <c r="K3722">
        <v>12</v>
      </c>
      <c r="L3722">
        <v>8</v>
      </c>
      <c r="M3722" s="11">
        <v>20648.759999999998</v>
      </c>
      <c r="N3722" s="12">
        <v>7093.31</v>
      </c>
      <c r="O3722" s="12">
        <v>17434.990000000002</v>
      </c>
    </row>
    <row r="3723" spans="1:15">
      <c r="A3723" t="s">
        <v>3897</v>
      </c>
      <c r="B3723" t="s">
        <v>192</v>
      </c>
      <c r="C3723" s="9">
        <v>30682</v>
      </c>
      <c r="D3723">
        <v>42</v>
      </c>
      <c r="E3723" t="s">
        <v>21</v>
      </c>
      <c r="F3723" t="s">
        <v>22</v>
      </c>
      <c r="G3723" s="9">
        <v>45448</v>
      </c>
      <c r="H3723" s="9">
        <v>45363</v>
      </c>
      <c r="I3723">
        <v>11</v>
      </c>
      <c r="J3723" t="s">
        <v>35</v>
      </c>
      <c r="K3723">
        <v>2</v>
      </c>
      <c r="L3723">
        <v>3</v>
      </c>
      <c r="M3723" s="11">
        <v>27447.97</v>
      </c>
      <c r="N3723" s="12">
        <v>1379.43</v>
      </c>
      <c r="O3723" s="12">
        <v>19193.53</v>
      </c>
    </row>
    <row r="3724" spans="1:15">
      <c r="A3724" t="s">
        <v>3898</v>
      </c>
      <c r="B3724" t="s">
        <v>444</v>
      </c>
      <c r="C3724" s="9">
        <v>21916</v>
      </c>
      <c r="D3724">
        <v>66</v>
      </c>
      <c r="E3724" t="s">
        <v>21</v>
      </c>
      <c r="F3724" t="s">
        <v>49</v>
      </c>
      <c r="G3724" s="9">
        <v>45463</v>
      </c>
      <c r="H3724" s="9">
        <v>45536</v>
      </c>
      <c r="I3724">
        <v>17</v>
      </c>
      <c r="J3724" t="s">
        <v>32</v>
      </c>
      <c r="K3724">
        <v>2</v>
      </c>
      <c r="L3724">
        <v>9</v>
      </c>
      <c r="M3724" s="11">
        <v>952.85</v>
      </c>
      <c r="N3724" s="12">
        <v>3679.44</v>
      </c>
      <c r="O3724" s="12">
        <v>10708.46</v>
      </c>
    </row>
    <row r="3725" spans="1:15">
      <c r="A3725" t="s">
        <v>3899</v>
      </c>
      <c r="B3725" t="s">
        <v>487</v>
      </c>
      <c r="C3725" s="9">
        <v>26664</v>
      </c>
      <c r="D3725">
        <v>53</v>
      </c>
      <c r="E3725" t="s">
        <v>21</v>
      </c>
      <c r="F3725" t="s">
        <v>49</v>
      </c>
      <c r="G3725" s="9">
        <v>45611</v>
      </c>
      <c r="H3725" s="9">
        <v>45439</v>
      </c>
      <c r="I3725">
        <v>14</v>
      </c>
      <c r="J3725" t="s">
        <v>35</v>
      </c>
      <c r="K3725">
        <v>8</v>
      </c>
      <c r="L3725">
        <v>6</v>
      </c>
      <c r="M3725" s="11">
        <v>6544.39</v>
      </c>
      <c r="N3725" s="12">
        <v>9601.4599999999991</v>
      </c>
      <c r="O3725" s="12">
        <v>671.14</v>
      </c>
    </row>
    <row r="3726" spans="1:15">
      <c r="A3726" t="s">
        <v>3900</v>
      </c>
      <c r="B3726" t="s">
        <v>91</v>
      </c>
      <c r="C3726" s="9">
        <v>42735</v>
      </c>
      <c r="D3726">
        <v>9</v>
      </c>
      <c r="E3726" t="s">
        <v>17</v>
      </c>
      <c r="F3726" t="s">
        <v>74</v>
      </c>
      <c r="G3726" s="9">
        <v>44937</v>
      </c>
      <c r="H3726" s="9">
        <v>45336</v>
      </c>
      <c r="I3726">
        <v>29</v>
      </c>
      <c r="J3726" t="s">
        <v>32</v>
      </c>
      <c r="K3726">
        <v>9</v>
      </c>
      <c r="L3726">
        <v>9</v>
      </c>
      <c r="M3726" s="11">
        <v>10557.63</v>
      </c>
      <c r="N3726" s="12">
        <v>7425.28</v>
      </c>
      <c r="O3726" s="12">
        <v>18303.849999999999</v>
      </c>
    </row>
    <row r="3727" spans="1:15">
      <c r="A3727" t="s">
        <v>3901</v>
      </c>
      <c r="B3727" t="s">
        <v>446</v>
      </c>
      <c r="C3727" s="9">
        <v>31047</v>
      </c>
      <c r="D3727">
        <v>41</v>
      </c>
      <c r="E3727" t="s">
        <v>21</v>
      </c>
      <c r="F3727" t="s">
        <v>18</v>
      </c>
      <c r="G3727" s="9">
        <v>45539</v>
      </c>
      <c r="H3727" s="9">
        <v>45363</v>
      </c>
      <c r="I3727">
        <v>22</v>
      </c>
      <c r="J3727" t="s">
        <v>26</v>
      </c>
      <c r="K3727">
        <v>13</v>
      </c>
      <c r="L3727">
        <v>9</v>
      </c>
      <c r="M3727" s="11">
        <v>4336.96</v>
      </c>
      <c r="N3727" s="12">
        <v>5650.79</v>
      </c>
      <c r="O3727" s="12">
        <v>2367.59</v>
      </c>
    </row>
    <row r="3728" spans="1:15">
      <c r="A3728" t="s">
        <v>3902</v>
      </c>
      <c r="B3728" t="s">
        <v>127</v>
      </c>
      <c r="C3728" s="9">
        <v>23012</v>
      </c>
      <c r="D3728">
        <v>63</v>
      </c>
      <c r="E3728" t="s">
        <v>21</v>
      </c>
      <c r="F3728" t="s">
        <v>29</v>
      </c>
      <c r="G3728" s="9">
        <v>45253</v>
      </c>
      <c r="H3728" s="9">
        <v>45242</v>
      </c>
      <c r="I3728">
        <v>27</v>
      </c>
      <c r="J3728" t="s">
        <v>26</v>
      </c>
      <c r="K3728">
        <v>3</v>
      </c>
      <c r="L3728">
        <v>5</v>
      </c>
      <c r="M3728" s="11">
        <v>24352.240000000002</v>
      </c>
      <c r="N3728" s="12">
        <v>13949.43</v>
      </c>
      <c r="O3728" s="12">
        <v>12625.75</v>
      </c>
    </row>
    <row r="3729" spans="1:15">
      <c r="A3729" t="s">
        <v>3903</v>
      </c>
      <c r="B3729" t="s">
        <v>189</v>
      </c>
      <c r="C3729" s="9">
        <v>38717</v>
      </c>
      <c r="D3729">
        <v>20</v>
      </c>
      <c r="E3729" t="s">
        <v>21</v>
      </c>
      <c r="F3729" t="s">
        <v>74</v>
      </c>
      <c r="G3729" s="9">
        <v>45521</v>
      </c>
      <c r="H3729" s="9">
        <v>45469</v>
      </c>
      <c r="I3729">
        <v>24</v>
      </c>
      <c r="J3729" t="s">
        <v>32</v>
      </c>
      <c r="K3729">
        <v>1</v>
      </c>
      <c r="L3729">
        <v>5</v>
      </c>
      <c r="M3729" s="11">
        <v>0</v>
      </c>
      <c r="N3729" s="12">
        <v>2894.49</v>
      </c>
      <c r="O3729" s="12">
        <v>7958.24</v>
      </c>
    </row>
    <row r="3730" spans="1:15">
      <c r="A3730" t="s">
        <v>3904</v>
      </c>
      <c r="B3730" t="s">
        <v>350</v>
      </c>
      <c r="C3730" s="9">
        <v>17168</v>
      </c>
      <c r="D3730">
        <v>79</v>
      </c>
      <c r="E3730" t="s">
        <v>17</v>
      </c>
      <c r="F3730" t="s">
        <v>49</v>
      </c>
      <c r="G3730" s="9">
        <v>45202</v>
      </c>
      <c r="H3730" s="9">
        <v>45540</v>
      </c>
      <c r="I3730">
        <v>24</v>
      </c>
      <c r="J3730" t="s">
        <v>26</v>
      </c>
      <c r="K3730">
        <v>13</v>
      </c>
      <c r="L3730">
        <v>5</v>
      </c>
      <c r="M3730" s="11">
        <v>23084.2</v>
      </c>
      <c r="N3730" s="12">
        <v>7312.17</v>
      </c>
      <c r="O3730" s="12">
        <v>19839.88</v>
      </c>
    </row>
    <row r="3731" spans="1:15">
      <c r="A3731" t="s">
        <v>3905</v>
      </c>
      <c r="B3731" t="s">
        <v>39</v>
      </c>
      <c r="C3731" s="9">
        <v>18629</v>
      </c>
      <c r="D3731">
        <v>75</v>
      </c>
      <c r="E3731" t="s">
        <v>21</v>
      </c>
      <c r="F3731" t="s">
        <v>22</v>
      </c>
      <c r="G3731" s="9">
        <v>45296</v>
      </c>
      <c r="H3731" s="9">
        <v>45506</v>
      </c>
      <c r="I3731">
        <v>28</v>
      </c>
      <c r="J3731" t="s">
        <v>35</v>
      </c>
      <c r="K3731">
        <v>0</v>
      </c>
      <c r="L3731">
        <v>3</v>
      </c>
      <c r="M3731" s="11">
        <v>8384.4500000000007</v>
      </c>
      <c r="N3731" s="12">
        <v>8602.43</v>
      </c>
      <c r="O3731" s="12">
        <v>18335.009999999998</v>
      </c>
    </row>
    <row r="3732" spans="1:15">
      <c r="A3732" t="s">
        <v>3906</v>
      </c>
      <c r="B3732" t="s">
        <v>664</v>
      </c>
      <c r="C3732" s="9">
        <v>22281</v>
      </c>
      <c r="D3732">
        <v>65</v>
      </c>
      <c r="E3732" t="s">
        <v>21</v>
      </c>
      <c r="F3732" t="s">
        <v>5184</v>
      </c>
      <c r="G3732" s="9">
        <v>45416</v>
      </c>
      <c r="H3732" s="9">
        <v>45788</v>
      </c>
      <c r="I3732">
        <v>23</v>
      </c>
      <c r="J3732" t="s">
        <v>32</v>
      </c>
      <c r="K3732">
        <v>0</v>
      </c>
      <c r="L3732">
        <v>9</v>
      </c>
      <c r="M3732" s="11">
        <v>22761.93</v>
      </c>
      <c r="N3732" s="12">
        <v>4829.13</v>
      </c>
      <c r="O3732" s="12">
        <v>15668.53</v>
      </c>
    </row>
    <row r="3733" spans="1:15">
      <c r="A3733" t="s">
        <v>3907</v>
      </c>
      <c r="B3733" t="s">
        <v>209</v>
      </c>
      <c r="C3733" s="9">
        <v>31412</v>
      </c>
      <c r="D3733">
        <v>40</v>
      </c>
      <c r="E3733" t="s">
        <v>17</v>
      </c>
      <c r="F3733" t="s">
        <v>74</v>
      </c>
      <c r="G3733" s="9">
        <v>45271</v>
      </c>
      <c r="H3733" s="9">
        <v>44990</v>
      </c>
      <c r="I3733">
        <v>11</v>
      </c>
      <c r="J3733" t="s">
        <v>32</v>
      </c>
      <c r="K3733">
        <v>7</v>
      </c>
      <c r="L3733">
        <v>5</v>
      </c>
      <c r="M3733" s="11">
        <v>3253.25</v>
      </c>
      <c r="N3733" s="12">
        <v>10579.46</v>
      </c>
      <c r="O3733" s="12">
        <v>3905.47</v>
      </c>
    </row>
    <row r="3734" spans="1:15">
      <c r="A3734" t="s">
        <v>3908</v>
      </c>
      <c r="B3734" t="s">
        <v>356</v>
      </c>
      <c r="C3734" s="9">
        <v>37622</v>
      </c>
      <c r="D3734">
        <v>23</v>
      </c>
      <c r="E3734" t="s">
        <v>17</v>
      </c>
      <c r="F3734" t="s">
        <v>18</v>
      </c>
      <c r="G3734" s="9">
        <v>45294</v>
      </c>
      <c r="H3734" s="9">
        <v>44959</v>
      </c>
      <c r="I3734">
        <v>18</v>
      </c>
      <c r="J3734" t="s">
        <v>32</v>
      </c>
      <c r="K3734">
        <v>6</v>
      </c>
      <c r="L3734">
        <v>6</v>
      </c>
      <c r="M3734" s="11">
        <v>2757.41</v>
      </c>
      <c r="N3734" s="12">
        <v>13009.18</v>
      </c>
      <c r="O3734" s="12">
        <v>13953.78</v>
      </c>
    </row>
    <row r="3735" spans="1:15">
      <c r="A3735" t="s">
        <v>3909</v>
      </c>
      <c r="B3735" t="s">
        <v>332</v>
      </c>
      <c r="C3735" s="9">
        <v>33604</v>
      </c>
      <c r="D3735">
        <v>34</v>
      </c>
      <c r="E3735" t="s">
        <v>21</v>
      </c>
      <c r="F3735" t="s">
        <v>5184</v>
      </c>
      <c r="G3735" s="9">
        <v>45237</v>
      </c>
      <c r="H3735" s="9">
        <v>45526</v>
      </c>
      <c r="I3735">
        <v>25</v>
      </c>
      <c r="J3735" t="s">
        <v>26</v>
      </c>
      <c r="K3735">
        <v>4</v>
      </c>
      <c r="L3735">
        <v>1</v>
      </c>
      <c r="M3735" s="11">
        <v>17313.75</v>
      </c>
      <c r="N3735" s="12">
        <v>8122.18</v>
      </c>
      <c r="O3735" s="12">
        <v>11400.13</v>
      </c>
    </row>
    <row r="3736" spans="1:15">
      <c r="A3736" t="s">
        <v>3910</v>
      </c>
      <c r="B3736" t="s">
        <v>278</v>
      </c>
      <c r="C3736" s="9">
        <v>25934</v>
      </c>
      <c r="D3736">
        <v>55</v>
      </c>
      <c r="E3736" t="s">
        <v>21</v>
      </c>
      <c r="F3736" t="s">
        <v>5184</v>
      </c>
      <c r="G3736" s="9">
        <v>45527</v>
      </c>
      <c r="H3736" s="9">
        <v>45138</v>
      </c>
      <c r="I3736">
        <v>12</v>
      </c>
      <c r="J3736" t="s">
        <v>32</v>
      </c>
      <c r="K3736">
        <v>12</v>
      </c>
      <c r="L3736">
        <v>8</v>
      </c>
      <c r="M3736" s="11">
        <v>984.39</v>
      </c>
      <c r="N3736" s="12">
        <v>11720.05</v>
      </c>
      <c r="O3736" s="12">
        <v>2620.4699999999998</v>
      </c>
    </row>
    <row r="3737" spans="1:15">
      <c r="A3737" t="s">
        <v>3911</v>
      </c>
      <c r="B3737" t="s">
        <v>392</v>
      </c>
      <c r="C3737" s="9">
        <v>35430</v>
      </c>
      <c r="D3737">
        <v>29</v>
      </c>
      <c r="E3737" t="s">
        <v>21</v>
      </c>
      <c r="F3737" t="s">
        <v>5184</v>
      </c>
      <c r="G3737" s="9">
        <v>45411</v>
      </c>
      <c r="H3737" s="9">
        <v>45390</v>
      </c>
      <c r="I3737">
        <v>27</v>
      </c>
      <c r="J3737" t="s">
        <v>32</v>
      </c>
      <c r="K3737">
        <v>12</v>
      </c>
      <c r="L3737">
        <v>6</v>
      </c>
      <c r="M3737" s="11">
        <v>28128.84</v>
      </c>
      <c r="N3737" s="12">
        <v>914.42</v>
      </c>
      <c r="O3737" s="12">
        <v>15873.09</v>
      </c>
    </row>
    <row r="3738" spans="1:15">
      <c r="A3738" t="s">
        <v>3912</v>
      </c>
      <c r="B3738" t="s">
        <v>181</v>
      </c>
      <c r="C3738" s="9">
        <v>25568</v>
      </c>
      <c r="D3738">
        <v>56</v>
      </c>
      <c r="E3738" t="s">
        <v>5185</v>
      </c>
      <c r="F3738" t="s">
        <v>25</v>
      </c>
      <c r="G3738" s="9">
        <v>44941</v>
      </c>
      <c r="H3738" s="9">
        <v>45490</v>
      </c>
      <c r="I3738">
        <v>22</v>
      </c>
      <c r="J3738" t="s">
        <v>32</v>
      </c>
      <c r="K3738">
        <v>13</v>
      </c>
      <c r="L3738">
        <v>2</v>
      </c>
      <c r="M3738" s="11">
        <v>9529.82</v>
      </c>
      <c r="N3738" s="12">
        <v>2306.7399999999998</v>
      </c>
      <c r="O3738" s="12">
        <v>1637.77</v>
      </c>
    </row>
    <row r="3739" spans="1:15">
      <c r="A3739" t="s">
        <v>3913</v>
      </c>
      <c r="B3739" t="s">
        <v>229</v>
      </c>
      <c r="C3739" s="9">
        <v>12054</v>
      </c>
      <c r="D3739">
        <v>93</v>
      </c>
      <c r="E3739" t="s">
        <v>21</v>
      </c>
      <c r="F3739" t="s">
        <v>5184</v>
      </c>
      <c r="G3739" s="9">
        <v>45614</v>
      </c>
      <c r="H3739" s="9">
        <v>45502</v>
      </c>
      <c r="I3739">
        <v>8</v>
      </c>
      <c r="J3739" t="s">
        <v>26</v>
      </c>
      <c r="K3739">
        <v>12</v>
      </c>
      <c r="L3739">
        <v>9</v>
      </c>
      <c r="M3739" s="11">
        <v>14049.49</v>
      </c>
      <c r="N3739" s="12">
        <v>6930.38</v>
      </c>
      <c r="O3739" s="12">
        <v>9580.35</v>
      </c>
    </row>
    <row r="3740" spans="1:15">
      <c r="A3740" t="s">
        <v>3914</v>
      </c>
      <c r="B3740" t="s">
        <v>379</v>
      </c>
      <c r="C3740" s="9">
        <f>DATE(2026-D3700,1,1)</f>
        <v>43831</v>
      </c>
      <c r="D3740">
        <v>46</v>
      </c>
      <c r="E3740" t="s">
        <v>17</v>
      </c>
      <c r="F3740" t="s">
        <v>25</v>
      </c>
      <c r="G3740" s="9">
        <v>44930</v>
      </c>
      <c r="H3740" s="9">
        <v>45007</v>
      </c>
      <c r="I3740">
        <v>8</v>
      </c>
      <c r="J3740" t="s">
        <v>32</v>
      </c>
      <c r="K3740">
        <v>7</v>
      </c>
      <c r="L3740">
        <v>9</v>
      </c>
      <c r="M3740" s="11">
        <v>24303.49</v>
      </c>
      <c r="N3740" s="12">
        <v>13815.3</v>
      </c>
      <c r="O3740" s="12">
        <v>8473.93</v>
      </c>
    </row>
    <row r="3741" spans="1:15">
      <c r="A3741" t="s">
        <v>3915</v>
      </c>
      <c r="B3741" t="s">
        <v>44</v>
      </c>
      <c r="C3741" s="9">
        <v>33604</v>
      </c>
      <c r="D3741">
        <v>34</v>
      </c>
      <c r="E3741" t="s">
        <v>21</v>
      </c>
      <c r="F3741" t="s">
        <v>29</v>
      </c>
      <c r="G3741" s="9">
        <v>45302</v>
      </c>
      <c r="H3741" s="9">
        <v>45270</v>
      </c>
      <c r="I3741">
        <v>25</v>
      </c>
      <c r="J3741" t="s">
        <v>32</v>
      </c>
      <c r="K3741">
        <v>3</v>
      </c>
      <c r="L3741">
        <v>6</v>
      </c>
      <c r="M3741" s="11">
        <v>11701.61</v>
      </c>
      <c r="N3741" s="12">
        <v>7973.87</v>
      </c>
      <c r="O3741" s="12">
        <v>16104.57</v>
      </c>
    </row>
    <row r="3742" spans="1:15">
      <c r="A3742" t="s">
        <v>3916</v>
      </c>
      <c r="B3742" t="s">
        <v>163</v>
      </c>
      <c r="C3742" s="9">
        <v>39448</v>
      </c>
      <c r="D3742">
        <f ca="1">DATEDIF(C3693,TODAY(),"Y")</f>
        <v>77</v>
      </c>
      <c r="E3742" t="s">
        <v>17</v>
      </c>
      <c r="F3742" t="s">
        <v>29</v>
      </c>
      <c r="G3742" s="9">
        <v>45295</v>
      </c>
      <c r="H3742" s="9">
        <v>45159</v>
      </c>
      <c r="I3742">
        <v>2</v>
      </c>
      <c r="J3742" t="s">
        <v>35</v>
      </c>
      <c r="K3742">
        <v>12</v>
      </c>
      <c r="L3742">
        <v>9</v>
      </c>
      <c r="M3742" s="11">
        <v>12634.68</v>
      </c>
      <c r="N3742" s="12">
        <v>6484.53</v>
      </c>
      <c r="O3742" s="12">
        <v>8494.11</v>
      </c>
    </row>
    <row r="3743" spans="1:15">
      <c r="A3743" t="s">
        <v>3917</v>
      </c>
      <c r="B3743" t="s">
        <v>240</v>
      </c>
      <c r="C3743" s="9">
        <v>43466</v>
      </c>
      <c r="D3743">
        <v>7</v>
      </c>
      <c r="E3743" t="s">
        <v>21</v>
      </c>
      <c r="F3743" t="s">
        <v>5184</v>
      </c>
      <c r="G3743" s="9">
        <v>45391</v>
      </c>
      <c r="H3743" s="9">
        <v>45805</v>
      </c>
      <c r="I3743">
        <v>25</v>
      </c>
      <c r="J3743" t="s">
        <v>35</v>
      </c>
      <c r="K3743">
        <v>10</v>
      </c>
      <c r="L3743">
        <v>9</v>
      </c>
      <c r="M3743" s="11">
        <v>10112.290000000001</v>
      </c>
      <c r="N3743" s="12">
        <v>9001.61</v>
      </c>
      <c r="O3743" s="12">
        <v>13855.65</v>
      </c>
    </row>
    <row r="3744" spans="1:15">
      <c r="A3744" t="s">
        <v>3918</v>
      </c>
      <c r="B3744" t="s">
        <v>341</v>
      </c>
      <c r="C3744" s="9">
        <v>36891</v>
      </c>
      <c r="D3744">
        <v>25</v>
      </c>
      <c r="E3744" t="s">
        <v>21</v>
      </c>
      <c r="F3744" t="s">
        <v>18</v>
      </c>
      <c r="G3744" s="9">
        <v>45459</v>
      </c>
      <c r="H3744" s="9">
        <v>45540</v>
      </c>
      <c r="I3744">
        <v>5</v>
      </c>
      <c r="J3744" t="s">
        <v>32</v>
      </c>
      <c r="K3744">
        <v>8</v>
      </c>
      <c r="L3744">
        <v>4</v>
      </c>
      <c r="M3744" s="11">
        <v>10227.57</v>
      </c>
      <c r="N3744" s="12">
        <v>1866.99</v>
      </c>
      <c r="O3744" s="12">
        <v>9513.0400000000009</v>
      </c>
    </row>
    <row r="3745" spans="1:15">
      <c r="A3745" t="s">
        <v>3919</v>
      </c>
      <c r="B3745" t="s">
        <v>550</v>
      </c>
      <c r="C3745" s="9">
        <v>20455</v>
      </c>
      <c r="D3745">
        <v>70</v>
      </c>
      <c r="E3745" t="s">
        <v>21</v>
      </c>
      <c r="F3745" t="s">
        <v>22</v>
      </c>
      <c r="G3745" s="9">
        <v>45646</v>
      </c>
      <c r="H3745" s="9">
        <v>45056</v>
      </c>
      <c r="I3745">
        <v>23</v>
      </c>
      <c r="J3745" t="s">
        <v>32</v>
      </c>
      <c r="K3745">
        <v>1</v>
      </c>
      <c r="L3745">
        <v>8</v>
      </c>
      <c r="M3745" s="11">
        <v>13772.64</v>
      </c>
      <c r="N3745" s="12">
        <v>9805.2099999999991</v>
      </c>
      <c r="O3745" s="12">
        <v>11598.62</v>
      </c>
    </row>
    <row r="3746" spans="1:15">
      <c r="A3746" t="s">
        <v>3920</v>
      </c>
      <c r="B3746" t="s">
        <v>240</v>
      </c>
      <c r="C3746" s="9">
        <v>35430</v>
      </c>
      <c r="D3746">
        <v>29</v>
      </c>
      <c r="E3746" t="s">
        <v>21</v>
      </c>
      <c r="F3746" t="s">
        <v>29</v>
      </c>
      <c r="G3746" s="9">
        <v>45063</v>
      </c>
      <c r="H3746" s="9">
        <v>44946</v>
      </c>
      <c r="I3746">
        <v>3</v>
      </c>
      <c r="J3746" t="s">
        <v>26</v>
      </c>
      <c r="K3746">
        <v>6</v>
      </c>
      <c r="L3746">
        <v>5</v>
      </c>
      <c r="M3746" s="11">
        <v>28350.82</v>
      </c>
      <c r="N3746" s="12">
        <v>1410.32</v>
      </c>
      <c r="O3746" s="12">
        <v>4744.92</v>
      </c>
    </row>
    <row r="3747" spans="1:15">
      <c r="A3747" t="s">
        <v>3921</v>
      </c>
      <c r="B3747" t="s">
        <v>198</v>
      </c>
      <c r="C3747" s="9">
        <v>43831</v>
      </c>
      <c r="D3747">
        <v>6</v>
      </c>
      <c r="E3747" t="s">
        <v>21</v>
      </c>
      <c r="F3747" t="s">
        <v>25</v>
      </c>
      <c r="G3747" s="9">
        <v>45289</v>
      </c>
      <c r="H3747" s="9">
        <v>45284</v>
      </c>
      <c r="I3747">
        <v>29</v>
      </c>
      <c r="J3747" t="s">
        <v>32</v>
      </c>
      <c r="K3747">
        <v>1</v>
      </c>
      <c r="L3747">
        <v>6</v>
      </c>
      <c r="M3747" s="11">
        <v>28048.55</v>
      </c>
      <c r="N3747" s="12">
        <v>8651.9</v>
      </c>
      <c r="O3747" s="12">
        <v>3969.31</v>
      </c>
    </row>
    <row r="3748" spans="1:15">
      <c r="A3748" t="s">
        <v>3922</v>
      </c>
      <c r="B3748" t="s">
        <v>153</v>
      </c>
      <c r="C3748" s="9">
        <v>21916</v>
      </c>
      <c r="D3748">
        <v>66</v>
      </c>
      <c r="E3748" t="s">
        <v>17</v>
      </c>
      <c r="F3748" t="s">
        <v>18</v>
      </c>
      <c r="G3748" s="9">
        <v>45142</v>
      </c>
      <c r="H3748" s="9">
        <v>45346</v>
      </c>
      <c r="I3748">
        <v>29</v>
      </c>
      <c r="J3748" t="s">
        <v>32</v>
      </c>
      <c r="K3748">
        <v>12</v>
      </c>
      <c r="L3748">
        <v>3</v>
      </c>
      <c r="M3748" s="11">
        <v>16127.43</v>
      </c>
      <c r="N3748" s="12">
        <v>10715.85</v>
      </c>
      <c r="O3748" s="12">
        <v>14169.26</v>
      </c>
    </row>
    <row r="3749" spans="1:15">
      <c r="A3749" t="s">
        <v>3923</v>
      </c>
      <c r="B3749" t="s">
        <v>326</v>
      </c>
      <c r="C3749" s="9">
        <v>22646</v>
      </c>
      <c r="D3749">
        <v>64</v>
      </c>
      <c r="E3749" t="s">
        <v>5185</v>
      </c>
      <c r="F3749" t="s">
        <v>5184</v>
      </c>
      <c r="G3749" s="9">
        <v>45294</v>
      </c>
      <c r="H3749" s="9">
        <v>45533</v>
      </c>
      <c r="I3749">
        <v>9</v>
      </c>
      <c r="J3749" t="s">
        <v>32</v>
      </c>
      <c r="K3749">
        <v>7</v>
      </c>
      <c r="L3749">
        <v>1</v>
      </c>
      <c r="M3749" s="11">
        <v>13406.77</v>
      </c>
      <c r="N3749" s="12">
        <v>6172.61</v>
      </c>
      <c r="O3749" s="12">
        <v>2358.84</v>
      </c>
    </row>
    <row r="3750" spans="1:15">
      <c r="A3750" t="s">
        <v>3924</v>
      </c>
      <c r="B3750" t="s">
        <v>292</v>
      </c>
      <c r="C3750" s="9">
        <v>33239</v>
      </c>
      <c r="D3750">
        <f ca="1">DATEDIF(C3701,TODAY(),"Y")</f>
        <v>34</v>
      </c>
      <c r="E3750" t="s">
        <v>21</v>
      </c>
      <c r="F3750" t="s">
        <v>18</v>
      </c>
      <c r="G3750" s="9">
        <v>45043</v>
      </c>
      <c r="H3750" s="9">
        <v>45008</v>
      </c>
      <c r="I3750">
        <v>3</v>
      </c>
      <c r="J3750" t="s">
        <v>32</v>
      </c>
      <c r="K3750">
        <v>9</v>
      </c>
      <c r="L3750">
        <v>3</v>
      </c>
      <c r="M3750" s="11">
        <v>24148.92</v>
      </c>
      <c r="N3750" s="12">
        <v>13663.54</v>
      </c>
      <c r="O3750" s="12">
        <v>3437.28</v>
      </c>
    </row>
    <row r="3751" spans="1:15">
      <c r="A3751" t="s">
        <v>3925</v>
      </c>
      <c r="B3751" t="s">
        <v>332</v>
      </c>
      <c r="C3751" s="9">
        <v>37256</v>
      </c>
      <c r="D3751">
        <v>24</v>
      </c>
      <c r="E3751" t="s">
        <v>17</v>
      </c>
      <c r="F3751" t="s">
        <v>18</v>
      </c>
      <c r="G3751" s="9">
        <v>45105</v>
      </c>
      <c r="H3751" s="9">
        <v>45542</v>
      </c>
      <c r="I3751">
        <v>10</v>
      </c>
      <c r="J3751" t="s">
        <v>32</v>
      </c>
      <c r="K3751">
        <v>1</v>
      </c>
      <c r="L3751">
        <v>8</v>
      </c>
      <c r="M3751" s="11">
        <v>20268.34</v>
      </c>
      <c r="N3751" s="12">
        <v>2280.48</v>
      </c>
      <c r="O3751" s="12">
        <v>18813.02</v>
      </c>
    </row>
    <row r="3752" spans="1:15">
      <c r="A3752" t="s">
        <v>3926</v>
      </c>
      <c r="B3752" t="s">
        <v>286</v>
      </c>
      <c r="C3752" s="9">
        <v>32873</v>
      </c>
      <c r="D3752">
        <v>36</v>
      </c>
      <c r="E3752" t="s">
        <v>5185</v>
      </c>
      <c r="F3752" t="s">
        <v>74</v>
      </c>
      <c r="G3752" s="9">
        <v>45172</v>
      </c>
      <c r="H3752" s="9">
        <v>45808</v>
      </c>
      <c r="I3752">
        <v>36</v>
      </c>
      <c r="J3752" t="s">
        <v>26</v>
      </c>
      <c r="K3752">
        <v>1</v>
      </c>
      <c r="L3752">
        <v>2</v>
      </c>
      <c r="M3752" s="11">
        <v>26387.68</v>
      </c>
      <c r="N3752" s="12">
        <v>2564.38</v>
      </c>
      <c r="O3752" s="12">
        <v>4991.91</v>
      </c>
    </row>
    <row r="3753" spans="1:15">
      <c r="A3753" t="s">
        <v>3927</v>
      </c>
      <c r="B3753" t="s">
        <v>341</v>
      </c>
      <c r="C3753" s="9">
        <v>46022</v>
      </c>
      <c r="D3753">
        <v>0</v>
      </c>
      <c r="E3753" t="s">
        <v>17</v>
      </c>
      <c r="F3753" t="s">
        <v>22</v>
      </c>
      <c r="G3753" s="9">
        <v>45054</v>
      </c>
      <c r="H3753" s="9">
        <v>45593</v>
      </c>
      <c r="I3753">
        <v>37</v>
      </c>
      <c r="J3753" t="s">
        <v>35</v>
      </c>
      <c r="K3753">
        <v>1</v>
      </c>
      <c r="L3753">
        <v>6</v>
      </c>
      <c r="M3753" s="11">
        <v>21783.66</v>
      </c>
      <c r="N3753" s="12">
        <v>7753.72</v>
      </c>
      <c r="O3753" s="12">
        <v>6398.24</v>
      </c>
    </row>
    <row r="3754" spans="1:15">
      <c r="A3754" t="s">
        <v>3928</v>
      </c>
      <c r="B3754" t="s">
        <v>69</v>
      </c>
      <c r="C3754" s="9">
        <v>40909</v>
      </c>
      <c r="D3754">
        <v>14</v>
      </c>
      <c r="E3754" t="s">
        <v>21</v>
      </c>
      <c r="F3754" t="s">
        <v>5184</v>
      </c>
      <c r="G3754" s="9">
        <v>45284</v>
      </c>
      <c r="H3754" s="9">
        <v>45708</v>
      </c>
      <c r="I3754">
        <v>31</v>
      </c>
      <c r="J3754" t="s">
        <v>35</v>
      </c>
      <c r="K3754">
        <v>1</v>
      </c>
      <c r="L3754">
        <v>3</v>
      </c>
      <c r="M3754" s="11">
        <v>28546.5</v>
      </c>
      <c r="N3754" s="12">
        <v>13974.83</v>
      </c>
      <c r="O3754" s="12">
        <v>12627.21</v>
      </c>
    </row>
    <row r="3755" spans="1:15">
      <c r="A3755" t="s">
        <v>3929</v>
      </c>
      <c r="B3755" t="s">
        <v>91</v>
      </c>
      <c r="C3755" s="9">
        <v>32873</v>
      </c>
      <c r="D3755">
        <v>36</v>
      </c>
      <c r="E3755" t="s">
        <v>17</v>
      </c>
      <c r="F3755" t="s">
        <v>22</v>
      </c>
      <c r="G3755" s="9">
        <v>45004</v>
      </c>
      <c r="H3755" s="9">
        <v>45045</v>
      </c>
      <c r="I3755">
        <v>20</v>
      </c>
      <c r="J3755" t="s">
        <v>32</v>
      </c>
      <c r="K3755">
        <v>13</v>
      </c>
      <c r="L3755">
        <v>2</v>
      </c>
      <c r="M3755" s="11">
        <v>26530.5</v>
      </c>
      <c r="N3755" s="12">
        <v>5860.48</v>
      </c>
      <c r="O3755" s="12">
        <v>8751.1200000000008</v>
      </c>
    </row>
    <row r="3756" spans="1:15">
      <c r="A3756" t="s">
        <v>3930</v>
      </c>
      <c r="B3756" t="s">
        <v>61</v>
      </c>
      <c r="C3756" s="9">
        <v>41639</v>
      </c>
      <c r="D3756">
        <v>12</v>
      </c>
      <c r="E3756" t="s">
        <v>21</v>
      </c>
      <c r="F3756" t="s">
        <v>29</v>
      </c>
      <c r="G3756" s="9">
        <v>45219</v>
      </c>
      <c r="H3756" s="9">
        <v>45781</v>
      </c>
      <c r="I3756">
        <v>38</v>
      </c>
      <c r="J3756" t="s">
        <v>26</v>
      </c>
      <c r="K3756">
        <v>4</v>
      </c>
      <c r="L3756">
        <v>4</v>
      </c>
      <c r="M3756" s="11">
        <v>25585.1</v>
      </c>
      <c r="N3756" s="12">
        <v>13896</v>
      </c>
      <c r="O3756" s="12">
        <v>11135.91</v>
      </c>
    </row>
    <row r="3757" spans="1:15">
      <c r="A3757" t="s">
        <v>3931</v>
      </c>
      <c r="B3757" t="s">
        <v>78</v>
      </c>
      <c r="C3757" s="9">
        <v>43466</v>
      </c>
      <c r="D3757">
        <v>7</v>
      </c>
      <c r="E3757" t="s">
        <v>17</v>
      </c>
      <c r="F3757" t="s">
        <v>22</v>
      </c>
      <c r="G3757" s="9">
        <v>45008</v>
      </c>
      <c r="H3757" s="9">
        <v>45421</v>
      </c>
      <c r="I3757">
        <v>14</v>
      </c>
      <c r="J3757" t="s">
        <v>26</v>
      </c>
      <c r="K3757">
        <v>11</v>
      </c>
      <c r="L3757">
        <v>1</v>
      </c>
      <c r="M3757" s="11">
        <v>11442.22</v>
      </c>
      <c r="N3757" s="12">
        <v>10402.120000000001</v>
      </c>
      <c r="O3757" s="12">
        <v>2806.31</v>
      </c>
    </row>
    <row r="3758" spans="1:15">
      <c r="A3758" t="s">
        <v>3932</v>
      </c>
      <c r="B3758" t="s">
        <v>149</v>
      </c>
      <c r="C3758" s="9">
        <v>44561</v>
      </c>
      <c r="D3758">
        <v>4</v>
      </c>
      <c r="E3758" t="s">
        <v>21</v>
      </c>
      <c r="F3758" t="s">
        <v>49</v>
      </c>
      <c r="G3758" s="9">
        <v>45268</v>
      </c>
      <c r="H3758" s="9">
        <v>45718</v>
      </c>
      <c r="I3758">
        <v>2</v>
      </c>
      <c r="J3758" t="s">
        <v>26</v>
      </c>
      <c r="K3758">
        <v>2</v>
      </c>
      <c r="L3758">
        <v>9</v>
      </c>
      <c r="M3758" s="11">
        <v>11279.48</v>
      </c>
      <c r="N3758" s="12">
        <v>11738.33</v>
      </c>
      <c r="O3758" s="12">
        <v>13415.39</v>
      </c>
    </row>
    <row r="3759" spans="1:15">
      <c r="A3759" t="s">
        <v>3933</v>
      </c>
      <c r="B3759" t="s">
        <v>105</v>
      </c>
      <c r="C3759" s="9">
        <v>24473</v>
      </c>
      <c r="D3759">
        <v>59</v>
      </c>
      <c r="E3759" t="s">
        <v>21</v>
      </c>
      <c r="F3759" t="s">
        <v>25</v>
      </c>
      <c r="G3759" s="9">
        <v>45264</v>
      </c>
      <c r="H3759" s="9">
        <v>45419</v>
      </c>
      <c r="I3759">
        <v>4</v>
      </c>
      <c r="J3759" t="s">
        <v>32</v>
      </c>
      <c r="K3759">
        <v>8</v>
      </c>
      <c r="L3759">
        <v>3</v>
      </c>
      <c r="M3759" s="11">
        <v>22106.69</v>
      </c>
      <c r="N3759" s="12">
        <v>14068.06</v>
      </c>
      <c r="O3759" s="12">
        <v>3047.33</v>
      </c>
    </row>
    <row r="3760" spans="1:15">
      <c r="A3760" t="s">
        <v>3934</v>
      </c>
      <c r="B3760" t="s">
        <v>446</v>
      </c>
      <c r="C3760" s="9">
        <v>19724</v>
      </c>
      <c r="D3760">
        <v>72</v>
      </c>
      <c r="E3760" t="s">
        <v>21</v>
      </c>
      <c r="F3760" t="s">
        <v>29</v>
      </c>
      <c r="G3760" s="9">
        <v>45504</v>
      </c>
      <c r="H3760" s="9">
        <v>45802</v>
      </c>
      <c r="I3760">
        <v>10</v>
      </c>
      <c r="J3760" t="s">
        <v>26</v>
      </c>
      <c r="K3760">
        <v>2</v>
      </c>
      <c r="L3760">
        <v>6</v>
      </c>
      <c r="M3760" s="11">
        <v>2054.34</v>
      </c>
      <c r="N3760" s="12">
        <v>8584.93</v>
      </c>
      <c r="O3760" s="12">
        <v>14929.28</v>
      </c>
    </row>
    <row r="3761" spans="1:15">
      <c r="A3761" t="s">
        <v>3935</v>
      </c>
      <c r="B3761" t="s">
        <v>671</v>
      </c>
      <c r="C3761" s="9">
        <f t="shared" ref="C3761:C3762" si="21">DATE(2026-D3721,1,1)</f>
        <v>12420</v>
      </c>
      <c r="D3761">
        <v>0</v>
      </c>
      <c r="E3761" t="s">
        <v>21</v>
      </c>
      <c r="F3761" t="s">
        <v>5184</v>
      </c>
      <c r="G3761" s="9">
        <v>45022</v>
      </c>
      <c r="H3761" s="9">
        <v>45152</v>
      </c>
      <c r="I3761">
        <v>11</v>
      </c>
      <c r="J3761" t="s">
        <v>35</v>
      </c>
      <c r="K3761">
        <v>3</v>
      </c>
      <c r="L3761">
        <v>1</v>
      </c>
      <c r="M3761" s="11">
        <v>9327.5400000000009</v>
      </c>
      <c r="N3761" s="12">
        <v>9624.7900000000009</v>
      </c>
      <c r="O3761" s="12">
        <v>10424.709999999999</v>
      </c>
    </row>
    <row r="3762" spans="1:15">
      <c r="A3762" t="s">
        <v>3936</v>
      </c>
      <c r="B3762" t="s">
        <v>89</v>
      </c>
      <c r="C3762" s="9">
        <f t="shared" si="21"/>
        <v>14977</v>
      </c>
      <c r="D3762">
        <v>35</v>
      </c>
      <c r="E3762" t="s">
        <v>17</v>
      </c>
      <c r="F3762" t="s">
        <v>22</v>
      </c>
      <c r="G3762" s="9">
        <v>45071</v>
      </c>
      <c r="H3762" s="9">
        <v>45346</v>
      </c>
      <c r="I3762">
        <v>14</v>
      </c>
      <c r="J3762" t="s">
        <v>26</v>
      </c>
      <c r="K3762">
        <v>13</v>
      </c>
      <c r="L3762">
        <v>9</v>
      </c>
      <c r="M3762" s="11">
        <v>27932.83</v>
      </c>
      <c r="N3762" s="12">
        <v>8684.86</v>
      </c>
      <c r="O3762" s="12">
        <v>16305.48</v>
      </c>
    </row>
    <row r="3763" spans="1:15">
      <c r="A3763" t="s">
        <v>3937</v>
      </c>
      <c r="B3763" t="s">
        <v>332</v>
      </c>
      <c r="C3763" s="9">
        <v>33604</v>
      </c>
      <c r="D3763">
        <v>34</v>
      </c>
      <c r="E3763" t="s">
        <v>21</v>
      </c>
      <c r="F3763" t="s">
        <v>25</v>
      </c>
      <c r="G3763" s="9">
        <v>45503</v>
      </c>
      <c r="H3763" s="9">
        <v>45707</v>
      </c>
      <c r="I3763">
        <v>27</v>
      </c>
      <c r="J3763" t="s">
        <v>26</v>
      </c>
      <c r="K3763">
        <v>12</v>
      </c>
      <c r="L3763">
        <v>5</v>
      </c>
      <c r="M3763" s="11">
        <v>13228.09</v>
      </c>
      <c r="N3763" s="12">
        <v>11772.88</v>
      </c>
      <c r="O3763" s="12">
        <v>3370.93</v>
      </c>
    </row>
    <row r="3764" spans="1:15">
      <c r="A3764" t="s">
        <v>3938</v>
      </c>
      <c r="B3764" t="s">
        <v>546</v>
      </c>
      <c r="C3764" s="9">
        <v>22281</v>
      </c>
      <c r="D3764">
        <v>65</v>
      </c>
      <c r="E3764" t="s">
        <v>17</v>
      </c>
      <c r="F3764" t="s">
        <v>5184</v>
      </c>
      <c r="G3764" s="9">
        <v>45447</v>
      </c>
      <c r="H3764" s="9">
        <v>45064</v>
      </c>
      <c r="I3764">
        <v>31</v>
      </c>
      <c r="J3764" t="s">
        <v>32</v>
      </c>
      <c r="K3764">
        <v>1</v>
      </c>
      <c r="L3764">
        <v>4</v>
      </c>
      <c r="M3764" s="11">
        <v>7731.9</v>
      </c>
      <c r="N3764" s="12">
        <v>4101.09</v>
      </c>
      <c r="O3764" s="12">
        <v>7488.55</v>
      </c>
    </row>
    <row r="3765" spans="1:15">
      <c r="A3765" t="s">
        <v>3939</v>
      </c>
      <c r="B3765" t="s">
        <v>387</v>
      </c>
      <c r="C3765" s="9">
        <v>23377</v>
      </c>
      <c r="D3765">
        <v>62</v>
      </c>
      <c r="E3765" t="s">
        <v>21</v>
      </c>
      <c r="F3765" t="s">
        <v>5184</v>
      </c>
      <c r="G3765" s="9">
        <v>45323</v>
      </c>
      <c r="H3765" s="9">
        <v>45153</v>
      </c>
      <c r="I3765">
        <v>24</v>
      </c>
      <c r="J3765" t="s">
        <v>32</v>
      </c>
      <c r="K3765">
        <v>13</v>
      </c>
      <c r="L3765">
        <v>2</v>
      </c>
      <c r="M3765" s="11">
        <v>14031.79</v>
      </c>
      <c r="N3765" s="12">
        <v>11820.72</v>
      </c>
      <c r="O3765" s="12">
        <v>16921.32</v>
      </c>
    </row>
    <row r="3766" spans="1:15">
      <c r="A3766" t="s">
        <v>3940</v>
      </c>
      <c r="B3766" t="s">
        <v>87</v>
      </c>
      <c r="C3766" s="9">
        <v>37987</v>
      </c>
      <c r="D3766">
        <v>22</v>
      </c>
      <c r="E3766" t="s">
        <v>21</v>
      </c>
      <c r="F3766" t="s">
        <v>29</v>
      </c>
      <c r="G3766" s="9">
        <v>45283</v>
      </c>
      <c r="H3766" s="9">
        <v>45261</v>
      </c>
      <c r="I3766">
        <v>22</v>
      </c>
      <c r="J3766" t="s">
        <v>32</v>
      </c>
      <c r="K3766">
        <v>14</v>
      </c>
      <c r="L3766">
        <v>4</v>
      </c>
      <c r="M3766" s="11">
        <v>8301.98</v>
      </c>
      <c r="N3766" s="12">
        <v>10703.18</v>
      </c>
      <c r="O3766" s="12">
        <v>15954.12</v>
      </c>
    </row>
    <row r="3767" spans="1:15">
      <c r="A3767" t="s">
        <v>3941</v>
      </c>
      <c r="B3767" t="s">
        <v>204</v>
      </c>
      <c r="C3767" s="9">
        <v>43100</v>
      </c>
      <c r="D3767">
        <v>8</v>
      </c>
      <c r="E3767" t="s">
        <v>17</v>
      </c>
      <c r="F3767" t="s">
        <v>49</v>
      </c>
      <c r="G3767" s="9">
        <v>45112</v>
      </c>
      <c r="H3767" s="9">
        <v>45156</v>
      </c>
      <c r="I3767">
        <v>32</v>
      </c>
      <c r="J3767" t="s">
        <v>32</v>
      </c>
      <c r="K3767">
        <v>10</v>
      </c>
      <c r="L3767">
        <v>9</v>
      </c>
      <c r="M3767" s="11">
        <v>22931.96</v>
      </c>
      <c r="N3767" s="12">
        <v>9030.99</v>
      </c>
      <c r="O3767" s="12">
        <v>19311.650000000001</v>
      </c>
    </row>
    <row r="3768" spans="1:15">
      <c r="A3768" t="s">
        <v>3942</v>
      </c>
      <c r="B3768" t="s">
        <v>139</v>
      </c>
      <c r="C3768" s="9">
        <v>33969</v>
      </c>
      <c r="D3768">
        <v>33</v>
      </c>
      <c r="E3768" t="s">
        <v>5185</v>
      </c>
      <c r="F3768" t="s">
        <v>25</v>
      </c>
      <c r="G3768" s="9">
        <v>45596</v>
      </c>
      <c r="H3768" s="9">
        <v>45250</v>
      </c>
      <c r="I3768">
        <v>6</v>
      </c>
      <c r="J3768" t="s">
        <v>32</v>
      </c>
      <c r="K3768">
        <v>0</v>
      </c>
      <c r="L3768">
        <v>6</v>
      </c>
      <c r="M3768" s="11">
        <v>25443.46</v>
      </c>
      <c r="N3768" s="12">
        <v>581.88</v>
      </c>
      <c r="O3768" s="12">
        <v>4361.41</v>
      </c>
    </row>
    <row r="3769" spans="1:15">
      <c r="A3769" t="s">
        <v>3943</v>
      </c>
      <c r="B3769" t="s">
        <v>302</v>
      </c>
      <c r="C3769" s="9">
        <v>29586</v>
      </c>
      <c r="D3769">
        <v>45</v>
      </c>
      <c r="E3769" t="s">
        <v>21</v>
      </c>
      <c r="F3769" t="s">
        <v>49</v>
      </c>
      <c r="G3769" s="9">
        <v>45469</v>
      </c>
      <c r="H3769" s="9">
        <v>45035</v>
      </c>
      <c r="I3769">
        <v>3</v>
      </c>
      <c r="J3769" t="s">
        <v>32</v>
      </c>
      <c r="K3769">
        <v>12</v>
      </c>
      <c r="L3769">
        <v>2</v>
      </c>
      <c r="M3769" s="11">
        <v>23371.08</v>
      </c>
      <c r="N3769" s="12">
        <v>11618.16</v>
      </c>
      <c r="O3769" s="12">
        <v>10734.46</v>
      </c>
    </row>
    <row r="3770" spans="1:15">
      <c r="A3770" t="s">
        <v>3944</v>
      </c>
      <c r="B3770" t="s">
        <v>93</v>
      </c>
      <c r="C3770" s="9">
        <v>17898</v>
      </c>
      <c r="D3770">
        <v>77</v>
      </c>
      <c r="E3770" t="s">
        <v>21</v>
      </c>
      <c r="F3770" t="s">
        <v>25</v>
      </c>
      <c r="G3770" s="9">
        <v>45077</v>
      </c>
      <c r="H3770" s="9">
        <v>45739</v>
      </c>
      <c r="I3770">
        <v>23</v>
      </c>
      <c r="J3770" t="s">
        <v>32</v>
      </c>
      <c r="K3770">
        <v>8</v>
      </c>
      <c r="L3770">
        <v>7</v>
      </c>
      <c r="M3770" s="11">
        <v>4045.94</v>
      </c>
      <c r="N3770" s="12">
        <v>1986.39</v>
      </c>
      <c r="O3770" s="12">
        <v>259.48</v>
      </c>
    </row>
    <row r="3771" spans="1:15">
      <c r="A3771" t="s">
        <v>3945</v>
      </c>
      <c r="B3771" t="s">
        <v>292</v>
      </c>
      <c r="C3771" s="9">
        <v>44927</v>
      </c>
      <c r="D3771">
        <v>3</v>
      </c>
      <c r="E3771" t="s">
        <v>17</v>
      </c>
      <c r="F3771" t="s">
        <v>74</v>
      </c>
      <c r="G3771" s="9">
        <v>45245</v>
      </c>
      <c r="H3771" s="9">
        <v>45372</v>
      </c>
      <c r="I3771">
        <v>35</v>
      </c>
      <c r="J3771" t="s">
        <v>26</v>
      </c>
      <c r="K3771">
        <v>14</v>
      </c>
      <c r="L3771">
        <v>6</v>
      </c>
      <c r="M3771" s="11">
        <v>9749.74</v>
      </c>
      <c r="N3771" s="12">
        <v>14429.58</v>
      </c>
      <c r="O3771" s="12">
        <v>19301.21</v>
      </c>
    </row>
    <row r="3772" spans="1:15">
      <c r="A3772" t="s">
        <v>3946</v>
      </c>
      <c r="B3772" t="s">
        <v>244</v>
      </c>
      <c r="C3772" s="9">
        <v>35430</v>
      </c>
      <c r="D3772">
        <v>29</v>
      </c>
      <c r="E3772" t="s">
        <v>21</v>
      </c>
      <c r="F3772" t="s">
        <v>5184</v>
      </c>
      <c r="G3772" s="9">
        <v>45594</v>
      </c>
      <c r="H3772" s="9">
        <v>44934</v>
      </c>
      <c r="I3772">
        <v>36</v>
      </c>
      <c r="J3772" t="s">
        <v>26</v>
      </c>
      <c r="K3772">
        <v>6</v>
      </c>
      <c r="L3772">
        <v>3</v>
      </c>
      <c r="M3772" s="11">
        <v>6026.12</v>
      </c>
      <c r="N3772" s="12">
        <v>1222.4000000000001</v>
      </c>
      <c r="O3772" s="12">
        <v>3420.06</v>
      </c>
    </row>
    <row r="3773" spans="1:15">
      <c r="A3773" t="s">
        <v>3947</v>
      </c>
      <c r="B3773" t="s">
        <v>168</v>
      </c>
      <c r="C3773" s="9">
        <v>11689</v>
      </c>
      <c r="D3773">
        <f ca="1">DATEDIF(C3724,TODAY(),"Y")</f>
        <v>66</v>
      </c>
      <c r="E3773" t="s">
        <v>17</v>
      </c>
      <c r="F3773" t="s">
        <v>74</v>
      </c>
      <c r="G3773" s="9">
        <v>44985</v>
      </c>
      <c r="H3773" s="9">
        <v>45055</v>
      </c>
      <c r="I3773">
        <v>24</v>
      </c>
      <c r="J3773" t="s">
        <v>32</v>
      </c>
      <c r="K3773">
        <v>9</v>
      </c>
      <c r="L3773">
        <v>4</v>
      </c>
      <c r="M3773" s="11">
        <v>805.37</v>
      </c>
      <c r="N3773" s="12">
        <v>10804.13</v>
      </c>
      <c r="O3773" s="12">
        <v>18084.62</v>
      </c>
    </row>
    <row r="3774" spans="1:15">
      <c r="A3774" t="s">
        <v>3948</v>
      </c>
      <c r="B3774" t="s">
        <v>127</v>
      </c>
      <c r="C3774" s="9">
        <v>18994</v>
      </c>
      <c r="D3774">
        <v>74</v>
      </c>
      <c r="E3774" t="s">
        <v>17</v>
      </c>
      <c r="F3774" t="s">
        <v>25</v>
      </c>
      <c r="G3774" s="9">
        <v>44936</v>
      </c>
      <c r="H3774" s="9">
        <v>45280</v>
      </c>
      <c r="I3774">
        <v>37</v>
      </c>
      <c r="J3774" t="s">
        <v>32</v>
      </c>
      <c r="K3774">
        <v>5</v>
      </c>
      <c r="L3774">
        <v>9</v>
      </c>
      <c r="M3774" s="11">
        <v>22044.85</v>
      </c>
      <c r="N3774" s="12">
        <v>5406.39</v>
      </c>
      <c r="O3774" s="12">
        <v>13534.5</v>
      </c>
    </row>
    <row r="3775" spans="1:15">
      <c r="A3775" t="s">
        <v>3949</v>
      </c>
      <c r="B3775" t="s">
        <v>41</v>
      </c>
      <c r="C3775" s="9">
        <v>20090</v>
      </c>
      <c r="D3775">
        <v>71</v>
      </c>
      <c r="E3775" t="s">
        <v>21</v>
      </c>
      <c r="F3775" t="s">
        <v>25</v>
      </c>
      <c r="G3775" s="9">
        <v>45050</v>
      </c>
      <c r="H3775" s="9">
        <v>45194</v>
      </c>
      <c r="I3775">
        <v>28</v>
      </c>
      <c r="J3775" t="s">
        <v>32</v>
      </c>
      <c r="K3775">
        <v>13</v>
      </c>
      <c r="L3775">
        <v>3</v>
      </c>
      <c r="M3775" s="11">
        <v>12564.97</v>
      </c>
      <c r="N3775" s="12">
        <v>11035.36</v>
      </c>
      <c r="O3775" s="12">
        <v>18730.650000000001</v>
      </c>
    </row>
    <row r="3776" spans="1:15">
      <c r="A3776" t="s">
        <v>3950</v>
      </c>
      <c r="B3776" t="s">
        <v>261</v>
      </c>
      <c r="C3776" s="9">
        <v>45292</v>
      </c>
      <c r="D3776">
        <v>2</v>
      </c>
      <c r="E3776" t="s">
        <v>21</v>
      </c>
      <c r="F3776" t="s">
        <v>49</v>
      </c>
      <c r="G3776" s="9">
        <v>45282</v>
      </c>
      <c r="H3776" s="9">
        <v>45612</v>
      </c>
      <c r="I3776">
        <v>0</v>
      </c>
      <c r="J3776" t="s">
        <v>26</v>
      </c>
      <c r="K3776">
        <v>8</v>
      </c>
      <c r="L3776">
        <v>1</v>
      </c>
      <c r="M3776" s="11">
        <v>0</v>
      </c>
      <c r="N3776" s="12">
        <v>7784.29</v>
      </c>
      <c r="O3776" s="12">
        <v>4889.41</v>
      </c>
    </row>
    <row r="3777" spans="1:15">
      <c r="A3777" t="s">
        <v>3951</v>
      </c>
      <c r="B3777" t="s">
        <v>37</v>
      </c>
      <c r="C3777" s="9">
        <v>41274</v>
      </c>
      <c r="D3777">
        <v>13</v>
      </c>
      <c r="E3777" t="s">
        <v>21</v>
      </c>
      <c r="F3777" t="s">
        <v>5184</v>
      </c>
      <c r="G3777" s="9">
        <v>45272</v>
      </c>
      <c r="H3777" s="9">
        <v>45141</v>
      </c>
      <c r="I3777">
        <v>21</v>
      </c>
      <c r="J3777" t="s">
        <v>32</v>
      </c>
      <c r="K3777">
        <v>11</v>
      </c>
      <c r="L3777">
        <v>8</v>
      </c>
      <c r="M3777" s="11">
        <v>8879.59</v>
      </c>
      <c r="N3777" s="12">
        <v>9442.58</v>
      </c>
      <c r="O3777" s="12">
        <v>6837.8</v>
      </c>
    </row>
    <row r="3778" spans="1:15">
      <c r="A3778" t="s">
        <v>3952</v>
      </c>
      <c r="B3778" t="s">
        <v>596</v>
      </c>
      <c r="C3778" s="9">
        <v>24473</v>
      </c>
      <c r="D3778">
        <v>59</v>
      </c>
      <c r="E3778" t="s">
        <v>21</v>
      </c>
      <c r="F3778" t="s">
        <v>22</v>
      </c>
      <c r="G3778" s="9">
        <v>45163</v>
      </c>
      <c r="H3778" s="9">
        <v>45174</v>
      </c>
      <c r="I3778">
        <v>12</v>
      </c>
      <c r="J3778" t="s">
        <v>35</v>
      </c>
      <c r="K3778">
        <v>2</v>
      </c>
      <c r="L3778">
        <v>0</v>
      </c>
      <c r="M3778" s="11">
        <v>3618</v>
      </c>
      <c r="N3778" s="12">
        <v>1131.55</v>
      </c>
      <c r="O3778" s="12">
        <v>3204.48</v>
      </c>
    </row>
    <row r="3779" spans="1:15">
      <c r="A3779" t="s">
        <v>3953</v>
      </c>
      <c r="B3779" t="s">
        <v>168</v>
      </c>
      <c r="C3779" s="9">
        <v>18263</v>
      </c>
      <c r="D3779">
        <f ca="1">DATEDIF(C3730,TODAY(),"Y")</f>
        <v>79</v>
      </c>
      <c r="E3779" t="s">
        <v>17</v>
      </c>
      <c r="F3779" t="s">
        <v>5184</v>
      </c>
      <c r="G3779" s="9">
        <v>45259</v>
      </c>
      <c r="H3779" s="9">
        <v>45545</v>
      </c>
      <c r="I3779">
        <v>3</v>
      </c>
      <c r="J3779" t="s">
        <v>26</v>
      </c>
      <c r="K3779">
        <v>0</v>
      </c>
      <c r="L3779">
        <v>7</v>
      </c>
      <c r="M3779" s="11">
        <v>24716.2</v>
      </c>
      <c r="N3779" s="12">
        <v>14497.19</v>
      </c>
      <c r="O3779" s="12">
        <v>8390.92</v>
      </c>
    </row>
    <row r="3780" spans="1:15">
      <c r="A3780" t="s">
        <v>3954</v>
      </c>
      <c r="B3780" t="s">
        <v>41</v>
      </c>
      <c r="C3780" s="9">
        <v>29951</v>
      </c>
      <c r="D3780">
        <v>44</v>
      </c>
      <c r="E3780" t="s">
        <v>17</v>
      </c>
      <c r="F3780" t="s">
        <v>18</v>
      </c>
      <c r="G3780" s="9">
        <v>44943</v>
      </c>
      <c r="H3780" s="9">
        <v>45522</v>
      </c>
      <c r="I3780">
        <v>8</v>
      </c>
      <c r="J3780" t="s">
        <v>35</v>
      </c>
      <c r="K3780">
        <v>10</v>
      </c>
      <c r="L3780">
        <v>3</v>
      </c>
      <c r="M3780" s="11">
        <v>3889.7</v>
      </c>
      <c r="N3780" s="12">
        <v>57.7</v>
      </c>
      <c r="O3780" s="12">
        <v>18944.740000000002</v>
      </c>
    </row>
    <row r="3781" spans="1:15">
      <c r="A3781" t="s">
        <v>3955</v>
      </c>
      <c r="B3781" t="s">
        <v>275</v>
      </c>
      <c r="C3781" s="9">
        <v>33969</v>
      </c>
      <c r="D3781">
        <v>33</v>
      </c>
      <c r="E3781" t="s">
        <v>17</v>
      </c>
      <c r="F3781" t="s">
        <v>25</v>
      </c>
      <c r="G3781" s="9">
        <v>45350</v>
      </c>
      <c r="H3781" s="9">
        <v>45731</v>
      </c>
      <c r="I3781">
        <v>27</v>
      </c>
      <c r="J3781" t="s">
        <v>26</v>
      </c>
      <c r="K3781">
        <v>7</v>
      </c>
      <c r="L3781">
        <v>8</v>
      </c>
      <c r="M3781" s="11">
        <v>0</v>
      </c>
      <c r="N3781" s="12">
        <v>14117.39</v>
      </c>
      <c r="O3781" s="12">
        <v>11380.38</v>
      </c>
    </row>
    <row r="3782" spans="1:15">
      <c r="A3782" t="s">
        <v>3956</v>
      </c>
      <c r="B3782" t="s">
        <v>286</v>
      </c>
      <c r="C3782" s="9">
        <v>29951</v>
      </c>
      <c r="D3782">
        <v>44</v>
      </c>
      <c r="E3782" t="s">
        <v>17</v>
      </c>
      <c r="F3782" t="s">
        <v>29</v>
      </c>
      <c r="G3782" s="9">
        <v>45250</v>
      </c>
      <c r="H3782" s="9">
        <v>45301</v>
      </c>
      <c r="I3782">
        <v>32</v>
      </c>
      <c r="J3782" t="s">
        <v>26</v>
      </c>
      <c r="K3782">
        <v>6</v>
      </c>
      <c r="L3782">
        <v>2</v>
      </c>
      <c r="M3782" s="11">
        <v>274.67</v>
      </c>
      <c r="N3782" s="12">
        <v>8523.75</v>
      </c>
      <c r="O3782" s="12">
        <v>8264.14</v>
      </c>
    </row>
    <row r="3783" spans="1:15">
      <c r="A3783" t="s">
        <v>3957</v>
      </c>
      <c r="B3783" t="s">
        <v>71</v>
      </c>
      <c r="C3783" s="9">
        <v>24107</v>
      </c>
      <c r="D3783">
        <v>60</v>
      </c>
      <c r="E3783" t="s">
        <v>21</v>
      </c>
      <c r="F3783" t="s">
        <v>29</v>
      </c>
      <c r="G3783" s="9">
        <v>44949</v>
      </c>
      <c r="H3783" s="9">
        <v>45348</v>
      </c>
      <c r="I3783">
        <v>35</v>
      </c>
      <c r="J3783" t="s">
        <v>26</v>
      </c>
      <c r="K3783">
        <v>14</v>
      </c>
      <c r="L3783">
        <v>6</v>
      </c>
      <c r="M3783" s="11">
        <v>12810.55</v>
      </c>
      <c r="N3783" s="12">
        <v>3874.05</v>
      </c>
      <c r="O3783" s="12">
        <v>6429.81</v>
      </c>
    </row>
    <row r="3784" spans="1:15">
      <c r="A3784" t="s">
        <v>3958</v>
      </c>
      <c r="B3784" t="s">
        <v>284</v>
      </c>
      <c r="C3784" s="9">
        <v>16072</v>
      </c>
      <c r="D3784">
        <v>82</v>
      </c>
      <c r="E3784" t="s">
        <v>17</v>
      </c>
      <c r="F3784" t="s">
        <v>29</v>
      </c>
      <c r="G3784" s="9">
        <v>45385</v>
      </c>
      <c r="H3784" s="9">
        <v>45642</v>
      </c>
      <c r="I3784">
        <v>37</v>
      </c>
      <c r="J3784" t="s">
        <v>32</v>
      </c>
      <c r="K3784">
        <v>2</v>
      </c>
      <c r="L3784">
        <v>2</v>
      </c>
      <c r="M3784" s="11">
        <v>10321.42</v>
      </c>
      <c r="N3784" s="12">
        <v>9565.92</v>
      </c>
      <c r="O3784" s="12">
        <v>11653.71</v>
      </c>
    </row>
    <row r="3785" spans="1:15">
      <c r="A3785" t="s">
        <v>3959</v>
      </c>
      <c r="B3785" t="s">
        <v>48</v>
      </c>
      <c r="C3785" s="9">
        <v>40544</v>
      </c>
      <c r="D3785">
        <v>15</v>
      </c>
      <c r="E3785" t="s">
        <v>21</v>
      </c>
      <c r="F3785" t="s">
        <v>74</v>
      </c>
      <c r="G3785" s="9">
        <v>45386</v>
      </c>
      <c r="H3785" s="9">
        <v>44968</v>
      </c>
      <c r="I3785">
        <v>26</v>
      </c>
      <c r="J3785" t="s">
        <v>32</v>
      </c>
      <c r="K3785">
        <v>9</v>
      </c>
      <c r="L3785">
        <v>9</v>
      </c>
      <c r="M3785" s="11">
        <v>21432.61</v>
      </c>
      <c r="N3785" s="12">
        <v>10093.459999999999</v>
      </c>
      <c r="O3785" s="12">
        <v>14436.67</v>
      </c>
    </row>
    <row r="3786" spans="1:15">
      <c r="A3786" t="s">
        <v>3960</v>
      </c>
      <c r="B3786" t="s">
        <v>292</v>
      </c>
      <c r="C3786" s="9">
        <v>22281</v>
      </c>
      <c r="D3786">
        <v>65</v>
      </c>
      <c r="E3786" t="s">
        <v>17</v>
      </c>
      <c r="F3786" t="s">
        <v>22</v>
      </c>
      <c r="G3786" s="9">
        <v>45447</v>
      </c>
      <c r="H3786" s="9">
        <v>45644</v>
      </c>
      <c r="I3786">
        <v>20</v>
      </c>
      <c r="J3786" t="s">
        <v>26</v>
      </c>
      <c r="K3786">
        <v>3</v>
      </c>
      <c r="L3786">
        <v>6</v>
      </c>
      <c r="M3786" s="11">
        <v>21317.07</v>
      </c>
      <c r="N3786" s="12">
        <v>10954.97</v>
      </c>
      <c r="O3786" s="12">
        <v>8076.45</v>
      </c>
    </row>
    <row r="3787" spans="1:15">
      <c r="A3787" t="s">
        <v>3961</v>
      </c>
      <c r="B3787" t="s">
        <v>174</v>
      </c>
      <c r="C3787" s="9">
        <v>31778</v>
      </c>
      <c r="D3787">
        <v>39</v>
      </c>
      <c r="E3787" t="s">
        <v>21</v>
      </c>
      <c r="F3787" t="s">
        <v>49</v>
      </c>
      <c r="G3787" s="9">
        <v>45645</v>
      </c>
      <c r="H3787" s="9">
        <v>45275</v>
      </c>
      <c r="I3787">
        <v>39</v>
      </c>
      <c r="J3787" t="s">
        <v>26</v>
      </c>
      <c r="K3787">
        <v>12</v>
      </c>
      <c r="L3787">
        <v>1</v>
      </c>
      <c r="M3787" s="11">
        <v>678.25</v>
      </c>
      <c r="N3787" s="12">
        <v>246.57</v>
      </c>
      <c r="O3787" s="12">
        <v>4541.07</v>
      </c>
    </row>
    <row r="3788" spans="1:15">
      <c r="A3788" t="s">
        <v>3962</v>
      </c>
      <c r="B3788" t="s">
        <v>105</v>
      </c>
      <c r="C3788" s="9">
        <v>40178</v>
      </c>
      <c r="D3788">
        <v>16</v>
      </c>
      <c r="E3788" t="s">
        <v>17</v>
      </c>
      <c r="F3788" t="s">
        <v>22</v>
      </c>
      <c r="G3788" s="9">
        <v>45483</v>
      </c>
      <c r="H3788" s="9">
        <v>45488</v>
      </c>
      <c r="I3788">
        <v>39</v>
      </c>
      <c r="J3788" t="s">
        <v>26</v>
      </c>
      <c r="K3788">
        <v>8</v>
      </c>
      <c r="L3788">
        <v>2</v>
      </c>
      <c r="M3788" s="11">
        <v>3033.85</v>
      </c>
      <c r="N3788" s="12">
        <v>14741.74</v>
      </c>
      <c r="O3788" s="12">
        <v>11658.59</v>
      </c>
    </row>
    <row r="3789" spans="1:15">
      <c r="A3789" t="s">
        <v>3963</v>
      </c>
      <c r="B3789" t="s">
        <v>252</v>
      </c>
      <c r="C3789" s="9">
        <v>33969</v>
      </c>
      <c r="D3789">
        <v>33</v>
      </c>
      <c r="E3789" t="s">
        <v>17</v>
      </c>
      <c r="F3789" t="s">
        <v>74</v>
      </c>
      <c r="G3789" s="9">
        <v>45347</v>
      </c>
      <c r="H3789" s="9">
        <v>45070</v>
      </c>
      <c r="I3789">
        <v>0</v>
      </c>
      <c r="J3789" t="s">
        <v>26</v>
      </c>
      <c r="K3789">
        <v>4</v>
      </c>
      <c r="L3789">
        <v>7</v>
      </c>
      <c r="M3789" s="11">
        <v>27091.09</v>
      </c>
      <c r="N3789" s="12">
        <v>9268.69</v>
      </c>
      <c r="O3789" s="12">
        <v>7247.81</v>
      </c>
    </row>
    <row r="3790" spans="1:15">
      <c r="A3790" t="s">
        <v>3964</v>
      </c>
      <c r="B3790" t="s">
        <v>326</v>
      </c>
      <c r="C3790" s="9">
        <v>40544</v>
      </c>
      <c r="D3790">
        <v>15</v>
      </c>
      <c r="E3790" t="s">
        <v>21</v>
      </c>
      <c r="F3790" t="s">
        <v>22</v>
      </c>
      <c r="G3790" s="9">
        <v>45329</v>
      </c>
      <c r="H3790" s="9">
        <v>45068</v>
      </c>
      <c r="I3790">
        <v>23</v>
      </c>
      <c r="J3790" t="s">
        <v>32</v>
      </c>
      <c r="K3790">
        <v>11</v>
      </c>
      <c r="L3790">
        <v>6</v>
      </c>
      <c r="M3790" s="11">
        <v>23649.85</v>
      </c>
      <c r="N3790" s="12">
        <v>5663.04</v>
      </c>
      <c r="O3790" s="12">
        <v>19885.919999999998</v>
      </c>
    </row>
    <row r="3791" spans="1:15">
      <c r="A3791" t="s">
        <v>3965</v>
      </c>
      <c r="B3791" t="s">
        <v>172</v>
      </c>
      <c r="C3791" s="9">
        <v>24473</v>
      </c>
      <c r="D3791">
        <v>59</v>
      </c>
      <c r="E3791" t="s">
        <v>21</v>
      </c>
      <c r="F3791" t="s">
        <v>22</v>
      </c>
      <c r="G3791" s="9">
        <v>45257</v>
      </c>
      <c r="H3791" s="9">
        <v>45492</v>
      </c>
      <c r="I3791">
        <v>11</v>
      </c>
      <c r="J3791" t="s">
        <v>32</v>
      </c>
      <c r="K3791">
        <v>2</v>
      </c>
      <c r="L3791">
        <v>2</v>
      </c>
      <c r="M3791" s="11">
        <v>11379.29</v>
      </c>
      <c r="N3791" s="12">
        <v>8559.76</v>
      </c>
      <c r="O3791" s="12">
        <v>8765</v>
      </c>
    </row>
    <row r="3792" spans="1:15">
      <c r="A3792" t="s">
        <v>3966</v>
      </c>
      <c r="B3792" t="s">
        <v>273</v>
      </c>
      <c r="C3792" s="9">
        <v>22281</v>
      </c>
      <c r="D3792">
        <v>65</v>
      </c>
      <c r="E3792" t="s">
        <v>17</v>
      </c>
      <c r="F3792" t="s">
        <v>5184</v>
      </c>
      <c r="G3792" s="9">
        <v>45383</v>
      </c>
      <c r="H3792" s="9">
        <v>45034</v>
      </c>
      <c r="I3792">
        <v>16</v>
      </c>
      <c r="J3792" t="s">
        <v>32</v>
      </c>
      <c r="K3792">
        <v>0</v>
      </c>
      <c r="L3792">
        <v>7</v>
      </c>
      <c r="M3792" s="11">
        <v>4574.42</v>
      </c>
      <c r="N3792" s="12">
        <v>2676.33</v>
      </c>
      <c r="O3792" s="12">
        <v>8633.23</v>
      </c>
    </row>
    <row r="3793" spans="1:15">
      <c r="A3793" t="s">
        <v>3967</v>
      </c>
      <c r="B3793" t="s">
        <v>348</v>
      </c>
      <c r="C3793" s="9">
        <v>22281</v>
      </c>
      <c r="D3793">
        <v>65</v>
      </c>
      <c r="E3793" t="s">
        <v>21</v>
      </c>
      <c r="F3793" t="s">
        <v>29</v>
      </c>
      <c r="G3793" s="9">
        <v>45409</v>
      </c>
      <c r="H3793" s="9">
        <v>44960</v>
      </c>
      <c r="I3793">
        <v>18</v>
      </c>
      <c r="J3793" t="s">
        <v>32</v>
      </c>
      <c r="K3793">
        <v>3</v>
      </c>
      <c r="L3793">
        <v>8</v>
      </c>
      <c r="M3793" s="11">
        <v>7453.83</v>
      </c>
      <c r="N3793" s="12">
        <v>3709</v>
      </c>
      <c r="O3793" s="12">
        <v>16773.29</v>
      </c>
    </row>
    <row r="3794" spans="1:15">
      <c r="A3794" t="s">
        <v>3968</v>
      </c>
      <c r="B3794" t="s">
        <v>204</v>
      </c>
      <c r="C3794" s="9">
        <v>13515</v>
      </c>
      <c r="D3794">
        <v>89</v>
      </c>
      <c r="E3794" t="s">
        <v>17</v>
      </c>
      <c r="F3794" t="s">
        <v>25</v>
      </c>
      <c r="G3794" s="9">
        <v>45424</v>
      </c>
      <c r="H3794" s="9">
        <v>45127</v>
      </c>
      <c r="I3794">
        <v>18</v>
      </c>
      <c r="J3794" t="s">
        <v>35</v>
      </c>
      <c r="K3794">
        <v>9</v>
      </c>
      <c r="L3794">
        <v>1</v>
      </c>
      <c r="M3794" s="11">
        <v>19569.810000000001</v>
      </c>
      <c r="N3794" s="12">
        <v>1286.69</v>
      </c>
      <c r="O3794" s="12">
        <v>4945.4799999999996</v>
      </c>
    </row>
    <row r="3795" spans="1:15">
      <c r="A3795" t="s">
        <v>3969</v>
      </c>
      <c r="B3795" t="s">
        <v>232</v>
      </c>
      <c r="C3795" s="9">
        <v>41639</v>
      </c>
      <c r="D3795">
        <v>12</v>
      </c>
      <c r="E3795" t="s">
        <v>17</v>
      </c>
      <c r="F3795" t="s">
        <v>29</v>
      </c>
      <c r="G3795" s="9">
        <v>44953</v>
      </c>
      <c r="H3795" s="9">
        <v>45046</v>
      </c>
      <c r="I3795">
        <v>6</v>
      </c>
      <c r="J3795" t="s">
        <v>26</v>
      </c>
      <c r="K3795">
        <v>1</v>
      </c>
      <c r="L3795">
        <v>1</v>
      </c>
      <c r="M3795" s="11">
        <v>28337.54</v>
      </c>
      <c r="N3795" s="12">
        <v>13188.5</v>
      </c>
      <c r="O3795" s="12">
        <v>1226.3399999999999</v>
      </c>
    </row>
    <row r="3796" spans="1:15">
      <c r="A3796" t="s">
        <v>3970</v>
      </c>
      <c r="B3796" t="s">
        <v>514</v>
      </c>
      <c r="C3796" s="9">
        <v>25934</v>
      </c>
      <c r="D3796">
        <v>55</v>
      </c>
      <c r="E3796" t="s">
        <v>17</v>
      </c>
      <c r="F3796" t="s">
        <v>22</v>
      </c>
      <c r="G3796" s="9">
        <v>45323</v>
      </c>
      <c r="H3796" s="9">
        <v>45727</v>
      </c>
      <c r="I3796">
        <v>10</v>
      </c>
      <c r="J3796" t="s">
        <v>32</v>
      </c>
      <c r="K3796">
        <v>5</v>
      </c>
      <c r="L3796">
        <v>6</v>
      </c>
      <c r="M3796" s="11">
        <v>18280.009999999998</v>
      </c>
      <c r="N3796" s="12">
        <v>3774</v>
      </c>
      <c r="O3796" s="12">
        <v>17061.759999999998</v>
      </c>
    </row>
    <row r="3797" spans="1:15">
      <c r="A3797" t="s">
        <v>3971</v>
      </c>
      <c r="B3797" t="s">
        <v>125</v>
      </c>
      <c r="C3797" s="9">
        <v>35065</v>
      </c>
      <c r="D3797">
        <v>30</v>
      </c>
      <c r="E3797" t="s">
        <v>21</v>
      </c>
      <c r="F3797" t="s">
        <v>25</v>
      </c>
      <c r="G3797" s="9">
        <v>45114</v>
      </c>
      <c r="H3797" s="9">
        <v>45156</v>
      </c>
      <c r="I3797">
        <v>38</v>
      </c>
      <c r="J3797" t="s">
        <v>32</v>
      </c>
      <c r="K3797">
        <v>7</v>
      </c>
      <c r="L3797">
        <v>7</v>
      </c>
      <c r="M3797" s="11">
        <v>306.58999999999997</v>
      </c>
      <c r="N3797" s="12">
        <v>11095.66</v>
      </c>
      <c r="O3797" s="12">
        <v>11739.71</v>
      </c>
    </row>
    <row r="3798" spans="1:15">
      <c r="A3798" t="s">
        <v>3972</v>
      </c>
      <c r="B3798" t="s">
        <v>48</v>
      </c>
      <c r="C3798" s="9">
        <v>33969</v>
      </c>
      <c r="D3798">
        <v>33</v>
      </c>
      <c r="E3798" t="s">
        <v>17</v>
      </c>
      <c r="F3798" t="s">
        <v>5184</v>
      </c>
      <c r="G3798" s="9">
        <v>45066</v>
      </c>
      <c r="H3798" s="9">
        <v>45557</v>
      </c>
      <c r="I3798">
        <v>34</v>
      </c>
      <c r="J3798" t="s">
        <v>32</v>
      </c>
      <c r="K3798">
        <v>1</v>
      </c>
      <c r="L3798">
        <v>4</v>
      </c>
      <c r="M3798" s="11">
        <v>19346.900000000001</v>
      </c>
      <c r="N3798" s="12">
        <v>4112.9799999999996</v>
      </c>
      <c r="O3798" s="12">
        <v>5129.1499999999996</v>
      </c>
    </row>
    <row r="3799" spans="1:15">
      <c r="A3799" t="s">
        <v>3973</v>
      </c>
      <c r="B3799" t="s">
        <v>181</v>
      </c>
      <c r="C3799" s="9">
        <v>32143</v>
      </c>
      <c r="D3799">
        <v>38</v>
      </c>
      <c r="E3799" t="s">
        <v>21</v>
      </c>
      <c r="F3799" t="s">
        <v>49</v>
      </c>
      <c r="G3799" s="9">
        <v>45447</v>
      </c>
      <c r="H3799" s="9">
        <v>45615</v>
      </c>
      <c r="I3799">
        <v>35</v>
      </c>
      <c r="J3799" t="s">
        <v>26</v>
      </c>
      <c r="K3799">
        <v>4</v>
      </c>
      <c r="L3799">
        <v>1</v>
      </c>
      <c r="M3799" s="11">
        <v>28314.93</v>
      </c>
      <c r="N3799" s="12">
        <v>2189.83</v>
      </c>
      <c r="O3799" s="12">
        <v>6789.45</v>
      </c>
    </row>
    <row r="3800" spans="1:15">
      <c r="A3800" t="s">
        <v>3974</v>
      </c>
      <c r="B3800" t="s">
        <v>300</v>
      </c>
      <c r="C3800" s="9">
        <f>DATE(2026-D3760,1,1)</f>
        <v>19725</v>
      </c>
      <c r="D3800">
        <v>66</v>
      </c>
      <c r="E3800" t="s">
        <v>21</v>
      </c>
      <c r="F3800" t="s">
        <v>18</v>
      </c>
      <c r="G3800" s="9">
        <v>45018</v>
      </c>
      <c r="H3800" s="9">
        <v>45112</v>
      </c>
      <c r="I3800">
        <v>21</v>
      </c>
      <c r="J3800" t="s">
        <v>26</v>
      </c>
      <c r="K3800">
        <v>7</v>
      </c>
      <c r="L3800">
        <v>9</v>
      </c>
      <c r="M3800" s="11">
        <v>10438.549999999999</v>
      </c>
      <c r="N3800" s="12">
        <v>1622.02</v>
      </c>
      <c r="O3800" s="12">
        <v>8455.57</v>
      </c>
    </row>
    <row r="3801" spans="1:15">
      <c r="A3801" t="s">
        <v>3975</v>
      </c>
      <c r="B3801" t="s">
        <v>57</v>
      </c>
      <c r="C3801" s="9">
        <v>43466</v>
      </c>
      <c r="D3801">
        <v>7</v>
      </c>
      <c r="E3801" t="s">
        <v>17</v>
      </c>
      <c r="F3801" t="s">
        <v>25</v>
      </c>
      <c r="G3801" s="9">
        <v>45003</v>
      </c>
      <c r="H3801" s="9">
        <v>45757</v>
      </c>
      <c r="I3801">
        <v>35</v>
      </c>
      <c r="J3801" t="s">
        <v>35</v>
      </c>
      <c r="K3801">
        <v>9</v>
      </c>
      <c r="L3801">
        <v>4</v>
      </c>
      <c r="M3801" s="11">
        <v>0</v>
      </c>
      <c r="N3801" s="12">
        <v>12903.67</v>
      </c>
      <c r="O3801" s="12">
        <v>13575.86</v>
      </c>
    </row>
    <row r="3802" spans="1:15">
      <c r="A3802" t="s">
        <v>3976</v>
      </c>
      <c r="B3802" t="s">
        <v>51</v>
      </c>
      <c r="C3802" s="9">
        <v>14611</v>
      </c>
      <c r="D3802">
        <v>86</v>
      </c>
      <c r="E3802" t="s">
        <v>17</v>
      </c>
      <c r="F3802" t="s">
        <v>74</v>
      </c>
      <c r="G3802" s="9">
        <v>45170</v>
      </c>
      <c r="H3802" s="9">
        <v>45777</v>
      </c>
      <c r="I3802">
        <v>8</v>
      </c>
      <c r="J3802" t="s">
        <v>32</v>
      </c>
      <c r="K3802">
        <v>2</v>
      </c>
      <c r="L3802">
        <v>2</v>
      </c>
      <c r="M3802" s="11">
        <v>19953.900000000001</v>
      </c>
      <c r="N3802" s="12">
        <v>1796.05</v>
      </c>
      <c r="O3802" s="12">
        <v>9310.4599999999991</v>
      </c>
    </row>
    <row r="3803" spans="1:15">
      <c r="A3803" t="s">
        <v>3977</v>
      </c>
      <c r="B3803" t="s">
        <v>170</v>
      </c>
      <c r="C3803" s="9">
        <v>17898</v>
      </c>
      <c r="D3803">
        <v>77</v>
      </c>
      <c r="E3803" t="s">
        <v>21</v>
      </c>
      <c r="F3803" t="s">
        <v>29</v>
      </c>
      <c r="G3803" s="9">
        <v>45593</v>
      </c>
      <c r="H3803" s="9">
        <v>45142</v>
      </c>
      <c r="I3803">
        <v>26</v>
      </c>
      <c r="J3803" t="s">
        <v>35</v>
      </c>
      <c r="K3803">
        <v>4</v>
      </c>
      <c r="L3803">
        <v>8</v>
      </c>
      <c r="M3803" s="11">
        <v>5289.98</v>
      </c>
      <c r="N3803" s="12">
        <v>1307.24</v>
      </c>
      <c r="O3803" s="12">
        <v>7855.97</v>
      </c>
    </row>
    <row r="3804" spans="1:15">
      <c r="A3804" t="s">
        <v>3978</v>
      </c>
      <c r="B3804" t="s">
        <v>487</v>
      </c>
      <c r="C3804" s="9">
        <v>26299</v>
      </c>
      <c r="D3804">
        <v>54</v>
      </c>
      <c r="E3804" t="s">
        <v>21</v>
      </c>
      <c r="F3804" t="s">
        <v>5184</v>
      </c>
      <c r="G3804" s="9">
        <v>45656</v>
      </c>
      <c r="H3804" s="9">
        <v>45660</v>
      </c>
      <c r="I3804">
        <v>35</v>
      </c>
      <c r="J3804" t="s">
        <v>26</v>
      </c>
      <c r="K3804">
        <v>12</v>
      </c>
      <c r="L3804">
        <v>1</v>
      </c>
      <c r="M3804" s="11">
        <v>3931.82</v>
      </c>
      <c r="N3804" s="12">
        <v>140.32</v>
      </c>
      <c r="O3804" s="12">
        <v>15587.38</v>
      </c>
    </row>
    <row r="3805" spans="1:15">
      <c r="A3805" t="s">
        <v>3979</v>
      </c>
      <c r="B3805" t="s">
        <v>103</v>
      </c>
      <c r="C3805" s="9">
        <v>36526</v>
      </c>
      <c r="D3805">
        <v>26</v>
      </c>
      <c r="E3805" t="s">
        <v>17</v>
      </c>
      <c r="F3805" t="s">
        <v>5184</v>
      </c>
      <c r="G3805" s="9">
        <v>45588</v>
      </c>
      <c r="H3805" s="9">
        <v>45057</v>
      </c>
      <c r="I3805">
        <v>38</v>
      </c>
      <c r="J3805" t="s">
        <v>35</v>
      </c>
      <c r="K3805">
        <v>13</v>
      </c>
      <c r="L3805">
        <v>8</v>
      </c>
      <c r="M3805" s="11">
        <v>4877.1400000000003</v>
      </c>
      <c r="N3805" s="12">
        <v>5496.6</v>
      </c>
      <c r="O3805" s="12">
        <v>1344.16</v>
      </c>
    </row>
    <row r="3806" spans="1:15">
      <c r="A3806" t="s">
        <v>3980</v>
      </c>
      <c r="B3806" t="s">
        <v>338</v>
      </c>
      <c r="C3806" s="9">
        <v>12419</v>
      </c>
      <c r="D3806">
        <v>92</v>
      </c>
      <c r="E3806" t="s">
        <v>17</v>
      </c>
      <c r="F3806" t="s">
        <v>29</v>
      </c>
      <c r="G3806" s="9">
        <v>45014</v>
      </c>
      <c r="H3806" s="9">
        <v>45772</v>
      </c>
      <c r="I3806">
        <v>14</v>
      </c>
      <c r="J3806" t="s">
        <v>32</v>
      </c>
      <c r="K3806">
        <v>1</v>
      </c>
      <c r="L3806">
        <v>1</v>
      </c>
      <c r="M3806" s="11">
        <v>20826.349999999999</v>
      </c>
      <c r="N3806" s="12">
        <v>14140.31</v>
      </c>
      <c r="O3806" s="12">
        <v>13015.99</v>
      </c>
    </row>
    <row r="3807" spans="1:15">
      <c r="A3807" t="s">
        <v>3981</v>
      </c>
      <c r="B3807" t="s">
        <v>397</v>
      </c>
      <c r="C3807" s="9">
        <v>27029</v>
      </c>
      <c r="D3807">
        <v>52</v>
      </c>
      <c r="E3807" t="s">
        <v>17</v>
      </c>
      <c r="F3807" t="s">
        <v>22</v>
      </c>
      <c r="G3807" s="9">
        <v>45544</v>
      </c>
      <c r="H3807" s="9">
        <v>45199</v>
      </c>
      <c r="I3807">
        <v>23</v>
      </c>
      <c r="J3807" t="s">
        <v>35</v>
      </c>
      <c r="K3807">
        <v>7</v>
      </c>
      <c r="L3807">
        <v>0</v>
      </c>
      <c r="M3807" s="11">
        <v>17480.400000000001</v>
      </c>
      <c r="N3807" s="12">
        <v>13629.75</v>
      </c>
      <c r="O3807" s="12">
        <v>8923.36</v>
      </c>
    </row>
    <row r="3808" spans="1:15">
      <c r="A3808" t="s">
        <v>3982</v>
      </c>
      <c r="B3808" t="s">
        <v>387</v>
      </c>
      <c r="C3808" s="9">
        <v>32143</v>
      </c>
      <c r="D3808">
        <v>38</v>
      </c>
      <c r="E3808" t="s">
        <v>21</v>
      </c>
      <c r="F3808" t="s">
        <v>22</v>
      </c>
      <c r="G3808" s="9">
        <v>45220</v>
      </c>
      <c r="H3808" s="9">
        <v>45685</v>
      </c>
      <c r="I3808">
        <v>23</v>
      </c>
      <c r="J3808" t="s">
        <v>32</v>
      </c>
      <c r="K3808">
        <v>5</v>
      </c>
      <c r="L3808">
        <v>9</v>
      </c>
      <c r="M3808" s="11">
        <v>13394.08</v>
      </c>
      <c r="N3808" s="12">
        <v>1725.79</v>
      </c>
      <c r="O3808" s="12">
        <v>6630.56</v>
      </c>
    </row>
    <row r="3809" spans="1:15">
      <c r="A3809" t="s">
        <v>3983</v>
      </c>
      <c r="B3809" t="s">
        <v>681</v>
      </c>
      <c r="C3809" s="9">
        <v>22646</v>
      </c>
      <c r="D3809">
        <v>64</v>
      </c>
      <c r="E3809" t="s">
        <v>17</v>
      </c>
      <c r="F3809" t="s">
        <v>22</v>
      </c>
      <c r="G3809" s="9">
        <v>45021</v>
      </c>
      <c r="H3809" s="9">
        <v>45562</v>
      </c>
      <c r="I3809">
        <v>9</v>
      </c>
      <c r="J3809" t="s">
        <v>35</v>
      </c>
      <c r="K3809">
        <v>5</v>
      </c>
      <c r="L3809">
        <v>5</v>
      </c>
      <c r="M3809" s="11">
        <v>7532.32</v>
      </c>
      <c r="N3809" s="12">
        <v>187.42</v>
      </c>
      <c r="O3809" s="12">
        <v>18544.27</v>
      </c>
    </row>
    <row r="3810" spans="1:15">
      <c r="A3810" t="s">
        <v>3984</v>
      </c>
      <c r="B3810" t="s">
        <v>600</v>
      </c>
      <c r="C3810" s="9">
        <v>40178</v>
      </c>
      <c r="D3810">
        <v>16</v>
      </c>
      <c r="E3810" t="s">
        <v>17</v>
      </c>
      <c r="F3810" t="s">
        <v>5184</v>
      </c>
      <c r="G3810" s="9">
        <v>45179</v>
      </c>
      <c r="H3810" s="9">
        <v>44935</v>
      </c>
      <c r="I3810">
        <v>15</v>
      </c>
      <c r="J3810" t="s">
        <v>32</v>
      </c>
      <c r="K3810">
        <v>2</v>
      </c>
      <c r="L3810">
        <v>5</v>
      </c>
      <c r="M3810" s="11">
        <v>27170.55</v>
      </c>
      <c r="N3810" s="12">
        <v>11265.11</v>
      </c>
      <c r="O3810" s="12">
        <v>15536.38</v>
      </c>
    </row>
    <row r="3811" spans="1:15">
      <c r="A3811" t="s">
        <v>3985</v>
      </c>
      <c r="B3811" t="s">
        <v>170</v>
      </c>
      <c r="C3811" s="9">
        <v>35430</v>
      </c>
      <c r="D3811">
        <v>29</v>
      </c>
      <c r="E3811" t="s">
        <v>17</v>
      </c>
      <c r="F3811" t="s">
        <v>22</v>
      </c>
      <c r="G3811" s="9">
        <v>45477</v>
      </c>
      <c r="H3811" s="9">
        <v>45330</v>
      </c>
      <c r="I3811">
        <v>6</v>
      </c>
      <c r="J3811" t="s">
        <v>35</v>
      </c>
      <c r="K3811">
        <v>4</v>
      </c>
      <c r="L3811">
        <v>3</v>
      </c>
      <c r="M3811" s="11">
        <v>6019.18</v>
      </c>
      <c r="N3811" s="12">
        <v>4597.16</v>
      </c>
      <c r="O3811" s="12">
        <v>4307.1000000000004</v>
      </c>
    </row>
    <row r="3812" spans="1:15">
      <c r="A3812" t="s">
        <v>3986</v>
      </c>
      <c r="B3812" t="s">
        <v>596</v>
      </c>
      <c r="C3812" s="9">
        <v>27029</v>
      </c>
      <c r="D3812">
        <v>52</v>
      </c>
      <c r="E3812" t="s">
        <v>17</v>
      </c>
      <c r="F3812" t="s">
        <v>29</v>
      </c>
      <c r="G3812" s="9">
        <v>45325</v>
      </c>
      <c r="H3812" s="9">
        <v>45506</v>
      </c>
      <c r="I3812">
        <v>0</v>
      </c>
      <c r="J3812" t="s">
        <v>32</v>
      </c>
      <c r="K3812">
        <v>9</v>
      </c>
      <c r="L3812">
        <v>1</v>
      </c>
      <c r="M3812" s="11">
        <v>8149.99</v>
      </c>
      <c r="N3812" s="12">
        <v>12520.15</v>
      </c>
      <c r="O3812" s="12">
        <v>13011.96</v>
      </c>
    </row>
    <row r="3813" spans="1:15">
      <c r="A3813" t="s">
        <v>3987</v>
      </c>
      <c r="B3813" t="s">
        <v>490</v>
      </c>
      <c r="C3813" s="9">
        <v>41639</v>
      </c>
      <c r="D3813">
        <v>12</v>
      </c>
      <c r="E3813" t="s">
        <v>21</v>
      </c>
      <c r="F3813" t="s">
        <v>25</v>
      </c>
      <c r="G3813" s="9">
        <v>44980</v>
      </c>
      <c r="H3813" s="9">
        <v>45554</v>
      </c>
      <c r="I3813">
        <v>7</v>
      </c>
      <c r="J3813" t="s">
        <v>35</v>
      </c>
      <c r="K3813">
        <v>9</v>
      </c>
      <c r="L3813">
        <v>9</v>
      </c>
      <c r="M3813" s="11">
        <v>1175</v>
      </c>
      <c r="N3813" s="12">
        <v>3231.44</v>
      </c>
      <c r="O3813" s="12">
        <v>16427.96</v>
      </c>
    </row>
    <row r="3814" spans="1:15">
      <c r="A3814" t="s">
        <v>3988</v>
      </c>
      <c r="B3814" t="s">
        <v>24</v>
      </c>
      <c r="C3814" s="9">
        <v>38717</v>
      </c>
      <c r="D3814">
        <v>20</v>
      </c>
      <c r="E3814" t="s">
        <v>5185</v>
      </c>
      <c r="F3814" t="s">
        <v>49</v>
      </c>
      <c r="G3814" s="9">
        <v>45169</v>
      </c>
      <c r="H3814" s="9">
        <v>45296</v>
      </c>
      <c r="I3814">
        <v>1</v>
      </c>
      <c r="J3814" t="s">
        <v>26</v>
      </c>
      <c r="K3814">
        <v>6</v>
      </c>
      <c r="L3814">
        <v>2</v>
      </c>
      <c r="M3814" s="11">
        <v>7897.42</v>
      </c>
      <c r="N3814" s="12">
        <v>7383.13</v>
      </c>
      <c r="O3814" s="12">
        <v>19785.73</v>
      </c>
    </row>
    <row r="3815" spans="1:15">
      <c r="A3815" t="s">
        <v>3989</v>
      </c>
      <c r="B3815" t="s">
        <v>16</v>
      </c>
      <c r="C3815" s="9">
        <v>39448</v>
      </c>
      <c r="D3815">
        <v>18</v>
      </c>
      <c r="E3815" t="s">
        <v>21</v>
      </c>
      <c r="F3815" t="s">
        <v>25</v>
      </c>
      <c r="G3815" s="9">
        <v>45036</v>
      </c>
      <c r="H3815" s="9">
        <v>45727</v>
      </c>
      <c r="I3815">
        <v>5</v>
      </c>
      <c r="J3815" t="s">
        <v>26</v>
      </c>
      <c r="K3815">
        <v>13</v>
      </c>
      <c r="L3815">
        <v>5</v>
      </c>
      <c r="M3815" s="11">
        <v>27648.38</v>
      </c>
      <c r="N3815" s="12">
        <v>494.19</v>
      </c>
      <c r="O3815" s="12">
        <v>13938.34</v>
      </c>
    </row>
    <row r="3816" spans="1:15">
      <c r="A3816" t="s">
        <v>3990</v>
      </c>
      <c r="B3816" t="s">
        <v>252</v>
      </c>
      <c r="C3816" s="9">
        <v>27029</v>
      </c>
      <c r="D3816">
        <v>52</v>
      </c>
      <c r="E3816" t="s">
        <v>21</v>
      </c>
      <c r="F3816" t="s">
        <v>74</v>
      </c>
      <c r="G3816" s="9">
        <v>45550</v>
      </c>
      <c r="H3816" s="9">
        <v>45544</v>
      </c>
      <c r="I3816">
        <v>15</v>
      </c>
      <c r="J3816" t="s">
        <v>32</v>
      </c>
      <c r="K3816">
        <v>14</v>
      </c>
      <c r="L3816">
        <v>3</v>
      </c>
      <c r="M3816" s="11">
        <v>5221.92</v>
      </c>
      <c r="N3816" s="12">
        <v>13420.72</v>
      </c>
      <c r="O3816" s="12">
        <v>13782.89</v>
      </c>
    </row>
    <row r="3817" spans="1:15">
      <c r="A3817" t="s">
        <v>3991</v>
      </c>
      <c r="B3817" t="s">
        <v>20</v>
      </c>
      <c r="C3817" s="9">
        <v>39448</v>
      </c>
      <c r="D3817">
        <v>18</v>
      </c>
      <c r="E3817" t="s">
        <v>17</v>
      </c>
      <c r="F3817" t="s">
        <v>29</v>
      </c>
      <c r="G3817" s="9">
        <v>45612</v>
      </c>
      <c r="H3817" s="9">
        <v>45464</v>
      </c>
      <c r="I3817">
        <v>36</v>
      </c>
      <c r="J3817" t="s">
        <v>26</v>
      </c>
      <c r="K3817">
        <v>4</v>
      </c>
      <c r="L3817">
        <v>4</v>
      </c>
      <c r="M3817" s="11">
        <v>5720.87</v>
      </c>
      <c r="N3817" s="12">
        <v>2669.64</v>
      </c>
      <c r="O3817" s="12">
        <v>12227.17</v>
      </c>
    </row>
    <row r="3818" spans="1:15">
      <c r="A3818" t="s">
        <v>3992</v>
      </c>
      <c r="B3818" t="s">
        <v>336</v>
      </c>
      <c r="C3818" s="9">
        <v>25568</v>
      </c>
      <c r="D3818">
        <v>56</v>
      </c>
      <c r="E3818" t="s">
        <v>17</v>
      </c>
      <c r="F3818" t="s">
        <v>25</v>
      </c>
      <c r="G3818" s="9">
        <v>45627</v>
      </c>
      <c r="H3818" s="9">
        <v>44980</v>
      </c>
      <c r="I3818">
        <v>28</v>
      </c>
      <c r="J3818" t="s">
        <v>32</v>
      </c>
      <c r="K3818">
        <v>4</v>
      </c>
      <c r="L3818">
        <v>8</v>
      </c>
      <c r="M3818" s="11">
        <v>17799.310000000001</v>
      </c>
      <c r="N3818" s="12">
        <v>4420.55</v>
      </c>
      <c r="O3818" s="12">
        <v>704.05</v>
      </c>
    </row>
    <row r="3819" spans="1:15">
      <c r="A3819" t="s">
        <v>3993</v>
      </c>
      <c r="B3819" t="s">
        <v>100</v>
      </c>
      <c r="C3819" s="9">
        <v>37256</v>
      </c>
      <c r="D3819">
        <v>24</v>
      </c>
      <c r="E3819" t="s">
        <v>17</v>
      </c>
      <c r="F3819" t="s">
        <v>29</v>
      </c>
      <c r="G3819" s="9">
        <v>45147</v>
      </c>
      <c r="H3819" s="9">
        <v>45174</v>
      </c>
      <c r="I3819">
        <v>11</v>
      </c>
      <c r="J3819" t="s">
        <v>32</v>
      </c>
      <c r="K3819">
        <v>2</v>
      </c>
      <c r="L3819">
        <v>4</v>
      </c>
      <c r="M3819" s="11">
        <v>16792.080000000002</v>
      </c>
      <c r="N3819" s="12">
        <v>7195.51</v>
      </c>
      <c r="O3819" s="12">
        <v>11659.63</v>
      </c>
    </row>
    <row r="3820" spans="1:15">
      <c r="A3820" t="s">
        <v>3994</v>
      </c>
      <c r="B3820" t="s">
        <v>215</v>
      </c>
      <c r="C3820" s="9">
        <v>14976</v>
      </c>
      <c r="D3820">
        <f ca="1">DATEDIF(C3771,TODAY(),"Y")</f>
        <v>3</v>
      </c>
      <c r="E3820" t="s">
        <v>17</v>
      </c>
      <c r="F3820" t="s">
        <v>5184</v>
      </c>
      <c r="G3820" s="9">
        <v>45490</v>
      </c>
      <c r="H3820" s="9">
        <v>45264</v>
      </c>
      <c r="I3820">
        <v>36</v>
      </c>
      <c r="J3820" t="s">
        <v>26</v>
      </c>
      <c r="K3820">
        <v>6</v>
      </c>
      <c r="L3820">
        <v>9</v>
      </c>
      <c r="M3820" s="11">
        <v>4866.74</v>
      </c>
      <c r="N3820" s="12">
        <v>4069.03</v>
      </c>
      <c r="O3820" s="12">
        <v>16081.46</v>
      </c>
    </row>
    <row r="3821" spans="1:15">
      <c r="A3821" t="s">
        <v>3995</v>
      </c>
      <c r="B3821" t="s">
        <v>615</v>
      </c>
      <c r="C3821" s="9">
        <v>35065</v>
      </c>
      <c r="D3821">
        <v>30</v>
      </c>
      <c r="E3821" t="s">
        <v>21</v>
      </c>
      <c r="F3821" t="s">
        <v>74</v>
      </c>
      <c r="G3821" s="9">
        <v>45088</v>
      </c>
      <c r="H3821" s="9">
        <v>45208</v>
      </c>
      <c r="I3821">
        <v>30</v>
      </c>
      <c r="J3821" t="s">
        <v>26</v>
      </c>
      <c r="K3821">
        <v>12</v>
      </c>
      <c r="L3821">
        <v>7</v>
      </c>
      <c r="M3821" s="11">
        <v>4205.08</v>
      </c>
      <c r="N3821" s="12">
        <v>602.45000000000005</v>
      </c>
      <c r="O3821" s="12">
        <v>7847.91</v>
      </c>
    </row>
    <row r="3822" spans="1:15">
      <c r="A3822" t="s">
        <v>3996</v>
      </c>
      <c r="B3822" t="s">
        <v>600</v>
      </c>
      <c r="C3822" s="9">
        <v>16802</v>
      </c>
      <c r="D3822">
        <v>80</v>
      </c>
      <c r="E3822" t="s">
        <v>17</v>
      </c>
      <c r="F3822" t="s">
        <v>5184</v>
      </c>
      <c r="G3822" s="9">
        <v>44961</v>
      </c>
      <c r="H3822" s="9">
        <v>44960</v>
      </c>
      <c r="I3822">
        <v>26</v>
      </c>
      <c r="J3822" t="s">
        <v>32</v>
      </c>
      <c r="K3822">
        <v>8</v>
      </c>
      <c r="L3822">
        <v>1</v>
      </c>
      <c r="M3822" s="11">
        <v>3067.8</v>
      </c>
      <c r="N3822" s="12">
        <v>436.29</v>
      </c>
      <c r="O3822" s="12">
        <v>11698.28</v>
      </c>
    </row>
    <row r="3823" spans="1:15">
      <c r="A3823" t="s">
        <v>3997</v>
      </c>
      <c r="B3823" t="s">
        <v>168</v>
      </c>
      <c r="C3823" s="9">
        <v>26299</v>
      </c>
      <c r="D3823">
        <v>54</v>
      </c>
      <c r="E3823" t="s">
        <v>21</v>
      </c>
      <c r="F3823" t="s">
        <v>18</v>
      </c>
      <c r="G3823" s="9">
        <v>44963</v>
      </c>
      <c r="H3823" s="9">
        <v>45726</v>
      </c>
      <c r="I3823">
        <v>30</v>
      </c>
      <c r="J3823" t="s">
        <v>32</v>
      </c>
      <c r="K3823">
        <v>6</v>
      </c>
      <c r="L3823">
        <v>5</v>
      </c>
      <c r="M3823" s="11">
        <v>25763.11</v>
      </c>
      <c r="N3823" s="12">
        <v>14328.2</v>
      </c>
      <c r="O3823" s="12">
        <v>18522.41</v>
      </c>
    </row>
    <row r="3824" spans="1:15">
      <c r="A3824" t="s">
        <v>3998</v>
      </c>
      <c r="B3824" t="s">
        <v>137</v>
      </c>
      <c r="C3824" s="9">
        <v>37987</v>
      </c>
      <c r="D3824">
        <v>22</v>
      </c>
      <c r="E3824" t="s">
        <v>17</v>
      </c>
      <c r="F3824" t="s">
        <v>18</v>
      </c>
      <c r="G3824" s="9">
        <v>45549</v>
      </c>
      <c r="H3824" s="9">
        <v>45475</v>
      </c>
      <c r="I3824">
        <v>32</v>
      </c>
      <c r="J3824" t="s">
        <v>32</v>
      </c>
      <c r="K3824">
        <v>7</v>
      </c>
      <c r="L3824">
        <v>5</v>
      </c>
      <c r="M3824" s="11">
        <v>19460.27</v>
      </c>
      <c r="N3824" s="12">
        <v>4882.4399999999996</v>
      </c>
      <c r="O3824" s="12">
        <v>3357.89</v>
      </c>
    </row>
    <row r="3825" spans="1:15">
      <c r="A3825" t="s">
        <v>3999</v>
      </c>
      <c r="B3825" t="s">
        <v>159</v>
      </c>
      <c r="C3825" s="9">
        <v>34700</v>
      </c>
      <c r="D3825">
        <v>31</v>
      </c>
      <c r="E3825" t="s">
        <v>21</v>
      </c>
      <c r="F3825" t="s">
        <v>18</v>
      </c>
      <c r="G3825" s="9">
        <v>45296</v>
      </c>
      <c r="H3825" s="9">
        <v>45270</v>
      </c>
      <c r="I3825">
        <v>1</v>
      </c>
      <c r="J3825" t="s">
        <v>35</v>
      </c>
      <c r="K3825">
        <v>4</v>
      </c>
      <c r="L3825">
        <v>4</v>
      </c>
      <c r="M3825" s="11">
        <v>28580.09</v>
      </c>
      <c r="N3825" s="12">
        <v>5015.87</v>
      </c>
      <c r="O3825" s="12">
        <v>5537.56</v>
      </c>
    </row>
    <row r="3826" spans="1:15">
      <c r="A3826" t="s">
        <v>4000</v>
      </c>
      <c r="B3826" t="s">
        <v>145</v>
      </c>
      <c r="C3826" s="9">
        <v>23742</v>
      </c>
      <c r="D3826">
        <v>61</v>
      </c>
      <c r="E3826" t="s">
        <v>17</v>
      </c>
      <c r="F3826" t="s">
        <v>29</v>
      </c>
      <c r="G3826" s="9">
        <v>45103</v>
      </c>
      <c r="H3826" s="9">
        <v>45818</v>
      </c>
      <c r="I3826">
        <v>32</v>
      </c>
      <c r="J3826" t="s">
        <v>32</v>
      </c>
      <c r="K3826">
        <v>0</v>
      </c>
      <c r="L3826">
        <v>5</v>
      </c>
      <c r="M3826" s="11">
        <v>4557.92</v>
      </c>
      <c r="N3826" s="12">
        <v>13843.5</v>
      </c>
      <c r="O3826" s="12">
        <v>2117.38</v>
      </c>
    </row>
    <row r="3827" spans="1:15">
      <c r="A3827" t="s">
        <v>4001</v>
      </c>
      <c r="B3827" t="s">
        <v>168</v>
      </c>
      <c r="C3827" s="9">
        <v>19359</v>
      </c>
      <c r="D3827">
        <v>73</v>
      </c>
      <c r="E3827" t="s">
        <v>21</v>
      </c>
      <c r="F3827" t="s">
        <v>25</v>
      </c>
      <c r="G3827" s="9">
        <v>45447</v>
      </c>
      <c r="H3827" s="9">
        <v>45166</v>
      </c>
      <c r="I3827">
        <v>29</v>
      </c>
      <c r="J3827" t="s">
        <v>32</v>
      </c>
      <c r="K3827">
        <v>14</v>
      </c>
      <c r="L3827">
        <v>4</v>
      </c>
      <c r="M3827" s="11">
        <v>13548.41</v>
      </c>
      <c r="N3827" s="12">
        <v>12542.31</v>
      </c>
      <c r="O3827" s="12">
        <v>9954.92</v>
      </c>
    </row>
    <row r="3828" spans="1:15">
      <c r="A3828" t="s">
        <v>4002</v>
      </c>
      <c r="B3828" t="s">
        <v>159</v>
      </c>
      <c r="C3828" s="9">
        <v>42735</v>
      </c>
      <c r="D3828">
        <v>9</v>
      </c>
      <c r="E3828" t="s">
        <v>17</v>
      </c>
      <c r="F3828" t="s">
        <v>29</v>
      </c>
      <c r="G3828" s="9">
        <v>45201</v>
      </c>
      <c r="H3828" s="9">
        <v>45419</v>
      </c>
      <c r="I3828">
        <v>33</v>
      </c>
      <c r="J3828" t="s">
        <v>32</v>
      </c>
      <c r="K3828">
        <v>2</v>
      </c>
      <c r="L3828">
        <v>1</v>
      </c>
      <c r="M3828" s="11">
        <v>22162.92</v>
      </c>
      <c r="N3828" s="12">
        <v>10304.120000000001</v>
      </c>
      <c r="O3828" s="12">
        <v>16776.95</v>
      </c>
    </row>
    <row r="3829" spans="1:15">
      <c r="A3829" t="s">
        <v>4003</v>
      </c>
      <c r="B3829" t="s">
        <v>223</v>
      </c>
      <c r="C3829" s="9">
        <v>20090</v>
      </c>
      <c r="D3829">
        <v>71</v>
      </c>
      <c r="E3829" t="s">
        <v>17</v>
      </c>
      <c r="F3829" t="s">
        <v>5184</v>
      </c>
      <c r="G3829" s="9">
        <v>45559</v>
      </c>
      <c r="H3829" s="9">
        <v>45656</v>
      </c>
      <c r="I3829">
        <v>20</v>
      </c>
      <c r="J3829" t="s">
        <v>32</v>
      </c>
      <c r="K3829">
        <v>2</v>
      </c>
      <c r="L3829">
        <v>4</v>
      </c>
      <c r="M3829" s="11">
        <v>6013.22</v>
      </c>
      <c r="N3829" s="12">
        <v>9877.59</v>
      </c>
      <c r="O3829" s="12">
        <v>8647.86</v>
      </c>
    </row>
    <row r="3830" spans="1:15">
      <c r="A3830" t="s">
        <v>4004</v>
      </c>
      <c r="B3830" t="s">
        <v>268</v>
      </c>
      <c r="C3830" s="9">
        <v>26664</v>
      </c>
      <c r="D3830">
        <v>53</v>
      </c>
      <c r="E3830" t="s">
        <v>21</v>
      </c>
      <c r="F3830" t="s">
        <v>49</v>
      </c>
      <c r="G3830" s="9">
        <v>45031</v>
      </c>
      <c r="H3830" s="9">
        <v>45104</v>
      </c>
      <c r="I3830">
        <v>2</v>
      </c>
      <c r="J3830" t="s">
        <v>26</v>
      </c>
      <c r="K3830">
        <v>11</v>
      </c>
      <c r="L3830">
        <v>0</v>
      </c>
      <c r="M3830" s="11">
        <v>20382.64</v>
      </c>
      <c r="N3830" s="12">
        <v>12016.29</v>
      </c>
      <c r="O3830" s="12">
        <v>1303.78</v>
      </c>
    </row>
    <row r="3831" spans="1:15">
      <c r="A3831" t="s">
        <v>4005</v>
      </c>
      <c r="B3831" t="s">
        <v>292</v>
      </c>
      <c r="C3831" s="9">
        <v>27395</v>
      </c>
      <c r="D3831">
        <v>51</v>
      </c>
      <c r="E3831" t="s">
        <v>17</v>
      </c>
      <c r="F3831" t="s">
        <v>5184</v>
      </c>
      <c r="G3831" s="9">
        <v>45082</v>
      </c>
      <c r="H3831" s="9">
        <v>44971</v>
      </c>
      <c r="I3831">
        <v>13</v>
      </c>
      <c r="J3831" t="s">
        <v>26</v>
      </c>
      <c r="K3831">
        <v>6</v>
      </c>
      <c r="L3831">
        <v>2</v>
      </c>
      <c r="M3831" s="11">
        <v>13951</v>
      </c>
      <c r="N3831" s="12">
        <v>2533.13</v>
      </c>
      <c r="O3831" s="12">
        <v>5197.1099999999997</v>
      </c>
    </row>
    <row r="3832" spans="1:15">
      <c r="A3832" t="s">
        <v>4006</v>
      </c>
      <c r="B3832" t="s">
        <v>37</v>
      </c>
      <c r="C3832" s="9">
        <v>39083</v>
      </c>
      <c r="D3832">
        <v>19</v>
      </c>
      <c r="E3832" t="s">
        <v>17</v>
      </c>
      <c r="F3832" t="s">
        <v>25</v>
      </c>
      <c r="G3832" s="9">
        <v>45262</v>
      </c>
      <c r="H3832" s="9">
        <v>45231</v>
      </c>
      <c r="I3832">
        <v>37</v>
      </c>
      <c r="J3832" t="s">
        <v>26</v>
      </c>
      <c r="K3832">
        <v>3</v>
      </c>
      <c r="L3832">
        <v>6</v>
      </c>
      <c r="M3832" s="11">
        <v>12640.28</v>
      </c>
      <c r="N3832" s="12">
        <v>9964.1200000000008</v>
      </c>
      <c r="O3832" s="12">
        <v>17783.099999999999</v>
      </c>
    </row>
    <row r="3833" spans="1:15">
      <c r="A3833" t="s">
        <v>4007</v>
      </c>
      <c r="B3833" t="s">
        <v>131</v>
      </c>
      <c r="C3833" s="9">
        <v>34700</v>
      </c>
      <c r="D3833">
        <f ca="1">DATEDIF(C3784,TODAY(),"Y")</f>
        <v>82</v>
      </c>
      <c r="E3833" t="s">
        <v>17</v>
      </c>
      <c r="F3833" t="s">
        <v>5184</v>
      </c>
      <c r="G3833" s="9">
        <v>44952</v>
      </c>
      <c r="H3833" s="9">
        <v>45597</v>
      </c>
      <c r="I3833">
        <v>21</v>
      </c>
      <c r="J3833" t="s">
        <v>32</v>
      </c>
      <c r="K3833">
        <v>2</v>
      </c>
      <c r="L3833">
        <v>3</v>
      </c>
      <c r="M3833" s="11">
        <v>19172.43</v>
      </c>
      <c r="N3833" s="12">
        <v>1475.98</v>
      </c>
      <c r="O3833" s="12">
        <v>11106.23</v>
      </c>
    </row>
    <row r="3834" spans="1:15">
      <c r="A3834" t="s">
        <v>4008</v>
      </c>
      <c r="B3834" t="s">
        <v>286</v>
      </c>
      <c r="C3834" s="9">
        <v>41274</v>
      </c>
      <c r="D3834">
        <v>13</v>
      </c>
      <c r="E3834" t="s">
        <v>17</v>
      </c>
      <c r="F3834" t="s">
        <v>5184</v>
      </c>
      <c r="G3834" s="9">
        <v>45222</v>
      </c>
      <c r="H3834" s="9">
        <v>45196</v>
      </c>
      <c r="I3834">
        <v>37</v>
      </c>
      <c r="J3834" t="s">
        <v>35</v>
      </c>
      <c r="K3834">
        <v>6</v>
      </c>
      <c r="L3834">
        <v>7</v>
      </c>
      <c r="M3834" s="11">
        <v>13764.68</v>
      </c>
      <c r="N3834" s="12">
        <v>1897.69</v>
      </c>
      <c r="O3834" s="12">
        <v>18272.830000000002</v>
      </c>
    </row>
    <row r="3835" spans="1:15">
      <c r="A3835" t="s">
        <v>4009</v>
      </c>
      <c r="B3835" t="s">
        <v>275</v>
      </c>
      <c r="C3835" s="9">
        <v>28125</v>
      </c>
      <c r="D3835">
        <v>49</v>
      </c>
      <c r="E3835" t="s">
        <v>21</v>
      </c>
      <c r="F3835" t="s">
        <v>74</v>
      </c>
      <c r="G3835" s="9">
        <v>45463</v>
      </c>
      <c r="H3835" s="9">
        <v>45610</v>
      </c>
      <c r="I3835">
        <v>25</v>
      </c>
      <c r="J3835" t="s">
        <v>35</v>
      </c>
      <c r="K3835">
        <v>11</v>
      </c>
      <c r="L3835">
        <v>2</v>
      </c>
      <c r="M3835" s="11">
        <v>24510.400000000001</v>
      </c>
      <c r="N3835" s="12">
        <v>3641.34</v>
      </c>
      <c r="O3835" s="12">
        <v>16672.21</v>
      </c>
    </row>
    <row r="3836" spans="1:15">
      <c r="A3836" t="s">
        <v>4010</v>
      </c>
      <c r="B3836" t="s">
        <v>446</v>
      </c>
      <c r="C3836" s="9">
        <v>36161</v>
      </c>
      <c r="D3836">
        <v>27</v>
      </c>
      <c r="E3836" t="s">
        <v>21</v>
      </c>
      <c r="F3836" t="s">
        <v>22</v>
      </c>
      <c r="G3836" s="9">
        <v>45281</v>
      </c>
      <c r="H3836" s="9">
        <v>45660</v>
      </c>
      <c r="I3836">
        <v>22</v>
      </c>
      <c r="J3836" t="s">
        <v>32</v>
      </c>
      <c r="K3836">
        <v>1</v>
      </c>
      <c r="L3836">
        <v>6</v>
      </c>
      <c r="M3836" s="11">
        <v>27880.9</v>
      </c>
      <c r="N3836" s="12">
        <v>10647.06</v>
      </c>
      <c r="O3836" s="12">
        <v>8227.26</v>
      </c>
    </row>
    <row r="3837" spans="1:15">
      <c r="A3837" t="s">
        <v>4011</v>
      </c>
      <c r="B3837" t="s">
        <v>57</v>
      </c>
      <c r="C3837" s="9">
        <v>27029</v>
      </c>
      <c r="D3837">
        <v>52</v>
      </c>
      <c r="E3837" t="s">
        <v>21</v>
      </c>
      <c r="F3837" t="s">
        <v>18</v>
      </c>
      <c r="G3837" s="9">
        <v>44995</v>
      </c>
      <c r="H3837" s="9">
        <v>45327</v>
      </c>
      <c r="I3837">
        <v>4</v>
      </c>
      <c r="J3837" t="s">
        <v>32</v>
      </c>
      <c r="K3837">
        <v>0</v>
      </c>
      <c r="L3837">
        <v>1</v>
      </c>
      <c r="M3837" s="11">
        <v>17460.189999999999</v>
      </c>
      <c r="N3837" s="12">
        <v>13388.18</v>
      </c>
      <c r="O3837" s="12">
        <v>12634.23</v>
      </c>
    </row>
    <row r="3838" spans="1:15">
      <c r="A3838" t="s">
        <v>4012</v>
      </c>
      <c r="B3838" t="s">
        <v>372</v>
      </c>
      <c r="C3838" s="9">
        <v>37622</v>
      </c>
      <c r="D3838">
        <f ca="1">DATEDIF(C3789,TODAY(),"Y")</f>
        <v>33</v>
      </c>
      <c r="E3838" t="s">
        <v>21</v>
      </c>
      <c r="F3838" t="s">
        <v>25</v>
      </c>
      <c r="G3838" s="9">
        <v>45253</v>
      </c>
      <c r="H3838" s="9">
        <v>45669</v>
      </c>
      <c r="I3838">
        <v>35</v>
      </c>
      <c r="J3838" t="s">
        <v>32</v>
      </c>
      <c r="K3838">
        <v>2</v>
      </c>
      <c r="L3838">
        <v>7</v>
      </c>
      <c r="M3838" s="11">
        <v>8668.1299999999992</v>
      </c>
      <c r="N3838" s="12">
        <v>10361.790000000001</v>
      </c>
      <c r="O3838" s="12">
        <v>13254.95</v>
      </c>
    </row>
    <row r="3839" spans="1:15">
      <c r="A3839" t="s">
        <v>4013</v>
      </c>
      <c r="B3839" t="s">
        <v>550</v>
      </c>
      <c r="C3839" s="9">
        <v>17533</v>
      </c>
      <c r="D3839">
        <v>78</v>
      </c>
      <c r="E3839" t="s">
        <v>21</v>
      </c>
      <c r="F3839" t="s">
        <v>25</v>
      </c>
      <c r="G3839" s="9">
        <v>45077</v>
      </c>
      <c r="H3839" s="9">
        <v>45530</v>
      </c>
      <c r="I3839">
        <v>4</v>
      </c>
      <c r="J3839" t="s">
        <v>32</v>
      </c>
      <c r="K3839">
        <v>9</v>
      </c>
      <c r="L3839">
        <v>2</v>
      </c>
      <c r="M3839" s="11">
        <v>23205.279999999999</v>
      </c>
      <c r="N3839" s="12">
        <v>6249.35</v>
      </c>
      <c r="O3839" s="12">
        <v>14910.63</v>
      </c>
    </row>
    <row r="3840" spans="1:15">
      <c r="A3840" t="s">
        <v>4014</v>
      </c>
      <c r="B3840" t="s">
        <v>244</v>
      </c>
      <c r="C3840" s="9">
        <v>38352</v>
      </c>
      <c r="D3840">
        <v>21</v>
      </c>
      <c r="E3840" t="s">
        <v>17</v>
      </c>
      <c r="F3840" t="s">
        <v>18</v>
      </c>
      <c r="G3840" s="9">
        <v>45503</v>
      </c>
      <c r="H3840" s="9">
        <v>45358</v>
      </c>
      <c r="I3840">
        <v>19</v>
      </c>
      <c r="J3840" t="s">
        <v>35</v>
      </c>
      <c r="K3840">
        <v>1</v>
      </c>
      <c r="L3840">
        <v>5</v>
      </c>
      <c r="M3840" s="11">
        <v>4699.9399999999996</v>
      </c>
      <c r="N3840" s="12">
        <v>7704.92</v>
      </c>
      <c r="O3840" s="12">
        <v>6592.63</v>
      </c>
    </row>
    <row r="3841" spans="1:15">
      <c r="A3841" t="s">
        <v>4015</v>
      </c>
      <c r="B3841" t="s">
        <v>103</v>
      </c>
      <c r="C3841" s="9">
        <v>35430</v>
      </c>
      <c r="D3841">
        <v>29</v>
      </c>
      <c r="E3841" t="s">
        <v>21</v>
      </c>
      <c r="F3841" t="s">
        <v>5184</v>
      </c>
      <c r="G3841" s="9">
        <v>45588</v>
      </c>
      <c r="H3841" s="9">
        <v>45348</v>
      </c>
      <c r="I3841">
        <v>19</v>
      </c>
      <c r="J3841" t="s">
        <v>26</v>
      </c>
      <c r="K3841">
        <v>14</v>
      </c>
      <c r="L3841">
        <v>1</v>
      </c>
      <c r="M3841" s="11">
        <v>2397.2199999999998</v>
      </c>
      <c r="N3841" s="12">
        <v>10684.89</v>
      </c>
      <c r="O3841" s="12">
        <v>5708.69</v>
      </c>
    </row>
    <row r="3842" spans="1:15">
      <c r="A3842" t="s">
        <v>4016</v>
      </c>
      <c r="B3842" t="s">
        <v>326</v>
      </c>
      <c r="C3842" s="9">
        <v>23377</v>
      </c>
      <c r="D3842">
        <v>62</v>
      </c>
      <c r="E3842" t="s">
        <v>21</v>
      </c>
      <c r="F3842" t="s">
        <v>74</v>
      </c>
      <c r="G3842" s="9">
        <v>45246</v>
      </c>
      <c r="H3842" s="9">
        <v>45058</v>
      </c>
      <c r="I3842">
        <v>24</v>
      </c>
      <c r="J3842" t="s">
        <v>32</v>
      </c>
      <c r="K3842">
        <v>1</v>
      </c>
      <c r="L3842">
        <v>6</v>
      </c>
      <c r="M3842" s="11">
        <v>15321.31</v>
      </c>
      <c r="N3842" s="12">
        <v>9199.23</v>
      </c>
      <c r="O3842" s="12">
        <v>13660.23</v>
      </c>
    </row>
    <row r="3843" spans="1:15">
      <c r="A3843" t="s">
        <v>4017</v>
      </c>
      <c r="B3843" t="s">
        <v>1148</v>
      </c>
      <c r="C3843" s="9">
        <v>44927</v>
      </c>
      <c r="D3843">
        <v>3</v>
      </c>
      <c r="E3843" t="s">
        <v>21</v>
      </c>
      <c r="F3843" t="s">
        <v>29</v>
      </c>
      <c r="G3843" s="9">
        <v>45378</v>
      </c>
      <c r="H3843" s="9">
        <v>45337</v>
      </c>
      <c r="I3843">
        <v>30</v>
      </c>
      <c r="J3843" t="s">
        <v>35</v>
      </c>
      <c r="K3843">
        <v>3</v>
      </c>
      <c r="L3843">
        <v>3</v>
      </c>
      <c r="M3843" s="11">
        <v>19225.439999999999</v>
      </c>
      <c r="N3843" s="12">
        <v>7942.01</v>
      </c>
      <c r="O3843" s="12">
        <v>16356.96</v>
      </c>
    </row>
    <row r="3844" spans="1:15">
      <c r="A3844" t="s">
        <v>4018</v>
      </c>
      <c r="B3844" t="s">
        <v>69</v>
      </c>
      <c r="C3844" s="9">
        <v>18263</v>
      </c>
      <c r="D3844">
        <v>76</v>
      </c>
      <c r="E3844" t="s">
        <v>17</v>
      </c>
      <c r="F3844" t="s">
        <v>29</v>
      </c>
      <c r="G3844" s="9">
        <v>45496</v>
      </c>
      <c r="H3844" s="9">
        <v>45665</v>
      </c>
      <c r="I3844">
        <v>29</v>
      </c>
      <c r="J3844" t="s">
        <v>35</v>
      </c>
      <c r="K3844">
        <v>11</v>
      </c>
      <c r="L3844">
        <v>5</v>
      </c>
      <c r="M3844" s="11">
        <v>24967.439999999999</v>
      </c>
      <c r="N3844" s="12">
        <v>3551.89</v>
      </c>
      <c r="O3844" s="12">
        <v>8226.36</v>
      </c>
    </row>
    <row r="3845" spans="1:15">
      <c r="A3845" t="s">
        <v>4019</v>
      </c>
      <c r="B3845" t="s">
        <v>105</v>
      </c>
      <c r="C3845" s="9">
        <v>24838</v>
      </c>
      <c r="D3845">
        <v>58</v>
      </c>
      <c r="E3845" t="s">
        <v>17</v>
      </c>
      <c r="F3845" t="s">
        <v>5184</v>
      </c>
      <c r="G3845" s="9">
        <v>45594</v>
      </c>
      <c r="H3845" s="9">
        <v>45152</v>
      </c>
      <c r="I3845">
        <v>36</v>
      </c>
      <c r="J3845" t="s">
        <v>35</v>
      </c>
      <c r="K3845">
        <v>9</v>
      </c>
      <c r="L3845">
        <v>1</v>
      </c>
      <c r="M3845" s="11">
        <v>28633.98</v>
      </c>
      <c r="N3845" s="12">
        <v>9254.41</v>
      </c>
      <c r="O3845" s="12">
        <v>6353.48</v>
      </c>
    </row>
    <row r="3846" spans="1:15">
      <c r="A3846" t="s">
        <v>4020</v>
      </c>
      <c r="B3846" t="s">
        <v>619</v>
      </c>
      <c r="C3846" s="9">
        <v>14611</v>
      </c>
      <c r="D3846">
        <v>86</v>
      </c>
      <c r="E3846" t="s">
        <v>21</v>
      </c>
      <c r="F3846" t="s">
        <v>5184</v>
      </c>
      <c r="G3846" s="9">
        <v>45038</v>
      </c>
      <c r="H3846" s="9">
        <v>45070</v>
      </c>
      <c r="I3846">
        <v>29</v>
      </c>
      <c r="J3846" t="s">
        <v>26</v>
      </c>
      <c r="K3846">
        <v>1</v>
      </c>
      <c r="L3846">
        <v>2</v>
      </c>
      <c r="M3846" s="11">
        <v>0</v>
      </c>
      <c r="N3846" s="12">
        <v>280.02</v>
      </c>
      <c r="O3846" s="12">
        <v>16493.29</v>
      </c>
    </row>
    <row r="3847" spans="1:15">
      <c r="A3847" t="s">
        <v>4021</v>
      </c>
      <c r="B3847" t="s">
        <v>194</v>
      </c>
      <c r="C3847" s="9">
        <v>43466</v>
      </c>
      <c r="D3847">
        <v>7</v>
      </c>
      <c r="E3847" t="s">
        <v>17</v>
      </c>
      <c r="F3847" t="s">
        <v>22</v>
      </c>
      <c r="G3847" s="9">
        <v>45561</v>
      </c>
      <c r="H3847" s="9">
        <v>45505</v>
      </c>
      <c r="I3847">
        <v>2</v>
      </c>
      <c r="J3847" t="s">
        <v>35</v>
      </c>
      <c r="K3847">
        <v>12</v>
      </c>
      <c r="L3847">
        <v>2</v>
      </c>
      <c r="M3847" s="11">
        <v>29655.34</v>
      </c>
      <c r="N3847" s="12">
        <v>8400.81</v>
      </c>
      <c r="O3847" s="12">
        <v>13707.71</v>
      </c>
    </row>
    <row r="3848" spans="1:15">
      <c r="A3848" t="s">
        <v>4022</v>
      </c>
      <c r="B3848" t="s">
        <v>87</v>
      </c>
      <c r="C3848" s="9">
        <v>16437</v>
      </c>
      <c r="D3848">
        <f ca="1">DATEDIF(C3799,TODAY(),"Y")</f>
        <v>38</v>
      </c>
      <c r="E3848" t="s">
        <v>21</v>
      </c>
      <c r="F3848" t="s">
        <v>25</v>
      </c>
      <c r="G3848" s="9">
        <v>45388</v>
      </c>
      <c r="H3848" s="9">
        <v>45467</v>
      </c>
      <c r="I3848">
        <v>7</v>
      </c>
      <c r="J3848" t="s">
        <v>32</v>
      </c>
      <c r="K3848">
        <v>2</v>
      </c>
      <c r="L3848">
        <v>3</v>
      </c>
      <c r="M3848" s="11">
        <v>14008.85</v>
      </c>
      <c r="N3848" s="12">
        <v>12311.18</v>
      </c>
      <c r="O3848" s="12">
        <v>6805.36</v>
      </c>
    </row>
    <row r="3849" spans="1:15">
      <c r="A3849" t="s">
        <v>4023</v>
      </c>
      <c r="B3849" t="s">
        <v>387</v>
      </c>
      <c r="C3849" s="9">
        <v>42005</v>
      </c>
      <c r="D3849">
        <v>11</v>
      </c>
      <c r="E3849" t="s">
        <v>5185</v>
      </c>
      <c r="F3849" t="s">
        <v>18</v>
      </c>
      <c r="G3849" s="9">
        <v>45288</v>
      </c>
      <c r="H3849" s="9">
        <v>45052</v>
      </c>
      <c r="I3849">
        <v>1</v>
      </c>
      <c r="J3849" t="s">
        <v>35</v>
      </c>
      <c r="K3849">
        <v>6</v>
      </c>
      <c r="L3849">
        <v>0</v>
      </c>
      <c r="M3849" s="11">
        <v>9154.4</v>
      </c>
      <c r="N3849" s="12">
        <v>2696.26</v>
      </c>
      <c r="O3849" s="12">
        <v>10546.29</v>
      </c>
    </row>
    <row r="3850" spans="1:15">
      <c r="A3850" t="s">
        <v>4024</v>
      </c>
      <c r="B3850" t="s">
        <v>578</v>
      </c>
      <c r="C3850" s="9">
        <v>35065</v>
      </c>
      <c r="D3850">
        <v>30</v>
      </c>
      <c r="E3850" t="s">
        <v>17</v>
      </c>
      <c r="F3850" t="s">
        <v>5184</v>
      </c>
      <c r="G3850" s="9">
        <v>45129</v>
      </c>
      <c r="H3850" s="9">
        <v>45139</v>
      </c>
      <c r="I3850">
        <v>26</v>
      </c>
      <c r="J3850" t="s">
        <v>35</v>
      </c>
      <c r="K3850">
        <v>12</v>
      </c>
      <c r="L3850">
        <v>5</v>
      </c>
      <c r="M3850" s="11">
        <v>0</v>
      </c>
      <c r="N3850" s="12">
        <v>1713.16</v>
      </c>
      <c r="O3850" s="12">
        <v>19213.34</v>
      </c>
    </row>
    <row r="3851" spans="1:15">
      <c r="A3851" t="s">
        <v>4025</v>
      </c>
      <c r="B3851" t="s">
        <v>284</v>
      </c>
      <c r="C3851" s="9">
        <v>17898</v>
      </c>
      <c r="D3851">
        <v>77</v>
      </c>
      <c r="E3851" t="s">
        <v>21</v>
      </c>
      <c r="F3851" t="s">
        <v>5184</v>
      </c>
      <c r="G3851" s="9">
        <v>45413</v>
      </c>
      <c r="H3851" s="9">
        <v>45355</v>
      </c>
      <c r="I3851">
        <v>4</v>
      </c>
      <c r="J3851" t="s">
        <v>32</v>
      </c>
      <c r="K3851">
        <v>6</v>
      </c>
      <c r="L3851">
        <v>5</v>
      </c>
      <c r="M3851" s="11">
        <v>19145.98</v>
      </c>
      <c r="N3851" s="12">
        <v>14553.53</v>
      </c>
      <c r="O3851" s="12">
        <v>14972.41</v>
      </c>
    </row>
    <row r="3852" spans="1:15">
      <c r="A3852" t="s">
        <v>4026</v>
      </c>
      <c r="B3852" t="s">
        <v>61</v>
      </c>
      <c r="C3852" s="9">
        <v>33969</v>
      </c>
      <c r="D3852">
        <v>33</v>
      </c>
      <c r="E3852" t="s">
        <v>17</v>
      </c>
      <c r="F3852" t="s">
        <v>49</v>
      </c>
      <c r="G3852" s="9">
        <v>45406</v>
      </c>
      <c r="H3852" s="9">
        <v>45364</v>
      </c>
      <c r="I3852">
        <v>35</v>
      </c>
      <c r="J3852" t="s">
        <v>32</v>
      </c>
      <c r="K3852">
        <v>0</v>
      </c>
      <c r="L3852">
        <v>3</v>
      </c>
      <c r="M3852" s="11">
        <v>14971.33</v>
      </c>
      <c r="N3852" s="12">
        <v>12651.95</v>
      </c>
      <c r="O3852" s="12">
        <v>4355.46</v>
      </c>
    </row>
    <row r="3853" spans="1:15">
      <c r="A3853" t="s">
        <v>4027</v>
      </c>
      <c r="B3853" t="s">
        <v>87</v>
      </c>
      <c r="C3853" s="9">
        <v>16437</v>
      </c>
      <c r="D3853">
        <v>81</v>
      </c>
      <c r="E3853" t="s">
        <v>17</v>
      </c>
      <c r="F3853" t="s">
        <v>74</v>
      </c>
      <c r="G3853" s="9">
        <v>44930</v>
      </c>
      <c r="H3853" s="9">
        <v>45519</v>
      </c>
      <c r="I3853">
        <v>3</v>
      </c>
      <c r="J3853" t="s">
        <v>32</v>
      </c>
      <c r="K3853">
        <v>13</v>
      </c>
      <c r="L3853">
        <v>7</v>
      </c>
      <c r="M3853" s="11">
        <v>18840.650000000001</v>
      </c>
      <c r="N3853" s="12">
        <v>4530.0200000000004</v>
      </c>
      <c r="O3853" s="12">
        <v>5830.13</v>
      </c>
    </row>
    <row r="3854" spans="1:15">
      <c r="A3854" t="s">
        <v>4028</v>
      </c>
      <c r="B3854" t="s">
        <v>284</v>
      </c>
      <c r="C3854" s="9">
        <v>18994</v>
      </c>
      <c r="D3854">
        <v>74</v>
      </c>
      <c r="E3854" t="s">
        <v>21</v>
      </c>
      <c r="F3854" t="s">
        <v>29</v>
      </c>
      <c r="G3854" s="9">
        <v>45055</v>
      </c>
      <c r="H3854" s="9">
        <v>45165</v>
      </c>
      <c r="I3854">
        <v>8</v>
      </c>
      <c r="J3854" t="s">
        <v>35</v>
      </c>
      <c r="K3854">
        <v>11</v>
      </c>
      <c r="L3854">
        <v>4</v>
      </c>
      <c r="M3854" s="11">
        <v>26545.040000000001</v>
      </c>
      <c r="N3854" s="12">
        <v>3128.59</v>
      </c>
      <c r="O3854" s="12">
        <v>5230.9399999999996</v>
      </c>
    </row>
    <row r="3855" spans="1:15">
      <c r="A3855" t="s">
        <v>4029</v>
      </c>
      <c r="B3855" t="s">
        <v>103</v>
      </c>
      <c r="C3855" s="9">
        <v>18629</v>
      </c>
      <c r="D3855">
        <v>75</v>
      </c>
      <c r="E3855" t="s">
        <v>17</v>
      </c>
      <c r="F3855" t="s">
        <v>74</v>
      </c>
      <c r="G3855" s="9">
        <v>44952</v>
      </c>
      <c r="H3855" s="9">
        <v>45571</v>
      </c>
      <c r="I3855">
        <v>6</v>
      </c>
      <c r="J3855" t="s">
        <v>35</v>
      </c>
      <c r="K3855">
        <v>1</v>
      </c>
      <c r="L3855">
        <v>9</v>
      </c>
      <c r="M3855" s="11">
        <v>4557.26</v>
      </c>
      <c r="N3855" s="12">
        <v>5010.59</v>
      </c>
      <c r="O3855" s="12">
        <v>16951.810000000001</v>
      </c>
    </row>
    <row r="3856" spans="1:15">
      <c r="A3856" t="s">
        <v>4030</v>
      </c>
      <c r="B3856" t="s">
        <v>133</v>
      </c>
      <c r="C3856" s="9">
        <v>28490</v>
      </c>
      <c r="D3856">
        <v>48</v>
      </c>
      <c r="E3856" t="s">
        <v>21</v>
      </c>
      <c r="F3856" t="s">
        <v>74</v>
      </c>
      <c r="G3856" s="9">
        <v>44953</v>
      </c>
      <c r="H3856" s="9">
        <v>45255</v>
      </c>
      <c r="I3856">
        <v>27</v>
      </c>
      <c r="J3856" t="s">
        <v>32</v>
      </c>
      <c r="K3856">
        <v>12</v>
      </c>
      <c r="L3856">
        <v>3</v>
      </c>
      <c r="M3856" s="11">
        <v>3168.05</v>
      </c>
      <c r="N3856" s="12">
        <v>6468.37</v>
      </c>
      <c r="O3856" s="12">
        <v>12792.53</v>
      </c>
    </row>
    <row r="3857" spans="1:15">
      <c r="A3857" t="s">
        <v>4031</v>
      </c>
      <c r="B3857" t="s">
        <v>127</v>
      </c>
      <c r="C3857" s="9">
        <v>17533</v>
      </c>
      <c r="D3857">
        <v>78</v>
      </c>
      <c r="E3857" t="s">
        <v>21</v>
      </c>
      <c r="F3857" t="s">
        <v>22</v>
      </c>
      <c r="G3857" s="9">
        <v>44968</v>
      </c>
      <c r="H3857" s="9">
        <v>45739</v>
      </c>
      <c r="I3857">
        <v>19</v>
      </c>
      <c r="J3857" t="s">
        <v>26</v>
      </c>
      <c r="K3857">
        <v>11</v>
      </c>
      <c r="L3857">
        <v>6</v>
      </c>
      <c r="M3857" s="11">
        <v>14704.82</v>
      </c>
      <c r="N3857" s="12">
        <v>12316.24</v>
      </c>
      <c r="O3857" s="12">
        <v>18793.95</v>
      </c>
    </row>
    <row r="3858" spans="1:15">
      <c r="A3858" t="s">
        <v>4032</v>
      </c>
      <c r="B3858" t="s">
        <v>215</v>
      </c>
      <c r="C3858" s="9">
        <v>25568</v>
      </c>
      <c r="D3858">
        <v>56</v>
      </c>
      <c r="E3858" t="s">
        <v>21</v>
      </c>
      <c r="F3858" t="s">
        <v>74</v>
      </c>
      <c r="G3858" s="9">
        <v>45509</v>
      </c>
      <c r="H3858" s="9">
        <v>45046</v>
      </c>
      <c r="I3858">
        <v>36</v>
      </c>
      <c r="J3858" t="s">
        <v>35</v>
      </c>
      <c r="K3858">
        <v>1</v>
      </c>
      <c r="L3858">
        <v>9</v>
      </c>
      <c r="M3858" s="11">
        <v>29443.93</v>
      </c>
      <c r="N3858" s="12">
        <v>3588.06</v>
      </c>
      <c r="O3858" s="12">
        <v>1727.78</v>
      </c>
    </row>
    <row r="3859" spans="1:15">
      <c r="A3859" t="s">
        <v>4033</v>
      </c>
      <c r="B3859" t="s">
        <v>309</v>
      </c>
      <c r="C3859" s="9">
        <v>11689</v>
      </c>
      <c r="D3859">
        <v>94</v>
      </c>
      <c r="E3859" t="s">
        <v>21</v>
      </c>
      <c r="F3859" t="s">
        <v>18</v>
      </c>
      <c r="G3859" s="9">
        <v>44990</v>
      </c>
      <c r="H3859" s="9">
        <v>44973</v>
      </c>
      <c r="I3859">
        <v>6</v>
      </c>
      <c r="J3859" t="s">
        <v>26</v>
      </c>
      <c r="K3859">
        <v>1</v>
      </c>
      <c r="L3859">
        <v>9</v>
      </c>
      <c r="M3859" s="11">
        <v>1300.83</v>
      </c>
      <c r="N3859" s="12">
        <v>10812.68</v>
      </c>
      <c r="O3859" s="12">
        <v>945.28</v>
      </c>
    </row>
    <row r="3860" spans="1:15">
      <c r="A3860" t="s">
        <v>4034</v>
      </c>
      <c r="B3860" t="s">
        <v>664</v>
      </c>
      <c r="C3860" s="9">
        <v>12419</v>
      </c>
      <c r="D3860">
        <f ca="1">DATEDIF(C3811,TODAY(),"Y")</f>
        <v>29</v>
      </c>
      <c r="E3860" t="s">
        <v>21</v>
      </c>
      <c r="F3860" t="s">
        <v>22</v>
      </c>
      <c r="G3860" s="9">
        <v>44951</v>
      </c>
      <c r="H3860" s="9">
        <v>45011</v>
      </c>
      <c r="I3860">
        <v>35</v>
      </c>
      <c r="J3860" t="s">
        <v>35</v>
      </c>
      <c r="K3860">
        <v>11</v>
      </c>
      <c r="L3860">
        <v>7</v>
      </c>
      <c r="M3860" s="11">
        <v>29590</v>
      </c>
      <c r="N3860" s="12">
        <v>13939.36</v>
      </c>
      <c r="O3860" s="12">
        <v>13491.66</v>
      </c>
    </row>
    <row r="3861" spans="1:15">
      <c r="A3861" t="s">
        <v>4035</v>
      </c>
      <c r="B3861" t="s">
        <v>80</v>
      </c>
      <c r="C3861" s="9">
        <v>36891</v>
      </c>
      <c r="D3861">
        <v>25</v>
      </c>
      <c r="E3861" t="s">
        <v>17</v>
      </c>
      <c r="F3861" t="s">
        <v>5184</v>
      </c>
      <c r="G3861" s="9">
        <v>44998</v>
      </c>
      <c r="H3861" s="9">
        <v>45721</v>
      </c>
      <c r="I3861">
        <v>30</v>
      </c>
      <c r="J3861" t="s">
        <v>26</v>
      </c>
      <c r="K3861">
        <v>13</v>
      </c>
      <c r="L3861">
        <v>1</v>
      </c>
      <c r="M3861" s="11">
        <v>29015.05</v>
      </c>
      <c r="N3861" s="12">
        <v>5692.68</v>
      </c>
      <c r="O3861" s="12">
        <v>5259.14</v>
      </c>
    </row>
    <row r="3862" spans="1:15">
      <c r="A3862" t="s">
        <v>4036</v>
      </c>
      <c r="B3862" t="s">
        <v>20</v>
      </c>
      <c r="C3862" s="9">
        <v>39813</v>
      </c>
      <c r="D3862">
        <v>17</v>
      </c>
      <c r="E3862" t="s">
        <v>21</v>
      </c>
      <c r="F3862" t="s">
        <v>18</v>
      </c>
      <c r="G3862" s="9">
        <v>45408</v>
      </c>
      <c r="H3862" s="9">
        <v>45279</v>
      </c>
      <c r="I3862">
        <v>23</v>
      </c>
      <c r="J3862" t="s">
        <v>32</v>
      </c>
      <c r="K3862">
        <v>14</v>
      </c>
      <c r="L3862">
        <v>0</v>
      </c>
      <c r="M3862" s="11">
        <v>8424.2900000000009</v>
      </c>
      <c r="N3862" s="12">
        <v>390.7</v>
      </c>
      <c r="O3862" s="12">
        <v>13551.35</v>
      </c>
    </row>
    <row r="3863" spans="1:15">
      <c r="A3863" t="s">
        <v>4037</v>
      </c>
      <c r="B3863" t="s">
        <v>446</v>
      </c>
      <c r="C3863" s="9">
        <v>14976</v>
      </c>
      <c r="D3863">
        <v>85</v>
      </c>
      <c r="E3863" t="s">
        <v>21</v>
      </c>
      <c r="F3863" t="s">
        <v>22</v>
      </c>
      <c r="G3863" s="9">
        <v>45194</v>
      </c>
      <c r="H3863" s="9">
        <v>44940</v>
      </c>
      <c r="I3863">
        <v>13</v>
      </c>
      <c r="J3863" t="s">
        <v>35</v>
      </c>
      <c r="K3863">
        <v>12</v>
      </c>
      <c r="L3863">
        <v>5</v>
      </c>
      <c r="M3863" s="11">
        <v>26675.62</v>
      </c>
      <c r="N3863" s="12">
        <v>12414.25</v>
      </c>
      <c r="O3863" s="12">
        <v>14441.75</v>
      </c>
    </row>
    <row r="3864" spans="1:15">
      <c r="A3864" t="s">
        <v>4038</v>
      </c>
      <c r="B3864" t="s">
        <v>273</v>
      </c>
      <c r="C3864" s="9">
        <v>32508</v>
      </c>
      <c r="D3864">
        <v>37</v>
      </c>
      <c r="E3864" t="s">
        <v>17</v>
      </c>
      <c r="F3864" t="s">
        <v>18</v>
      </c>
      <c r="G3864" s="9">
        <v>45021</v>
      </c>
      <c r="H3864" s="9">
        <v>45564</v>
      </c>
      <c r="I3864">
        <v>6</v>
      </c>
      <c r="J3864" t="s">
        <v>32</v>
      </c>
      <c r="K3864">
        <v>9</v>
      </c>
      <c r="L3864">
        <v>1</v>
      </c>
      <c r="M3864" s="11">
        <v>0</v>
      </c>
      <c r="N3864" s="12">
        <v>10626.21</v>
      </c>
      <c r="O3864" s="12">
        <v>6020.07</v>
      </c>
    </row>
    <row r="3865" spans="1:15">
      <c r="A3865" t="s">
        <v>4039</v>
      </c>
      <c r="B3865" t="s">
        <v>149</v>
      </c>
      <c r="C3865" s="9">
        <v>16802</v>
      </c>
      <c r="D3865">
        <v>80</v>
      </c>
      <c r="E3865" t="s">
        <v>17</v>
      </c>
      <c r="F3865" t="s">
        <v>22</v>
      </c>
      <c r="G3865" s="9">
        <v>45321</v>
      </c>
      <c r="H3865" s="9">
        <v>45764</v>
      </c>
      <c r="I3865">
        <v>20</v>
      </c>
      <c r="J3865" t="s">
        <v>26</v>
      </c>
      <c r="K3865">
        <v>1</v>
      </c>
      <c r="L3865">
        <v>7</v>
      </c>
      <c r="M3865" s="11">
        <v>13348.86</v>
      </c>
      <c r="N3865" s="12">
        <v>2236.0500000000002</v>
      </c>
      <c r="O3865" s="12">
        <v>19048.63</v>
      </c>
    </row>
    <row r="3866" spans="1:15">
      <c r="A3866" t="s">
        <v>4040</v>
      </c>
      <c r="B3866" t="s">
        <v>135</v>
      </c>
      <c r="C3866" s="9">
        <v>14611</v>
      </c>
      <c r="D3866">
        <v>86</v>
      </c>
      <c r="E3866" t="s">
        <v>5185</v>
      </c>
      <c r="F3866" t="s">
        <v>22</v>
      </c>
      <c r="G3866" s="9">
        <v>45290</v>
      </c>
      <c r="H3866" s="9">
        <v>45099</v>
      </c>
      <c r="I3866">
        <v>12</v>
      </c>
      <c r="J3866" t="s">
        <v>32</v>
      </c>
      <c r="K3866">
        <v>6</v>
      </c>
      <c r="L3866">
        <v>4</v>
      </c>
      <c r="M3866" s="11">
        <v>11764.77</v>
      </c>
      <c r="N3866" s="12">
        <v>8953.58</v>
      </c>
      <c r="O3866" s="12">
        <v>15472.29</v>
      </c>
    </row>
    <row r="3867" spans="1:15">
      <c r="A3867" t="s">
        <v>4041</v>
      </c>
      <c r="B3867" t="s">
        <v>151</v>
      </c>
      <c r="C3867" s="9">
        <v>14246</v>
      </c>
      <c r="D3867">
        <v>87</v>
      </c>
      <c r="E3867" t="s">
        <v>17</v>
      </c>
      <c r="F3867" t="s">
        <v>25</v>
      </c>
      <c r="G3867" s="9">
        <v>45241</v>
      </c>
      <c r="H3867" s="9">
        <v>45161</v>
      </c>
      <c r="I3867">
        <v>16</v>
      </c>
      <c r="J3867" t="s">
        <v>32</v>
      </c>
      <c r="K3867">
        <v>4</v>
      </c>
      <c r="L3867">
        <v>1</v>
      </c>
      <c r="M3867" s="11">
        <v>27031.07</v>
      </c>
      <c r="N3867" s="12">
        <v>12372.25</v>
      </c>
      <c r="O3867" s="12">
        <v>7283.84</v>
      </c>
    </row>
    <row r="3868" spans="1:15">
      <c r="A3868" t="s">
        <v>4042</v>
      </c>
      <c r="B3868" t="s">
        <v>187</v>
      </c>
      <c r="C3868" s="9">
        <v>28125</v>
      </c>
      <c r="D3868">
        <v>49</v>
      </c>
      <c r="E3868" t="s">
        <v>5185</v>
      </c>
      <c r="F3868" t="s">
        <v>18</v>
      </c>
      <c r="G3868" s="9">
        <v>45043</v>
      </c>
      <c r="H3868" s="9">
        <v>45108</v>
      </c>
      <c r="I3868">
        <v>39</v>
      </c>
      <c r="J3868" t="s">
        <v>32</v>
      </c>
      <c r="K3868">
        <v>13</v>
      </c>
      <c r="L3868">
        <v>4</v>
      </c>
      <c r="M3868" s="11">
        <v>13905.03</v>
      </c>
      <c r="N3868" s="12">
        <v>2715.48</v>
      </c>
      <c r="O3868" s="12">
        <v>8183.59</v>
      </c>
    </row>
    <row r="3869" spans="1:15">
      <c r="A3869" t="s">
        <v>4043</v>
      </c>
      <c r="B3869" t="s">
        <v>198</v>
      </c>
      <c r="C3869" s="9">
        <v>43466</v>
      </c>
      <c r="D3869">
        <v>7</v>
      </c>
      <c r="E3869" t="s">
        <v>17</v>
      </c>
      <c r="F3869" t="s">
        <v>25</v>
      </c>
      <c r="G3869" s="9">
        <v>45090</v>
      </c>
      <c r="H3869" s="9">
        <v>44978</v>
      </c>
      <c r="I3869">
        <v>13</v>
      </c>
      <c r="J3869" t="s">
        <v>35</v>
      </c>
      <c r="K3869">
        <v>3</v>
      </c>
      <c r="L3869">
        <v>1</v>
      </c>
      <c r="M3869" s="11">
        <v>12247.13</v>
      </c>
      <c r="N3869" s="12">
        <v>3343.53</v>
      </c>
      <c r="O3869" s="12">
        <v>14289.02</v>
      </c>
    </row>
    <row r="3870" spans="1:15">
      <c r="A3870" t="s">
        <v>4044</v>
      </c>
      <c r="B3870" t="s">
        <v>226</v>
      </c>
      <c r="C3870" s="9">
        <v>31412</v>
      </c>
      <c r="D3870">
        <v>40</v>
      </c>
      <c r="E3870" t="s">
        <v>5185</v>
      </c>
      <c r="F3870" t="s">
        <v>5184</v>
      </c>
      <c r="G3870" s="9">
        <v>45503</v>
      </c>
      <c r="H3870" s="9">
        <v>45708</v>
      </c>
      <c r="I3870">
        <v>22</v>
      </c>
      <c r="J3870" t="s">
        <v>32</v>
      </c>
      <c r="K3870">
        <v>8</v>
      </c>
      <c r="L3870">
        <v>5</v>
      </c>
      <c r="M3870" s="11">
        <v>19007.64</v>
      </c>
      <c r="N3870" s="12">
        <v>3026.72</v>
      </c>
      <c r="O3870" s="12">
        <v>6011.14</v>
      </c>
    </row>
    <row r="3871" spans="1:15">
      <c r="A3871" t="s">
        <v>4045</v>
      </c>
      <c r="B3871" t="s">
        <v>63</v>
      </c>
      <c r="C3871" s="9">
        <v>44196</v>
      </c>
      <c r="D3871">
        <v>5</v>
      </c>
      <c r="E3871" t="s">
        <v>17</v>
      </c>
      <c r="F3871" t="s">
        <v>22</v>
      </c>
      <c r="G3871" s="9">
        <v>45232</v>
      </c>
      <c r="H3871" s="9">
        <v>45608</v>
      </c>
      <c r="I3871">
        <v>32</v>
      </c>
      <c r="J3871" t="s">
        <v>26</v>
      </c>
      <c r="K3871">
        <v>10</v>
      </c>
      <c r="L3871">
        <v>7</v>
      </c>
      <c r="M3871" s="11">
        <v>10961.88</v>
      </c>
      <c r="N3871" s="12">
        <v>14962.52</v>
      </c>
      <c r="O3871" s="12">
        <v>5837.04</v>
      </c>
    </row>
    <row r="3872" spans="1:15">
      <c r="A3872" t="s">
        <v>4046</v>
      </c>
      <c r="B3872" t="s">
        <v>524</v>
      </c>
      <c r="C3872" s="9">
        <v>21185</v>
      </c>
      <c r="D3872">
        <v>68</v>
      </c>
      <c r="E3872" t="s">
        <v>21</v>
      </c>
      <c r="F3872" t="s">
        <v>29</v>
      </c>
      <c r="G3872" s="9">
        <v>45126</v>
      </c>
      <c r="H3872" s="9">
        <v>45322</v>
      </c>
      <c r="I3872">
        <v>10</v>
      </c>
      <c r="J3872" t="s">
        <v>26</v>
      </c>
      <c r="K3872">
        <v>13</v>
      </c>
      <c r="L3872">
        <v>1</v>
      </c>
      <c r="M3872" s="11">
        <v>15865.07</v>
      </c>
      <c r="N3872" s="12">
        <v>3442.82</v>
      </c>
      <c r="O3872" s="12">
        <v>12460.68</v>
      </c>
    </row>
    <row r="3873" spans="1:15">
      <c r="A3873" t="s">
        <v>4047</v>
      </c>
      <c r="B3873" t="s">
        <v>117</v>
      </c>
      <c r="C3873" s="9">
        <v>30317</v>
      </c>
      <c r="D3873">
        <v>43</v>
      </c>
      <c r="E3873" t="s">
        <v>21</v>
      </c>
      <c r="F3873" t="s">
        <v>22</v>
      </c>
      <c r="G3873" s="9">
        <v>45106</v>
      </c>
      <c r="H3873" s="9">
        <v>45755</v>
      </c>
      <c r="I3873">
        <v>4</v>
      </c>
      <c r="J3873" t="s">
        <v>32</v>
      </c>
      <c r="K3873">
        <v>7</v>
      </c>
      <c r="L3873">
        <v>5</v>
      </c>
      <c r="M3873" s="11">
        <v>28644.78</v>
      </c>
      <c r="N3873" s="12">
        <v>4003.78</v>
      </c>
      <c r="O3873" s="12">
        <v>2609.37</v>
      </c>
    </row>
    <row r="3874" spans="1:15">
      <c r="A3874" t="s">
        <v>4048</v>
      </c>
      <c r="B3874" t="s">
        <v>252</v>
      </c>
      <c r="C3874" s="9">
        <v>23012</v>
      </c>
      <c r="D3874">
        <v>63</v>
      </c>
      <c r="E3874" t="s">
        <v>17</v>
      </c>
      <c r="F3874" t="s">
        <v>29</v>
      </c>
      <c r="G3874" s="9">
        <v>45284</v>
      </c>
      <c r="H3874" s="9">
        <v>45727</v>
      </c>
      <c r="I3874">
        <v>31</v>
      </c>
      <c r="J3874" t="s">
        <v>26</v>
      </c>
      <c r="K3874">
        <v>12</v>
      </c>
      <c r="L3874">
        <v>5</v>
      </c>
      <c r="M3874" s="11">
        <v>5679.83</v>
      </c>
      <c r="N3874" s="12">
        <v>718.89</v>
      </c>
      <c r="O3874" s="12">
        <v>19866.189999999999</v>
      </c>
    </row>
    <row r="3875" spans="1:15">
      <c r="A3875" t="s">
        <v>4049</v>
      </c>
      <c r="B3875" t="s">
        <v>664</v>
      </c>
      <c r="C3875" s="9">
        <v>35795</v>
      </c>
      <c r="D3875">
        <v>28</v>
      </c>
      <c r="E3875" t="s">
        <v>21</v>
      </c>
      <c r="F3875" t="s">
        <v>29</v>
      </c>
      <c r="G3875" s="9">
        <v>45178</v>
      </c>
      <c r="H3875" s="9">
        <v>45356</v>
      </c>
      <c r="I3875">
        <v>11</v>
      </c>
      <c r="J3875" t="s">
        <v>32</v>
      </c>
      <c r="K3875">
        <v>5</v>
      </c>
      <c r="L3875">
        <v>0</v>
      </c>
      <c r="M3875" s="11">
        <v>13496.84</v>
      </c>
      <c r="N3875" s="12">
        <v>14749.18</v>
      </c>
      <c r="O3875" s="12">
        <v>5673.47</v>
      </c>
    </row>
    <row r="3876" spans="1:15">
      <c r="A3876" t="s">
        <v>4050</v>
      </c>
      <c r="B3876" t="s">
        <v>181</v>
      </c>
      <c r="C3876" s="9">
        <v>36161</v>
      </c>
      <c r="D3876">
        <v>27</v>
      </c>
      <c r="E3876" t="s">
        <v>21</v>
      </c>
      <c r="F3876" t="s">
        <v>29</v>
      </c>
      <c r="G3876" s="9">
        <v>45225</v>
      </c>
      <c r="H3876" s="9">
        <v>45201</v>
      </c>
      <c r="I3876">
        <v>20</v>
      </c>
      <c r="J3876" t="s">
        <v>32</v>
      </c>
      <c r="K3876">
        <v>4</v>
      </c>
      <c r="L3876">
        <v>8</v>
      </c>
      <c r="M3876" s="11">
        <v>30.99</v>
      </c>
      <c r="N3876" s="12">
        <v>3701.31</v>
      </c>
      <c r="O3876" s="12">
        <v>7592.56</v>
      </c>
    </row>
    <row r="3877" spans="1:15">
      <c r="A3877" t="s">
        <v>4051</v>
      </c>
      <c r="B3877" t="s">
        <v>215</v>
      </c>
      <c r="C3877" s="9">
        <v>42370</v>
      </c>
      <c r="D3877">
        <v>10</v>
      </c>
      <c r="E3877" t="s">
        <v>17</v>
      </c>
      <c r="F3877" t="s">
        <v>29</v>
      </c>
      <c r="G3877" s="9">
        <v>45356</v>
      </c>
      <c r="H3877" s="9">
        <v>45788</v>
      </c>
      <c r="I3877">
        <v>20</v>
      </c>
      <c r="J3877" t="s">
        <v>26</v>
      </c>
      <c r="K3877">
        <v>3</v>
      </c>
      <c r="L3877">
        <v>7</v>
      </c>
      <c r="M3877" s="11">
        <v>25188.23</v>
      </c>
      <c r="N3877" s="12">
        <v>10878.5</v>
      </c>
      <c r="O3877" s="12">
        <v>4407.7299999999996</v>
      </c>
    </row>
    <row r="3878" spans="1:15">
      <c r="A3878" t="s">
        <v>4052</v>
      </c>
      <c r="B3878" t="s">
        <v>20</v>
      </c>
      <c r="C3878" s="9">
        <v>22646</v>
      </c>
      <c r="D3878">
        <v>64</v>
      </c>
      <c r="E3878" t="s">
        <v>17</v>
      </c>
      <c r="F3878" t="s">
        <v>18</v>
      </c>
      <c r="G3878" s="9">
        <v>44930</v>
      </c>
      <c r="H3878" s="9">
        <v>45134</v>
      </c>
      <c r="I3878">
        <v>14</v>
      </c>
      <c r="J3878" t="s">
        <v>32</v>
      </c>
      <c r="K3878">
        <v>3</v>
      </c>
      <c r="L3878">
        <v>3</v>
      </c>
      <c r="M3878" s="11">
        <v>2306.5300000000002</v>
      </c>
      <c r="N3878" s="12">
        <v>395.53</v>
      </c>
      <c r="O3878" s="12">
        <v>12834.27</v>
      </c>
    </row>
    <row r="3879" spans="1:15">
      <c r="A3879" t="s">
        <v>4053</v>
      </c>
      <c r="B3879" t="s">
        <v>117</v>
      </c>
      <c r="C3879" s="9">
        <v>39448</v>
      </c>
      <c r="D3879">
        <v>18</v>
      </c>
      <c r="E3879" t="s">
        <v>21</v>
      </c>
      <c r="F3879" t="s">
        <v>49</v>
      </c>
      <c r="G3879" s="9">
        <v>45579</v>
      </c>
      <c r="H3879" s="9">
        <v>45075</v>
      </c>
      <c r="I3879">
        <v>10</v>
      </c>
      <c r="J3879" t="s">
        <v>26</v>
      </c>
      <c r="K3879">
        <v>8</v>
      </c>
      <c r="L3879">
        <v>6</v>
      </c>
      <c r="M3879" s="11">
        <v>2390.25</v>
      </c>
      <c r="N3879" s="12">
        <v>11751.04</v>
      </c>
      <c r="O3879" s="12">
        <v>1115.82</v>
      </c>
    </row>
    <row r="3880" spans="1:15">
      <c r="A3880" t="s">
        <v>4054</v>
      </c>
      <c r="B3880" t="s">
        <v>226</v>
      </c>
      <c r="C3880" s="9">
        <v>43100</v>
      </c>
      <c r="D3880">
        <v>8</v>
      </c>
      <c r="E3880" t="s">
        <v>17</v>
      </c>
      <c r="F3880" t="s">
        <v>18</v>
      </c>
      <c r="G3880" s="9">
        <v>45604</v>
      </c>
      <c r="H3880" s="9">
        <v>45227</v>
      </c>
      <c r="I3880">
        <v>24</v>
      </c>
      <c r="J3880" t="s">
        <v>32</v>
      </c>
      <c r="K3880">
        <v>7</v>
      </c>
      <c r="L3880">
        <v>3</v>
      </c>
      <c r="M3880" s="11">
        <v>26426.6</v>
      </c>
      <c r="N3880" s="12">
        <v>11259.16</v>
      </c>
      <c r="O3880" s="12">
        <v>18548.95</v>
      </c>
    </row>
    <row r="3881" spans="1:15">
      <c r="A3881" t="s">
        <v>4055</v>
      </c>
      <c r="B3881" t="s">
        <v>184</v>
      </c>
      <c r="C3881" s="9">
        <v>36526</v>
      </c>
      <c r="D3881">
        <v>26</v>
      </c>
      <c r="E3881" t="s">
        <v>17</v>
      </c>
      <c r="F3881" t="s">
        <v>5184</v>
      </c>
      <c r="G3881" s="9">
        <v>45180</v>
      </c>
      <c r="H3881" s="9">
        <v>45380</v>
      </c>
      <c r="I3881">
        <v>1</v>
      </c>
      <c r="J3881" t="s">
        <v>35</v>
      </c>
      <c r="K3881">
        <v>11</v>
      </c>
      <c r="L3881">
        <v>7</v>
      </c>
      <c r="M3881" s="11">
        <v>11983.53</v>
      </c>
      <c r="N3881" s="12">
        <v>1262.29</v>
      </c>
      <c r="O3881" s="12">
        <v>6010.11</v>
      </c>
    </row>
    <row r="3882" spans="1:15">
      <c r="A3882" t="s">
        <v>4056</v>
      </c>
      <c r="B3882" t="s">
        <v>215</v>
      </c>
      <c r="C3882" s="9">
        <v>33969</v>
      </c>
      <c r="D3882">
        <v>33</v>
      </c>
      <c r="E3882" t="s">
        <v>5185</v>
      </c>
      <c r="F3882" t="s">
        <v>49</v>
      </c>
      <c r="G3882" s="9">
        <v>45591</v>
      </c>
      <c r="H3882" s="9">
        <v>45476</v>
      </c>
      <c r="I3882">
        <v>34</v>
      </c>
      <c r="J3882" t="s">
        <v>32</v>
      </c>
      <c r="K3882">
        <v>8</v>
      </c>
      <c r="L3882">
        <v>9</v>
      </c>
      <c r="M3882" s="11">
        <v>20462.509999999998</v>
      </c>
      <c r="N3882" s="12">
        <v>1839.03</v>
      </c>
      <c r="O3882" s="12">
        <v>18540.240000000002</v>
      </c>
    </row>
    <row r="3883" spans="1:15">
      <c r="A3883" t="s">
        <v>4057</v>
      </c>
      <c r="B3883" t="s">
        <v>326</v>
      </c>
      <c r="C3883" s="9">
        <v>30317</v>
      </c>
      <c r="D3883">
        <v>43</v>
      </c>
      <c r="E3883" t="s">
        <v>17</v>
      </c>
      <c r="F3883" t="s">
        <v>18</v>
      </c>
      <c r="G3883" s="9">
        <v>45505</v>
      </c>
      <c r="H3883" s="9">
        <v>45600</v>
      </c>
      <c r="I3883">
        <v>27</v>
      </c>
      <c r="J3883" t="s">
        <v>26</v>
      </c>
      <c r="K3883">
        <v>4</v>
      </c>
      <c r="L3883">
        <v>1</v>
      </c>
      <c r="M3883" s="11">
        <v>25664.31</v>
      </c>
      <c r="N3883" s="12">
        <v>4426.6400000000003</v>
      </c>
      <c r="O3883" s="12">
        <v>4996.1400000000003</v>
      </c>
    </row>
    <row r="3884" spans="1:15">
      <c r="A3884" t="s">
        <v>4058</v>
      </c>
      <c r="B3884" t="s">
        <v>151</v>
      </c>
      <c r="C3884" s="9">
        <v>21551</v>
      </c>
      <c r="D3884">
        <v>67</v>
      </c>
      <c r="E3884" t="s">
        <v>17</v>
      </c>
      <c r="F3884" t="s">
        <v>5184</v>
      </c>
      <c r="G3884" s="9">
        <v>45493</v>
      </c>
      <c r="H3884" s="9">
        <v>45310</v>
      </c>
      <c r="I3884">
        <v>1</v>
      </c>
      <c r="J3884" t="s">
        <v>32</v>
      </c>
      <c r="K3884">
        <v>10</v>
      </c>
      <c r="L3884">
        <v>1</v>
      </c>
      <c r="M3884" s="11">
        <v>10921.57</v>
      </c>
      <c r="N3884" s="12">
        <v>5320.02</v>
      </c>
      <c r="O3884" s="12">
        <v>10227.14</v>
      </c>
    </row>
    <row r="3885" spans="1:15">
      <c r="A3885" t="s">
        <v>4059</v>
      </c>
      <c r="B3885" t="s">
        <v>229</v>
      </c>
      <c r="C3885" s="9">
        <f>DATE(2026-D3845,1,1)</f>
        <v>24838</v>
      </c>
      <c r="D3885">
        <v>81</v>
      </c>
      <c r="E3885" t="s">
        <v>17</v>
      </c>
      <c r="F3885" t="s">
        <v>29</v>
      </c>
      <c r="G3885" s="9">
        <v>45022</v>
      </c>
      <c r="H3885" s="9">
        <v>45714</v>
      </c>
      <c r="I3885">
        <v>27</v>
      </c>
      <c r="J3885" t="s">
        <v>26</v>
      </c>
      <c r="K3885">
        <v>9</v>
      </c>
      <c r="L3885">
        <v>2</v>
      </c>
      <c r="M3885" s="11">
        <v>7477.2</v>
      </c>
      <c r="N3885" s="12">
        <v>11752.5</v>
      </c>
      <c r="O3885" s="12">
        <v>13872.95</v>
      </c>
    </row>
    <row r="3886" spans="1:15">
      <c r="A3886" t="s">
        <v>4060</v>
      </c>
      <c r="B3886" t="s">
        <v>201</v>
      </c>
      <c r="C3886" s="9">
        <v>40909</v>
      </c>
      <c r="D3886">
        <v>14</v>
      </c>
      <c r="E3886" t="s">
        <v>21</v>
      </c>
      <c r="F3886" t="s">
        <v>74</v>
      </c>
      <c r="G3886" s="9">
        <v>45093</v>
      </c>
      <c r="H3886" s="9">
        <v>45727</v>
      </c>
      <c r="I3886">
        <v>0</v>
      </c>
      <c r="J3886" t="s">
        <v>32</v>
      </c>
      <c r="K3886">
        <v>2</v>
      </c>
      <c r="L3886">
        <v>3</v>
      </c>
      <c r="M3886" s="11">
        <v>4670.3</v>
      </c>
      <c r="N3886" s="12">
        <v>917.83</v>
      </c>
      <c r="O3886" s="12">
        <v>12213.8</v>
      </c>
    </row>
    <row r="3887" spans="1:15">
      <c r="A3887" t="s">
        <v>4061</v>
      </c>
      <c r="B3887" t="s">
        <v>539</v>
      </c>
      <c r="C3887" s="9">
        <v>27760</v>
      </c>
      <c r="D3887">
        <v>50</v>
      </c>
      <c r="E3887" t="s">
        <v>17</v>
      </c>
      <c r="F3887" t="s">
        <v>22</v>
      </c>
      <c r="G3887" s="9">
        <v>45257</v>
      </c>
      <c r="H3887" s="9">
        <v>45545</v>
      </c>
      <c r="I3887">
        <v>11</v>
      </c>
      <c r="J3887" t="s">
        <v>32</v>
      </c>
      <c r="K3887">
        <v>2</v>
      </c>
      <c r="L3887">
        <v>5</v>
      </c>
      <c r="M3887" s="11">
        <v>18017.14</v>
      </c>
      <c r="N3887" s="12">
        <v>9753.59</v>
      </c>
      <c r="O3887" s="12">
        <v>10201.1</v>
      </c>
    </row>
    <row r="3888" spans="1:15">
      <c r="A3888" t="s">
        <v>4062</v>
      </c>
      <c r="B3888" t="s">
        <v>39</v>
      </c>
      <c r="C3888" s="9">
        <v>41639</v>
      </c>
      <c r="D3888">
        <v>12</v>
      </c>
      <c r="E3888" t="s">
        <v>17</v>
      </c>
      <c r="F3888" t="s">
        <v>49</v>
      </c>
      <c r="G3888" s="9">
        <v>44988</v>
      </c>
      <c r="H3888" s="9">
        <v>45461</v>
      </c>
      <c r="I3888">
        <v>8</v>
      </c>
      <c r="J3888" t="s">
        <v>35</v>
      </c>
      <c r="K3888">
        <v>10</v>
      </c>
      <c r="L3888">
        <v>4</v>
      </c>
      <c r="M3888" s="11">
        <v>7194.31</v>
      </c>
      <c r="N3888" s="12">
        <v>3428.01</v>
      </c>
      <c r="O3888" s="12">
        <v>15749.51</v>
      </c>
    </row>
    <row r="3889" spans="1:15">
      <c r="A3889" t="s">
        <v>4063</v>
      </c>
      <c r="B3889" t="s">
        <v>539</v>
      </c>
      <c r="C3889" s="9">
        <v>16072</v>
      </c>
      <c r="D3889">
        <v>82</v>
      </c>
      <c r="E3889" t="s">
        <v>17</v>
      </c>
      <c r="F3889" t="s">
        <v>74</v>
      </c>
      <c r="G3889" s="9">
        <v>45100</v>
      </c>
      <c r="H3889" s="9">
        <v>45160</v>
      </c>
      <c r="I3889">
        <v>37</v>
      </c>
      <c r="J3889" t="s">
        <v>32</v>
      </c>
      <c r="K3889">
        <v>2</v>
      </c>
      <c r="L3889">
        <v>9</v>
      </c>
      <c r="M3889" s="11">
        <v>18845.78</v>
      </c>
      <c r="N3889" s="12">
        <v>5737.04</v>
      </c>
      <c r="O3889" s="12">
        <v>9356.93</v>
      </c>
    </row>
    <row r="3890" spans="1:15">
      <c r="A3890" t="s">
        <v>4064</v>
      </c>
      <c r="B3890" t="s">
        <v>350</v>
      </c>
      <c r="C3890" s="9">
        <v>28490</v>
      </c>
      <c r="D3890">
        <v>48</v>
      </c>
      <c r="E3890" t="s">
        <v>17</v>
      </c>
      <c r="F3890" t="s">
        <v>29</v>
      </c>
      <c r="G3890" s="9">
        <v>45179</v>
      </c>
      <c r="H3890" s="9">
        <v>45561</v>
      </c>
      <c r="I3890">
        <v>20</v>
      </c>
      <c r="J3890" t="s">
        <v>35</v>
      </c>
      <c r="K3890">
        <v>9</v>
      </c>
      <c r="L3890">
        <v>9</v>
      </c>
      <c r="M3890" s="11">
        <v>0</v>
      </c>
      <c r="N3890" s="12">
        <v>33.06</v>
      </c>
      <c r="O3890" s="12">
        <v>6596.81</v>
      </c>
    </row>
    <row r="3891" spans="1:15">
      <c r="A3891" t="s">
        <v>4065</v>
      </c>
      <c r="B3891" t="s">
        <v>63</v>
      </c>
      <c r="C3891" s="9">
        <v>20820</v>
      </c>
      <c r="D3891">
        <v>69</v>
      </c>
      <c r="E3891" t="s">
        <v>21</v>
      </c>
      <c r="F3891" t="s">
        <v>49</v>
      </c>
      <c r="G3891" s="9">
        <v>45387</v>
      </c>
      <c r="H3891" s="9">
        <v>45056</v>
      </c>
      <c r="I3891">
        <v>38</v>
      </c>
      <c r="J3891" t="s">
        <v>32</v>
      </c>
      <c r="K3891">
        <v>4</v>
      </c>
      <c r="L3891">
        <v>6</v>
      </c>
      <c r="M3891" s="11">
        <v>10107.19</v>
      </c>
      <c r="N3891" s="12">
        <v>4366.8500000000004</v>
      </c>
      <c r="O3891" s="12">
        <v>14343.72</v>
      </c>
    </row>
    <row r="3892" spans="1:15">
      <c r="A3892" t="s">
        <v>4066</v>
      </c>
      <c r="B3892" t="s">
        <v>254</v>
      </c>
      <c r="C3892" s="9">
        <v>25934</v>
      </c>
      <c r="D3892">
        <v>55</v>
      </c>
      <c r="E3892" t="s">
        <v>17</v>
      </c>
      <c r="F3892" t="s">
        <v>74</v>
      </c>
      <c r="G3892" s="9">
        <v>45550</v>
      </c>
      <c r="H3892" s="9">
        <v>45749</v>
      </c>
      <c r="I3892">
        <v>29</v>
      </c>
      <c r="J3892" t="s">
        <v>32</v>
      </c>
      <c r="K3892">
        <v>1</v>
      </c>
      <c r="L3892">
        <v>5</v>
      </c>
      <c r="M3892" s="11">
        <v>7097.99</v>
      </c>
      <c r="N3892" s="12">
        <v>2570.0700000000002</v>
      </c>
      <c r="O3892" s="12">
        <v>18739.16</v>
      </c>
    </row>
    <row r="3893" spans="1:15">
      <c r="A3893" t="s">
        <v>4067</v>
      </c>
      <c r="B3893" t="s">
        <v>91</v>
      </c>
      <c r="C3893" s="9">
        <v>18629</v>
      </c>
      <c r="D3893">
        <v>75</v>
      </c>
      <c r="E3893" t="s">
        <v>21</v>
      </c>
      <c r="F3893" t="s">
        <v>18</v>
      </c>
      <c r="G3893" s="9">
        <v>45141</v>
      </c>
      <c r="H3893" s="9">
        <v>45656</v>
      </c>
      <c r="I3893">
        <v>0</v>
      </c>
      <c r="J3893" t="s">
        <v>32</v>
      </c>
      <c r="K3893">
        <v>7</v>
      </c>
      <c r="L3893">
        <v>3</v>
      </c>
      <c r="M3893" s="11">
        <v>12263.28</v>
      </c>
      <c r="N3893" s="12">
        <v>7559.58</v>
      </c>
      <c r="O3893" s="12">
        <v>11987.85</v>
      </c>
    </row>
    <row r="3894" spans="1:15">
      <c r="A3894" t="s">
        <v>4068</v>
      </c>
      <c r="B3894" t="s">
        <v>28</v>
      </c>
      <c r="C3894" s="9">
        <v>27760</v>
      </c>
      <c r="D3894">
        <v>50</v>
      </c>
      <c r="E3894" t="s">
        <v>21</v>
      </c>
      <c r="F3894" t="s">
        <v>5184</v>
      </c>
      <c r="G3894" s="9">
        <v>45165</v>
      </c>
      <c r="H3894" s="9">
        <v>45587</v>
      </c>
      <c r="I3894">
        <v>39</v>
      </c>
      <c r="J3894" t="s">
        <v>35</v>
      </c>
      <c r="K3894">
        <v>12</v>
      </c>
      <c r="L3894">
        <v>9</v>
      </c>
      <c r="M3894" s="11">
        <v>4444.96</v>
      </c>
      <c r="N3894" s="12">
        <v>2372.89</v>
      </c>
      <c r="O3894" s="12">
        <v>5522.16</v>
      </c>
    </row>
    <row r="3895" spans="1:15">
      <c r="A3895" t="s">
        <v>4069</v>
      </c>
      <c r="B3895" t="s">
        <v>147</v>
      </c>
      <c r="C3895" s="9">
        <v>32873</v>
      </c>
      <c r="D3895">
        <v>36</v>
      </c>
      <c r="E3895" t="s">
        <v>21</v>
      </c>
      <c r="F3895" t="s">
        <v>29</v>
      </c>
      <c r="G3895" s="9">
        <v>45341</v>
      </c>
      <c r="H3895" s="9">
        <v>45497</v>
      </c>
      <c r="I3895">
        <v>2</v>
      </c>
      <c r="J3895" t="s">
        <v>35</v>
      </c>
      <c r="K3895">
        <v>0</v>
      </c>
      <c r="L3895">
        <v>8</v>
      </c>
      <c r="M3895" s="11">
        <v>9251.0499999999993</v>
      </c>
      <c r="N3895" s="12">
        <v>12537.26</v>
      </c>
      <c r="O3895" s="12">
        <v>15232.46</v>
      </c>
    </row>
    <row r="3896" spans="1:15">
      <c r="A3896" t="s">
        <v>4070</v>
      </c>
      <c r="B3896" t="s">
        <v>427</v>
      </c>
      <c r="C3896" s="9">
        <v>40178</v>
      </c>
      <c r="D3896">
        <v>16</v>
      </c>
      <c r="E3896" t="s">
        <v>21</v>
      </c>
      <c r="F3896" t="s">
        <v>18</v>
      </c>
      <c r="G3896" s="9">
        <v>45601</v>
      </c>
      <c r="H3896" s="9">
        <v>45164</v>
      </c>
      <c r="I3896">
        <v>6</v>
      </c>
      <c r="J3896" t="s">
        <v>32</v>
      </c>
      <c r="K3896">
        <v>0</v>
      </c>
      <c r="L3896">
        <v>6</v>
      </c>
      <c r="M3896" s="11">
        <v>23225.35</v>
      </c>
      <c r="N3896" s="12">
        <v>13243.59</v>
      </c>
      <c r="O3896" s="12">
        <v>15214.69</v>
      </c>
    </row>
    <row r="3897" spans="1:15">
      <c r="A3897" t="s">
        <v>4071</v>
      </c>
      <c r="B3897" t="s">
        <v>306</v>
      </c>
      <c r="C3897" s="9">
        <v>25203</v>
      </c>
      <c r="D3897">
        <v>57</v>
      </c>
      <c r="E3897" t="s">
        <v>17</v>
      </c>
      <c r="F3897" t="s">
        <v>18</v>
      </c>
      <c r="G3897" s="9">
        <v>45052</v>
      </c>
      <c r="H3897" s="9">
        <v>45509</v>
      </c>
      <c r="I3897">
        <v>6</v>
      </c>
      <c r="J3897" t="s">
        <v>32</v>
      </c>
      <c r="K3897">
        <v>3</v>
      </c>
      <c r="L3897">
        <v>0</v>
      </c>
      <c r="M3897" s="11">
        <v>6076.38</v>
      </c>
      <c r="N3897" s="12">
        <v>12679.34</v>
      </c>
      <c r="O3897" s="12">
        <v>5263.97</v>
      </c>
    </row>
    <row r="3898" spans="1:15">
      <c r="A3898" t="s">
        <v>4072</v>
      </c>
      <c r="B3898" t="s">
        <v>372</v>
      </c>
      <c r="C3898" s="9">
        <v>14611</v>
      </c>
      <c r="D3898">
        <v>86</v>
      </c>
      <c r="E3898" t="s">
        <v>21</v>
      </c>
      <c r="F3898" t="s">
        <v>29</v>
      </c>
      <c r="G3898" s="9">
        <v>45179</v>
      </c>
      <c r="H3898" s="9">
        <v>45628</v>
      </c>
      <c r="I3898">
        <v>9</v>
      </c>
      <c r="J3898" t="s">
        <v>32</v>
      </c>
      <c r="K3898">
        <v>14</v>
      </c>
      <c r="L3898">
        <v>7</v>
      </c>
      <c r="M3898" s="11">
        <v>0</v>
      </c>
      <c r="N3898" s="12">
        <v>14727.04</v>
      </c>
      <c r="O3898" s="12">
        <v>7631.07</v>
      </c>
    </row>
    <row r="3899" spans="1:15">
      <c r="A3899" t="s">
        <v>4073</v>
      </c>
      <c r="B3899" t="s">
        <v>65</v>
      </c>
      <c r="C3899" s="9">
        <v>13515</v>
      </c>
      <c r="D3899">
        <v>89</v>
      </c>
      <c r="E3899" t="s">
        <v>21</v>
      </c>
      <c r="F3899" t="s">
        <v>49</v>
      </c>
      <c r="G3899" s="9">
        <v>45637</v>
      </c>
      <c r="H3899" s="9">
        <v>45681</v>
      </c>
      <c r="I3899">
        <v>2</v>
      </c>
      <c r="J3899" t="s">
        <v>35</v>
      </c>
      <c r="K3899">
        <v>10</v>
      </c>
      <c r="L3899">
        <v>3</v>
      </c>
      <c r="M3899" s="11">
        <v>14534.11</v>
      </c>
      <c r="N3899" s="12">
        <v>13719.7</v>
      </c>
      <c r="O3899" s="12">
        <v>2732.99</v>
      </c>
    </row>
    <row r="3900" spans="1:15">
      <c r="A3900" t="s">
        <v>4074</v>
      </c>
      <c r="B3900" t="s">
        <v>151</v>
      </c>
      <c r="C3900" s="9">
        <v>35795</v>
      </c>
      <c r="D3900">
        <v>28</v>
      </c>
      <c r="E3900" t="s">
        <v>17</v>
      </c>
      <c r="F3900" t="s">
        <v>22</v>
      </c>
      <c r="G3900" s="9">
        <v>45123</v>
      </c>
      <c r="H3900" s="9">
        <v>45502</v>
      </c>
      <c r="I3900">
        <v>13</v>
      </c>
      <c r="J3900" t="s">
        <v>26</v>
      </c>
      <c r="K3900">
        <v>10</v>
      </c>
      <c r="L3900">
        <v>6</v>
      </c>
      <c r="M3900" s="11">
        <v>2761.06</v>
      </c>
      <c r="N3900" s="12">
        <v>4196.82</v>
      </c>
      <c r="O3900" s="12">
        <v>1501.32</v>
      </c>
    </row>
    <row r="3901" spans="1:15">
      <c r="A3901" t="s">
        <v>4075</v>
      </c>
      <c r="B3901" t="s">
        <v>289</v>
      </c>
      <c r="C3901" s="9">
        <v>34334</v>
      </c>
      <c r="D3901">
        <v>32</v>
      </c>
      <c r="E3901" t="s">
        <v>21</v>
      </c>
      <c r="F3901" t="s">
        <v>25</v>
      </c>
      <c r="G3901" s="9">
        <v>45560</v>
      </c>
      <c r="H3901" s="9">
        <v>45412</v>
      </c>
      <c r="I3901">
        <v>27</v>
      </c>
      <c r="J3901" t="s">
        <v>32</v>
      </c>
      <c r="K3901">
        <v>9</v>
      </c>
      <c r="L3901">
        <v>1</v>
      </c>
      <c r="M3901" s="11">
        <v>28263.37</v>
      </c>
      <c r="N3901" s="12">
        <v>4716.92</v>
      </c>
      <c r="O3901" s="12">
        <v>16127.99</v>
      </c>
    </row>
    <row r="3902" spans="1:15">
      <c r="A3902" t="s">
        <v>4076</v>
      </c>
      <c r="B3902" t="s">
        <v>479</v>
      </c>
      <c r="C3902" s="9">
        <v>24473</v>
      </c>
      <c r="D3902">
        <v>59</v>
      </c>
      <c r="E3902" t="s">
        <v>21</v>
      </c>
      <c r="F3902" t="s">
        <v>25</v>
      </c>
      <c r="G3902" s="9">
        <v>45339</v>
      </c>
      <c r="H3902" s="9">
        <v>45168</v>
      </c>
      <c r="I3902">
        <v>5</v>
      </c>
      <c r="J3902" t="s">
        <v>32</v>
      </c>
      <c r="K3902">
        <v>2</v>
      </c>
      <c r="L3902">
        <v>2</v>
      </c>
      <c r="M3902" s="11">
        <v>13428.69</v>
      </c>
      <c r="N3902" s="12">
        <v>7989.89</v>
      </c>
      <c r="O3902" s="12">
        <v>7388.78</v>
      </c>
    </row>
    <row r="3903" spans="1:15">
      <c r="A3903" t="s">
        <v>4077</v>
      </c>
      <c r="B3903" t="s">
        <v>487</v>
      </c>
      <c r="C3903" s="9">
        <v>13150</v>
      </c>
      <c r="D3903">
        <f ca="1">DATEDIF(C3854,TODAY(),"Y")</f>
        <v>74</v>
      </c>
      <c r="E3903" t="s">
        <v>21</v>
      </c>
      <c r="F3903" t="s">
        <v>22</v>
      </c>
      <c r="G3903" s="9">
        <v>45382</v>
      </c>
      <c r="H3903" s="9">
        <v>45624</v>
      </c>
      <c r="I3903">
        <v>7</v>
      </c>
      <c r="J3903" t="s">
        <v>35</v>
      </c>
      <c r="K3903">
        <v>1</v>
      </c>
      <c r="L3903">
        <v>0</v>
      </c>
      <c r="M3903" s="11">
        <v>16487.439999999999</v>
      </c>
      <c r="N3903" s="12">
        <v>5774.36</v>
      </c>
      <c r="O3903" s="12">
        <v>5554.37</v>
      </c>
    </row>
    <row r="3904" spans="1:15">
      <c r="A3904" t="s">
        <v>4078</v>
      </c>
      <c r="B3904" t="s">
        <v>514</v>
      </c>
      <c r="C3904" s="9">
        <v>13880</v>
      </c>
      <c r="D3904">
        <v>88</v>
      </c>
      <c r="E3904" t="s">
        <v>21</v>
      </c>
      <c r="F3904" t="s">
        <v>29</v>
      </c>
      <c r="G3904" s="9">
        <v>44980</v>
      </c>
      <c r="H3904" s="9">
        <v>45698</v>
      </c>
      <c r="I3904">
        <v>30</v>
      </c>
      <c r="J3904" t="s">
        <v>32</v>
      </c>
      <c r="K3904">
        <v>3</v>
      </c>
      <c r="L3904">
        <v>1</v>
      </c>
      <c r="M3904" s="11">
        <v>5148.4399999999996</v>
      </c>
      <c r="N3904" s="12">
        <v>14548.67</v>
      </c>
      <c r="O3904" s="12">
        <v>5047.4399999999996</v>
      </c>
    </row>
    <row r="3905" spans="1:15">
      <c r="A3905" t="s">
        <v>4079</v>
      </c>
      <c r="B3905" t="s">
        <v>84</v>
      </c>
      <c r="C3905" s="9">
        <v>26299</v>
      </c>
      <c r="D3905">
        <v>54</v>
      </c>
      <c r="E3905" t="s">
        <v>21</v>
      </c>
      <c r="F3905" t="s">
        <v>25</v>
      </c>
      <c r="G3905" s="9">
        <v>45573</v>
      </c>
      <c r="H3905" s="9">
        <v>45668</v>
      </c>
      <c r="I3905">
        <v>35</v>
      </c>
      <c r="J3905" t="s">
        <v>32</v>
      </c>
      <c r="K3905">
        <v>5</v>
      </c>
      <c r="L3905">
        <v>4</v>
      </c>
      <c r="M3905" s="11">
        <v>9665.92</v>
      </c>
      <c r="N3905" s="12">
        <v>5092.97</v>
      </c>
      <c r="O3905" s="12">
        <v>1403.59</v>
      </c>
    </row>
    <row r="3906" spans="1:15">
      <c r="A3906" t="s">
        <v>4080</v>
      </c>
      <c r="B3906" t="s">
        <v>226</v>
      </c>
      <c r="C3906" s="9">
        <v>42735</v>
      </c>
      <c r="D3906">
        <v>9</v>
      </c>
      <c r="E3906" t="s">
        <v>21</v>
      </c>
      <c r="F3906" t="s">
        <v>22</v>
      </c>
      <c r="G3906" s="9">
        <v>45265</v>
      </c>
      <c r="H3906" s="9">
        <v>45150</v>
      </c>
      <c r="I3906">
        <v>38</v>
      </c>
      <c r="J3906" t="s">
        <v>32</v>
      </c>
      <c r="K3906">
        <v>8</v>
      </c>
      <c r="L3906">
        <v>1</v>
      </c>
      <c r="M3906" s="11">
        <v>20960.96</v>
      </c>
      <c r="N3906" s="12">
        <v>11101.24</v>
      </c>
      <c r="O3906" s="12">
        <v>19695.740000000002</v>
      </c>
    </row>
    <row r="3907" spans="1:15">
      <c r="A3907" t="s">
        <v>4081</v>
      </c>
      <c r="B3907" t="s">
        <v>244</v>
      </c>
      <c r="C3907" s="9">
        <v>29221</v>
      </c>
      <c r="D3907">
        <v>46</v>
      </c>
      <c r="E3907" t="s">
        <v>17</v>
      </c>
      <c r="F3907" t="s">
        <v>74</v>
      </c>
      <c r="G3907" s="9">
        <v>45285</v>
      </c>
      <c r="H3907" s="9">
        <v>45026</v>
      </c>
      <c r="I3907">
        <v>19</v>
      </c>
      <c r="J3907" t="s">
        <v>32</v>
      </c>
      <c r="K3907">
        <v>0</v>
      </c>
      <c r="L3907">
        <v>5</v>
      </c>
      <c r="M3907" s="11">
        <v>3281.07</v>
      </c>
      <c r="N3907" s="12">
        <v>8630.43</v>
      </c>
      <c r="O3907" s="12">
        <v>7277.62</v>
      </c>
    </row>
    <row r="3908" spans="1:15">
      <c r="A3908" t="s">
        <v>4082</v>
      </c>
      <c r="B3908" t="s">
        <v>284</v>
      </c>
      <c r="C3908" s="9">
        <v>37987</v>
      </c>
      <c r="D3908">
        <v>22</v>
      </c>
      <c r="E3908" t="s">
        <v>21</v>
      </c>
      <c r="F3908" t="s">
        <v>22</v>
      </c>
      <c r="G3908" s="9">
        <v>45077</v>
      </c>
      <c r="H3908" s="9">
        <v>45686</v>
      </c>
      <c r="I3908">
        <v>13</v>
      </c>
      <c r="J3908" t="s">
        <v>32</v>
      </c>
      <c r="K3908">
        <v>11</v>
      </c>
      <c r="L3908">
        <v>5</v>
      </c>
      <c r="M3908" s="11">
        <v>16898.990000000002</v>
      </c>
      <c r="N3908" s="12">
        <v>14347.21</v>
      </c>
      <c r="O3908" s="12">
        <v>3201.41</v>
      </c>
    </row>
    <row r="3909" spans="1:15">
      <c r="A3909" t="s">
        <v>4083</v>
      </c>
      <c r="B3909" t="s">
        <v>46</v>
      </c>
      <c r="C3909" s="9">
        <v>15341</v>
      </c>
      <c r="D3909">
        <v>84</v>
      </c>
      <c r="E3909" t="s">
        <v>21</v>
      </c>
      <c r="F3909" t="s">
        <v>49</v>
      </c>
      <c r="G3909" s="9">
        <v>45026</v>
      </c>
      <c r="H3909" s="9">
        <v>45484</v>
      </c>
      <c r="I3909">
        <v>16</v>
      </c>
      <c r="J3909" t="s">
        <v>32</v>
      </c>
      <c r="K3909">
        <v>14</v>
      </c>
      <c r="L3909">
        <v>5</v>
      </c>
      <c r="M3909" s="11">
        <v>20652.439999999999</v>
      </c>
      <c r="N3909" s="12">
        <v>11167.76</v>
      </c>
      <c r="O3909" s="12">
        <v>17269.22</v>
      </c>
    </row>
    <row r="3910" spans="1:15">
      <c r="A3910" t="s">
        <v>4084</v>
      </c>
      <c r="B3910" t="s">
        <v>284</v>
      </c>
      <c r="C3910" s="9">
        <v>38717</v>
      </c>
      <c r="D3910">
        <f ca="1">DATEDIF(C3861,TODAY(),"Y")</f>
        <v>25</v>
      </c>
      <c r="E3910" t="s">
        <v>17</v>
      </c>
      <c r="F3910" t="s">
        <v>5184</v>
      </c>
      <c r="G3910" s="9">
        <v>45160</v>
      </c>
      <c r="H3910" s="9">
        <v>45200</v>
      </c>
      <c r="I3910">
        <v>8</v>
      </c>
      <c r="J3910" t="s">
        <v>35</v>
      </c>
      <c r="K3910">
        <v>11</v>
      </c>
      <c r="L3910">
        <v>2</v>
      </c>
      <c r="M3910" s="11">
        <v>443.98</v>
      </c>
      <c r="N3910" s="12">
        <v>4554.6899999999996</v>
      </c>
      <c r="O3910" s="12">
        <v>14434.71</v>
      </c>
    </row>
    <row r="3911" spans="1:15">
      <c r="A3911" t="s">
        <v>4085</v>
      </c>
      <c r="B3911" t="s">
        <v>309</v>
      </c>
      <c r="C3911" s="9">
        <v>41639</v>
      </c>
      <c r="D3911">
        <v>12</v>
      </c>
      <c r="E3911" t="s">
        <v>21</v>
      </c>
      <c r="F3911" t="s">
        <v>22</v>
      </c>
      <c r="G3911" s="9">
        <v>45470</v>
      </c>
      <c r="H3911" s="9">
        <v>45326</v>
      </c>
      <c r="I3911">
        <v>8</v>
      </c>
      <c r="J3911" t="s">
        <v>32</v>
      </c>
      <c r="K3911">
        <v>4</v>
      </c>
      <c r="L3911">
        <v>2</v>
      </c>
      <c r="M3911" s="11">
        <v>25046.080000000002</v>
      </c>
      <c r="N3911" s="12">
        <v>2956.03</v>
      </c>
      <c r="O3911" s="12">
        <v>13218.68</v>
      </c>
    </row>
    <row r="3912" spans="1:15">
      <c r="A3912" t="s">
        <v>4086</v>
      </c>
      <c r="B3912" t="s">
        <v>246</v>
      </c>
      <c r="C3912" s="9">
        <f>DATE(2026-D3872,1,1)</f>
        <v>21186</v>
      </c>
      <c r="D3912">
        <v>32</v>
      </c>
      <c r="E3912" t="s">
        <v>17</v>
      </c>
      <c r="F3912" t="s">
        <v>18</v>
      </c>
      <c r="G3912" s="9">
        <v>44988</v>
      </c>
      <c r="H3912" s="9">
        <v>45444</v>
      </c>
      <c r="I3912">
        <v>11</v>
      </c>
      <c r="J3912" t="s">
        <v>32</v>
      </c>
      <c r="K3912">
        <v>2</v>
      </c>
      <c r="L3912">
        <v>9</v>
      </c>
      <c r="M3912" s="11">
        <v>1218.17</v>
      </c>
      <c r="N3912" s="12">
        <v>12819.27</v>
      </c>
      <c r="O3912" s="12">
        <v>5874.02</v>
      </c>
    </row>
    <row r="3913" spans="1:15">
      <c r="A3913" t="s">
        <v>4087</v>
      </c>
      <c r="B3913" t="s">
        <v>87</v>
      </c>
      <c r="C3913" s="9">
        <v>37622</v>
      </c>
      <c r="D3913">
        <v>23</v>
      </c>
      <c r="E3913" t="s">
        <v>17</v>
      </c>
      <c r="F3913" t="s">
        <v>18</v>
      </c>
      <c r="G3913" s="9">
        <v>45122</v>
      </c>
      <c r="H3913" s="9">
        <v>45357</v>
      </c>
      <c r="I3913">
        <v>36</v>
      </c>
      <c r="J3913" t="s">
        <v>32</v>
      </c>
      <c r="K3913">
        <v>0</v>
      </c>
      <c r="L3913">
        <v>6</v>
      </c>
      <c r="M3913" s="11">
        <v>7031.07</v>
      </c>
      <c r="N3913" s="12">
        <v>13665.22</v>
      </c>
      <c r="O3913" s="12">
        <v>8250.7199999999993</v>
      </c>
    </row>
    <row r="3914" spans="1:15">
      <c r="A3914" t="s">
        <v>4088</v>
      </c>
      <c r="B3914" t="s">
        <v>681</v>
      </c>
      <c r="C3914" s="9">
        <v>42370</v>
      </c>
      <c r="D3914">
        <v>10</v>
      </c>
      <c r="E3914" t="s">
        <v>21</v>
      </c>
      <c r="F3914" t="s">
        <v>5184</v>
      </c>
      <c r="G3914" s="9">
        <v>45468</v>
      </c>
      <c r="H3914" s="9">
        <v>45450</v>
      </c>
      <c r="I3914">
        <v>23</v>
      </c>
      <c r="J3914" t="s">
        <v>32</v>
      </c>
      <c r="K3914">
        <v>1</v>
      </c>
      <c r="L3914">
        <v>3</v>
      </c>
      <c r="M3914" s="11">
        <v>28888.12</v>
      </c>
      <c r="N3914" s="12">
        <v>12466.41</v>
      </c>
      <c r="O3914" s="12">
        <v>16805.86</v>
      </c>
    </row>
    <row r="3915" spans="1:15">
      <c r="A3915" t="s">
        <v>4089</v>
      </c>
      <c r="B3915" t="s">
        <v>300</v>
      </c>
      <c r="C3915" s="9">
        <v>40178</v>
      </c>
      <c r="D3915">
        <v>16</v>
      </c>
      <c r="E3915" t="s">
        <v>17</v>
      </c>
      <c r="F3915" t="s">
        <v>29</v>
      </c>
      <c r="G3915" s="9">
        <v>45032</v>
      </c>
      <c r="H3915" s="9">
        <v>45275</v>
      </c>
      <c r="I3915">
        <v>17</v>
      </c>
      <c r="J3915" t="s">
        <v>32</v>
      </c>
      <c r="K3915">
        <v>6</v>
      </c>
      <c r="L3915">
        <v>5</v>
      </c>
      <c r="M3915" s="11">
        <v>1971.74</v>
      </c>
      <c r="N3915" s="12">
        <v>11061.74</v>
      </c>
      <c r="O3915" s="12">
        <v>12761.93</v>
      </c>
    </row>
    <row r="3916" spans="1:15">
      <c r="A3916" t="s">
        <v>4090</v>
      </c>
      <c r="B3916" t="s">
        <v>273</v>
      </c>
      <c r="C3916" s="9">
        <v>21551</v>
      </c>
      <c r="D3916">
        <v>67</v>
      </c>
      <c r="E3916" t="s">
        <v>21</v>
      </c>
      <c r="F3916" t="s">
        <v>18</v>
      </c>
      <c r="G3916" s="9">
        <v>45221</v>
      </c>
      <c r="H3916" s="9">
        <v>45478</v>
      </c>
      <c r="I3916">
        <v>17</v>
      </c>
      <c r="J3916" t="s">
        <v>32</v>
      </c>
      <c r="K3916">
        <v>3</v>
      </c>
      <c r="L3916">
        <v>7</v>
      </c>
      <c r="M3916" s="11">
        <v>24691.19</v>
      </c>
      <c r="N3916" s="12">
        <v>4825.95</v>
      </c>
      <c r="O3916" s="12">
        <v>6847.61</v>
      </c>
    </row>
    <row r="3917" spans="1:15">
      <c r="A3917" t="s">
        <v>4091</v>
      </c>
      <c r="B3917" t="s">
        <v>237</v>
      </c>
      <c r="C3917" s="9">
        <v>29221</v>
      </c>
      <c r="D3917">
        <f ca="1">DATEDIF(C3868,TODAY(),"Y")</f>
        <v>49</v>
      </c>
      <c r="E3917" t="s">
        <v>21</v>
      </c>
      <c r="F3917" t="s">
        <v>74</v>
      </c>
      <c r="G3917" s="9">
        <v>45571</v>
      </c>
      <c r="H3917" s="9">
        <v>45378</v>
      </c>
      <c r="I3917">
        <v>2</v>
      </c>
      <c r="J3917" t="s">
        <v>32</v>
      </c>
      <c r="K3917">
        <v>8</v>
      </c>
      <c r="L3917">
        <v>2</v>
      </c>
      <c r="M3917" s="11">
        <v>19385.95</v>
      </c>
      <c r="N3917" s="12">
        <v>7580.6</v>
      </c>
      <c r="O3917" s="12">
        <v>2096.52</v>
      </c>
    </row>
    <row r="3918" spans="1:15">
      <c r="A3918" t="s">
        <v>4092</v>
      </c>
      <c r="B3918" t="s">
        <v>71</v>
      </c>
      <c r="C3918" s="9">
        <v>37256</v>
      </c>
      <c r="D3918">
        <v>24</v>
      </c>
      <c r="E3918" t="s">
        <v>17</v>
      </c>
      <c r="F3918" t="s">
        <v>22</v>
      </c>
      <c r="G3918" s="9">
        <v>45377</v>
      </c>
      <c r="H3918" s="9">
        <v>44969</v>
      </c>
      <c r="I3918">
        <v>2</v>
      </c>
      <c r="J3918" t="s">
        <v>26</v>
      </c>
      <c r="K3918">
        <v>14</v>
      </c>
      <c r="L3918">
        <v>8</v>
      </c>
      <c r="M3918" s="11">
        <v>17750.55</v>
      </c>
      <c r="N3918" s="12">
        <v>13735.54</v>
      </c>
      <c r="O3918" s="12">
        <v>17995.439999999999</v>
      </c>
    </row>
    <row r="3919" spans="1:15">
      <c r="A3919" t="s">
        <v>4093</v>
      </c>
      <c r="B3919" t="s">
        <v>275</v>
      </c>
      <c r="C3919" s="9">
        <v>12054</v>
      </c>
      <c r="D3919">
        <v>93</v>
      </c>
      <c r="E3919" t="s">
        <v>17</v>
      </c>
      <c r="F3919" t="s">
        <v>5184</v>
      </c>
      <c r="G3919" s="9">
        <v>45460</v>
      </c>
      <c r="H3919" s="9">
        <v>45642</v>
      </c>
      <c r="I3919">
        <v>8</v>
      </c>
      <c r="J3919" t="s">
        <v>32</v>
      </c>
      <c r="K3919">
        <v>0</v>
      </c>
      <c r="L3919">
        <v>8</v>
      </c>
      <c r="M3919" s="11">
        <v>17241.310000000001</v>
      </c>
      <c r="N3919" s="12">
        <v>2023.46</v>
      </c>
      <c r="O3919" s="12">
        <v>19106.3</v>
      </c>
    </row>
    <row r="3920" spans="1:15">
      <c r="A3920" t="s">
        <v>4094</v>
      </c>
      <c r="B3920" t="s">
        <v>326</v>
      </c>
      <c r="C3920" s="9">
        <v>19724</v>
      </c>
      <c r="D3920">
        <v>72</v>
      </c>
      <c r="E3920" t="s">
        <v>17</v>
      </c>
      <c r="F3920" t="s">
        <v>74</v>
      </c>
      <c r="G3920" s="9">
        <v>45082</v>
      </c>
      <c r="H3920" s="9">
        <v>45021</v>
      </c>
      <c r="I3920">
        <v>7</v>
      </c>
      <c r="J3920" t="s">
        <v>35</v>
      </c>
      <c r="K3920">
        <v>6</v>
      </c>
      <c r="L3920">
        <v>2</v>
      </c>
      <c r="M3920" s="11">
        <v>4576.99</v>
      </c>
      <c r="N3920" s="12">
        <v>7423.79</v>
      </c>
      <c r="O3920" s="12">
        <v>14347.78</v>
      </c>
    </row>
    <row r="3921" spans="1:15">
      <c r="A3921" t="s">
        <v>4095</v>
      </c>
      <c r="B3921" t="s">
        <v>65</v>
      </c>
      <c r="C3921" s="9">
        <v>38717</v>
      </c>
      <c r="D3921">
        <v>20</v>
      </c>
      <c r="E3921" t="s">
        <v>17</v>
      </c>
      <c r="F3921" t="s">
        <v>29</v>
      </c>
      <c r="G3921" s="9">
        <v>45332</v>
      </c>
      <c r="H3921" s="9">
        <v>45413</v>
      </c>
      <c r="I3921">
        <v>25</v>
      </c>
      <c r="J3921" t="s">
        <v>35</v>
      </c>
      <c r="K3921">
        <v>1</v>
      </c>
      <c r="L3921">
        <v>5</v>
      </c>
      <c r="M3921" s="11">
        <v>19899.07</v>
      </c>
      <c r="N3921" s="12">
        <v>5332.64</v>
      </c>
      <c r="O3921" s="12">
        <v>13796.98</v>
      </c>
    </row>
    <row r="3922" spans="1:15">
      <c r="A3922" t="s">
        <v>4096</v>
      </c>
      <c r="B3922" t="s">
        <v>207</v>
      </c>
      <c r="C3922" s="9">
        <v>15707</v>
      </c>
      <c r="D3922">
        <v>83</v>
      </c>
      <c r="E3922" t="s">
        <v>21</v>
      </c>
      <c r="F3922" t="s">
        <v>18</v>
      </c>
      <c r="G3922" s="9">
        <v>45652</v>
      </c>
      <c r="H3922" s="9">
        <v>45444</v>
      </c>
      <c r="I3922">
        <v>31</v>
      </c>
      <c r="J3922" t="s">
        <v>35</v>
      </c>
      <c r="K3922">
        <v>5</v>
      </c>
      <c r="L3922">
        <v>4</v>
      </c>
      <c r="M3922" s="11">
        <v>28524.77</v>
      </c>
      <c r="N3922" s="12">
        <v>10162.34</v>
      </c>
      <c r="O3922" s="12">
        <v>10707.97</v>
      </c>
    </row>
    <row r="3923" spans="1:15">
      <c r="A3923" t="s">
        <v>4097</v>
      </c>
      <c r="B3923" t="s">
        <v>108</v>
      </c>
      <c r="C3923" s="9">
        <v>16072</v>
      </c>
      <c r="D3923">
        <f ca="1">DATEDIF(C3874,TODAY(),"Y")</f>
        <v>63</v>
      </c>
      <c r="E3923" t="s">
        <v>17</v>
      </c>
      <c r="F3923" t="s">
        <v>5184</v>
      </c>
      <c r="G3923" s="9">
        <v>45609</v>
      </c>
      <c r="H3923" s="9">
        <v>45491</v>
      </c>
      <c r="I3923">
        <v>10</v>
      </c>
      <c r="J3923" t="s">
        <v>26</v>
      </c>
      <c r="K3923">
        <v>0</v>
      </c>
      <c r="L3923">
        <v>3</v>
      </c>
      <c r="M3923" s="11">
        <v>1849.55</v>
      </c>
      <c r="N3923" s="12">
        <v>9511.0499999999993</v>
      </c>
      <c r="O3923" s="12">
        <v>19427.36</v>
      </c>
    </row>
    <row r="3924" spans="1:15">
      <c r="A3924" t="s">
        <v>4098</v>
      </c>
      <c r="B3924" t="s">
        <v>252</v>
      </c>
      <c r="C3924" s="9">
        <v>16072</v>
      </c>
      <c r="D3924">
        <v>82</v>
      </c>
      <c r="E3924" t="s">
        <v>17</v>
      </c>
      <c r="F3924" t="s">
        <v>25</v>
      </c>
      <c r="G3924" s="9">
        <v>45480</v>
      </c>
      <c r="H3924" s="9">
        <v>45077</v>
      </c>
      <c r="I3924">
        <v>22</v>
      </c>
      <c r="J3924" t="s">
        <v>26</v>
      </c>
      <c r="K3924">
        <v>11</v>
      </c>
      <c r="L3924">
        <v>7</v>
      </c>
      <c r="M3924" s="11">
        <v>9638.58</v>
      </c>
      <c r="N3924" s="12">
        <v>8400.86</v>
      </c>
      <c r="O3924" s="12">
        <v>13852.42</v>
      </c>
    </row>
    <row r="3925" spans="1:15">
      <c r="A3925" t="s">
        <v>4099</v>
      </c>
      <c r="B3925" t="s">
        <v>63</v>
      </c>
      <c r="C3925" s="9">
        <v>42005</v>
      </c>
      <c r="D3925">
        <v>11</v>
      </c>
      <c r="E3925" t="s">
        <v>5185</v>
      </c>
      <c r="F3925" t="s">
        <v>22</v>
      </c>
      <c r="G3925" s="9">
        <v>45498</v>
      </c>
      <c r="H3925" s="9">
        <v>45644</v>
      </c>
      <c r="I3925">
        <v>20</v>
      </c>
      <c r="J3925" t="s">
        <v>35</v>
      </c>
      <c r="K3925">
        <v>5</v>
      </c>
      <c r="L3925">
        <v>9</v>
      </c>
      <c r="M3925" s="11">
        <v>13903.68</v>
      </c>
      <c r="N3925" s="12">
        <v>4194.2299999999996</v>
      </c>
      <c r="O3925" s="12">
        <v>1442.36</v>
      </c>
    </row>
    <row r="3926" spans="1:15">
      <c r="A3926" t="s">
        <v>4100</v>
      </c>
      <c r="B3926" t="s">
        <v>100</v>
      </c>
      <c r="C3926" s="9">
        <f>DATE(2026-D3886,1,1)</f>
        <v>40909</v>
      </c>
      <c r="D3926">
        <v>36</v>
      </c>
      <c r="E3926" t="s">
        <v>17</v>
      </c>
      <c r="F3926" t="s">
        <v>25</v>
      </c>
      <c r="G3926" s="9">
        <v>45301</v>
      </c>
      <c r="H3926" s="9">
        <v>45739</v>
      </c>
      <c r="I3926">
        <v>33</v>
      </c>
      <c r="J3926" t="s">
        <v>35</v>
      </c>
      <c r="K3926">
        <v>13</v>
      </c>
      <c r="L3926">
        <v>8</v>
      </c>
      <c r="M3926" s="11">
        <v>6584.88</v>
      </c>
      <c r="N3926" s="12">
        <v>2393.25</v>
      </c>
      <c r="O3926" s="12">
        <v>1743.76</v>
      </c>
    </row>
    <row r="3927" spans="1:15">
      <c r="A3927" t="s">
        <v>4101</v>
      </c>
      <c r="B3927" t="s">
        <v>73</v>
      </c>
      <c r="C3927" s="9">
        <v>31047</v>
      </c>
      <c r="D3927">
        <v>41</v>
      </c>
      <c r="E3927" t="s">
        <v>17</v>
      </c>
      <c r="F3927" t="s">
        <v>49</v>
      </c>
      <c r="G3927" s="9">
        <v>45515</v>
      </c>
      <c r="H3927" s="9">
        <v>45426</v>
      </c>
      <c r="I3927">
        <v>9</v>
      </c>
      <c r="J3927" t="s">
        <v>35</v>
      </c>
      <c r="K3927">
        <v>2</v>
      </c>
      <c r="L3927">
        <v>8</v>
      </c>
      <c r="M3927" s="11">
        <v>22097.18</v>
      </c>
      <c r="N3927" s="12">
        <v>11765.08</v>
      </c>
      <c r="O3927" s="12">
        <v>19267.810000000001</v>
      </c>
    </row>
    <row r="3928" spans="1:15">
      <c r="A3928" t="s">
        <v>4102</v>
      </c>
      <c r="B3928" t="s">
        <v>84</v>
      </c>
      <c r="C3928" s="9">
        <v>40178</v>
      </c>
      <c r="D3928">
        <v>16</v>
      </c>
      <c r="E3928" t="s">
        <v>21</v>
      </c>
      <c r="F3928" t="s">
        <v>29</v>
      </c>
      <c r="G3928" s="9">
        <v>45381</v>
      </c>
      <c r="H3928" s="9">
        <v>45298</v>
      </c>
      <c r="I3928">
        <v>1</v>
      </c>
      <c r="J3928" t="s">
        <v>32</v>
      </c>
      <c r="K3928">
        <v>14</v>
      </c>
      <c r="L3928">
        <v>4</v>
      </c>
      <c r="M3928" s="11">
        <v>20503</v>
      </c>
      <c r="N3928" s="12">
        <v>14876.24</v>
      </c>
      <c r="O3928" s="12">
        <v>18859.919999999998</v>
      </c>
    </row>
    <row r="3929" spans="1:15">
      <c r="A3929" t="s">
        <v>4103</v>
      </c>
      <c r="B3929" t="s">
        <v>490</v>
      </c>
      <c r="C3929" s="9">
        <v>28856</v>
      </c>
      <c r="D3929">
        <v>47</v>
      </c>
      <c r="E3929" t="s">
        <v>17</v>
      </c>
      <c r="F3929" t="s">
        <v>49</v>
      </c>
      <c r="G3929" s="9">
        <v>45128</v>
      </c>
      <c r="H3929" s="9">
        <v>45626</v>
      </c>
      <c r="I3929">
        <v>17</v>
      </c>
      <c r="J3929" t="s">
        <v>32</v>
      </c>
      <c r="K3929">
        <v>14</v>
      </c>
      <c r="L3929">
        <v>4</v>
      </c>
      <c r="M3929" s="11">
        <v>3092.2</v>
      </c>
      <c r="N3929" s="12">
        <v>2536.41</v>
      </c>
      <c r="O3929" s="12">
        <v>11112.5</v>
      </c>
    </row>
    <row r="3930" spans="1:15">
      <c r="A3930" t="s">
        <v>4104</v>
      </c>
      <c r="B3930" t="s">
        <v>278</v>
      </c>
      <c r="C3930" s="9">
        <v>36161</v>
      </c>
      <c r="D3930">
        <v>27</v>
      </c>
      <c r="E3930" t="s">
        <v>21</v>
      </c>
      <c r="F3930" t="s">
        <v>25</v>
      </c>
      <c r="G3930" s="9">
        <v>45378</v>
      </c>
      <c r="H3930" s="9">
        <v>45412</v>
      </c>
      <c r="I3930">
        <v>13</v>
      </c>
      <c r="J3930" t="s">
        <v>26</v>
      </c>
      <c r="K3930">
        <v>8</v>
      </c>
      <c r="L3930">
        <v>2</v>
      </c>
      <c r="M3930" s="11">
        <v>16868.599999999999</v>
      </c>
      <c r="N3930" s="12">
        <v>1136.8800000000001</v>
      </c>
      <c r="O3930" s="12">
        <v>4204.2299999999996</v>
      </c>
    </row>
    <row r="3931" spans="1:15">
      <c r="A3931" t="s">
        <v>4105</v>
      </c>
      <c r="B3931" t="s">
        <v>774</v>
      </c>
      <c r="C3931" s="9">
        <v>31412</v>
      </c>
      <c r="D3931">
        <v>40</v>
      </c>
      <c r="E3931" t="s">
        <v>21</v>
      </c>
      <c r="F3931" t="s">
        <v>25</v>
      </c>
      <c r="G3931" s="9">
        <v>45113</v>
      </c>
      <c r="H3931" s="9">
        <v>45592</v>
      </c>
      <c r="I3931">
        <v>11</v>
      </c>
      <c r="J3931" t="s">
        <v>26</v>
      </c>
      <c r="K3931">
        <v>1</v>
      </c>
      <c r="L3931">
        <v>8</v>
      </c>
      <c r="M3931" s="11">
        <v>10750.63</v>
      </c>
      <c r="N3931" s="12">
        <v>11185.96</v>
      </c>
      <c r="O3931" s="12">
        <v>11628.47</v>
      </c>
    </row>
    <row r="3932" spans="1:15">
      <c r="A3932" t="s">
        <v>4106</v>
      </c>
      <c r="B3932" t="s">
        <v>412</v>
      </c>
      <c r="C3932" s="9">
        <v>29221</v>
      </c>
      <c r="D3932">
        <v>46</v>
      </c>
      <c r="E3932" t="s">
        <v>17</v>
      </c>
      <c r="F3932" t="s">
        <v>25</v>
      </c>
      <c r="G3932" s="9">
        <v>45534</v>
      </c>
      <c r="H3932" s="9">
        <v>45310</v>
      </c>
      <c r="I3932">
        <v>1</v>
      </c>
      <c r="J3932" t="s">
        <v>32</v>
      </c>
      <c r="K3932">
        <v>3</v>
      </c>
      <c r="L3932">
        <v>0</v>
      </c>
      <c r="M3932" s="11">
        <v>6465.65</v>
      </c>
      <c r="N3932" s="12">
        <v>5157.84</v>
      </c>
      <c r="O3932" s="12">
        <v>15247.23</v>
      </c>
    </row>
    <row r="3933" spans="1:15">
      <c r="A3933" t="s">
        <v>4107</v>
      </c>
      <c r="B3933" t="s">
        <v>596</v>
      </c>
      <c r="C3933" s="9">
        <v>39813</v>
      </c>
      <c r="D3933">
        <v>17</v>
      </c>
      <c r="E3933" t="s">
        <v>21</v>
      </c>
      <c r="F3933" t="s">
        <v>49</v>
      </c>
      <c r="G3933" s="9">
        <v>45650</v>
      </c>
      <c r="H3933" s="9">
        <v>45555</v>
      </c>
      <c r="I3933">
        <v>13</v>
      </c>
      <c r="J3933" t="s">
        <v>26</v>
      </c>
      <c r="K3933">
        <v>10</v>
      </c>
      <c r="L3933">
        <v>2</v>
      </c>
      <c r="M3933" s="11">
        <v>25372.959999999999</v>
      </c>
      <c r="N3933" s="12">
        <v>3195.05</v>
      </c>
      <c r="O3933" s="12">
        <v>66.47</v>
      </c>
    </row>
    <row r="3934" spans="1:15">
      <c r="A3934" t="s">
        <v>4108</v>
      </c>
      <c r="B3934" t="s">
        <v>149</v>
      </c>
      <c r="C3934" s="9">
        <v>17898</v>
      </c>
      <c r="D3934">
        <v>77</v>
      </c>
      <c r="E3934" t="s">
        <v>5185</v>
      </c>
      <c r="F3934" t="s">
        <v>5184</v>
      </c>
      <c r="G3934" s="9">
        <v>45294</v>
      </c>
      <c r="H3934" s="9">
        <v>45588</v>
      </c>
      <c r="I3934">
        <v>1</v>
      </c>
      <c r="J3934" t="s">
        <v>35</v>
      </c>
      <c r="K3934">
        <v>12</v>
      </c>
      <c r="L3934">
        <v>6</v>
      </c>
      <c r="M3934" s="11">
        <v>1167.56</v>
      </c>
      <c r="N3934" s="12">
        <v>7876.88</v>
      </c>
      <c r="O3934" s="12">
        <v>16438.53</v>
      </c>
    </row>
    <row r="3935" spans="1:15">
      <c r="A3935" t="s">
        <v>4109</v>
      </c>
      <c r="B3935" t="s">
        <v>336</v>
      </c>
      <c r="C3935" s="9">
        <v>20455</v>
      </c>
      <c r="D3935">
        <v>70</v>
      </c>
      <c r="E3935" t="s">
        <v>21</v>
      </c>
      <c r="F3935" t="s">
        <v>29</v>
      </c>
      <c r="G3935" s="9">
        <v>45266</v>
      </c>
      <c r="H3935" s="9">
        <v>45659</v>
      </c>
      <c r="I3935">
        <v>10</v>
      </c>
      <c r="J3935" t="s">
        <v>26</v>
      </c>
      <c r="K3935">
        <v>10</v>
      </c>
      <c r="L3935">
        <v>6</v>
      </c>
      <c r="M3935" s="11">
        <v>13755.4</v>
      </c>
      <c r="N3935" s="12">
        <v>10128.219999999999</v>
      </c>
      <c r="O3935" s="12">
        <v>9242.42</v>
      </c>
    </row>
    <row r="3936" spans="1:15">
      <c r="A3936" t="s">
        <v>4110</v>
      </c>
      <c r="B3936" t="s">
        <v>343</v>
      </c>
      <c r="C3936" s="9">
        <v>41639</v>
      </c>
      <c r="D3936">
        <v>12</v>
      </c>
      <c r="E3936" t="s">
        <v>17</v>
      </c>
      <c r="F3936" t="s">
        <v>22</v>
      </c>
      <c r="G3936" s="9">
        <v>45188</v>
      </c>
      <c r="H3936" s="9">
        <v>45119</v>
      </c>
      <c r="I3936">
        <v>35</v>
      </c>
      <c r="J3936" t="s">
        <v>32</v>
      </c>
      <c r="K3936">
        <v>11</v>
      </c>
      <c r="L3936">
        <v>4</v>
      </c>
      <c r="M3936" s="11">
        <v>13997</v>
      </c>
      <c r="N3936" s="12">
        <v>3222.74</v>
      </c>
      <c r="O3936" s="12">
        <v>9209.6</v>
      </c>
    </row>
    <row r="3937" spans="1:15">
      <c r="A3937" t="s">
        <v>4111</v>
      </c>
      <c r="B3937" t="s">
        <v>356</v>
      </c>
      <c r="C3937" s="9">
        <v>16437</v>
      </c>
      <c r="D3937">
        <v>81</v>
      </c>
      <c r="E3937" t="s">
        <v>21</v>
      </c>
      <c r="F3937" t="s">
        <v>5184</v>
      </c>
      <c r="G3937" s="9">
        <v>45515</v>
      </c>
      <c r="H3937" s="9">
        <v>45672</v>
      </c>
      <c r="I3937">
        <v>2</v>
      </c>
      <c r="J3937" t="s">
        <v>32</v>
      </c>
      <c r="K3937">
        <v>12</v>
      </c>
      <c r="L3937">
        <v>5</v>
      </c>
      <c r="M3937" s="11">
        <v>16888.73</v>
      </c>
      <c r="N3937" s="12">
        <v>14917.55</v>
      </c>
      <c r="O3937" s="12">
        <v>8629.57</v>
      </c>
    </row>
    <row r="3938" spans="1:15">
      <c r="A3938" t="s">
        <v>4112</v>
      </c>
      <c r="B3938" t="s">
        <v>550</v>
      </c>
      <c r="C3938" s="9">
        <f>DATE(2026-D3898,1,1)</f>
        <v>14611</v>
      </c>
      <c r="D3938">
        <v>12</v>
      </c>
      <c r="E3938" t="s">
        <v>21</v>
      </c>
      <c r="F3938" t="s">
        <v>22</v>
      </c>
      <c r="G3938" s="9">
        <v>45469</v>
      </c>
      <c r="H3938" s="9">
        <v>45763</v>
      </c>
      <c r="I3938">
        <v>6</v>
      </c>
      <c r="J3938" t="s">
        <v>35</v>
      </c>
      <c r="K3938">
        <v>2</v>
      </c>
      <c r="L3938">
        <v>3</v>
      </c>
      <c r="M3938" s="11">
        <v>5526.62</v>
      </c>
      <c r="N3938" s="12">
        <v>4923.3599999999997</v>
      </c>
      <c r="O3938" s="12">
        <v>13806.11</v>
      </c>
    </row>
    <row r="3939" spans="1:15">
      <c r="A3939" t="s">
        <v>4113</v>
      </c>
      <c r="B3939" t="s">
        <v>196</v>
      </c>
      <c r="C3939" s="9">
        <v>35065</v>
      </c>
      <c r="D3939">
        <v>30</v>
      </c>
      <c r="E3939" t="s">
        <v>21</v>
      </c>
      <c r="F3939" t="s">
        <v>74</v>
      </c>
      <c r="G3939" s="9">
        <v>45477</v>
      </c>
      <c r="H3939" s="9">
        <v>45148</v>
      </c>
      <c r="I3939">
        <v>18</v>
      </c>
      <c r="J3939" t="s">
        <v>26</v>
      </c>
      <c r="K3939">
        <v>6</v>
      </c>
      <c r="L3939">
        <v>7</v>
      </c>
      <c r="M3939" s="11">
        <v>26071.63</v>
      </c>
      <c r="N3939" s="12">
        <v>4724.3</v>
      </c>
      <c r="O3939" s="12">
        <v>4110.18</v>
      </c>
    </row>
    <row r="3940" spans="1:15">
      <c r="A3940" t="s">
        <v>4114</v>
      </c>
      <c r="B3940" t="s">
        <v>112</v>
      </c>
      <c r="C3940" s="9">
        <v>45657</v>
      </c>
      <c r="D3940">
        <v>1</v>
      </c>
      <c r="E3940" t="s">
        <v>17</v>
      </c>
      <c r="F3940" t="s">
        <v>74</v>
      </c>
      <c r="G3940" s="9">
        <v>45232</v>
      </c>
      <c r="H3940" s="9">
        <v>44974</v>
      </c>
      <c r="I3940">
        <v>15</v>
      </c>
      <c r="J3940" t="s">
        <v>35</v>
      </c>
      <c r="K3940">
        <v>1</v>
      </c>
      <c r="L3940">
        <v>3</v>
      </c>
      <c r="M3940" s="11">
        <v>28941.73</v>
      </c>
      <c r="N3940" s="12">
        <v>6345.01</v>
      </c>
      <c r="O3940" s="12">
        <v>12093.87</v>
      </c>
    </row>
    <row r="3941" spans="1:15">
      <c r="A3941" t="s">
        <v>4115</v>
      </c>
      <c r="B3941" t="s">
        <v>123</v>
      </c>
      <c r="C3941" s="9">
        <v>40544</v>
      </c>
      <c r="D3941">
        <v>15</v>
      </c>
      <c r="E3941" t="s">
        <v>21</v>
      </c>
      <c r="F3941" t="s">
        <v>25</v>
      </c>
      <c r="G3941" s="9">
        <v>45652</v>
      </c>
      <c r="H3941" s="9">
        <v>45054</v>
      </c>
      <c r="I3941">
        <v>29</v>
      </c>
      <c r="J3941" t="s">
        <v>32</v>
      </c>
      <c r="K3941">
        <v>0</v>
      </c>
      <c r="L3941">
        <v>9</v>
      </c>
      <c r="M3941" s="11">
        <v>0</v>
      </c>
      <c r="N3941" s="12">
        <v>11175.44</v>
      </c>
      <c r="O3941" s="12">
        <v>786.35</v>
      </c>
    </row>
    <row r="3942" spans="1:15">
      <c r="A3942" t="s">
        <v>4116</v>
      </c>
      <c r="B3942" t="s">
        <v>774</v>
      </c>
      <c r="C3942" s="9">
        <v>43100</v>
      </c>
      <c r="D3942">
        <v>8</v>
      </c>
      <c r="E3942" t="s">
        <v>17</v>
      </c>
      <c r="F3942" t="s">
        <v>29</v>
      </c>
      <c r="G3942" s="9">
        <v>45564</v>
      </c>
      <c r="H3942" s="9">
        <v>45730</v>
      </c>
      <c r="I3942">
        <v>31</v>
      </c>
      <c r="J3942" t="s">
        <v>26</v>
      </c>
      <c r="K3942">
        <v>3</v>
      </c>
      <c r="L3942">
        <v>5</v>
      </c>
      <c r="M3942" s="11">
        <v>7311.82</v>
      </c>
      <c r="N3942" s="12">
        <v>13098.86</v>
      </c>
      <c r="O3942" s="12">
        <v>16208.12</v>
      </c>
    </row>
    <row r="3943" spans="1:15">
      <c r="A3943" t="s">
        <v>4117</v>
      </c>
      <c r="B3943" t="s">
        <v>157</v>
      </c>
      <c r="C3943" s="9">
        <v>19724</v>
      </c>
      <c r="D3943">
        <v>72</v>
      </c>
      <c r="E3943" t="s">
        <v>21</v>
      </c>
      <c r="F3943" t="s">
        <v>29</v>
      </c>
      <c r="G3943" s="9">
        <v>45091</v>
      </c>
      <c r="H3943" s="9">
        <v>45654</v>
      </c>
      <c r="I3943">
        <v>17</v>
      </c>
      <c r="J3943" t="s">
        <v>35</v>
      </c>
      <c r="K3943">
        <v>8</v>
      </c>
      <c r="L3943">
        <v>4</v>
      </c>
      <c r="M3943" s="11">
        <v>26243.21</v>
      </c>
      <c r="N3943" s="12">
        <v>4859.79</v>
      </c>
      <c r="O3943" s="12">
        <v>16290.41</v>
      </c>
    </row>
    <row r="3944" spans="1:15">
      <c r="A3944" t="s">
        <v>4118</v>
      </c>
      <c r="B3944" t="s">
        <v>264</v>
      </c>
      <c r="C3944" s="9">
        <v>32508</v>
      </c>
      <c r="D3944">
        <v>37</v>
      </c>
      <c r="E3944" t="s">
        <v>21</v>
      </c>
      <c r="F3944" t="s">
        <v>18</v>
      </c>
      <c r="G3944" s="9">
        <v>45547</v>
      </c>
      <c r="H3944" s="9">
        <v>44934</v>
      </c>
      <c r="I3944">
        <v>1</v>
      </c>
      <c r="J3944" t="s">
        <v>32</v>
      </c>
      <c r="K3944">
        <v>8</v>
      </c>
      <c r="L3944">
        <v>9</v>
      </c>
      <c r="M3944" s="11">
        <v>29639.27</v>
      </c>
      <c r="N3944" s="12">
        <v>1781.21</v>
      </c>
      <c r="O3944" s="12">
        <v>6168.79</v>
      </c>
    </row>
    <row r="3945" spans="1:15">
      <c r="A3945" t="s">
        <v>4119</v>
      </c>
      <c r="B3945" t="s">
        <v>546</v>
      </c>
      <c r="C3945" s="9">
        <v>18994</v>
      </c>
      <c r="D3945">
        <v>74</v>
      </c>
      <c r="E3945" t="s">
        <v>21</v>
      </c>
      <c r="F3945" t="s">
        <v>18</v>
      </c>
      <c r="G3945" s="9">
        <v>45014</v>
      </c>
      <c r="H3945" s="9">
        <v>45623</v>
      </c>
      <c r="I3945">
        <v>1</v>
      </c>
      <c r="J3945" t="s">
        <v>32</v>
      </c>
      <c r="K3945">
        <v>10</v>
      </c>
      <c r="L3945">
        <v>5</v>
      </c>
      <c r="M3945" s="11">
        <v>22127.32</v>
      </c>
      <c r="N3945" s="12">
        <v>3841.96</v>
      </c>
      <c r="O3945" s="12">
        <v>2018.93</v>
      </c>
    </row>
    <row r="3946" spans="1:15">
      <c r="A3946" t="s">
        <v>4120</v>
      </c>
      <c r="B3946" t="s">
        <v>82</v>
      </c>
      <c r="C3946" s="9">
        <v>26664</v>
      </c>
      <c r="D3946">
        <v>53</v>
      </c>
      <c r="E3946" t="s">
        <v>21</v>
      </c>
      <c r="F3946" t="s">
        <v>5184</v>
      </c>
      <c r="G3946" s="9">
        <v>45126</v>
      </c>
      <c r="H3946" s="9">
        <v>45043</v>
      </c>
      <c r="I3946">
        <v>35</v>
      </c>
      <c r="J3946" t="s">
        <v>32</v>
      </c>
      <c r="K3946">
        <v>11</v>
      </c>
      <c r="L3946">
        <v>2</v>
      </c>
      <c r="M3946" s="11">
        <v>9677.99</v>
      </c>
      <c r="N3946" s="12">
        <v>1264.19</v>
      </c>
      <c r="O3946" s="12">
        <v>14929.75</v>
      </c>
    </row>
    <row r="3947" spans="1:15">
      <c r="A3947" t="s">
        <v>4121</v>
      </c>
      <c r="B3947" t="s">
        <v>578</v>
      </c>
      <c r="C3947" s="9">
        <v>25934</v>
      </c>
      <c r="D3947">
        <v>55</v>
      </c>
      <c r="E3947" t="s">
        <v>17</v>
      </c>
      <c r="F3947" t="s">
        <v>49</v>
      </c>
      <c r="G3947" s="9">
        <v>45197</v>
      </c>
      <c r="H3947" s="9">
        <v>45491</v>
      </c>
      <c r="I3947">
        <v>4</v>
      </c>
      <c r="J3947" t="s">
        <v>32</v>
      </c>
      <c r="K3947">
        <v>0</v>
      </c>
      <c r="L3947">
        <v>2</v>
      </c>
      <c r="M3947" s="11">
        <v>6698.62</v>
      </c>
      <c r="N3947" s="12">
        <v>9455.17</v>
      </c>
      <c r="O3947" s="12">
        <v>9351.31</v>
      </c>
    </row>
    <row r="3948" spans="1:15">
      <c r="A3948" t="s">
        <v>4122</v>
      </c>
      <c r="B3948" t="s">
        <v>143</v>
      </c>
      <c r="C3948" s="9">
        <v>14976</v>
      </c>
      <c r="D3948">
        <v>85</v>
      </c>
      <c r="E3948" t="s">
        <v>17</v>
      </c>
      <c r="F3948" t="s">
        <v>18</v>
      </c>
      <c r="G3948" s="9">
        <v>44977</v>
      </c>
      <c r="H3948" s="9">
        <v>45293</v>
      </c>
      <c r="I3948">
        <v>19</v>
      </c>
      <c r="J3948" t="s">
        <v>32</v>
      </c>
      <c r="K3948">
        <v>9</v>
      </c>
      <c r="L3948">
        <v>9</v>
      </c>
      <c r="M3948" s="11">
        <v>0</v>
      </c>
      <c r="N3948" s="12">
        <v>11110.44</v>
      </c>
      <c r="O3948" s="12">
        <v>18491.84</v>
      </c>
    </row>
    <row r="3949" spans="1:15">
      <c r="A3949" t="s">
        <v>4123</v>
      </c>
      <c r="B3949" t="s">
        <v>65</v>
      </c>
      <c r="C3949" s="9">
        <f>DATE(2026-D3909,1,1)</f>
        <v>15342</v>
      </c>
      <c r="D3949">
        <v>86</v>
      </c>
      <c r="E3949" t="s">
        <v>21</v>
      </c>
      <c r="F3949" t="s">
        <v>5184</v>
      </c>
      <c r="G3949" s="9">
        <v>45415</v>
      </c>
      <c r="H3949" s="9">
        <v>44973</v>
      </c>
      <c r="I3949">
        <v>17</v>
      </c>
      <c r="J3949" t="s">
        <v>26</v>
      </c>
      <c r="K3949">
        <v>14</v>
      </c>
      <c r="L3949">
        <v>6</v>
      </c>
      <c r="M3949" s="11">
        <v>6665.64</v>
      </c>
      <c r="N3949" s="12">
        <v>6439</v>
      </c>
      <c r="O3949" s="12">
        <v>7005.04</v>
      </c>
    </row>
    <row r="3950" spans="1:15">
      <c r="A3950" t="s">
        <v>4124</v>
      </c>
      <c r="B3950" t="s">
        <v>278</v>
      </c>
      <c r="C3950" s="9">
        <v>29951</v>
      </c>
      <c r="D3950">
        <v>44</v>
      </c>
      <c r="E3950" t="s">
        <v>17</v>
      </c>
      <c r="F3950" t="s">
        <v>22</v>
      </c>
      <c r="G3950" s="9">
        <v>45124</v>
      </c>
      <c r="H3950" s="9">
        <v>45320</v>
      </c>
      <c r="I3950">
        <v>32</v>
      </c>
      <c r="J3950" t="s">
        <v>32</v>
      </c>
      <c r="K3950">
        <v>1</v>
      </c>
      <c r="L3950">
        <v>0</v>
      </c>
      <c r="M3950" s="11">
        <v>6434.17</v>
      </c>
      <c r="N3950" s="12">
        <v>14291.93</v>
      </c>
      <c r="O3950" s="12">
        <v>16814.330000000002</v>
      </c>
    </row>
    <row r="3951" spans="1:15">
      <c r="A3951" t="s">
        <v>4125</v>
      </c>
      <c r="B3951" t="s">
        <v>71</v>
      </c>
      <c r="C3951" s="9">
        <v>33969</v>
      </c>
      <c r="D3951">
        <v>33</v>
      </c>
      <c r="E3951" t="s">
        <v>17</v>
      </c>
      <c r="F3951" t="s">
        <v>22</v>
      </c>
      <c r="G3951" s="9">
        <v>44949</v>
      </c>
      <c r="H3951" s="9">
        <v>44950</v>
      </c>
      <c r="I3951">
        <v>1</v>
      </c>
      <c r="J3951" t="s">
        <v>26</v>
      </c>
      <c r="K3951">
        <v>4</v>
      </c>
      <c r="L3951">
        <v>0</v>
      </c>
      <c r="M3951" s="11">
        <v>29006.28</v>
      </c>
      <c r="N3951" s="12">
        <v>10912.86</v>
      </c>
      <c r="O3951" s="12">
        <v>408.99</v>
      </c>
    </row>
    <row r="3952" spans="1:15">
      <c r="A3952" t="s">
        <v>4126</v>
      </c>
      <c r="B3952" t="s">
        <v>93</v>
      </c>
      <c r="C3952" s="9">
        <v>43100</v>
      </c>
      <c r="D3952">
        <v>8</v>
      </c>
      <c r="E3952" t="s">
        <v>21</v>
      </c>
      <c r="F3952" t="s">
        <v>5184</v>
      </c>
      <c r="G3952" s="9">
        <v>45591</v>
      </c>
      <c r="H3952" s="9">
        <v>45058</v>
      </c>
      <c r="I3952">
        <v>17</v>
      </c>
      <c r="J3952" t="s">
        <v>35</v>
      </c>
      <c r="K3952">
        <v>10</v>
      </c>
      <c r="L3952">
        <v>0</v>
      </c>
      <c r="M3952" s="11">
        <v>19118.77</v>
      </c>
      <c r="N3952" s="12">
        <v>5694.88</v>
      </c>
      <c r="O3952" s="12">
        <v>15433.16</v>
      </c>
    </row>
    <row r="3953" spans="1:15">
      <c r="A3953" t="s">
        <v>4127</v>
      </c>
      <c r="B3953" t="s">
        <v>211</v>
      </c>
      <c r="C3953" s="9">
        <v>14246</v>
      </c>
      <c r="D3953">
        <v>87</v>
      </c>
      <c r="E3953" t="s">
        <v>21</v>
      </c>
      <c r="F3953" t="s">
        <v>49</v>
      </c>
      <c r="G3953" s="9">
        <v>45149</v>
      </c>
      <c r="H3953" s="9">
        <v>45054</v>
      </c>
      <c r="I3953">
        <v>32</v>
      </c>
      <c r="J3953" t="s">
        <v>32</v>
      </c>
      <c r="K3953">
        <v>11</v>
      </c>
      <c r="L3953">
        <v>5</v>
      </c>
      <c r="M3953" s="11">
        <v>0</v>
      </c>
      <c r="N3953" s="12">
        <v>1533.21</v>
      </c>
      <c r="O3953" s="12">
        <v>13532.82</v>
      </c>
    </row>
    <row r="3954" spans="1:15">
      <c r="A3954" t="s">
        <v>4128</v>
      </c>
      <c r="B3954" t="s">
        <v>73</v>
      </c>
      <c r="C3954" s="9">
        <v>43466</v>
      </c>
      <c r="D3954">
        <v>7</v>
      </c>
      <c r="E3954" t="s">
        <v>17</v>
      </c>
      <c r="F3954" t="s">
        <v>74</v>
      </c>
      <c r="G3954" s="9">
        <v>45147</v>
      </c>
      <c r="H3954" s="9">
        <v>45372</v>
      </c>
      <c r="I3954">
        <v>30</v>
      </c>
      <c r="J3954" t="s">
        <v>35</v>
      </c>
      <c r="K3954">
        <v>11</v>
      </c>
      <c r="L3954">
        <v>3</v>
      </c>
      <c r="M3954" s="11">
        <v>14385.26</v>
      </c>
      <c r="N3954" s="12">
        <v>7405.56</v>
      </c>
      <c r="O3954" s="12">
        <v>10477.98</v>
      </c>
    </row>
    <row r="3955" spans="1:15">
      <c r="A3955" t="s">
        <v>4129</v>
      </c>
      <c r="B3955" t="s">
        <v>328</v>
      </c>
      <c r="C3955" s="9">
        <v>43831</v>
      </c>
      <c r="D3955">
        <v>6</v>
      </c>
      <c r="E3955" t="s">
        <v>21</v>
      </c>
      <c r="F3955" t="s">
        <v>25</v>
      </c>
      <c r="G3955" s="9">
        <v>45589</v>
      </c>
      <c r="H3955" s="9">
        <v>45704</v>
      </c>
      <c r="I3955">
        <v>18</v>
      </c>
      <c r="J3955" t="s">
        <v>32</v>
      </c>
      <c r="K3955">
        <v>10</v>
      </c>
      <c r="L3955">
        <v>5</v>
      </c>
      <c r="M3955" s="11">
        <v>5131.3900000000003</v>
      </c>
      <c r="N3955" s="12">
        <v>7557.53</v>
      </c>
      <c r="O3955" s="12">
        <v>18199.560000000001</v>
      </c>
    </row>
    <row r="3956" spans="1:15">
      <c r="A3956" t="s">
        <v>4130</v>
      </c>
      <c r="B3956" t="s">
        <v>427</v>
      </c>
      <c r="C3956" s="9">
        <v>33239</v>
      </c>
      <c r="D3956">
        <v>35</v>
      </c>
      <c r="E3956" t="s">
        <v>21</v>
      </c>
      <c r="F3956" t="s">
        <v>29</v>
      </c>
      <c r="G3956" s="9">
        <v>45192</v>
      </c>
      <c r="H3956" s="9">
        <v>45236</v>
      </c>
      <c r="I3956">
        <v>11</v>
      </c>
      <c r="J3956" t="s">
        <v>32</v>
      </c>
      <c r="K3956">
        <v>8</v>
      </c>
      <c r="L3956">
        <v>0</v>
      </c>
      <c r="M3956" s="11">
        <v>17983.509999999998</v>
      </c>
      <c r="N3956" s="12">
        <v>8258.7999999999993</v>
      </c>
      <c r="O3956" s="12">
        <v>18834.419999999998</v>
      </c>
    </row>
    <row r="3957" spans="1:15">
      <c r="A3957" t="s">
        <v>4131</v>
      </c>
      <c r="B3957" t="s">
        <v>201</v>
      </c>
      <c r="C3957" s="9">
        <v>39813</v>
      </c>
      <c r="D3957">
        <v>17</v>
      </c>
      <c r="E3957" t="s">
        <v>21</v>
      </c>
      <c r="F3957" t="s">
        <v>74</v>
      </c>
      <c r="G3957" s="9">
        <v>44999</v>
      </c>
      <c r="H3957" s="9">
        <v>45635</v>
      </c>
      <c r="I3957">
        <v>28</v>
      </c>
      <c r="J3957" t="s">
        <v>35</v>
      </c>
      <c r="K3957">
        <v>2</v>
      </c>
      <c r="L3957">
        <v>3</v>
      </c>
      <c r="M3957" s="11">
        <v>9912.89</v>
      </c>
      <c r="N3957" s="12">
        <v>10236.74</v>
      </c>
      <c r="O3957" s="12">
        <v>18586.669999999998</v>
      </c>
    </row>
    <row r="3958" spans="1:15">
      <c r="A3958" t="s">
        <v>4132</v>
      </c>
      <c r="B3958" t="s">
        <v>63</v>
      </c>
      <c r="C3958" s="9">
        <v>45292</v>
      </c>
      <c r="D3958">
        <v>2</v>
      </c>
      <c r="E3958" t="s">
        <v>17</v>
      </c>
      <c r="F3958" t="s">
        <v>5184</v>
      </c>
      <c r="G3958" s="9">
        <v>45003</v>
      </c>
      <c r="H3958" s="9">
        <v>45360</v>
      </c>
      <c r="I3958">
        <v>19</v>
      </c>
      <c r="J3958" t="s">
        <v>35</v>
      </c>
      <c r="K3958">
        <v>13</v>
      </c>
      <c r="L3958">
        <v>3</v>
      </c>
      <c r="M3958" s="11">
        <v>5465.58</v>
      </c>
      <c r="N3958" s="12">
        <v>3965.74</v>
      </c>
      <c r="O3958" s="12">
        <v>11915.84</v>
      </c>
    </row>
    <row r="3959" spans="1:15">
      <c r="A3959" t="s">
        <v>4133</v>
      </c>
      <c r="B3959" t="s">
        <v>309</v>
      </c>
      <c r="C3959" s="9">
        <v>36161</v>
      </c>
      <c r="D3959">
        <v>27</v>
      </c>
      <c r="E3959" t="s">
        <v>21</v>
      </c>
      <c r="F3959" t="s">
        <v>22</v>
      </c>
      <c r="G3959" s="9">
        <v>45470</v>
      </c>
      <c r="H3959" s="9">
        <v>45400</v>
      </c>
      <c r="I3959">
        <v>27</v>
      </c>
      <c r="J3959" t="s">
        <v>32</v>
      </c>
      <c r="K3959">
        <v>14</v>
      </c>
      <c r="L3959">
        <v>1</v>
      </c>
      <c r="M3959" s="11">
        <v>6905.13</v>
      </c>
      <c r="N3959" s="12">
        <v>37.270000000000003</v>
      </c>
      <c r="O3959" s="12">
        <v>10339.870000000001</v>
      </c>
    </row>
    <row r="3960" spans="1:15">
      <c r="A3960" t="s">
        <v>4134</v>
      </c>
      <c r="B3960" t="s">
        <v>427</v>
      </c>
      <c r="C3960" s="9">
        <v>20820</v>
      </c>
      <c r="D3960">
        <v>69</v>
      </c>
      <c r="E3960" t="s">
        <v>21</v>
      </c>
      <c r="F3960" t="s">
        <v>74</v>
      </c>
      <c r="G3960" s="9">
        <v>45361</v>
      </c>
      <c r="H3960" s="9">
        <v>44975</v>
      </c>
      <c r="I3960">
        <v>26</v>
      </c>
      <c r="J3960" t="s">
        <v>35</v>
      </c>
      <c r="K3960">
        <v>3</v>
      </c>
      <c r="L3960">
        <v>0</v>
      </c>
      <c r="M3960" s="11">
        <v>20090.509999999998</v>
      </c>
      <c r="N3960" s="12">
        <v>12192.67</v>
      </c>
      <c r="O3960" s="12">
        <v>5306.34</v>
      </c>
    </row>
    <row r="3961" spans="1:15">
      <c r="A3961" t="s">
        <v>4135</v>
      </c>
      <c r="B3961" t="s">
        <v>240</v>
      </c>
      <c r="C3961" s="9">
        <v>30317</v>
      </c>
      <c r="D3961">
        <v>43</v>
      </c>
      <c r="E3961" t="s">
        <v>21</v>
      </c>
      <c r="F3961" t="s">
        <v>49</v>
      </c>
      <c r="G3961" s="9">
        <v>44991</v>
      </c>
      <c r="H3961" s="9">
        <v>45818</v>
      </c>
      <c r="I3961">
        <v>33</v>
      </c>
      <c r="J3961" t="s">
        <v>26</v>
      </c>
      <c r="K3961">
        <v>1</v>
      </c>
      <c r="L3961">
        <v>7</v>
      </c>
      <c r="M3961" s="11">
        <v>0</v>
      </c>
      <c r="N3961" s="12">
        <v>12353.05</v>
      </c>
      <c r="O3961" s="12">
        <v>3157.61</v>
      </c>
    </row>
    <row r="3962" spans="1:15">
      <c r="A3962" t="s">
        <v>4136</v>
      </c>
      <c r="B3962" t="s">
        <v>244</v>
      </c>
      <c r="C3962" s="9">
        <v>38717</v>
      </c>
      <c r="D3962">
        <v>20</v>
      </c>
      <c r="E3962" t="s">
        <v>21</v>
      </c>
      <c r="F3962" t="s">
        <v>25</v>
      </c>
      <c r="G3962" s="9">
        <v>45283</v>
      </c>
      <c r="H3962" s="9">
        <v>45009</v>
      </c>
      <c r="I3962">
        <v>39</v>
      </c>
      <c r="J3962" t="s">
        <v>32</v>
      </c>
      <c r="K3962">
        <v>13</v>
      </c>
      <c r="L3962">
        <v>5</v>
      </c>
      <c r="M3962" s="11">
        <v>15151.35</v>
      </c>
      <c r="N3962" s="12">
        <v>13674.33</v>
      </c>
      <c r="O3962" s="12">
        <v>11097.6</v>
      </c>
    </row>
    <row r="3963" spans="1:15">
      <c r="A3963" t="s">
        <v>4137</v>
      </c>
      <c r="B3963" t="s">
        <v>133</v>
      </c>
      <c r="C3963" s="9">
        <v>36161</v>
      </c>
      <c r="D3963">
        <v>27</v>
      </c>
      <c r="E3963" t="s">
        <v>21</v>
      </c>
      <c r="F3963" t="s">
        <v>22</v>
      </c>
      <c r="G3963" s="9">
        <v>44944</v>
      </c>
      <c r="H3963" s="9">
        <v>45036</v>
      </c>
      <c r="I3963">
        <v>26</v>
      </c>
      <c r="J3963" t="s">
        <v>32</v>
      </c>
      <c r="K3963">
        <v>8</v>
      </c>
      <c r="L3963">
        <v>3</v>
      </c>
      <c r="M3963" s="11">
        <v>24550.84</v>
      </c>
      <c r="N3963" s="12">
        <v>14535.55</v>
      </c>
      <c r="O3963" s="12">
        <v>2884.78</v>
      </c>
    </row>
    <row r="3964" spans="1:15">
      <c r="A3964" t="s">
        <v>4138</v>
      </c>
      <c r="B3964" t="s">
        <v>292</v>
      </c>
      <c r="C3964" s="9">
        <v>26664</v>
      </c>
      <c r="D3964">
        <v>53</v>
      </c>
      <c r="E3964" t="s">
        <v>17</v>
      </c>
      <c r="F3964" t="s">
        <v>49</v>
      </c>
      <c r="G3964" s="9">
        <v>45602</v>
      </c>
      <c r="H3964" s="9">
        <v>45190</v>
      </c>
      <c r="I3964">
        <v>4</v>
      </c>
      <c r="J3964" t="s">
        <v>26</v>
      </c>
      <c r="K3964">
        <v>14</v>
      </c>
      <c r="L3964">
        <v>1</v>
      </c>
      <c r="M3964" s="11">
        <v>19490.349999999999</v>
      </c>
      <c r="N3964" s="12">
        <v>2387.5700000000002</v>
      </c>
      <c r="O3964" s="12">
        <v>3359.52</v>
      </c>
    </row>
    <row r="3965" spans="1:15">
      <c r="A3965" t="s">
        <v>4139</v>
      </c>
      <c r="B3965" t="s">
        <v>196</v>
      </c>
      <c r="C3965" s="9">
        <v>26664</v>
      </c>
      <c r="D3965">
        <v>53</v>
      </c>
      <c r="E3965" t="s">
        <v>21</v>
      </c>
      <c r="F3965" t="s">
        <v>5184</v>
      </c>
      <c r="G3965" s="9">
        <v>45492</v>
      </c>
      <c r="H3965" s="9">
        <v>45794</v>
      </c>
      <c r="I3965">
        <v>29</v>
      </c>
      <c r="J3965" t="s">
        <v>26</v>
      </c>
      <c r="K3965">
        <v>4</v>
      </c>
      <c r="L3965">
        <v>4</v>
      </c>
      <c r="M3965" s="11">
        <v>13603.61</v>
      </c>
      <c r="N3965" s="12">
        <v>5308.08</v>
      </c>
      <c r="O3965" s="12">
        <v>7070.53</v>
      </c>
    </row>
    <row r="3966" spans="1:15">
      <c r="A3966" t="s">
        <v>4140</v>
      </c>
      <c r="B3966" t="s">
        <v>28</v>
      </c>
      <c r="C3966" s="9">
        <v>22646</v>
      </c>
      <c r="D3966">
        <f ca="1">DATEDIF(C3917,TODAY(),"Y")</f>
        <v>46</v>
      </c>
      <c r="E3966" t="s">
        <v>17</v>
      </c>
      <c r="F3966" t="s">
        <v>74</v>
      </c>
      <c r="G3966" s="9">
        <v>45501</v>
      </c>
      <c r="H3966" s="9">
        <v>44958</v>
      </c>
      <c r="I3966">
        <v>10</v>
      </c>
      <c r="J3966" t="s">
        <v>32</v>
      </c>
      <c r="K3966">
        <v>2</v>
      </c>
      <c r="L3966">
        <v>8</v>
      </c>
      <c r="M3966" s="11">
        <v>28598.73</v>
      </c>
      <c r="N3966" s="12">
        <v>12770.39</v>
      </c>
      <c r="O3966" s="12">
        <v>3653.62</v>
      </c>
    </row>
    <row r="3967" spans="1:15">
      <c r="A3967" t="s">
        <v>4141</v>
      </c>
      <c r="B3967" t="s">
        <v>119</v>
      </c>
      <c r="C3967" s="9">
        <v>38717</v>
      </c>
      <c r="D3967">
        <v>20</v>
      </c>
      <c r="E3967" t="s">
        <v>21</v>
      </c>
      <c r="F3967" t="s">
        <v>29</v>
      </c>
      <c r="G3967" s="9">
        <v>45362</v>
      </c>
      <c r="H3967" s="9">
        <v>45285</v>
      </c>
      <c r="I3967">
        <v>10</v>
      </c>
      <c r="J3967" t="s">
        <v>35</v>
      </c>
      <c r="K3967">
        <v>11</v>
      </c>
      <c r="L3967">
        <v>6</v>
      </c>
      <c r="M3967" s="11">
        <v>6042.41</v>
      </c>
      <c r="N3967" s="12">
        <v>14009.99</v>
      </c>
      <c r="O3967" s="12">
        <v>9984.74</v>
      </c>
    </row>
    <row r="3968" spans="1:15">
      <c r="A3968" t="s">
        <v>4142</v>
      </c>
      <c r="B3968" t="s">
        <v>292</v>
      </c>
      <c r="C3968" s="9">
        <v>41639</v>
      </c>
      <c r="D3968">
        <v>12</v>
      </c>
      <c r="E3968" t="s">
        <v>17</v>
      </c>
      <c r="F3968" t="s">
        <v>18</v>
      </c>
      <c r="G3968" s="9">
        <v>45367</v>
      </c>
      <c r="H3968" s="9">
        <v>45495</v>
      </c>
      <c r="I3968">
        <v>11</v>
      </c>
      <c r="J3968" t="s">
        <v>32</v>
      </c>
      <c r="K3968">
        <v>4</v>
      </c>
      <c r="L3968">
        <v>3</v>
      </c>
      <c r="M3968" s="11">
        <v>8314.26</v>
      </c>
      <c r="N3968" s="12">
        <v>217.94</v>
      </c>
      <c r="O3968" s="12">
        <v>13241.36</v>
      </c>
    </row>
    <row r="3969" spans="1:15">
      <c r="A3969" t="s">
        <v>4143</v>
      </c>
      <c r="B3969" t="s">
        <v>110</v>
      </c>
      <c r="C3969" s="9">
        <v>25568</v>
      </c>
      <c r="D3969">
        <v>56</v>
      </c>
      <c r="E3969" t="s">
        <v>17</v>
      </c>
      <c r="F3969" t="s">
        <v>49</v>
      </c>
      <c r="G3969" s="9">
        <v>44935</v>
      </c>
      <c r="H3969" s="9">
        <v>45407</v>
      </c>
      <c r="I3969">
        <v>3</v>
      </c>
      <c r="J3969" t="s">
        <v>26</v>
      </c>
      <c r="K3969">
        <v>11</v>
      </c>
      <c r="L3969">
        <v>4</v>
      </c>
      <c r="M3969" s="11">
        <v>27298.66</v>
      </c>
      <c r="N3969" s="12">
        <v>5813.01</v>
      </c>
      <c r="O3969" s="12">
        <v>13927.8</v>
      </c>
    </row>
    <row r="3970" spans="1:15">
      <c r="A3970" t="s">
        <v>4144</v>
      </c>
      <c r="B3970" t="s">
        <v>387</v>
      </c>
      <c r="C3970" s="9">
        <v>28490</v>
      </c>
      <c r="D3970">
        <v>48</v>
      </c>
      <c r="E3970" t="s">
        <v>21</v>
      </c>
      <c r="F3970" t="s">
        <v>22</v>
      </c>
      <c r="G3970" s="9">
        <v>45396</v>
      </c>
      <c r="H3970" s="9">
        <v>45794</v>
      </c>
      <c r="I3970">
        <v>13</v>
      </c>
      <c r="J3970" t="s">
        <v>35</v>
      </c>
      <c r="K3970">
        <v>3</v>
      </c>
      <c r="L3970">
        <v>7</v>
      </c>
      <c r="M3970" s="11">
        <v>25523.37</v>
      </c>
      <c r="N3970" s="12">
        <v>1700.79</v>
      </c>
      <c r="O3970" s="12">
        <v>10608.84</v>
      </c>
    </row>
    <row r="3971" spans="1:15">
      <c r="A3971" t="s">
        <v>4145</v>
      </c>
      <c r="B3971" t="s">
        <v>196</v>
      </c>
      <c r="C3971" s="9">
        <v>26664</v>
      </c>
      <c r="D3971">
        <v>53</v>
      </c>
      <c r="E3971" t="s">
        <v>17</v>
      </c>
      <c r="F3971" t="s">
        <v>74</v>
      </c>
      <c r="G3971" s="9">
        <v>45558</v>
      </c>
      <c r="H3971" s="9">
        <v>45116</v>
      </c>
      <c r="I3971">
        <v>38</v>
      </c>
      <c r="J3971" t="s">
        <v>32</v>
      </c>
      <c r="K3971">
        <v>9</v>
      </c>
      <c r="L3971">
        <v>4</v>
      </c>
      <c r="M3971" s="11">
        <v>3466.75</v>
      </c>
      <c r="N3971" s="12">
        <v>11826.87</v>
      </c>
      <c r="O3971" s="12">
        <v>10388.16</v>
      </c>
    </row>
    <row r="3972" spans="1:15">
      <c r="A3972" t="s">
        <v>4146</v>
      </c>
      <c r="B3972" t="s">
        <v>80</v>
      </c>
      <c r="C3972" s="9">
        <v>42735</v>
      </c>
      <c r="D3972">
        <v>9</v>
      </c>
      <c r="E3972" t="s">
        <v>17</v>
      </c>
      <c r="F3972" t="s">
        <v>18</v>
      </c>
      <c r="G3972" s="9">
        <v>45274</v>
      </c>
      <c r="H3972" s="9">
        <v>44932</v>
      </c>
      <c r="I3972">
        <v>18</v>
      </c>
      <c r="J3972" t="s">
        <v>32</v>
      </c>
      <c r="K3972">
        <v>0</v>
      </c>
      <c r="L3972">
        <v>5</v>
      </c>
      <c r="M3972" s="11">
        <v>27863.39</v>
      </c>
      <c r="N3972" s="12">
        <v>11206.96</v>
      </c>
      <c r="O3972" s="12">
        <v>9443.7000000000007</v>
      </c>
    </row>
    <row r="3973" spans="1:15">
      <c r="A3973" t="s">
        <v>4147</v>
      </c>
      <c r="B3973" t="s">
        <v>63</v>
      </c>
      <c r="C3973" s="9">
        <v>27029</v>
      </c>
      <c r="D3973">
        <v>52</v>
      </c>
      <c r="E3973" t="s">
        <v>17</v>
      </c>
      <c r="F3973" t="s">
        <v>18</v>
      </c>
      <c r="G3973" s="9">
        <v>45528</v>
      </c>
      <c r="H3973" s="9">
        <v>45213</v>
      </c>
      <c r="I3973">
        <v>13</v>
      </c>
      <c r="J3973" t="s">
        <v>32</v>
      </c>
      <c r="K3973">
        <v>2</v>
      </c>
      <c r="L3973">
        <v>9</v>
      </c>
      <c r="M3973" s="11">
        <v>189.85</v>
      </c>
      <c r="N3973" s="12">
        <v>11314.54</v>
      </c>
      <c r="O3973" s="12">
        <v>4829.83</v>
      </c>
    </row>
    <row r="3974" spans="1:15">
      <c r="A3974" t="s">
        <v>4148</v>
      </c>
      <c r="B3974" t="s">
        <v>57</v>
      </c>
      <c r="C3974" s="9">
        <v>30317</v>
      </c>
      <c r="D3974">
        <v>43</v>
      </c>
      <c r="E3974" t="s">
        <v>21</v>
      </c>
      <c r="F3974" t="s">
        <v>74</v>
      </c>
      <c r="G3974" s="9">
        <v>45298</v>
      </c>
      <c r="H3974" s="9">
        <v>45717</v>
      </c>
      <c r="I3974">
        <v>2</v>
      </c>
      <c r="J3974" t="s">
        <v>32</v>
      </c>
      <c r="K3974">
        <v>0</v>
      </c>
      <c r="L3974">
        <v>5</v>
      </c>
      <c r="M3974" s="11">
        <v>24583.84</v>
      </c>
      <c r="N3974" s="12">
        <v>5853.53</v>
      </c>
      <c r="O3974" s="12">
        <v>13050.28</v>
      </c>
    </row>
    <row r="3975" spans="1:15">
      <c r="A3975" t="s">
        <v>4149</v>
      </c>
      <c r="B3975" t="s">
        <v>108</v>
      </c>
      <c r="C3975" s="9">
        <v>29221</v>
      </c>
      <c r="D3975">
        <v>46</v>
      </c>
      <c r="E3975" t="s">
        <v>5185</v>
      </c>
      <c r="F3975" t="s">
        <v>25</v>
      </c>
      <c r="G3975" s="9">
        <v>45101</v>
      </c>
      <c r="H3975" s="9">
        <v>45584</v>
      </c>
      <c r="I3975">
        <v>21</v>
      </c>
      <c r="J3975" t="s">
        <v>32</v>
      </c>
      <c r="K3975">
        <v>3</v>
      </c>
      <c r="L3975">
        <v>7</v>
      </c>
      <c r="M3975" s="11">
        <v>8003.47</v>
      </c>
      <c r="N3975" s="12">
        <v>6093.71</v>
      </c>
      <c r="O3975" s="12">
        <v>13106.29</v>
      </c>
    </row>
    <row r="3976" spans="1:15">
      <c r="A3976" t="s">
        <v>4150</v>
      </c>
      <c r="B3976" t="s">
        <v>596</v>
      </c>
      <c r="C3976" s="9">
        <v>27029</v>
      </c>
      <c r="D3976">
        <v>52</v>
      </c>
      <c r="E3976" t="s">
        <v>17</v>
      </c>
      <c r="F3976" t="s">
        <v>74</v>
      </c>
      <c r="G3976" s="9">
        <v>45441</v>
      </c>
      <c r="H3976" s="9">
        <v>45321</v>
      </c>
      <c r="I3976">
        <v>2</v>
      </c>
      <c r="J3976" t="s">
        <v>32</v>
      </c>
      <c r="K3976">
        <v>1</v>
      </c>
      <c r="L3976">
        <v>4</v>
      </c>
      <c r="M3976" s="11">
        <v>5254.04</v>
      </c>
      <c r="N3976" s="12">
        <v>3927.97</v>
      </c>
      <c r="O3976" s="12">
        <v>5041.68</v>
      </c>
    </row>
    <row r="3977" spans="1:15">
      <c r="A3977" t="s">
        <v>4151</v>
      </c>
      <c r="B3977" t="s">
        <v>490</v>
      </c>
      <c r="C3977" s="9">
        <v>19359</v>
      </c>
      <c r="D3977">
        <v>73</v>
      </c>
      <c r="E3977" t="s">
        <v>5185</v>
      </c>
      <c r="F3977" t="s">
        <v>22</v>
      </c>
      <c r="G3977" s="9">
        <v>45056</v>
      </c>
      <c r="H3977" s="9">
        <v>45382</v>
      </c>
      <c r="I3977">
        <v>7</v>
      </c>
      <c r="J3977" t="s">
        <v>32</v>
      </c>
      <c r="K3977">
        <v>4</v>
      </c>
      <c r="L3977">
        <v>0</v>
      </c>
      <c r="M3977" s="11">
        <v>13185.64</v>
      </c>
      <c r="N3977" s="12">
        <v>5413.4</v>
      </c>
      <c r="O3977" s="12">
        <v>13981.44</v>
      </c>
    </row>
    <row r="3978" spans="1:15">
      <c r="A3978" t="s">
        <v>4152</v>
      </c>
      <c r="B3978" t="s">
        <v>300</v>
      </c>
      <c r="C3978" s="9">
        <v>29586</v>
      </c>
      <c r="D3978">
        <v>45</v>
      </c>
      <c r="E3978" t="s">
        <v>17</v>
      </c>
      <c r="F3978" t="s">
        <v>5184</v>
      </c>
      <c r="G3978" s="9">
        <v>45492</v>
      </c>
      <c r="H3978" s="9">
        <v>45635</v>
      </c>
      <c r="I3978">
        <v>32</v>
      </c>
      <c r="J3978" t="s">
        <v>26</v>
      </c>
      <c r="K3978">
        <v>13</v>
      </c>
      <c r="L3978">
        <v>3</v>
      </c>
      <c r="M3978" s="11">
        <v>26861.03</v>
      </c>
      <c r="N3978" s="12">
        <v>14746.22</v>
      </c>
      <c r="O3978" s="12">
        <v>17145.91</v>
      </c>
    </row>
    <row r="3979" spans="1:15">
      <c r="A3979" t="s">
        <v>4153</v>
      </c>
      <c r="B3979" t="s">
        <v>100</v>
      </c>
      <c r="C3979" s="9">
        <v>41639</v>
      </c>
      <c r="D3979">
        <v>12</v>
      </c>
      <c r="E3979" t="s">
        <v>21</v>
      </c>
      <c r="F3979" t="s">
        <v>29</v>
      </c>
      <c r="G3979" s="9">
        <v>45219</v>
      </c>
      <c r="H3979" s="9">
        <v>45353</v>
      </c>
      <c r="I3979">
        <v>28</v>
      </c>
      <c r="J3979" t="s">
        <v>35</v>
      </c>
      <c r="K3979">
        <v>9</v>
      </c>
      <c r="L3979">
        <v>2</v>
      </c>
      <c r="M3979" s="11">
        <v>23469.89</v>
      </c>
      <c r="N3979" s="12">
        <v>698.53</v>
      </c>
      <c r="O3979" s="12">
        <v>11853.66</v>
      </c>
    </row>
    <row r="3980" spans="1:15">
      <c r="A3980" t="s">
        <v>4154</v>
      </c>
      <c r="B3980" t="s">
        <v>93</v>
      </c>
      <c r="C3980" s="9">
        <v>32873</v>
      </c>
      <c r="D3980">
        <v>36</v>
      </c>
      <c r="E3980" t="s">
        <v>17</v>
      </c>
      <c r="F3980" t="s">
        <v>22</v>
      </c>
      <c r="G3980" s="9">
        <v>45622</v>
      </c>
      <c r="H3980" s="9">
        <v>44954</v>
      </c>
      <c r="I3980">
        <v>12</v>
      </c>
      <c r="J3980" t="s">
        <v>26</v>
      </c>
      <c r="K3980">
        <v>3</v>
      </c>
      <c r="L3980">
        <v>1</v>
      </c>
      <c r="M3980" s="11">
        <v>28995.599999999999</v>
      </c>
      <c r="N3980" s="12">
        <v>4860.1099999999997</v>
      </c>
      <c r="O3980" s="12">
        <v>2262.5500000000002</v>
      </c>
    </row>
    <row r="3981" spans="1:15">
      <c r="A3981" t="s">
        <v>4155</v>
      </c>
      <c r="B3981" t="s">
        <v>479</v>
      </c>
      <c r="C3981" s="9">
        <v>37622</v>
      </c>
      <c r="D3981">
        <v>23</v>
      </c>
      <c r="E3981" t="s">
        <v>17</v>
      </c>
      <c r="F3981" t="s">
        <v>5184</v>
      </c>
      <c r="G3981" s="9">
        <v>45279</v>
      </c>
      <c r="H3981" s="9">
        <v>45054</v>
      </c>
      <c r="I3981">
        <v>8</v>
      </c>
      <c r="J3981" t="s">
        <v>32</v>
      </c>
      <c r="K3981">
        <v>0</v>
      </c>
      <c r="L3981">
        <v>6</v>
      </c>
      <c r="M3981" s="11">
        <v>16000.46</v>
      </c>
      <c r="N3981" s="12">
        <v>11848.84</v>
      </c>
      <c r="O3981" s="12">
        <v>6477.94</v>
      </c>
    </row>
    <row r="3982" spans="1:15">
      <c r="A3982" t="s">
        <v>4156</v>
      </c>
      <c r="B3982" t="s">
        <v>131</v>
      </c>
      <c r="C3982" s="9">
        <v>45657</v>
      </c>
      <c r="D3982">
        <v>1</v>
      </c>
      <c r="E3982" t="s">
        <v>5185</v>
      </c>
      <c r="F3982" t="s">
        <v>18</v>
      </c>
      <c r="G3982" s="9">
        <v>45150</v>
      </c>
      <c r="H3982" s="9">
        <v>45062</v>
      </c>
      <c r="I3982">
        <v>6</v>
      </c>
      <c r="J3982" t="s">
        <v>26</v>
      </c>
      <c r="K3982">
        <v>12</v>
      </c>
      <c r="L3982">
        <v>6</v>
      </c>
      <c r="M3982" s="11">
        <v>15072.08</v>
      </c>
      <c r="N3982" s="12">
        <v>5735.19</v>
      </c>
      <c r="O3982" s="12">
        <v>1765.04</v>
      </c>
    </row>
    <row r="3983" spans="1:15">
      <c r="A3983" t="s">
        <v>4157</v>
      </c>
      <c r="B3983" t="s">
        <v>46</v>
      </c>
      <c r="C3983" s="9">
        <v>14976</v>
      </c>
      <c r="D3983">
        <v>85</v>
      </c>
      <c r="E3983" t="s">
        <v>21</v>
      </c>
      <c r="F3983" t="s">
        <v>29</v>
      </c>
      <c r="G3983" s="9">
        <v>45450</v>
      </c>
      <c r="H3983" s="9">
        <v>45462</v>
      </c>
      <c r="I3983">
        <v>1</v>
      </c>
      <c r="J3983" t="s">
        <v>32</v>
      </c>
      <c r="K3983">
        <v>8</v>
      </c>
      <c r="L3983">
        <v>7</v>
      </c>
      <c r="M3983" s="11">
        <v>102.52</v>
      </c>
      <c r="N3983" s="12">
        <v>14249.77</v>
      </c>
      <c r="O3983" s="12">
        <v>5970.83</v>
      </c>
    </row>
    <row r="3984" spans="1:15">
      <c r="A3984" t="s">
        <v>4158</v>
      </c>
      <c r="B3984" t="s">
        <v>487</v>
      </c>
      <c r="C3984" s="9">
        <v>16802</v>
      </c>
      <c r="D3984">
        <v>80</v>
      </c>
      <c r="E3984" t="s">
        <v>17</v>
      </c>
      <c r="F3984" t="s">
        <v>49</v>
      </c>
      <c r="G3984" s="9">
        <v>45633</v>
      </c>
      <c r="H3984" s="9">
        <v>45258</v>
      </c>
      <c r="I3984">
        <v>27</v>
      </c>
      <c r="J3984" t="s">
        <v>32</v>
      </c>
      <c r="K3984">
        <v>9</v>
      </c>
      <c r="L3984">
        <v>9</v>
      </c>
      <c r="M3984" s="11">
        <v>5008.53</v>
      </c>
      <c r="N3984" s="12">
        <v>4982.16</v>
      </c>
      <c r="O3984" s="12">
        <v>4160.08</v>
      </c>
    </row>
    <row r="3985" spans="1:15">
      <c r="A3985" t="s">
        <v>4159</v>
      </c>
      <c r="B3985" t="s">
        <v>123</v>
      </c>
      <c r="C3985" s="9">
        <v>41274</v>
      </c>
      <c r="D3985">
        <f ca="1">DATEDIF(C3936,TODAY(),"Y")</f>
        <v>12</v>
      </c>
      <c r="E3985" t="s">
        <v>21</v>
      </c>
      <c r="F3985" t="s">
        <v>18</v>
      </c>
      <c r="G3985" s="9">
        <v>45435</v>
      </c>
      <c r="H3985" s="9">
        <v>45556</v>
      </c>
      <c r="I3985">
        <v>13</v>
      </c>
      <c r="J3985" t="s">
        <v>35</v>
      </c>
      <c r="K3985">
        <v>6</v>
      </c>
      <c r="L3985">
        <v>4</v>
      </c>
      <c r="M3985" s="11">
        <v>14677.42</v>
      </c>
      <c r="N3985" s="12">
        <v>12746.38</v>
      </c>
      <c r="O3985" s="12">
        <v>11048.04</v>
      </c>
    </row>
    <row r="3986" spans="1:15">
      <c r="A3986" t="s">
        <v>4160</v>
      </c>
      <c r="B3986" t="s">
        <v>286</v>
      </c>
      <c r="C3986" s="9">
        <v>42735</v>
      </c>
      <c r="D3986">
        <v>9</v>
      </c>
      <c r="E3986" t="s">
        <v>17</v>
      </c>
      <c r="F3986" t="s">
        <v>25</v>
      </c>
      <c r="G3986" s="9">
        <v>45294</v>
      </c>
      <c r="H3986" s="9">
        <v>45319</v>
      </c>
      <c r="I3986">
        <v>2</v>
      </c>
      <c r="J3986" t="s">
        <v>32</v>
      </c>
      <c r="K3986">
        <v>4</v>
      </c>
      <c r="L3986">
        <v>0</v>
      </c>
      <c r="M3986" s="11">
        <v>22453.29</v>
      </c>
      <c r="N3986" s="12">
        <v>12226.42</v>
      </c>
      <c r="O3986" s="12">
        <v>8413.24</v>
      </c>
    </row>
    <row r="3987" spans="1:15">
      <c r="A3987" t="s">
        <v>4161</v>
      </c>
      <c r="B3987" t="s">
        <v>273</v>
      </c>
      <c r="C3987" s="9">
        <v>33604</v>
      </c>
      <c r="D3987">
        <v>34</v>
      </c>
      <c r="E3987" t="s">
        <v>21</v>
      </c>
      <c r="F3987" t="s">
        <v>74</v>
      </c>
      <c r="G3987" s="9">
        <v>45592</v>
      </c>
      <c r="H3987" s="9">
        <v>44935</v>
      </c>
      <c r="I3987">
        <v>3</v>
      </c>
      <c r="J3987" t="s">
        <v>32</v>
      </c>
      <c r="K3987">
        <v>7</v>
      </c>
      <c r="L3987">
        <v>5</v>
      </c>
      <c r="M3987" s="11">
        <v>24589.38</v>
      </c>
      <c r="N3987" s="12">
        <v>138.11000000000001</v>
      </c>
      <c r="O3987" s="12">
        <v>14425.95</v>
      </c>
    </row>
    <row r="3988" spans="1:15">
      <c r="A3988" t="s">
        <v>4162</v>
      </c>
      <c r="B3988" t="s">
        <v>1148</v>
      </c>
      <c r="C3988" s="9">
        <v>37256</v>
      </c>
      <c r="D3988">
        <v>24</v>
      </c>
      <c r="E3988" t="s">
        <v>21</v>
      </c>
      <c r="F3988" t="s">
        <v>49</v>
      </c>
      <c r="G3988" s="9">
        <v>45516</v>
      </c>
      <c r="H3988" s="9">
        <v>45540</v>
      </c>
      <c r="I3988">
        <v>8</v>
      </c>
      <c r="J3988" t="s">
        <v>35</v>
      </c>
      <c r="K3988">
        <v>1</v>
      </c>
      <c r="L3988">
        <v>5</v>
      </c>
      <c r="M3988" s="11">
        <v>8139.62</v>
      </c>
      <c r="N3988" s="12">
        <v>6044.84</v>
      </c>
      <c r="O3988" s="12">
        <v>7197.15</v>
      </c>
    </row>
    <row r="3989" spans="1:15">
      <c r="A3989" t="s">
        <v>4163</v>
      </c>
      <c r="B3989" t="s">
        <v>108</v>
      </c>
      <c r="C3989" s="9">
        <v>45292</v>
      </c>
      <c r="D3989">
        <v>2</v>
      </c>
      <c r="E3989" t="s">
        <v>17</v>
      </c>
      <c r="F3989" t="s">
        <v>22</v>
      </c>
      <c r="G3989" s="9">
        <v>45578</v>
      </c>
      <c r="H3989" s="9">
        <v>45188</v>
      </c>
      <c r="I3989">
        <v>30</v>
      </c>
      <c r="J3989" t="s">
        <v>35</v>
      </c>
      <c r="K3989">
        <v>14</v>
      </c>
      <c r="L3989">
        <v>7</v>
      </c>
      <c r="M3989" s="11">
        <v>21229.95</v>
      </c>
      <c r="N3989" s="12">
        <v>4209.5600000000004</v>
      </c>
      <c r="O3989" s="12">
        <v>3009.89</v>
      </c>
    </row>
    <row r="3990" spans="1:15">
      <c r="A3990" t="s">
        <v>4164</v>
      </c>
      <c r="B3990" t="s">
        <v>24</v>
      </c>
      <c r="C3990" s="9">
        <v>40178</v>
      </c>
      <c r="D3990">
        <v>16</v>
      </c>
      <c r="E3990" t="s">
        <v>21</v>
      </c>
      <c r="F3990" t="s">
        <v>29</v>
      </c>
      <c r="G3990" s="9">
        <v>45426</v>
      </c>
      <c r="H3990" s="9">
        <v>45126</v>
      </c>
      <c r="I3990">
        <v>14</v>
      </c>
      <c r="J3990" t="s">
        <v>32</v>
      </c>
      <c r="K3990">
        <v>12</v>
      </c>
      <c r="L3990">
        <v>9</v>
      </c>
      <c r="M3990" s="11">
        <v>24770.15</v>
      </c>
      <c r="N3990" s="12">
        <v>7194.13</v>
      </c>
      <c r="O3990" s="12">
        <v>4644.1000000000004</v>
      </c>
    </row>
    <row r="3991" spans="1:15">
      <c r="A3991" t="s">
        <v>4165</v>
      </c>
      <c r="B3991" t="s">
        <v>412</v>
      </c>
      <c r="C3991" s="9">
        <v>42005</v>
      </c>
      <c r="D3991">
        <v>11</v>
      </c>
      <c r="E3991" t="s">
        <v>17</v>
      </c>
      <c r="F3991" t="s">
        <v>49</v>
      </c>
      <c r="G3991" s="9">
        <v>45016</v>
      </c>
      <c r="H3991" s="9">
        <v>45525</v>
      </c>
      <c r="I3991">
        <v>31</v>
      </c>
      <c r="J3991" t="s">
        <v>32</v>
      </c>
      <c r="K3991">
        <v>14</v>
      </c>
      <c r="L3991">
        <v>1</v>
      </c>
      <c r="M3991" s="11">
        <v>10931.53</v>
      </c>
      <c r="N3991" s="12">
        <v>6941.57</v>
      </c>
      <c r="O3991" s="12">
        <v>10870.24</v>
      </c>
    </row>
    <row r="3992" spans="1:15">
      <c r="A3992" t="s">
        <v>4166</v>
      </c>
      <c r="B3992" t="s">
        <v>155</v>
      </c>
      <c r="C3992" s="9">
        <v>26664</v>
      </c>
      <c r="D3992">
        <v>53</v>
      </c>
      <c r="E3992" t="s">
        <v>17</v>
      </c>
      <c r="F3992" t="s">
        <v>25</v>
      </c>
      <c r="G3992" s="9">
        <v>45582</v>
      </c>
      <c r="H3992" s="9">
        <v>45667</v>
      </c>
      <c r="I3992">
        <v>37</v>
      </c>
      <c r="J3992" t="s">
        <v>32</v>
      </c>
      <c r="K3992">
        <v>9</v>
      </c>
      <c r="L3992">
        <v>8</v>
      </c>
      <c r="M3992" s="11">
        <v>20714.45</v>
      </c>
      <c r="N3992" s="12">
        <v>13582.94</v>
      </c>
      <c r="O3992" s="12">
        <v>8942.08</v>
      </c>
    </row>
    <row r="3993" spans="1:15">
      <c r="A3993" t="s">
        <v>4167</v>
      </c>
      <c r="B3993" t="s">
        <v>223</v>
      </c>
      <c r="C3993" s="9">
        <v>37622</v>
      </c>
      <c r="D3993">
        <v>23</v>
      </c>
      <c r="E3993" t="s">
        <v>21</v>
      </c>
      <c r="F3993" t="s">
        <v>74</v>
      </c>
      <c r="G3993" s="9">
        <v>44998</v>
      </c>
      <c r="H3993" s="9">
        <v>45313</v>
      </c>
      <c r="I3993">
        <v>22</v>
      </c>
      <c r="J3993" t="s">
        <v>35</v>
      </c>
      <c r="K3993">
        <v>2</v>
      </c>
      <c r="L3993">
        <v>5</v>
      </c>
      <c r="M3993" s="11">
        <v>12837.07</v>
      </c>
      <c r="N3993" s="12">
        <v>2753.72</v>
      </c>
      <c r="O3993" s="12">
        <v>756.43</v>
      </c>
    </row>
    <row r="3994" spans="1:15">
      <c r="A3994" t="s">
        <v>4168</v>
      </c>
      <c r="B3994" t="s">
        <v>123</v>
      </c>
      <c r="C3994" s="9">
        <v>35795</v>
      </c>
      <c r="D3994">
        <v>28</v>
      </c>
      <c r="E3994" t="s">
        <v>21</v>
      </c>
      <c r="F3994" t="s">
        <v>49</v>
      </c>
      <c r="G3994" s="9">
        <v>45359</v>
      </c>
      <c r="H3994" s="9">
        <v>45399</v>
      </c>
      <c r="I3994">
        <v>19</v>
      </c>
      <c r="J3994" t="s">
        <v>35</v>
      </c>
      <c r="K3994">
        <v>9</v>
      </c>
      <c r="L3994">
        <v>0</v>
      </c>
      <c r="M3994" s="11">
        <v>29562.39</v>
      </c>
      <c r="N3994" s="12">
        <v>2732.87</v>
      </c>
      <c r="O3994" s="12">
        <v>4119.8999999999996</v>
      </c>
    </row>
    <row r="3995" spans="1:15">
      <c r="A3995" t="s">
        <v>4169</v>
      </c>
      <c r="B3995" t="s">
        <v>350</v>
      </c>
      <c r="C3995" s="9">
        <f>DATE(2026-D3955,1,1)</f>
        <v>43831</v>
      </c>
      <c r="D3995">
        <v>42</v>
      </c>
      <c r="E3995" t="s">
        <v>17</v>
      </c>
      <c r="F3995" t="s">
        <v>22</v>
      </c>
      <c r="G3995" s="9">
        <v>45615</v>
      </c>
      <c r="H3995" s="9">
        <v>45106</v>
      </c>
      <c r="I3995">
        <v>23</v>
      </c>
      <c r="J3995" t="s">
        <v>35</v>
      </c>
      <c r="K3995">
        <v>6</v>
      </c>
      <c r="L3995">
        <v>8</v>
      </c>
      <c r="M3995" s="11">
        <v>296.64</v>
      </c>
      <c r="N3995" s="12">
        <v>1621</v>
      </c>
      <c r="O3995" s="12">
        <v>5864.4</v>
      </c>
    </row>
    <row r="3996" spans="1:15">
      <c r="A3996" t="s">
        <v>4170</v>
      </c>
      <c r="B3996" t="s">
        <v>137</v>
      </c>
      <c r="C3996" s="9">
        <v>37256</v>
      </c>
      <c r="D3996">
        <v>24</v>
      </c>
      <c r="E3996" t="s">
        <v>21</v>
      </c>
      <c r="F3996" t="s">
        <v>29</v>
      </c>
      <c r="G3996" s="9">
        <v>45274</v>
      </c>
      <c r="H3996" s="9">
        <v>45377</v>
      </c>
      <c r="I3996">
        <v>24</v>
      </c>
      <c r="J3996" t="s">
        <v>32</v>
      </c>
      <c r="K3996">
        <v>14</v>
      </c>
      <c r="L3996">
        <v>7</v>
      </c>
      <c r="M3996" s="11">
        <v>12137.52</v>
      </c>
      <c r="N3996" s="12">
        <v>11079.77</v>
      </c>
      <c r="O3996" s="12">
        <v>14479.73</v>
      </c>
    </row>
    <row r="3997" spans="1:15">
      <c r="A3997" t="s">
        <v>4171</v>
      </c>
      <c r="B3997" t="s">
        <v>1148</v>
      </c>
      <c r="C3997" s="9">
        <v>24473</v>
      </c>
      <c r="D3997">
        <v>59</v>
      </c>
      <c r="E3997" t="s">
        <v>17</v>
      </c>
      <c r="F3997" t="s">
        <v>49</v>
      </c>
      <c r="G3997" s="9">
        <v>45189</v>
      </c>
      <c r="H3997" s="9">
        <v>45167</v>
      </c>
      <c r="I3997">
        <v>35</v>
      </c>
      <c r="J3997" t="s">
        <v>35</v>
      </c>
      <c r="K3997">
        <v>5</v>
      </c>
      <c r="L3997">
        <v>9</v>
      </c>
      <c r="M3997" s="11">
        <v>7543.35</v>
      </c>
      <c r="N3997" s="12">
        <v>13767.9</v>
      </c>
      <c r="O3997" s="12">
        <v>14581.58</v>
      </c>
    </row>
    <row r="3998" spans="1:15">
      <c r="A3998" t="s">
        <v>4172</v>
      </c>
      <c r="B3998" t="s">
        <v>67</v>
      </c>
      <c r="C3998" s="9">
        <v>13515</v>
      </c>
      <c r="D3998">
        <v>89</v>
      </c>
      <c r="E3998" t="s">
        <v>5185</v>
      </c>
      <c r="F3998" t="s">
        <v>74</v>
      </c>
      <c r="G3998" s="9">
        <v>45197</v>
      </c>
      <c r="H3998" s="9">
        <v>45451</v>
      </c>
      <c r="I3998">
        <v>6</v>
      </c>
      <c r="J3998" t="s">
        <v>26</v>
      </c>
      <c r="K3998">
        <v>6</v>
      </c>
      <c r="L3998">
        <v>0</v>
      </c>
      <c r="M3998" s="11">
        <v>25416.959999999999</v>
      </c>
      <c r="N3998" s="12">
        <v>5527.56</v>
      </c>
      <c r="O3998" s="12">
        <v>13929.55</v>
      </c>
    </row>
    <row r="3999" spans="1:15">
      <c r="A3999" t="s">
        <v>4173</v>
      </c>
      <c r="B3999" t="s">
        <v>201</v>
      </c>
      <c r="C3999" s="9">
        <v>22646</v>
      </c>
      <c r="D3999">
        <v>64</v>
      </c>
      <c r="E3999" t="s">
        <v>21</v>
      </c>
      <c r="F3999" t="s">
        <v>22</v>
      </c>
      <c r="G3999" s="9">
        <v>45435</v>
      </c>
      <c r="H3999" s="9">
        <v>45742</v>
      </c>
      <c r="I3999">
        <v>34</v>
      </c>
      <c r="J3999" t="s">
        <v>26</v>
      </c>
      <c r="K3999">
        <v>7</v>
      </c>
      <c r="L3999">
        <v>7</v>
      </c>
      <c r="M3999" s="11">
        <v>8257.34</v>
      </c>
      <c r="N3999" s="12">
        <v>927.34</v>
      </c>
      <c r="O3999" s="12">
        <v>16351.08</v>
      </c>
    </row>
    <row r="4000" spans="1:15">
      <c r="A4000" t="s">
        <v>4174</v>
      </c>
      <c r="B4000" t="s">
        <v>356</v>
      </c>
      <c r="C4000" s="9">
        <v>15707</v>
      </c>
      <c r="D4000">
        <v>83</v>
      </c>
      <c r="E4000" t="s">
        <v>21</v>
      </c>
      <c r="F4000" t="s">
        <v>49</v>
      </c>
      <c r="G4000" s="9">
        <v>45434</v>
      </c>
      <c r="H4000" s="9">
        <v>45673</v>
      </c>
      <c r="I4000">
        <v>2</v>
      </c>
      <c r="J4000" t="s">
        <v>35</v>
      </c>
      <c r="K4000">
        <v>12</v>
      </c>
      <c r="L4000">
        <v>6</v>
      </c>
      <c r="M4000" s="11">
        <v>16087.29</v>
      </c>
      <c r="N4000" s="12">
        <v>2340.3200000000002</v>
      </c>
      <c r="O4000" s="12">
        <v>17464.98</v>
      </c>
    </row>
    <row r="4001" spans="1:15">
      <c r="A4001" t="s">
        <v>4175</v>
      </c>
      <c r="B4001" t="s">
        <v>168</v>
      </c>
      <c r="C4001" s="9">
        <v>36161</v>
      </c>
      <c r="D4001">
        <v>27</v>
      </c>
      <c r="E4001" t="s">
        <v>21</v>
      </c>
      <c r="F4001" t="s">
        <v>29</v>
      </c>
      <c r="G4001" s="9">
        <v>45543</v>
      </c>
      <c r="H4001" s="9">
        <v>45110</v>
      </c>
      <c r="I4001">
        <v>15</v>
      </c>
      <c r="J4001" t="s">
        <v>26</v>
      </c>
      <c r="K4001">
        <v>6</v>
      </c>
      <c r="L4001">
        <v>4</v>
      </c>
      <c r="M4001" s="11">
        <v>22078.22</v>
      </c>
      <c r="N4001" s="12">
        <v>1535.76</v>
      </c>
      <c r="O4001" s="12">
        <v>1329.28</v>
      </c>
    </row>
    <row r="4002" spans="1:15">
      <c r="A4002" t="s">
        <v>4176</v>
      </c>
      <c r="B4002" t="s">
        <v>211</v>
      </c>
      <c r="C4002" s="9">
        <v>40544</v>
      </c>
      <c r="D4002">
        <v>15</v>
      </c>
      <c r="E4002" t="s">
        <v>17</v>
      </c>
      <c r="F4002" t="s">
        <v>74</v>
      </c>
      <c r="G4002" s="9">
        <v>45346</v>
      </c>
      <c r="H4002" s="9">
        <v>45721</v>
      </c>
      <c r="I4002">
        <v>19</v>
      </c>
      <c r="J4002" t="s">
        <v>26</v>
      </c>
      <c r="K4002">
        <v>6</v>
      </c>
      <c r="L4002">
        <v>5</v>
      </c>
      <c r="M4002" s="11">
        <v>14665.52</v>
      </c>
      <c r="N4002" s="12">
        <v>8885.1</v>
      </c>
      <c r="O4002" s="12">
        <v>9810.4500000000007</v>
      </c>
    </row>
    <row r="4003" spans="1:15">
      <c r="A4003" t="s">
        <v>4177</v>
      </c>
      <c r="B4003" t="s">
        <v>31</v>
      </c>
      <c r="C4003" s="9">
        <v>29221</v>
      </c>
      <c r="D4003">
        <v>46</v>
      </c>
      <c r="E4003" t="s">
        <v>21</v>
      </c>
      <c r="F4003" t="s">
        <v>25</v>
      </c>
      <c r="G4003" s="9">
        <v>44998</v>
      </c>
      <c r="H4003" s="9">
        <v>45285</v>
      </c>
      <c r="I4003">
        <v>9</v>
      </c>
      <c r="J4003" t="s">
        <v>32</v>
      </c>
      <c r="K4003">
        <v>14</v>
      </c>
      <c r="L4003">
        <v>3</v>
      </c>
      <c r="M4003" s="11">
        <v>12017.28</v>
      </c>
      <c r="N4003" s="12">
        <v>4234.47</v>
      </c>
      <c r="O4003" s="12">
        <v>2894.08</v>
      </c>
    </row>
    <row r="4004" spans="1:15">
      <c r="A4004" t="s">
        <v>4178</v>
      </c>
      <c r="B4004" t="s">
        <v>163</v>
      </c>
      <c r="C4004" s="9">
        <v>16802</v>
      </c>
      <c r="D4004">
        <v>80</v>
      </c>
      <c r="E4004" t="s">
        <v>21</v>
      </c>
      <c r="F4004" t="s">
        <v>25</v>
      </c>
      <c r="G4004" s="9">
        <v>45000</v>
      </c>
      <c r="H4004" s="9">
        <v>45303</v>
      </c>
      <c r="I4004">
        <v>19</v>
      </c>
      <c r="J4004" t="s">
        <v>35</v>
      </c>
      <c r="K4004">
        <v>4</v>
      </c>
      <c r="L4004">
        <v>8</v>
      </c>
      <c r="M4004" s="11">
        <v>796.8</v>
      </c>
      <c r="N4004" s="12">
        <v>13461.71</v>
      </c>
      <c r="O4004" s="12">
        <v>7016.61</v>
      </c>
    </row>
    <row r="4005" spans="1:15">
      <c r="A4005" t="s">
        <v>4179</v>
      </c>
      <c r="B4005" t="s">
        <v>168</v>
      </c>
      <c r="C4005" s="9">
        <v>12785</v>
      </c>
      <c r="D4005">
        <v>91</v>
      </c>
      <c r="E4005" t="s">
        <v>17</v>
      </c>
      <c r="F4005" t="s">
        <v>18</v>
      </c>
      <c r="G4005" s="9">
        <v>45581</v>
      </c>
      <c r="H4005" s="9">
        <v>45629</v>
      </c>
      <c r="I4005">
        <v>3</v>
      </c>
      <c r="J4005" t="s">
        <v>32</v>
      </c>
      <c r="K4005">
        <v>9</v>
      </c>
      <c r="L4005">
        <v>8</v>
      </c>
      <c r="M4005" s="11">
        <v>199.43</v>
      </c>
      <c r="N4005" s="12">
        <v>2434.2399999999998</v>
      </c>
      <c r="O4005" s="12">
        <v>13230.26</v>
      </c>
    </row>
    <row r="4006" spans="1:15">
      <c r="A4006" t="s">
        <v>4180</v>
      </c>
      <c r="B4006" t="s">
        <v>246</v>
      </c>
      <c r="C4006" s="9">
        <v>25203</v>
      </c>
      <c r="D4006">
        <v>57</v>
      </c>
      <c r="E4006" t="s">
        <v>17</v>
      </c>
      <c r="F4006" t="s">
        <v>49</v>
      </c>
      <c r="G4006" s="9">
        <v>45429</v>
      </c>
      <c r="H4006" s="9">
        <v>45765</v>
      </c>
      <c r="I4006">
        <v>33</v>
      </c>
      <c r="J4006" t="s">
        <v>35</v>
      </c>
      <c r="K4006">
        <v>0</v>
      </c>
      <c r="L4006">
        <v>9</v>
      </c>
      <c r="M4006" s="11">
        <v>28698.33</v>
      </c>
      <c r="N4006" s="12">
        <v>13952.34</v>
      </c>
      <c r="O4006" s="12">
        <v>11993.34</v>
      </c>
    </row>
    <row r="4007" spans="1:15">
      <c r="A4007" t="s">
        <v>4181</v>
      </c>
      <c r="B4007" t="s">
        <v>44</v>
      </c>
      <c r="C4007" s="9">
        <v>18629</v>
      </c>
      <c r="D4007">
        <v>75</v>
      </c>
      <c r="E4007" t="s">
        <v>21</v>
      </c>
      <c r="F4007" t="s">
        <v>29</v>
      </c>
      <c r="G4007" s="9">
        <v>45500</v>
      </c>
      <c r="H4007" s="9">
        <v>45654</v>
      </c>
      <c r="I4007">
        <v>24</v>
      </c>
      <c r="J4007" t="s">
        <v>32</v>
      </c>
      <c r="K4007">
        <v>10</v>
      </c>
      <c r="L4007">
        <v>0</v>
      </c>
      <c r="M4007" s="11">
        <v>19118.939999999999</v>
      </c>
      <c r="N4007" s="12">
        <v>4991.08</v>
      </c>
      <c r="O4007" s="12">
        <v>2484.0500000000002</v>
      </c>
    </row>
    <row r="4008" spans="1:15">
      <c r="A4008" t="s">
        <v>4182</v>
      </c>
      <c r="B4008" t="s">
        <v>189</v>
      </c>
      <c r="C4008" s="9">
        <v>36526</v>
      </c>
      <c r="D4008">
        <f ca="1">DATEDIF(C3959,TODAY(),"Y")</f>
        <v>27</v>
      </c>
      <c r="E4008" t="s">
        <v>21</v>
      </c>
      <c r="F4008" t="s">
        <v>49</v>
      </c>
      <c r="G4008" s="9">
        <v>45072</v>
      </c>
      <c r="H4008" s="9">
        <v>45697</v>
      </c>
      <c r="I4008">
        <v>12</v>
      </c>
      <c r="J4008" t="s">
        <v>26</v>
      </c>
      <c r="K4008">
        <v>5</v>
      </c>
      <c r="L4008">
        <v>8</v>
      </c>
      <c r="M4008" s="11">
        <v>24670.240000000002</v>
      </c>
      <c r="N4008" s="12">
        <v>13009.59</v>
      </c>
      <c r="O4008" s="12">
        <v>15117.34</v>
      </c>
    </row>
    <row r="4009" spans="1:15">
      <c r="A4009" t="s">
        <v>4183</v>
      </c>
      <c r="B4009" t="s">
        <v>336</v>
      </c>
      <c r="C4009" s="9">
        <v>27029</v>
      </c>
      <c r="D4009">
        <v>52</v>
      </c>
      <c r="E4009" t="s">
        <v>5185</v>
      </c>
      <c r="F4009" t="s">
        <v>74</v>
      </c>
      <c r="G4009" s="9">
        <v>44972</v>
      </c>
      <c r="H4009" s="9">
        <v>45465</v>
      </c>
      <c r="I4009">
        <v>14</v>
      </c>
      <c r="J4009" t="s">
        <v>32</v>
      </c>
      <c r="K4009">
        <v>2</v>
      </c>
      <c r="L4009">
        <v>2</v>
      </c>
      <c r="M4009" s="11">
        <v>14153.37</v>
      </c>
      <c r="N4009" s="12">
        <v>14234.94</v>
      </c>
      <c r="O4009" s="12">
        <v>15719.04</v>
      </c>
    </row>
    <row r="4010" spans="1:15">
      <c r="A4010" t="s">
        <v>4184</v>
      </c>
      <c r="B4010" t="s">
        <v>422</v>
      </c>
      <c r="C4010" s="9">
        <v>31047</v>
      </c>
      <c r="D4010">
        <f ca="1">DATEDIF(C3961,TODAY(),"Y")</f>
        <v>43</v>
      </c>
      <c r="E4010" t="s">
        <v>17</v>
      </c>
      <c r="F4010" t="s">
        <v>18</v>
      </c>
      <c r="G4010" s="9">
        <v>45031</v>
      </c>
      <c r="H4010" s="9">
        <v>45709</v>
      </c>
      <c r="I4010">
        <v>0</v>
      </c>
      <c r="J4010" t="s">
        <v>32</v>
      </c>
      <c r="K4010">
        <v>1</v>
      </c>
      <c r="L4010">
        <v>1</v>
      </c>
      <c r="M4010" s="11">
        <v>7478.22</v>
      </c>
      <c r="N4010" s="12">
        <v>14795.45</v>
      </c>
      <c r="O4010" s="12">
        <v>2697.6</v>
      </c>
    </row>
    <row r="4011" spans="1:15">
      <c r="A4011" t="s">
        <v>4185</v>
      </c>
      <c r="B4011" t="s">
        <v>427</v>
      </c>
      <c r="C4011" s="9">
        <v>24838</v>
      </c>
      <c r="D4011">
        <v>58</v>
      </c>
      <c r="E4011" t="s">
        <v>17</v>
      </c>
      <c r="F4011" t="s">
        <v>29</v>
      </c>
      <c r="G4011" s="9">
        <v>45035</v>
      </c>
      <c r="H4011" s="9">
        <v>45009</v>
      </c>
      <c r="I4011">
        <v>7</v>
      </c>
      <c r="J4011" t="s">
        <v>32</v>
      </c>
      <c r="K4011">
        <v>2</v>
      </c>
      <c r="L4011">
        <v>3</v>
      </c>
      <c r="M4011" s="11">
        <v>8483.4</v>
      </c>
      <c r="N4011" s="12">
        <v>12053.9</v>
      </c>
      <c r="O4011" s="12">
        <v>12274.75</v>
      </c>
    </row>
    <row r="4012" spans="1:15">
      <c r="A4012" t="s">
        <v>4186</v>
      </c>
      <c r="B4012" t="s">
        <v>619</v>
      </c>
      <c r="C4012" s="9">
        <v>29221</v>
      </c>
      <c r="D4012">
        <f ca="1">DATEDIF(C3963,TODAY(),"Y")</f>
        <v>27</v>
      </c>
      <c r="E4012" t="s">
        <v>17</v>
      </c>
      <c r="F4012" t="s">
        <v>49</v>
      </c>
      <c r="G4012" s="9">
        <v>45243</v>
      </c>
      <c r="H4012" s="9">
        <v>45285</v>
      </c>
      <c r="I4012">
        <v>22</v>
      </c>
      <c r="J4012" t="s">
        <v>32</v>
      </c>
      <c r="K4012">
        <v>2</v>
      </c>
      <c r="L4012">
        <v>3</v>
      </c>
      <c r="M4012" s="11">
        <v>826.49</v>
      </c>
      <c r="N4012" s="12">
        <v>1525.3</v>
      </c>
      <c r="O4012" s="12">
        <v>18899.11</v>
      </c>
    </row>
    <row r="4013" spans="1:15">
      <c r="A4013" t="s">
        <v>4187</v>
      </c>
      <c r="B4013" t="s">
        <v>326</v>
      </c>
      <c r="C4013" s="9">
        <v>12054</v>
      </c>
      <c r="D4013">
        <v>93</v>
      </c>
      <c r="E4013" t="s">
        <v>5185</v>
      </c>
      <c r="F4013" t="s">
        <v>29</v>
      </c>
      <c r="G4013" s="9">
        <v>45047</v>
      </c>
      <c r="H4013" s="9">
        <v>45112</v>
      </c>
      <c r="I4013">
        <v>18</v>
      </c>
      <c r="J4013" t="s">
        <v>26</v>
      </c>
      <c r="K4013">
        <v>1</v>
      </c>
      <c r="L4013">
        <v>8</v>
      </c>
      <c r="M4013" s="11">
        <v>23621.95</v>
      </c>
      <c r="N4013" s="12">
        <v>830.68</v>
      </c>
      <c r="O4013" s="12">
        <v>1788.21</v>
      </c>
    </row>
    <row r="4014" spans="1:15">
      <c r="A4014" t="s">
        <v>4188</v>
      </c>
      <c r="B4014" t="s">
        <v>174</v>
      </c>
      <c r="C4014" s="9">
        <v>33969</v>
      </c>
      <c r="D4014">
        <v>33</v>
      </c>
      <c r="E4014" t="s">
        <v>17</v>
      </c>
      <c r="F4014" t="s">
        <v>74</v>
      </c>
      <c r="G4014" s="9">
        <v>45425</v>
      </c>
      <c r="H4014" s="9">
        <v>45215</v>
      </c>
      <c r="I4014">
        <v>37</v>
      </c>
      <c r="J4014" t="s">
        <v>26</v>
      </c>
      <c r="K4014">
        <v>7</v>
      </c>
      <c r="L4014">
        <v>3</v>
      </c>
      <c r="M4014" s="11">
        <v>17237.91</v>
      </c>
      <c r="N4014" s="12">
        <v>11095.94</v>
      </c>
      <c r="O4014" s="12">
        <v>3208.6</v>
      </c>
    </row>
    <row r="4015" spans="1:15">
      <c r="A4015" t="s">
        <v>4189</v>
      </c>
      <c r="B4015" t="s">
        <v>41</v>
      </c>
      <c r="C4015" s="9">
        <v>32873</v>
      </c>
      <c r="D4015">
        <v>36</v>
      </c>
      <c r="E4015" t="s">
        <v>17</v>
      </c>
      <c r="F4015" t="s">
        <v>18</v>
      </c>
      <c r="G4015" s="9">
        <v>44969</v>
      </c>
      <c r="H4015" s="9">
        <v>44989</v>
      </c>
      <c r="I4015">
        <v>6</v>
      </c>
      <c r="J4015" t="s">
        <v>35</v>
      </c>
      <c r="K4015">
        <v>12</v>
      </c>
      <c r="L4015">
        <v>4</v>
      </c>
      <c r="M4015" s="11">
        <v>14164.45</v>
      </c>
      <c r="N4015" s="12">
        <v>13455.6</v>
      </c>
      <c r="O4015" s="12">
        <v>15287.04</v>
      </c>
    </row>
    <row r="4016" spans="1:15">
      <c r="A4016" t="s">
        <v>4190</v>
      </c>
      <c r="B4016" t="s">
        <v>91</v>
      </c>
      <c r="C4016" s="9">
        <v>44196</v>
      </c>
      <c r="D4016">
        <v>5</v>
      </c>
      <c r="E4016" t="s">
        <v>17</v>
      </c>
      <c r="F4016" t="s">
        <v>29</v>
      </c>
      <c r="G4016" s="9">
        <v>45025</v>
      </c>
      <c r="H4016" s="9">
        <v>45810</v>
      </c>
      <c r="I4016">
        <v>21</v>
      </c>
      <c r="J4016" t="s">
        <v>35</v>
      </c>
      <c r="K4016">
        <v>1</v>
      </c>
      <c r="L4016">
        <v>5</v>
      </c>
      <c r="M4016" s="11">
        <v>25495.06</v>
      </c>
      <c r="N4016" s="12">
        <v>2490.85</v>
      </c>
      <c r="O4016" s="12">
        <v>6672.21</v>
      </c>
    </row>
    <row r="4017" spans="1:15">
      <c r="A4017" t="s">
        <v>4191</v>
      </c>
      <c r="B4017" t="s">
        <v>422</v>
      </c>
      <c r="C4017" s="9">
        <v>43831</v>
      </c>
      <c r="D4017">
        <v>6</v>
      </c>
      <c r="E4017" t="s">
        <v>17</v>
      </c>
      <c r="F4017" t="s">
        <v>74</v>
      </c>
      <c r="G4017" s="9">
        <v>45632</v>
      </c>
      <c r="H4017" s="9">
        <v>45434</v>
      </c>
      <c r="I4017">
        <v>29</v>
      </c>
      <c r="J4017" t="s">
        <v>32</v>
      </c>
      <c r="K4017">
        <v>0</v>
      </c>
      <c r="L4017">
        <v>3</v>
      </c>
      <c r="M4017" s="11">
        <v>13067.77</v>
      </c>
      <c r="N4017" s="12">
        <v>14116.01</v>
      </c>
      <c r="O4017" s="12">
        <v>19106.990000000002</v>
      </c>
    </row>
    <row r="4018" spans="1:15">
      <c r="A4018" t="s">
        <v>4192</v>
      </c>
      <c r="B4018" t="s">
        <v>539</v>
      </c>
      <c r="C4018" s="9">
        <v>37256</v>
      </c>
      <c r="D4018">
        <v>24</v>
      </c>
      <c r="E4018" t="s">
        <v>21</v>
      </c>
      <c r="F4018" t="s">
        <v>25</v>
      </c>
      <c r="G4018" s="9">
        <v>45237</v>
      </c>
      <c r="H4018" s="9">
        <v>45389</v>
      </c>
      <c r="I4018">
        <v>0</v>
      </c>
      <c r="J4018" t="s">
        <v>26</v>
      </c>
      <c r="K4018">
        <v>11</v>
      </c>
      <c r="L4018">
        <v>0</v>
      </c>
      <c r="M4018" s="11">
        <v>28411.87</v>
      </c>
      <c r="N4018" s="12">
        <v>9153.42</v>
      </c>
      <c r="O4018" s="12">
        <v>12449.7</v>
      </c>
    </row>
    <row r="4019" spans="1:15">
      <c r="A4019" t="s">
        <v>4193</v>
      </c>
      <c r="B4019" t="s">
        <v>490</v>
      </c>
      <c r="C4019" s="9">
        <v>34334</v>
      </c>
      <c r="D4019">
        <v>32</v>
      </c>
      <c r="E4019" t="s">
        <v>21</v>
      </c>
      <c r="F4019" t="s">
        <v>29</v>
      </c>
      <c r="G4019" s="9">
        <v>45140</v>
      </c>
      <c r="H4019" s="9">
        <v>44957</v>
      </c>
      <c r="I4019">
        <v>30</v>
      </c>
      <c r="J4019" t="s">
        <v>26</v>
      </c>
      <c r="K4019">
        <v>1</v>
      </c>
      <c r="L4019">
        <v>1</v>
      </c>
      <c r="M4019" s="11">
        <v>96.29</v>
      </c>
      <c r="N4019" s="12">
        <v>1860.14</v>
      </c>
      <c r="O4019" s="12">
        <v>9612.33</v>
      </c>
    </row>
    <row r="4020" spans="1:15">
      <c r="A4020" t="s">
        <v>4194</v>
      </c>
      <c r="B4020" t="s">
        <v>153</v>
      </c>
      <c r="C4020" s="9">
        <v>26299</v>
      </c>
      <c r="D4020">
        <v>54</v>
      </c>
      <c r="E4020" t="s">
        <v>17</v>
      </c>
      <c r="F4020" t="s">
        <v>18</v>
      </c>
      <c r="G4020" s="9">
        <v>45389</v>
      </c>
      <c r="H4020" s="9">
        <v>44958</v>
      </c>
      <c r="I4020">
        <v>9</v>
      </c>
      <c r="J4020" t="s">
        <v>32</v>
      </c>
      <c r="K4020">
        <v>9</v>
      </c>
      <c r="L4020">
        <v>2</v>
      </c>
      <c r="M4020" s="11">
        <v>29530.799999999999</v>
      </c>
      <c r="N4020" s="12">
        <v>2505.5</v>
      </c>
      <c r="O4020" s="12">
        <v>6687.04</v>
      </c>
    </row>
    <row r="4021" spans="1:15">
      <c r="A4021" t="s">
        <v>4195</v>
      </c>
      <c r="B4021" t="s">
        <v>300</v>
      </c>
      <c r="C4021" s="9">
        <v>25203</v>
      </c>
      <c r="D4021">
        <f ca="1">DATEDIF(C3972,TODAY(),"Y")</f>
        <v>9</v>
      </c>
      <c r="E4021" t="s">
        <v>21</v>
      </c>
      <c r="F4021" t="s">
        <v>5184</v>
      </c>
      <c r="G4021" s="9">
        <v>45349</v>
      </c>
      <c r="H4021" s="9">
        <v>45220</v>
      </c>
      <c r="I4021">
        <v>26</v>
      </c>
      <c r="J4021" t="s">
        <v>32</v>
      </c>
      <c r="K4021">
        <v>1</v>
      </c>
      <c r="L4021">
        <v>3</v>
      </c>
      <c r="M4021" s="11">
        <v>24384.45</v>
      </c>
      <c r="N4021" s="12">
        <v>989.33</v>
      </c>
      <c r="O4021" s="12">
        <v>4706.41</v>
      </c>
    </row>
    <row r="4022" spans="1:15">
      <c r="A4022" t="s">
        <v>4196</v>
      </c>
      <c r="B4022" t="s">
        <v>110</v>
      </c>
      <c r="C4022" s="9">
        <v>43831</v>
      </c>
      <c r="D4022">
        <v>6</v>
      </c>
      <c r="E4022" t="s">
        <v>17</v>
      </c>
      <c r="F4022" t="s">
        <v>22</v>
      </c>
      <c r="G4022" s="9">
        <v>45315</v>
      </c>
      <c r="H4022" s="9">
        <v>45100</v>
      </c>
      <c r="I4022">
        <v>18</v>
      </c>
      <c r="J4022" t="s">
        <v>32</v>
      </c>
      <c r="K4022">
        <v>3</v>
      </c>
      <c r="L4022">
        <v>4</v>
      </c>
      <c r="M4022" s="11">
        <v>10325.65</v>
      </c>
      <c r="N4022" s="12">
        <v>2148.23</v>
      </c>
      <c r="O4022" s="12">
        <v>12965.42</v>
      </c>
    </row>
    <row r="4023" spans="1:15">
      <c r="A4023" t="s">
        <v>4197</v>
      </c>
      <c r="B4023" t="s">
        <v>284</v>
      </c>
      <c r="C4023" s="9">
        <v>25568</v>
      </c>
      <c r="D4023">
        <v>56</v>
      </c>
      <c r="E4023" t="s">
        <v>21</v>
      </c>
      <c r="F4023" t="s">
        <v>22</v>
      </c>
      <c r="G4023" s="9">
        <v>45623</v>
      </c>
      <c r="H4023" s="9">
        <v>45541</v>
      </c>
      <c r="I4023">
        <v>36</v>
      </c>
      <c r="J4023" t="s">
        <v>32</v>
      </c>
      <c r="K4023">
        <v>10</v>
      </c>
      <c r="L4023">
        <v>9</v>
      </c>
      <c r="M4023" s="11">
        <v>0</v>
      </c>
      <c r="N4023" s="12">
        <v>10981.86</v>
      </c>
      <c r="O4023" s="12">
        <v>11799.78</v>
      </c>
    </row>
    <row r="4024" spans="1:15">
      <c r="A4024" t="s">
        <v>4198</v>
      </c>
      <c r="B4024" t="s">
        <v>387</v>
      </c>
      <c r="C4024" s="9">
        <v>42005</v>
      </c>
      <c r="D4024">
        <v>11</v>
      </c>
      <c r="E4024" t="s">
        <v>17</v>
      </c>
      <c r="F4024" t="s">
        <v>29</v>
      </c>
      <c r="G4024" s="9">
        <v>45038</v>
      </c>
      <c r="H4024" s="9">
        <v>45055</v>
      </c>
      <c r="I4024">
        <v>31</v>
      </c>
      <c r="J4024" t="s">
        <v>32</v>
      </c>
      <c r="K4024">
        <v>10</v>
      </c>
      <c r="L4024">
        <v>9</v>
      </c>
      <c r="M4024" s="11">
        <v>25870.45</v>
      </c>
      <c r="N4024" s="12">
        <v>3281.5</v>
      </c>
      <c r="O4024" s="12">
        <v>7094.05</v>
      </c>
    </row>
    <row r="4025" spans="1:15">
      <c r="A4025" t="s">
        <v>4199</v>
      </c>
      <c r="B4025" t="s">
        <v>105</v>
      </c>
      <c r="C4025" s="9">
        <v>40544</v>
      </c>
      <c r="D4025">
        <v>15</v>
      </c>
      <c r="E4025" t="s">
        <v>21</v>
      </c>
      <c r="F4025" t="s">
        <v>29</v>
      </c>
      <c r="G4025" s="9">
        <v>45198</v>
      </c>
      <c r="H4025" s="9">
        <v>45013</v>
      </c>
      <c r="I4025">
        <v>30</v>
      </c>
      <c r="J4025" t="s">
        <v>35</v>
      </c>
      <c r="K4025">
        <v>3</v>
      </c>
      <c r="L4025">
        <v>2</v>
      </c>
      <c r="M4025" s="11">
        <v>14188.75</v>
      </c>
      <c r="N4025" s="12">
        <v>8424.81</v>
      </c>
      <c r="O4025" s="12">
        <v>18347.310000000001</v>
      </c>
    </row>
    <row r="4026" spans="1:15">
      <c r="A4026" t="s">
        <v>4200</v>
      </c>
      <c r="B4026" t="s">
        <v>469</v>
      </c>
      <c r="C4026" s="9">
        <v>17168</v>
      </c>
      <c r="D4026">
        <v>79</v>
      </c>
      <c r="E4026" t="s">
        <v>17</v>
      </c>
      <c r="F4026" t="s">
        <v>74</v>
      </c>
      <c r="G4026" s="9">
        <v>45028</v>
      </c>
      <c r="H4026" s="9">
        <v>45242</v>
      </c>
      <c r="I4026">
        <v>29</v>
      </c>
      <c r="J4026" t="s">
        <v>32</v>
      </c>
      <c r="K4026">
        <v>10</v>
      </c>
      <c r="L4026">
        <v>0</v>
      </c>
      <c r="M4026" s="11">
        <v>1057.02</v>
      </c>
      <c r="N4026" s="12">
        <v>10816.22</v>
      </c>
      <c r="O4026" s="12">
        <v>15212.26</v>
      </c>
    </row>
    <row r="4027" spans="1:15">
      <c r="A4027" t="s">
        <v>4201</v>
      </c>
      <c r="B4027" t="s">
        <v>261</v>
      </c>
      <c r="C4027" s="9">
        <v>30682</v>
      </c>
      <c r="D4027">
        <v>42</v>
      </c>
      <c r="E4027" t="s">
        <v>17</v>
      </c>
      <c r="F4027" t="s">
        <v>49</v>
      </c>
      <c r="G4027" s="9">
        <v>45136</v>
      </c>
      <c r="H4027" s="9">
        <v>44955</v>
      </c>
      <c r="I4027">
        <v>17</v>
      </c>
      <c r="J4027" t="s">
        <v>32</v>
      </c>
      <c r="K4027">
        <v>7</v>
      </c>
      <c r="L4027">
        <v>7</v>
      </c>
      <c r="M4027" s="11">
        <v>27062.73</v>
      </c>
      <c r="N4027" s="12">
        <v>13429.17</v>
      </c>
      <c r="O4027" s="12">
        <v>5127.3500000000004</v>
      </c>
    </row>
    <row r="4028" spans="1:15">
      <c r="A4028" t="s">
        <v>4202</v>
      </c>
      <c r="B4028" t="s">
        <v>166</v>
      </c>
      <c r="C4028" s="9">
        <v>18263</v>
      </c>
      <c r="D4028">
        <v>76</v>
      </c>
      <c r="E4028" t="s">
        <v>21</v>
      </c>
      <c r="F4028" t="s">
        <v>22</v>
      </c>
      <c r="G4028" s="9">
        <v>44948</v>
      </c>
      <c r="H4028" s="9">
        <v>45049</v>
      </c>
      <c r="I4028">
        <v>0</v>
      </c>
      <c r="J4028" t="s">
        <v>32</v>
      </c>
      <c r="K4028">
        <v>2</v>
      </c>
      <c r="L4028">
        <v>7</v>
      </c>
      <c r="M4028" s="11">
        <v>15269</v>
      </c>
      <c r="N4028" s="12">
        <v>8848.9</v>
      </c>
      <c r="O4028" s="12">
        <v>18861.66</v>
      </c>
    </row>
    <row r="4029" spans="1:15">
      <c r="A4029" t="s">
        <v>4203</v>
      </c>
      <c r="B4029" t="s">
        <v>159</v>
      </c>
      <c r="C4029" s="9">
        <v>43831</v>
      </c>
      <c r="D4029">
        <v>6</v>
      </c>
      <c r="E4029" t="s">
        <v>17</v>
      </c>
      <c r="F4029" t="s">
        <v>49</v>
      </c>
      <c r="G4029" s="9">
        <v>45085</v>
      </c>
      <c r="H4029" s="9">
        <v>45178</v>
      </c>
      <c r="I4029">
        <v>1</v>
      </c>
      <c r="J4029" t="s">
        <v>32</v>
      </c>
      <c r="K4029">
        <v>3</v>
      </c>
      <c r="L4029">
        <v>3</v>
      </c>
      <c r="M4029" s="11">
        <v>16127.3</v>
      </c>
      <c r="N4029" s="12">
        <v>8545.76</v>
      </c>
      <c r="O4029" s="12">
        <v>15086.34</v>
      </c>
    </row>
    <row r="4030" spans="1:15">
      <c r="A4030" t="s">
        <v>4204</v>
      </c>
      <c r="B4030" t="s">
        <v>87</v>
      </c>
      <c r="C4030" s="9">
        <v>27760</v>
      </c>
      <c r="D4030">
        <v>50</v>
      </c>
      <c r="E4030" t="s">
        <v>21</v>
      </c>
      <c r="F4030" t="s">
        <v>22</v>
      </c>
      <c r="G4030" s="9">
        <v>45269</v>
      </c>
      <c r="H4030" s="9">
        <v>45500</v>
      </c>
      <c r="I4030">
        <v>14</v>
      </c>
      <c r="J4030" t="s">
        <v>32</v>
      </c>
      <c r="K4030">
        <v>11</v>
      </c>
      <c r="L4030">
        <v>6</v>
      </c>
      <c r="M4030" s="11">
        <v>81.599999999999994</v>
      </c>
      <c r="N4030" s="12">
        <v>13692.35</v>
      </c>
      <c r="O4030" s="12">
        <v>17931.849999999999</v>
      </c>
    </row>
    <row r="4031" spans="1:15">
      <c r="A4031" t="s">
        <v>4205</v>
      </c>
      <c r="B4031" t="s">
        <v>469</v>
      </c>
      <c r="C4031" s="9">
        <v>19724</v>
      </c>
      <c r="D4031">
        <v>72</v>
      </c>
      <c r="E4031" t="s">
        <v>21</v>
      </c>
      <c r="F4031" t="s">
        <v>29</v>
      </c>
      <c r="G4031" s="9">
        <v>45326</v>
      </c>
      <c r="H4031" s="9">
        <v>45330</v>
      </c>
      <c r="I4031">
        <v>14</v>
      </c>
      <c r="J4031" t="s">
        <v>32</v>
      </c>
      <c r="K4031">
        <v>4</v>
      </c>
      <c r="L4031">
        <v>3</v>
      </c>
      <c r="M4031" s="11">
        <v>2552.02</v>
      </c>
      <c r="N4031" s="12">
        <v>4423.57</v>
      </c>
      <c r="O4031" s="12">
        <v>2638.02</v>
      </c>
    </row>
    <row r="4032" spans="1:15">
      <c r="A4032" t="s">
        <v>4206</v>
      </c>
      <c r="B4032" t="s">
        <v>34</v>
      </c>
      <c r="C4032" s="9">
        <v>34700</v>
      </c>
      <c r="D4032">
        <v>31</v>
      </c>
      <c r="E4032" t="s">
        <v>21</v>
      </c>
      <c r="F4032" t="s">
        <v>18</v>
      </c>
      <c r="G4032" s="9">
        <v>45380</v>
      </c>
      <c r="H4032" s="9">
        <v>45610</v>
      </c>
      <c r="I4032">
        <v>16</v>
      </c>
      <c r="J4032" t="s">
        <v>26</v>
      </c>
      <c r="K4032">
        <v>11</v>
      </c>
      <c r="L4032">
        <v>2</v>
      </c>
      <c r="M4032" s="11">
        <v>23210.63</v>
      </c>
      <c r="N4032" s="12">
        <v>3055.52</v>
      </c>
      <c r="O4032" s="12">
        <v>563.23</v>
      </c>
    </row>
    <row r="4033" spans="1:15">
      <c r="A4033" t="s">
        <v>4207</v>
      </c>
      <c r="B4033" t="s">
        <v>187</v>
      </c>
      <c r="C4033" s="9">
        <v>18994</v>
      </c>
      <c r="D4033">
        <v>74</v>
      </c>
      <c r="E4033" t="s">
        <v>21</v>
      </c>
      <c r="F4033" t="s">
        <v>18</v>
      </c>
      <c r="G4033" s="9">
        <v>45625</v>
      </c>
      <c r="H4033" s="9">
        <v>45370</v>
      </c>
      <c r="I4033">
        <v>1</v>
      </c>
      <c r="J4033" t="s">
        <v>26</v>
      </c>
      <c r="K4033">
        <v>8</v>
      </c>
      <c r="L4033">
        <v>6</v>
      </c>
      <c r="M4033" s="11">
        <v>12765.96</v>
      </c>
      <c r="N4033" s="12">
        <v>13091.94</v>
      </c>
      <c r="O4033" s="12">
        <v>9807.66</v>
      </c>
    </row>
    <row r="4034" spans="1:15">
      <c r="A4034" t="s">
        <v>4208</v>
      </c>
      <c r="B4034" t="s">
        <v>166</v>
      </c>
      <c r="C4034" s="9">
        <v>43466</v>
      </c>
      <c r="D4034">
        <v>7</v>
      </c>
      <c r="E4034" t="s">
        <v>5185</v>
      </c>
      <c r="F4034" t="s">
        <v>5184</v>
      </c>
      <c r="G4034" s="9">
        <v>45069</v>
      </c>
      <c r="H4034" s="9">
        <v>45199</v>
      </c>
      <c r="I4034">
        <v>26</v>
      </c>
      <c r="J4034" t="s">
        <v>26</v>
      </c>
      <c r="K4034">
        <v>5</v>
      </c>
      <c r="L4034">
        <v>5</v>
      </c>
      <c r="M4034" s="11">
        <v>29940.78</v>
      </c>
      <c r="N4034" s="12">
        <v>1117.8399999999999</v>
      </c>
      <c r="O4034" s="12">
        <v>8907.8700000000008</v>
      </c>
    </row>
    <row r="4035" spans="1:15">
      <c r="A4035" t="s">
        <v>4209</v>
      </c>
      <c r="B4035" t="s">
        <v>387</v>
      </c>
      <c r="C4035" s="9">
        <v>14611</v>
      </c>
      <c r="D4035">
        <v>86</v>
      </c>
      <c r="E4035" t="s">
        <v>21</v>
      </c>
      <c r="F4035" t="s">
        <v>22</v>
      </c>
      <c r="G4035" s="9">
        <v>45323</v>
      </c>
      <c r="H4035" s="9">
        <v>45764</v>
      </c>
      <c r="I4035">
        <v>14</v>
      </c>
      <c r="J4035" t="s">
        <v>32</v>
      </c>
      <c r="K4035">
        <v>7</v>
      </c>
      <c r="L4035">
        <v>0</v>
      </c>
      <c r="M4035" s="11">
        <v>20718.169999999998</v>
      </c>
      <c r="N4035" s="12">
        <v>2845.23</v>
      </c>
      <c r="O4035" s="12">
        <v>17383.060000000001</v>
      </c>
    </row>
    <row r="4036" spans="1:15">
      <c r="A4036" t="s">
        <v>4210</v>
      </c>
      <c r="B4036" t="s">
        <v>39</v>
      </c>
      <c r="C4036" s="9">
        <v>13880</v>
      </c>
      <c r="D4036">
        <v>88</v>
      </c>
      <c r="E4036" t="s">
        <v>17</v>
      </c>
      <c r="F4036" t="s">
        <v>22</v>
      </c>
      <c r="G4036" s="9">
        <v>45462</v>
      </c>
      <c r="H4036" s="9">
        <v>45739</v>
      </c>
      <c r="I4036">
        <v>19</v>
      </c>
      <c r="J4036" t="s">
        <v>26</v>
      </c>
      <c r="K4036">
        <v>11</v>
      </c>
      <c r="L4036">
        <v>8</v>
      </c>
      <c r="M4036" s="11">
        <v>28462.83</v>
      </c>
      <c r="N4036" s="12">
        <v>6168.8</v>
      </c>
      <c r="O4036" s="12">
        <v>3360.12</v>
      </c>
    </row>
    <row r="4037" spans="1:15">
      <c r="A4037" t="s">
        <v>4211</v>
      </c>
      <c r="B4037" t="s">
        <v>24</v>
      </c>
      <c r="C4037" s="9">
        <v>20090</v>
      </c>
      <c r="D4037">
        <v>71</v>
      </c>
      <c r="E4037" t="s">
        <v>21</v>
      </c>
      <c r="F4037" t="s">
        <v>74</v>
      </c>
      <c r="G4037" s="9">
        <v>45067</v>
      </c>
      <c r="H4037" s="9">
        <v>45040</v>
      </c>
      <c r="I4037">
        <v>1</v>
      </c>
      <c r="J4037" t="s">
        <v>35</v>
      </c>
      <c r="K4037">
        <v>4</v>
      </c>
      <c r="L4037">
        <v>1</v>
      </c>
      <c r="M4037" s="11">
        <v>8020.24</v>
      </c>
      <c r="N4037" s="12">
        <v>5418.76</v>
      </c>
      <c r="O4037" s="12">
        <v>374</v>
      </c>
    </row>
    <row r="4038" spans="1:15">
      <c r="A4038" t="s">
        <v>4212</v>
      </c>
      <c r="B4038" t="s">
        <v>189</v>
      </c>
      <c r="C4038" s="9">
        <v>29951</v>
      </c>
      <c r="D4038">
        <v>44</v>
      </c>
      <c r="E4038" t="s">
        <v>17</v>
      </c>
      <c r="F4038" t="s">
        <v>29</v>
      </c>
      <c r="G4038" s="9">
        <v>45166</v>
      </c>
      <c r="H4038" s="9">
        <v>45633</v>
      </c>
      <c r="I4038">
        <v>39</v>
      </c>
      <c r="J4038" t="s">
        <v>26</v>
      </c>
      <c r="K4038">
        <v>1</v>
      </c>
      <c r="L4038">
        <v>2</v>
      </c>
      <c r="M4038" s="11">
        <v>4872.68</v>
      </c>
      <c r="N4038" s="12">
        <v>10591.38</v>
      </c>
      <c r="O4038" s="12">
        <v>10537.88</v>
      </c>
    </row>
    <row r="4039" spans="1:15">
      <c r="A4039" t="s">
        <v>4213</v>
      </c>
      <c r="B4039" t="s">
        <v>615</v>
      </c>
      <c r="C4039" s="9">
        <v>14976</v>
      </c>
      <c r="D4039">
        <v>85</v>
      </c>
      <c r="E4039" t="s">
        <v>21</v>
      </c>
      <c r="F4039" t="s">
        <v>29</v>
      </c>
      <c r="G4039" s="9">
        <v>45218</v>
      </c>
      <c r="H4039" s="9">
        <v>45321</v>
      </c>
      <c r="I4039">
        <v>9</v>
      </c>
      <c r="J4039" t="s">
        <v>32</v>
      </c>
      <c r="K4039">
        <v>6</v>
      </c>
      <c r="L4039">
        <v>4</v>
      </c>
      <c r="M4039" s="11">
        <v>10985.98</v>
      </c>
      <c r="N4039" s="12">
        <v>1377.1</v>
      </c>
      <c r="O4039" s="12">
        <v>3469.08</v>
      </c>
    </row>
    <row r="4040" spans="1:15">
      <c r="A4040" t="s">
        <v>4214</v>
      </c>
      <c r="B4040" t="s">
        <v>192</v>
      </c>
      <c r="C4040" s="9">
        <v>24838</v>
      </c>
      <c r="D4040">
        <v>58</v>
      </c>
      <c r="E4040" t="s">
        <v>17</v>
      </c>
      <c r="F4040" t="s">
        <v>5184</v>
      </c>
      <c r="G4040" s="9">
        <v>45008</v>
      </c>
      <c r="H4040" s="9">
        <v>44946</v>
      </c>
      <c r="I4040">
        <v>8</v>
      </c>
      <c r="J4040" t="s">
        <v>26</v>
      </c>
      <c r="K4040">
        <v>12</v>
      </c>
      <c r="L4040">
        <v>2</v>
      </c>
      <c r="M4040" s="11">
        <v>7575.44</v>
      </c>
      <c r="N4040" s="12">
        <v>7157.37</v>
      </c>
      <c r="O4040" s="12">
        <v>895.13</v>
      </c>
    </row>
    <row r="4041" spans="1:15">
      <c r="A4041" t="s">
        <v>4215</v>
      </c>
      <c r="B4041" t="s">
        <v>261</v>
      </c>
      <c r="C4041" s="9">
        <v>44927</v>
      </c>
      <c r="D4041">
        <v>3</v>
      </c>
      <c r="E4041" t="s">
        <v>17</v>
      </c>
      <c r="F4041" t="s">
        <v>49</v>
      </c>
      <c r="G4041" s="9">
        <v>45486</v>
      </c>
      <c r="H4041" s="9">
        <v>45779</v>
      </c>
      <c r="I4041">
        <v>37</v>
      </c>
      <c r="J4041" t="s">
        <v>26</v>
      </c>
      <c r="K4041">
        <v>0</v>
      </c>
      <c r="L4041">
        <v>2</v>
      </c>
      <c r="M4041" s="11">
        <v>18207.650000000001</v>
      </c>
      <c r="N4041" s="12">
        <v>12128.32</v>
      </c>
      <c r="O4041" s="12">
        <v>346.35</v>
      </c>
    </row>
    <row r="4042" spans="1:15">
      <c r="A4042" t="s">
        <v>4216</v>
      </c>
      <c r="B4042" t="s">
        <v>372</v>
      </c>
      <c r="C4042" s="9">
        <v>21916</v>
      </c>
      <c r="D4042">
        <v>66</v>
      </c>
      <c r="E4042" t="s">
        <v>17</v>
      </c>
      <c r="F4042" t="s">
        <v>74</v>
      </c>
      <c r="G4042" s="9">
        <v>45097</v>
      </c>
      <c r="H4042" s="9">
        <v>45532</v>
      </c>
      <c r="I4042">
        <v>26</v>
      </c>
      <c r="J4042" t="s">
        <v>26</v>
      </c>
      <c r="K4042">
        <v>14</v>
      </c>
      <c r="L4042">
        <v>7</v>
      </c>
      <c r="M4042" s="11">
        <v>22205.48</v>
      </c>
      <c r="N4042" s="12">
        <v>10250.15</v>
      </c>
      <c r="O4042" s="12">
        <v>2762.92</v>
      </c>
    </row>
    <row r="4043" spans="1:15">
      <c r="A4043" t="s">
        <v>4217</v>
      </c>
      <c r="B4043" t="s">
        <v>232</v>
      </c>
      <c r="C4043" s="9">
        <v>35795</v>
      </c>
      <c r="D4043">
        <f ca="1">DATEDIF(C3994,TODAY(),"Y")</f>
        <v>28</v>
      </c>
      <c r="E4043" t="s">
        <v>21</v>
      </c>
      <c r="F4043" t="s">
        <v>25</v>
      </c>
      <c r="G4043" s="9">
        <v>45506</v>
      </c>
      <c r="H4043" s="9">
        <v>45656</v>
      </c>
      <c r="I4043">
        <v>17</v>
      </c>
      <c r="J4043" t="s">
        <v>35</v>
      </c>
      <c r="K4043">
        <v>7</v>
      </c>
      <c r="L4043">
        <v>3</v>
      </c>
      <c r="M4043" s="11">
        <v>11763.97</v>
      </c>
      <c r="N4043" s="12">
        <v>9474.74</v>
      </c>
      <c r="O4043" s="12">
        <v>7454.72</v>
      </c>
    </row>
    <row r="4044" spans="1:15">
      <c r="A4044" t="s">
        <v>4218</v>
      </c>
      <c r="B4044" t="s">
        <v>103</v>
      </c>
      <c r="C4044" s="9">
        <v>35795</v>
      </c>
      <c r="D4044">
        <v>28</v>
      </c>
      <c r="E4044" t="s">
        <v>17</v>
      </c>
      <c r="F4044" t="s">
        <v>18</v>
      </c>
      <c r="G4044" s="9">
        <v>45452</v>
      </c>
      <c r="H4044" s="9">
        <v>45392</v>
      </c>
      <c r="I4044">
        <v>2</v>
      </c>
      <c r="J4044" t="s">
        <v>35</v>
      </c>
      <c r="K4044">
        <v>9</v>
      </c>
      <c r="L4044">
        <v>9</v>
      </c>
      <c r="M4044" s="11">
        <v>2240.3000000000002</v>
      </c>
      <c r="N4044" s="12">
        <v>3590.4</v>
      </c>
      <c r="O4044" s="12">
        <v>17667.759999999998</v>
      </c>
    </row>
    <row r="4045" spans="1:15">
      <c r="A4045" t="s">
        <v>4219</v>
      </c>
      <c r="B4045" t="s">
        <v>300</v>
      </c>
      <c r="C4045" s="9">
        <f>DATE(2026-D4005,1,1)</f>
        <v>12785</v>
      </c>
      <c r="D4045">
        <v>27</v>
      </c>
      <c r="E4045" t="s">
        <v>21</v>
      </c>
      <c r="F4045" t="s">
        <v>18</v>
      </c>
      <c r="G4045" s="9">
        <v>45468</v>
      </c>
      <c r="H4045" s="9">
        <v>45618</v>
      </c>
      <c r="I4045">
        <v>22</v>
      </c>
      <c r="J4045" t="s">
        <v>32</v>
      </c>
      <c r="K4045">
        <v>5</v>
      </c>
      <c r="L4045">
        <v>1</v>
      </c>
      <c r="M4045" s="11">
        <v>303.12</v>
      </c>
      <c r="N4045" s="12">
        <v>5904.49</v>
      </c>
      <c r="O4045" s="12">
        <v>15187.55</v>
      </c>
    </row>
    <row r="4046" spans="1:15">
      <c r="A4046" t="s">
        <v>4220</v>
      </c>
      <c r="B4046" t="s">
        <v>105</v>
      </c>
      <c r="C4046" s="9">
        <v>18263</v>
      </c>
      <c r="D4046">
        <v>76</v>
      </c>
      <c r="E4046" t="s">
        <v>21</v>
      </c>
      <c r="F4046" t="s">
        <v>29</v>
      </c>
      <c r="G4046" s="9">
        <v>45036</v>
      </c>
      <c r="H4046" s="9">
        <v>45118</v>
      </c>
      <c r="I4046">
        <v>31</v>
      </c>
      <c r="J4046" t="s">
        <v>32</v>
      </c>
      <c r="K4046">
        <v>5</v>
      </c>
      <c r="L4046">
        <v>4</v>
      </c>
      <c r="M4046" s="11">
        <v>6149.85</v>
      </c>
      <c r="N4046" s="12">
        <v>2710.85</v>
      </c>
      <c r="O4046" s="12">
        <v>10556.38</v>
      </c>
    </row>
    <row r="4047" spans="1:15">
      <c r="A4047" t="s">
        <v>4221</v>
      </c>
      <c r="B4047" t="s">
        <v>412</v>
      </c>
      <c r="C4047" s="9">
        <v>17533</v>
      </c>
      <c r="D4047">
        <v>78</v>
      </c>
      <c r="E4047" t="s">
        <v>21</v>
      </c>
      <c r="F4047" t="s">
        <v>5184</v>
      </c>
      <c r="G4047" s="9">
        <v>45138</v>
      </c>
      <c r="H4047" s="9">
        <v>45420</v>
      </c>
      <c r="I4047">
        <v>9</v>
      </c>
      <c r="J4047" t="s">
        <v>35</v>
      </c>
      <c r="K4047">
        <v>8</v>
      </c>
      <c r="L4047">
        <v>1</v>
      </c>
      <c r="M4047" s="11">
        <v>21840.87</v>
      </c>
      <c r="N4047" s="12">
        <v>7633.88</v>
      </c>
      <c r="O4047" s="12">
        <v>8549.93</v>
      </c>
    </row>
    <row r="4048" spans="1:15">
      <c r="A4048" t="s">
        <v>4222</v>
      </c>
      <c r="B4048" t="s">
        <v>159</v>
      </c>
      <c r="C4048" s="9">
        <v>14611</v>
      </c>
      <c r="D4048">
        <v>86</v>
      </c>
      <c r="E4048" t="s">
        <v>21</v>
      </c>
      <c r="F4048" t="s">
        <v>74</v>
      </c>
      <c r="G4048" s="9">
        <v>45364</v>
      </c>
      <c r="H4048" s="9">
        <v>45090</v>
      </c>
      <c r="I4048">
        <v>25</v>
      </c>
      <c r="J4048" t="s">
        <v>35</v>
      </c>
      <c r="K4048">
        <v>8</v>
      </c>
      <c r="L4048">
        <v>9</v>
      </c>
      <c r="M4048" s="11">
        <v>6257.35</v>
      </c>
      <c r="N4048" s="12">
        <v>8762.52</v>
      </c>
      <c r="O4048" s="12">
        <v>9061.56</v>
      </c>
    </row>
    <row r="4049" spans="1:15">
      <c r="A4049" t="s">
        <v>4223</v>
      </c>
      <c r="B4049" t="s">
        <v>237</v>
      </c>
      <c r="C4049" s="9">
        <v>30317</v>
      </c>
      <c r="D4049">
        <v>43</v>
      </c>
      <c r="E4049" t="s">
        <v>21</v>
      </c>
      <c r="F4049" t="s">
        <v>25</v>
      </c>
      <c r="G4049" s="9">
        <v>45248</v>
      </c>
      <c r="H4049" s="9">
        <v>45539</v>
      </c>
      <c r="I4049">
        <v>31</v>
      </c>
      <c r="J4049" t="s">
        <v>35</v>
      </c>
      <c r="K4049">
        <v>10</v>
      </c>
      <c r="L4049">
        <v>7</v>
      </c>
      <c r="M4049" s="11">
        <v>27284.71</v>
      </c>
      <c r="N4049" s="12">
        <v>9467.7199999999993</v>
      </c>
      <c r="O4049" s="12">
        <v>17681.349999999999</v>
      </c>
    </row>
    <row r="4050" spans="1:15">
      <c r="A4050" t="s">
        <v>4224</v>
      </c>
      <c r="B4050" t="s">
        <v>174</v>
      </c>
      <c r="C4050" s="9">
        <v>13515</v>
      </c>
      <c r="D4050">
        <v>89</v>
      </c>
      <c r="E4050" t="s">
        <v>17</v>
      </c>
      <c r="F4050" t="s">
        <v>18</v>
      </c>
      <c r="G4050" s="9">
        <v>45640</v>
      </c>
      <c r="H4050" s="9">
        <v>45626</v>
      </c>
      <c r="I4050">
        <v>3</v>
      </c>
      <c r="J4050" t="s">
        <v>32</v>
      </c>
      <c r="K4050">
        <v>3</v>
      </c>
      <c r="L4050">
        <v>2</v>
      </c>
      <c r="M4050" s="11">
        <v>19375.13</v>
      </c>
      <c r="N4050" s="12">
        <v>13139.34</v>
      </c>
      <c r="O4050" s="12">
        <v>14465.09</v>
      </c>
    </row>
    <row r="4051" spans="1:15">
      <c r="A4051" t="s">
        <v>4225</v>
      </c>
      <c r="B4051" t="s">
        <v>249</v>
      </c>
      <c r="C4051" s="9">
        <v>44927</v>
      </c>
      <c r="D4051">
        <v>3</v>
      </c>
      <c r="E4051" t="s">
        <v>21</v>
      </c>
      <c r="F4051" t="s">
        <v>74</v>
      </c>
      <c r="G4051" s="9">
        <v>45010</v>
      </c>
      <c r="H4051" s="9">
        <v>45222</v>
      </c>
      <c r="I4051">
        <v>16</v>
      </c>
      <c r="J4051" t="s">
        <v>32</v>
      </c>
      <c r="K4051">
        <v>6</v>
      </c>
      <c r="L4051">
        <v>1</v>
      </c>
      <c r="M4051" s="11">
        <v>25793.73</v>
      </c>
      <c r="N4051" s="12">
        <v>927.45</v>
      </c>
      <c r="O4051" s="12">
        <v>3357.45</v>
      </c>
    </row>
    <row r="4052" spans="1:15">
      <c r="A4052" t="s">
        <v>4226</v>
      </c>
      <c r="B4052" t="s">
        <v>145</v>
      </c>
      <c r="C4052" s="9">
        <v>13515</v>
      </c>
      <c r="D4052">
        <v>89</v>
      </c>
      <c r="E4052" t="s">
        <v>21</v>
      </c>
      <c r="F4052" t="s">
        <v>25</v>
      </c>
      <c r="G4052" s="9">
        <v>45302</v>
      </c>
      <c r="H4052" s="9">
        <v>45506</v>
      </c>
      <c r="I4052">
        <v>9</v>
      </c>
      <c r="J4052" t="s">
        <v>32</v>
      </c>
      <c r="K4052">
        <v>8</v>
      </c>
      <c r="L4052">
        <v>2</v>
      </c>
      <c r="M4052" s="11">
        <v>11267.35</v>
      </c>
      <c r="N4052" s="12">
        <v>5824.69</v>
      </c>
      <c r="O4052" s="12">
        <v>18788.61</v>
      </c>
    </row>
    <row r="4053" spans="1:15">
      <c r="A4053" t="s">
        <v>4227</v>
      </c>
      <c r="B4053" t="s">
        <v>112</v>
      </c>
      <c r="C4053" s="9">
        <f>DATE(2026-D4013,1,1)</f>
        <v>12055</v>
      </c>
      <c r="D4053">
        <v>8</v>
      </c>
      <c r="E4053" t="s">
        <v>21</v>
      </c>
      <c r="F4053" t="s">
        <v>22</v>
      </c>
      <c r="G4053" s="9">
        <v>44979</v>
      </c>
      <c r="H4053" s="9">
        <v>45000</v>
      </c>
      <c r="I4053">
        <v>22</v>
      </c>
      <c r="J4053" t="s">
        <v>26</v>
      </c>
      <c r="K4053">
        <v>13</v>
      </c>
      <c r="L4053">
        <v>2</v>
      </c>
      <c r="M4053" s="11">
        <v>29498.27</v>
      </c>
      <c r="N4053" s="12">
        <v>8864.56</v>
      </c>
      <c r="O4053" s="12">
        <v>15435.59</v>
      </c>
    </row>
    <row r="4054" spans="1:15">
      <c r="A4054" t="s">
        <v>4228</v>
      </c>
      <c r="B4054" t="s">
        <v>619</v>
      </c>
      <c r="C4054" s="9">
        <v>44561</v>
      </c>
      <c r="D4054">
        <v>4</v>
      </c>
      <c r="E4054" t="s">
        <v>17</v>
      </c>
      <c r="F4054" t="s">
        <v>29</v>
      </c>
      <c r="G4054" s="9">
        <v>45422</v>
      </c>
      <c r="H4054" s="9">
        <v>45671</v>
      </c>
      <c r="I4054">
        <v>10</v>
      </c>
      <c r="J4054" t="s">
        <v>32</v>
      </c>
      <c r="K4054">
        <v>1</v>
      </c>
      <c r="L4054">
        <v>0</v>
      </c>
      <c r="M4054" s="11">
        <v>0</v>
      </c>
      <c r="N4054" s="12">
        <v>8551.84</v>
      </c>
      <c r="O4054" s="12">
        <v>586.54</v>
      </c>
    </row>
    <row r="4055" spans="1:15">
      <c r="A4055" t="s">
        <v>4229</v>
      </c>
      <c r="B4055" t="s">
        <v>31</v>
      </c>
      <c r="C4055" s="9">
        <v>25934</v>
      </c>
      <c r="D4055">
        <v>55</v>
      </c>
      <c r="E4055" t="s">
        <v>17</v>
      </c>
      <c r="F4055" t="s">
        <v>49</v>
      </c>
      <c r="G4055" s="9">
        <v>45182</v>
      </c>
      <c r="H4055" s="9">
        <v>45628</v>
      </c>
      <c r="I4055">
        <v>14</v>
      </c>
      <c r="J4055" t="s">
        <v>26</v>
      </c>
      <c r="K4055">
        <v>1</v>
      </c>
      <c r="L4055">
        <v>2</v>
      </c>
      <c r="M4055" s="11">
        <v>10387.280000000001</v>
      </c>
      <c r="N4055" s="12">
        <v>325.56</v>
      </c>
      <c r="O4055" s="12">
        <v>9995.3700000000008</v>
      </c>
    </row>
    <row r="4056" spans="1:15">
      <c r="A4056" t="s">
        <v>4230</v>
      </c>
      <c r="B4056" t="s">
        <v>387</v>
      </c>
      <c r="C4056" s="9">
        <v>15707</v>
      </c>
      <c r="D4056">
        <v>83</v>
      </c>
      <c r="E4056" t="s">
        <v>21</v>
      </c>
      <c r="F4056" t="s">
        <v>18</v>
      </c>
      <c r="G4056" s="9">
        <v>45512</v>
      </c>
      <c r="H4056" s="9">
        <v>45489</v>
      </c>
      <c r="I4056">
        <v>9</v>
      </c>
      <c r="J4056" t="s">
        <v>35</v>
      </c>
      <c r="K4056">
        <v>7</v>
      </c>
      <c r="L4056">
        <v>2</v>
      </c>
      <c r="M4056" s="11">
        <v>5982.44</v>
      </c>
      <c r="N4056" s="12">
        <v>2839.64</v>
      </c>
      <c r="O4056" s="12">
        <v>13020.91</v>
      </c>
    </row>
    <row r="4057" spans="1:15">
      <c r="A4057" t="s">
        <v>4231</v>
      </c>
      <c r="B4057" t="s">
        <v>209</v>
      </c>
      <c r="C4057" s="9">
        <v>28125</v>
      </c>
      <c r="D4057">
        <v>49</v>
      </c>
      <c r="E4057" t="s">
        <v>17</v>
      </c>
      <c r="F4057" t="s">
        <v>18</v>
      </c>
      <c r="G4057" s="9">
        <v>45146</v>
      </c>
      <c r="H4057" s="9">
        <v>45236</v>
      </c>
      <c r="I4057">
        <v>0</v>
      </c>
      <c r="J4057" t="s">
        <v>32</v>
      </c>
      <c r="K4057">
        <v>13</v>
      </c>
      <c r="L4057">
        <v>3</v>
      </c>
      <c r="M4057" s="11">
        <v>25929.21</v>
      </c>
      <c r="N4057" s="12">
        <v>12686.17</v>
      </c>
      <c r="O4057" s="12">
        <v>1125.8800000000001</v>
      </c>
    </row>
    <row r="4058" spans="1:15">
      <c r="A4058" t="s">
        <v>4232</v>
      </c>
      <c r="B4058" t="s">
        <v>273</v>
      </c>
      <c r="C4058" s="9">
        <v>18994</v>
      </c>
      <c r="D4058">
        <v>74</v>
      </c>
      <c r="E4058" t="s">
        <v>17</v>
      </c>
      <c r="F4058" t="s">
        <v>25</v>
      </c>
      <c r="G4058" s="9">
        <v>45581</v>
      </c>
      <c r="H4058" s="9">
        <v>45229</v>
      </c>
      <c r="I4058">
        <v>21</v>
      </c>
      <c r="J4058" t="s">
        <v>26</v>
      </c>
      <c r="K4058">
        <v>1</v>
      </c>
      <c r="L4058">
        <v>7</v>
      </c>
      <c r="M4058" s="11">
        <v>9202</v>
      </c>
      <c r="N4058" s="12">
        <v>7730.88</v>
      </c>
      <c r="O4058" s="12">
        <v>6996.51</v>
      </c>
    </row>
    <row r="4059" spans="1:15">
      <c r="A4059" t="s">
        <v>4233</v>
      </c>
      <c r="B4059" t="s">
        <v>20</v>
      </c>
      <c r="C4059" s="9">
        <v>40909</v>
      </c>
      <c r="D4059">
        <v>14</v>
      </c>
      <c r="E4059" t="s">
        <v>21</v>
      </c>
      <c r="F4059" t="s">
        <v>49</v>
      </c>
      <c r="G4059" s="9">
        <v>45026</v>
      </c>
      <c r="H4059" s="9">
        <v>45235</v>
      </c>
      <c r="I4059">
        <v>5</v>
      </c>
      <c r="J4059" t="s">
        <v>32</v>
      </c>
      <c r="K4059">
        <v>9</v>
      </c>
      <c r="L4059">
        <v>8</v>
      </c>
      <c r="M4059" s="11">
        <v>853.11</v>
      </c>
      <c r="N4059" s="12">
        <v>6203.38</v>
      </c>
      <c r="O4059" s="12">
        <v>12930.88</v>
      </c>
    </row>
    <row r="4060" spans="1:15">
      <c r="A4060" t="s">
        <v>4234</v>
      </c>
      <c r="B4060" t="s">
        <v>39</v>
      </c>
      <c r="C4060" s="9">
        <v>34700</v>
      </c>
      <c r="D4060">
        <v>31</v>
      </c>
      <c r="E4060" t="s">
        <v>17</v>
      </c>
      <c r="F4060" t="s">
        <v>22</v>
      </c>
      <c r="G4060" s="9">
        <v>45055</v>
      </c>
      <c r="H4060" s="9">
        <v>45051</v>
      </c>
      <c r="I4060">
        <v>33</v>
      </c>
      <c r="J4060" t="s">
        <v>26</v>
      </c>
      <c r="K4060">
        <v>6</v>
      </c>
      <c r="L4060">
        <v>0</v>
      </c>
      <c r="M4060" s="11">
        <v>7999.09</v>
      </c>
      <c r="N4060" s="12">
        <v>13502.63</v>
      </c>
      <c r="O4060" s="12">
        <v>16303.36</v>
      </c>
    </row>
    <row r="4061" spans="1:15">
      <c r="A4061" t="s">
        <v>4235</v>
      </c>
      <c r="B4061" t="s">
        <v>189</v>
      </c>
      <c r="C4061" s="9">
        <v>36161</v>
      </c>
      <c r="D4061">
        <v>27</v>
      </c>
      <c r="E4061" t="s">
        <v>17</v>
      </c>
      <c r="F4061" t="s">
        <v>74</v>
      </c>
      <c r="G4061" s="9">
        <v>45145</v>
      </c>
      <c r="H4061" s="9">
        <v>45596</v>
      </c>
      <c r="I4061">
        <v>23</v>
      </c>
      <c r="J4061" t="s">
        <v>26</v>
      </c>
      <c r="K4061">
        <v>4</v>
      </c>
      <c r="L4061">
        <v>0</v>
      </c>
      <c r="M4061" s="11">
        <v>0</v>
      </c>
      <c r="N4061" s="12">
        <v>1124.28</v>
      </c>
      <c r="O4061" s="12">
        <v>19540.47</v>
      </c>
    </row>
    <row r="4062" spans="1:15">
      <c r="A4062" t="s">
        <v>4236</v>
      </c>
      <c r="B4062" t="s">
        <v>204</v>
      </c>
      <c r="C4062" s="9">
        <v>38352</v>
      </c>
      <c r="D4062">
        <v>21</v>
      </c>
      <c r="E4062" t="s">
        <v>17</v>
      </c>
      <c r="F4062" t="s">
        <v>29</v>
      </c>
      <c r="G4062" s="9">
        <v>45403</v>
      </c>
      <c r="H4062" s="9">
        <v>45188</v>
      </c>
      <c r="I4062">
        <v>5</v>
      </c>
      <c r="J4062" t="s">
        <v>35</v>
      </c>
      <c r="K4062">
        <v>10</v>
      </c>
      <c r="L4062">
        <v>5</v>
      </c>
      <c r="M4062" s="11">
        <v>9251.7999999999993</v>
      </c>
      <c r="N4062" s="12">
        <v>13834.66</v>
      </c>
      <c r="O4062" s="12">
        <v>2344.77</v>
      </c>
    </row>
    <row r="4063" spans="1:15">
      <c r="A4063" t="s">
        <v>4237</v>
      </c>
      <c r="B4063" t="s">
        <v>223</v>
      </c>
      <c r="C4063" s="9">
        <v>40178</v>
      </c>
      <c r="D4063">
        <f ca="1">DATEDIF(C4014,TODAY(),"Y")</f>
        <v>33</v>
      </c>
      <c r="E4063" t="s">
        <v>21</v>
      </c>
      <c r="F4063" t="s">
        <v>74</v>
      </c>
      <c r="G4063" s="9">
        <v>45384</v>
      </c>
      <c r="H4063" s="9">
        <v>45122</v>
      </c>
      <c r="I4063">
        <v>29</v>
      </c>
      <c r="J4063" t="s">
        <v>26</v>
      </c>
      <c r="K4063">
        <v>13</v>
      </c>
      <c r="L4063">
        <v>0</v>
      </c>
      <c r="M4063" s="11">
        <v>18204.62</v>
      </c>
      <c r="N4063" s="12">
        <v>416.75</v>
      </c>
      <c r="O4063" s="12">
        <v>12611.29</v>
      </c>
    </row>
    <row r="4064" spans="1:15">
      <c r="A4064" t="s">
        <v>4238</v>
      </c>
      <c r="B4064" t="s">
        <v>392</v>
      </c>
      <c r="C4064" s="9">
        <v>24838</v>
      </c>
      <c r="D4064">
        <v>58</v>
      </c>
      <c r="E4064" t="s">
        <v>21</v>
      </c>
      <c r="F4064" t="s">
        <v>25</v>
      </c>
      <c r="G4064" s="9">
        <v>44948</v>
      </c>
      <c r="H4064" s="9">
        <v>45769</v>
      </c>
      <c r="I4064">
        <v>29</v>
      </c>
      <c r="J4064" t="s">
        <v>26</v>
      </c>
      <c r="K4064">
        <v>11</v>
      </c>
      <c r="L4064">
        <v>4</v>
      </c>
      <c r="M4064" s="11">
        <v>14763.17</v>
      </c>
      <c r="N4064" s="12">
        <v>8440.0499999999993</v>
      </c>
      <c r="O4064" s="12">
        <v>17845.07</v>
      </c>
    </row>
    <row r="4065" spans="1:15">
      <c r="A4065" t="s">
        <v>4239</v>
      </c>
      <c r="B4065" t="s">
        <v>664</v>
      </c>
      <c r="C4065" s="9">
        <v>13515</v>
      </c>
      <c r="D4065">
        <v>89</v>
      </c>
      <c r="E4065" t="s">
        <v>21</v>
      </c>
      <c r="F4065" t="s">
        <v>18</v>
      </c>
      <c r="G4065" s="9">
        <v>45616</v>
      </c>
      <c r="H4065" s="9">
        <v>45278</v>
      </c>
      <c r="I4065">
        <v>2</v>
      </c>
      <c r="J4065" t="s">
        <v>35</v>
      </c>
      <c r="K4065">
        <v>14</v>
      </c>
      <c r="L4065">
        <v>0</v>
      </c>
      <c r="M4065" s="11">
        <v>21180.94</v>
      </c>
      <c r="N4065" s="12">
        <v>8326.3700000000008</v>
      </c>
      <c r="O4065" s="12">
        <v>14310.05</v>
      </c>
    </row>
    <row r="4066" spans="1:15">
      <c r="A4066" t="s">
        <v>4240</v>
      </c>
      <c r="B4066" t="s">
        <v>397</v>
      </c>
      <c r="C4066" s="9">
        <v>20455</v>
      </c>
      <c r="D4066">
        <v>70</v>
      </c>
      <c r="E4066" t="s">
        <v>17</v>
      </c>
      <c r="F4066" t="s">
        <v>22</v>
      </c>
      <c r="G4066" s="9">
        <v>45486</v>
      </c>
      <c r="H4066" s="9">
        <v>45770</v>
      </c>
      <c r="I4066">
        <v>0</v>
      </c>
      <c r="J4066" t="s">
        <v>32</v>
      </c>
      <c r="K4066">
        <v>13</v>
      </c>
      <c r="L4066">
        <v>7</v>
      </c>
      <c r="M4066" s="11">
        <v>9681.8799999999992</v>
      </c>
      <c r="N4066" s="12">
        <v>9586.02</v>
      </c>
      <c r="O4066" s="12">
        <v>12611.23</v>
      </c>
    </row>
    <row r="4067" spans="1:15">
      <c r="A4067" t="s">
        <v>4241</v>
      </c>
      <c r="B4067" t="s">
        <v>100</v>
      </c>
      <c r="C4067" s="9">
        <v>25568</v>
      </c>
      <c r="D4067">
        <v>56</v>
      </c>
      <c r="E4067" t="s">
        <v>17</v>
      </c>
      <c r="F4067" t="s">
        <v>18</v>
      </c>
      <c r="G4067" s="9">
        <v>45555</v>
      </c>
      <c r="H4067" s="9">
        <v>45695</v>
      </c>
      <c r="I4067">
        <v>2</v>
      </c>
      <c r="J4067" t="s">
        <v>35</v>
      </c>
      <c r="K4067">
        <v>8</v>
      </c>
      <c r="L4067">
        <v>4</v>
      </c>
      <c r="M4067" s="11">
        <v>3154.16</v>
      </c>
      <c r="N4067" s="12">
        <v>444.39</v>
      </c>
      <c r="O4067" s="12">
        <v>4209.88</v>
      </c>
    </row>
    <row r="4068" spans="1:15">
      <c r="A4068" t="s">
        <v>4242</v>
      </c>
      <c r="B4068" t="s">
        <v>59</v>
      </c>
      <c r="C4068" s="9">
        <f>DATE(2026-D4028,1,1)</f>
        <v>18264</v>
      </c>
      <c r="D4068">
        <v>25</v>
      </c>
      <c r="E4068" t="s">
        <v>21</v>
      </c>
      <c r="F4068" t="s">
        <v>74</v>
      </c>
      <c r="G4068" s="9">
        <v>45255</v>
      </c>
      <c r="H4068" s="9">
        <v>45416</v>
      </c>
      <c r="I4068">
        <v>12</v>
      </c>
      <c r="J4068" t="s">
        <v>26</v>
      </c>
      <c r="K4068">
        <v>3</v>
      </c>
      <c r="L4068">
        <v>5</v>
      </c>
      <c r="M4068" s="11">
        <v>4388.17</v>
      </c>
      <c r="N4068" s="12">
        <v>7957.78</v>
      </c>
      <c r="O4068" s="12">
        <v>16287.48</v>
      </c>
    </row>
    <row r="4069" spans="1:15">
      <c r="A4069" t="s">
        <v>4243</v>
      </c>
      <c r="B4069" t="s">
        <v>48</v>
      </c>
      <c r="C4069" s="9">
        <v>37256</v>
      </c>
      <c r="D4069">
        <v>24</v>
      </c>
      <c r="E4069" t="s">
        <v>21</v>
      </c>
      <c r="F4069" t="s">
        <v>22</v>
      </c>
      <c r="G4069" s="9">
        <v>45617</v>
      </c>
      <c r="H4069" s="9">
        <v>45127</v>
      </c>
      <c r="I4069">
        <v>17</v>
      </c>
      <c r="J4069" t="s">
        <v>32</v>
      </c>
      <c r="K4069">
        <v>10</v>
      </c>
      <c r="L4069">
        <v>3</v>
      </c>
      <c r="M4069" s="11">
        <v>23817.119999999999</v>
      </c>
      <c r="N4069" s="12">
        <v>1704.21</v>
      </c>
      <c r="O4069" s="12">
        <v>11206.08</v>
      </c>
    </row>
    <row r="4070" spans="1:15">
      <c r="A4070" t="s">
        <v>4244</v>
      </c>
      <c r="B4070" t="s">
        <v>16</v>
      </c>
      <c r="C4070" s="9">
        <v>42735</v>
      </c>
      <c r="D4070">
        <v>9</v>
      </c>
      <c r="E4070" t="s">
        <v>17</v>
      </c>
      <c r="F4070" t="s">
        <v>5184</v>
      </c>
      <c r="G4070" s="9">
        <v>45406</v>
      </c>
      <c r="H4070" s="9">
        <v>45811</v>
      </c>
      <c r="I4070">
        <v>0</v>
      </c>
      <c r="J4070" t="s">
        <v>35</v>
      </c>
      <c r="K4070">
        <v>4</v>
      </c>
      <c r="L4070">
        <v>7</v>
      </c>
      <c r="M4070" s="11">
        <v>2488.7199999999998</v>
      </c>
      <c r="N4070" s="12">
        <v>2339.69</v>
      </c>
      <c r="O4070" s="12">
        <v>2139.4699999999998</v>
      </c>
    </row>
    <row r="4071" spans="1:15">
      <c r="A4071" t="s">
        <v>4245</v>
      </c>
      <c r="B4071" t="s">
        <v>237</v>
      </c>
      <c r="C4071" s="9">
        <v>29951</v>
      </c>
      <c r="D4071">
        <v>44</v>
      </c>
      <c r="E4071" t="s">
        <v>17</v>
      </c>
      <c r="F4071" t="s">
        <v>29</v>
      </c>
      <c r="G4071" s="9">
        <v>45265</v>
      </c>
      <c r="H4071" s="9">
        <v>45435</v>
      </c>
      <c r="I4071">
        <v>12</v>
      </c>
      <c r="J4071" t="s">
        <v>35</v>
      </c>
      <c r="K4071">
        <v>9</v>
      </c>
      <c r="L4071">
        <v>8</v>
      </c>
      <c r="M4071" s="11">
        <v>23842.85</v>
      </c>
      <c r="N4071" s="12">
        <v>3230.32</v>
      </c>
      <c r="O4071" s="12">
        <v>18705.599999999999</v>
      </c>
    </row>
    <row r="4072" spans="1:15">
      <c r="A4072" t="s">
        <v>4246</v>
      </c>
      <c r="B4072" t="s">
        <v>166</v>
      </c>
      <c r="C4072" s="9">
        <v>16072</v>
      </c>
      <c r="D4072">
        <v>82</v>
      </c>
      <c r="E4072" t="s">
        <v>17</v>
      </c>
      <c r="F4072" t="s">
        <v>25</v>
      </c>
      <c r="G4072" s="9">
        <v>45105</v>
      </c>
      <c r="H4072" s="9">
        <v>45825</v>
      </c>
      <c r="I4072">
        <v>34</v>
      </c>
      <c r="J4072" t="s">
        <v>26</v>
      </c>
      <c r="K4072">
        <v>3</v>
      </c>
      <c r="L4072">
        <v>8</v>
      </c>
      <c r="M4072" s="11">
        <v>5985.2</v>
      </c>
      <c r="N4072" s="12">
        <v>9197.66</v>
      </c>
      <c r="O4072" s="12">
        <v>19766.650000000001</v>
      </c>
    </row>
    <row r="4073" spans="1:15">
      <c r="A4073" t="s">
        <v>4247</v>
      </c>
      <c r="B4073" t="s">
        <v>57</v>
      </c>
      <c r="C4073" s="9">
        <v>42370</v>
      </c>
      <c r="D4073">
        <v>10</v>
      </c>
      <c r="E4073" t="s">
        <v>17</v>
      </c>
      <c r="F4073" t="s">
        <v>29</v>
      </c>
      <c r="G4073" s="9">
        <v>45347</v>
      </c>
      <c r="H4073" s="9">
        <v>45507</v>
      </c>
      <c r="I4073">
        <v>18</v>
      </c>
      <c r="J4073" t="s">
        <v>32</v>
      </c>
      <c r="K4073">
        <v>13</v>
      </c>
      <c r="L4073">
        <v>0</v>
      </c>
      <c r="M4073" s="11">
        <v>20191.34</v>
      </c>
      <c r="N4073" s="12">
        <v>5851.33</v>
      </c>
      <c r="O4073" s="12">
        <v>10707.22</v>
      </c>
    </row>
    <row r="4074" spans="1:15">
      <c r="A4074" t="s">
        <v>4248</v>
      </c>
      <c r="B4074" t="s">
        <v>372</v>
      </c>
      <c r="C4074" s="9">
        <v>18263</v>
      </c>
      <c r="D4074">
        <v>76</v>
      </c>
      <c r="E4074" t="s">
        <v>17</v>
      </c>
      <c r="F4074" t="s">
        <v>25</v>
      </c>
      <c r="G4074" s="9">
        <v>45408</v>
      </c>
      <c r="H4074" s="9">
        <v>45373</v>
      </c>
      <c r="I4074">
        <v>39</v>
      </c>
      <c r="J4074" t="s">
        <v>32</v>
      </c>
      <c r="K4074">
        <v>7</v>
      </c>
      <c r="L4074">
        <v>6</v>
      </c>
      <c r="M4074" s="11">
        <v>18504.439999999999</v>
      </c>
      <c r="N4074" s="12">
        <v>1280.06</v>
      </c>
      <c r="O4074" s="12">
        <v>15507.23</v>
      </c>
    </row>
    <row r="4075" spans="1:15">
      <c r="A4075" t="s">
        <v>4249</v>
      </c>
      <c r="B4075" t="s">
        <v>31</v>
      </c>
      <c r="C4075" s="9">
        <v>27029</v>
      </c>
      <c r="D4075">
        <v>52</v>
      </c>
      <c r="E4075" t="s">
        <v>21</v>
      </c>
      <c r="F4075" t="s">
        <v>29</v>
      </c>
      <c r="G4075" s="9">
        <v>44975</v>
      </c>
      <c r="H4075" s="9">
        <v>45007</v>
      </c>
      <c r="I4075">
        <v>36</v>
      </c>
      <c r="J4075" t="s">
        <v>32</v>
      </c>
      <c r="K4075">
        <v>0</v>
      </c>
      <c r="L4075">
        <v>3</v>
      </c>
      <c r="M4075" s="11">
        <v>2496.94</v>
      </c>
      <c r="N4075" s="12">
        <v>4335.2</v>
      </c>
      <c r="O4075" s="12">
        <v>11624.59</v>
      </c>
    </row>
    <row r="4076" spans="1:15">
      <c r="A4076" t="s">
        <v>4250</v>
      </c>
      <c r="B4076" t="s">
        <v>166</v>
      </c>
      <c r="C4076" s="9">
        <v>20090</v>
      </c>
      <c r="D4076">
        <v>71</v>
      </c>
      <c r="E4076" t="s">
        <v>21</v>
      </c>
      <c r="F4076" t="s">
        <v>5184</v>
      </c>
      <c r="G4076" s="9">
        <v>44956</v>
      </c>
      <c r="H4076" s="9">
        <v>45672</v>
      </c>
      <c r="I4076">
        <v>20</v>
      </c>
      <c r="J4076" t="s">
        <v>35</v>
      </c>
      <c r="K4076">
        <v>8</v>
      </c>
      <c r="L4076">
        <v>9</v>
      </c>
      <c r="M4076" s="11">
        <v>19808.84</v>
      </c>
      <c r="N4076" s="12">
        <v>1149.32</v>
      </c>
      <c r="O4076" s="12">
        <v>8386.34</v>
      </c>
    </row>
    <row r="4077" spans="1:15">
      <c r="A4077" t="s">
        <v>4251</v>
      </c>
      <c r="B4077" t="s">
        <v>44</v>
      </c>
      <c r="C4077" s="9">
        <v>21551</v>
      </c>
      <c r="D4077">
        <f ca="1">DATEDIF(C4028,TODAY(),"Y")</f>
        <v>76</v>
      </c>
      <c r="E4077" t="s">
        <v>21</v>
      </c>
      <c r="F4077" t="s">
        <v>74</v>
      </c>
      <c r="G4077" s="9">
        <v>45011</v>
      </c>
      <c r="H4077" s="9">
        <v>45625</v>
      </c>
      <c r="I4077">
        <v>37</v>
      </c>
      <c r="J4077" t="s">
        <v>32</v>
      </c>
      <c r="K4077">
        <v>4</v>
      </c>
      <c r="L4077">
        <v>7</v>
      </c>
      <c r="M4077" s="11">
        <v>13148.98</v>
      </c>
      <c r="N4077" s="12">
        <v>9961.91</v>
      </c>
      <c r="O4077" s="12">
        <v>8123.07</v>
      </c>
    </row>
    <row r="4078" spans="1:15">
      <c r="A4078" t="s">
        <v>4252</v>
      </c>
      <c r="B4078" t="s">
        <v>187</v>
      </c>
      <c r="C4078" s="9">
        <v>11689</v>
      </c>
      <c r="D4078">
        <v>94</v>
      </c>
      <c r="E4078" t="s">
        <v>17</v>
      </c>
      <c r="F4078" t="s">
        <v>49</v>
      </c>
      <c r="G4078" s="9">
        <v>45428</v>
      </c>
      <c r="H4078" s="9">
        <v>45544</v>
      </c>
      <c r="I4078">
        <v>32</v>
      </c>
      <c r="J4078" t="s">
        <v>32</v>
      </c>
      <c r="K4078">
        <v>10</v>
      </c>
      <c r="L4078">
        <v>6</v>
      </c>
      <c r="M4078" s="11">
        <v>21068.44</v>
      </c>
      <c r="N4078" s="12">
        <v>8361.98</v>
      </c>
      <c r="O4078" s="12">
        <v>19282.72</v>
      </c>
    </row>
    <row r="4079" spans="1:15">
      <c r="A4079" t="s">
        <v>4253</v>
      </c>
      <c r="B4079" t="s">
        <v>103</v>
      </c>
      <c r="C4079" s="9">
        <v>36161</v>
      </c>
      <c r="D4079">
        <v>27</v>
      </c>
      <c r="E4079" t="s">
        <v>21</v>
      </c>
      <c r="F4079" t="s">
        <v>22</v>
      </c>
      <c r="G4079" s="9">
        <v>45472</v>
      </c>
      <c r="H4079" s="9">
        <v>45396</v>
      </c>
      <c r="I4079">
        <v>15</v>
      </c>
      <c r="J4079" t="s">
        <v>32</v>
      </c>
      <c r="K4079">
        <v>2</v>
      </c>
      <c r="L4079">
        <v>0</v>
      </c>
      <c r="M4079" s="11">
        <v>0</v>
      </c>
      <c r="N4079" s="12">
        <v>6115.29</v>
      </c>
      <c r="O4079" s="12">
        <v>7312.61</v>
      </c>
    </row>
    <row r="4080" spans="1:15">
      <c r="A4080" t="s">
        <v>4254</v>
      </c>
      <c r="B4080" t="s">
        <v>289</v>
      </c>
      <c r="C4080" s="9">
        <v>18994</v>
      </c>
      <c r="D4080">
        <v>74</v>
      </c>
      <c r="E4080" t="s">
        <v>17</v>
      </c>
      <c r="F4080" t="s">
        <v>25</v>
      </c>
      <c r="G4080" s="9">
        <v>45255</v>
      </c>
      <c r="H4080" s="9">
        <v>45764</v>
      </c>
      <c r="I4080">
        <v>14</v>
      </c>
      <c r="J4080" t="s">
        <v>32</v>
      </c>
      <c r="K4080">
        <v>14</v>
      </c>
      <c r="L4080">
        <v>0</v>
      </c>
      <c r="M4080" s="11">
        <v>704.73</v>
      </c>
      <c r="N4080" s="12">
        <v>13915.15</v>
      </c>
      <c r="O4080" s="12">
        <v>9758.1299999999992</v>
      </c>
    </row>
    <row r="4081" spans="1:15">
      <c r="A4081" t="s">
        <v>4255</v>
      </c>
      <c r="B4081" t="s">
        <v>479</v>
      </c>
      <c r="C4081" s="9">
        <v>22646</v>
      </c>
      <c r="D4081">
        <v>64</v>
      </c>
      <c r="E4081" t="s">
        <v>21</v>
      </c>
      <c r="F4081" t="s">
        <v>74</v>
      </c>
      <c r="G4081" s="9">
        <v>45536</v>
      </c>
      <c r="H4081" s="9">
        <v>45369</v>
      </c>
      <c r="I4081">
        <v>28</v>
      </c>
      <c r="J4081" t="s">
        <v>32</v>
      </c>
      <c r="K4081">
        <v>1</v>
      </c>
      <c r="L4081">
        <v>0</v>
      </c>
      <c r="M4081" s="11">
        <v>19262.87</v>
      </c>
      <c r="N4081" s="12">
        <v>7780.88</v>
      </c>
      <c r="O4081" s="12">
        <v>4894.66</v>
      </c>
    </row>
    <row r="4082" spans="1:15">
      <c r="A4082" t="s">
        <v>4256</v>
      </c>
      <c r="B4082" t="s">
        <v>145</v>
      </c>
      <c r="C4082" s="9">
        <v>28490</v>
      </c>
      <c r="D4082">
        <v>48</v>
      </c>
      <c r="E4082" t="s">
        <v>21</v>
      </c>
      <c r="F4082" t="s">
        <v>18</v>
      </c>
      <c r="G4082" s="9">
        <v>45360</v>
      </c>
      <c r="H4082" s="9">
        <v>45581</v>
      </c>
      <c r="I4082">
        <v>23</v>
      </c>
      <c r="J4082" t="s">
        <v>35</v>
      </c>
      <c r="K4082">
        <v>10</v>
      </c>
      <c r="L4082">
        <v>1</v>
      </c>
      <c r="M4082" s="11">
        <v>2701.21</v>
      </c>
      <c r="N4082" s="12">
        <v>13313.03</v>
      </c>
      <c r="O4082" s="12">
        <v>4990.97</v>
      </c>
    </row>
    <row r="4083" spans="1:15">
      <c r="A4083" t="s">
        <v>4257</v>
      </c>
      <c r="B4083" t="s">
        <v>343</v>
      </c>
      <c r="C4083" s="9">
        <v>29221</v>
      </c>
      <c r="D4083">
        <v>46</v>
      </c>
      <c r="E4083" t="s">
        <v>17</v>
      </c>
      <c r="F4083" t="s">
        <v>18</v>
      </c>
      <c r="G4083" s="9">
        <v>45514</v>
      </c>
      <c r="H4083" s="9">
        <v>45199</v>
      </c>
      <c r="I4083">
        <v>19</v>
      </c>
      <c r="J4083" t="s">
        <v>26</v>
      </c>
      <c r="K4083">
        <v>3</v>
      </c>
      <c r="L4083">
        <v>9</v>
      </c>
      <c r="M4083" s="11">
        <v>11055.71</v>
      </c>
      <c r="N4083" s="12">
        <v>8686.2800000000007</v>
      </c>
      <c r="O4083" s="12">
        <v>7060.16</v>
      </c>
    </row>
    <row r="4084" spans="1:15">
      <c r="A4084" t="s">
        <v>4258</v>
      </c>
      <c r="B4084" t="s">
        <v>207</v>
      </c>
      <c r="C4084" s="9">
        <v>27395</v>
      </c>
      <c r="D4084">
        <v>51</v>
      </c>
      <c r="E4084" t="s">
        <v>21</v>
      </c>
      <c r="F4084" t="s">
        <v>29</v>
      </c>
      <c r="G4084" s="9">
        <v>45613</v>
      </c>
      <c r="H4084" s="9">
        <v>45270</v>
      </c>
      <c r="I4084">
        <v>33</v>
      </c>
      <c r="J4084" t="s">
        <v>26</v>
      </c>
      <c r="K4084">
        <v>0</v>
      </c>
      <c r="L4084">
        <v>1</v>
      </c>
      <c r="M4084" s="11">
        <v>113.31</v>
      </c>
      <c r="N4084" s="12">
        <v>5651.89</v>
      </c>
      <c r="O4084" s="12">
        <v>18488.03</v>
      </c>
    </row>
    <row r="4085" spans="1:15">
      <c r="A4085" t="s">
        <v>4259</v>
      </c>
      <c r="B4085" t="s">
        <v>539</v>
      </c>
      <c r="C4085" s="9">
        <v>14246</v>
      </c>
      <c r="D4085">
        <v>87</v>
      </c>
      <c r="E4085" t="s">
        <v>21</v>
      </c>
      <c r="F4085" t="s">
        <v>18</v>
      </c>
      <c r="G4085" s="9">
        <v>45175</v>
      </c>
      <c r="H4085" s="9">
        <v>45051</v>
      </c>
      <c r="I4085">
        <v>32</v>
      </c>
      <c r="J4085" t="s">
        <v>32</v>
      </c>
      <c r="K4085">
        <v>1</v>
      </c>
      <c r="L4085">
        <v>8</v>
      </c>
      <c r="M4085" s="11">
        <v>9523.64</v>
      </c>
      <c r="N4085" s="12">
        <v>8084.95</v>
      </c>
      <c r="O4085" s="12">
        <v>7870.41</v>
      </c>
    </row>
    <row r="4086" spans="1:15">
      <c r="A4086" t="s">
        <v>4260</v>
      </c>
      <c r="B4086" t="s">
        <v>412</v>
      </c>
      <c r="C4086" s="9">
        <v>26664</v>
      </c>
      <c r="D4086">
        <v>53</v>
      </c>
      <c r="E4086" t="s">
        <v>17</v>
      </c>
      <c r="F4086" t="s">
        <v>49</v>
      </c>
      <c r="G4086" s="9">
        <v>45060</v>
      </c>
      <c r="H4086" s="9">
        <v>45150</v>
      </c>
      <c r="I4086">
        <v>8</v>
      </c>
      <c r="J4086" t="s">
        <v>35</v>
      </c>
      <c r="K4086">
        <v>5</v>
      </c>
      <c r="L4086">
        <v>4</v>
      </c>
      <c r="M4086" s="11">
        <v>4665.32</v>
      </c>
      <c r="N4086" s="12">
        <v>2277.94</v>
      </c>
      <c r="O4086" s="12">
        <v>11001.02</v>
      </c>
    </row>
    <row r="4087" spans="1:15">
      <c r="A4087" t="s">
        <v>4261</v>
      </c>
      <c r="B4087" t="s">
        <v>264</v>
      </c>
      <c r="C4087" s="9">
        <v>24473</v>
      </c>
      <c r="D4087">
        <v>59</v>
      </c>
      <c r="E4087" t="s">
        <v>21</v>
      </c>
      <c r="F4087" t="s">
        <v>25</v>
      </c>
      <c r="G4087" s="9">
        <v>45616</v>
      </c>
      <c r="H4087" s="9">
        <v>45417</v>
      </c>
      <c r="I4087">
        <v>24</v>
      </c>
      <c r="J4087" t="s">
        <v>35</v>
      </c>
      <c r="K4087">
        <v>10</v>
      </c>
      <c r="L4087">
        <v>0</v>
      </c>
      <c r="M4087" s="11">
        <v>16466.060000000001</v>
      </c>
      <c r="N4087" s="12">
        <v>10121.299999999999</v>
      </c>
      <c r="O4087" s="12">
        <v>10869.64</v>
      </c>
    </row>
    <row r="4088" spans="1:15">
      <c r="A4088" t="s">
        <v>4262</v>
      </c>
      <c r="B4088" t="s">
        <v>226</v>
      </c>
      <c r="C4088" s="9">
        <f>DATE(2026-D4048,1,1)</f>
        <v>14611</v>
      </c>
      <c r="D4088">
        <v>56</v>
      </c>
      <c r="E4088" t="s">
        <v>17</v>
      </c>
      <c r="F4088" t="s">
        <v>29</v>
      </c>
      <c r="G4088" s="9">
        <v>45291</v>
      </c>
      <c r="H4088" s="9">
        <v>45613</v>
      </c>
      <c r="I4088">
        <v>31</v>
      </c>
      <c r="J4088" t="s">
        <v>35</v>
      </c>
      <c r="K4088">
        <v>1</v>
      </c>
      <c r="L4088">
        <v>6</v>
      </c>
      <c r="M4088" s="11">
        <v>15124.28</v>
      </c>
      <c r="N4088" s="12">
        <v>14732</v>
      </c>
      <c r="O4088" s="12">
        <v>11621.34</v>
      </c>
    </row>
    <row r="4089" spans="1:15">
      <c r="A4089" t="s">
        <v>4263</v>
      </c>
      <c r="B4089" t="s">
        <v>159</v>
      </c>
      <c r="C4089" s="9">
        <v>29221</v>
      </c>
      <c r="D4089">
        <f ca="1">DATEDIF(C4040,TODAY(),"Y")</f>
        <v>58</v>
      </c>
      <c r="E4089" t="s">
        <v>17</v>
      </c>
      <c r="F4089" t="s">
        <v>25</v>
      </c>
      <c r="G4089" s="9">
        <v>45501</v>
      </c>
      <c r="H4089" s="9">
        <v>45630</v>
      </c>
      <c r="I4089">
        <v>15</v>
      </c>
      <c r="J4089" t="s">
        <v>26</v>
      </c>
      <c r="K4089">
        <v>0</v>
      </c>
      <c r="L4089">
        <v>9</v>
      </c>
      <c r="M4089" s="11">
        <v>23694.87</v>
      </c>
      <c r="N4089" s="12">
        <v>3711.57</v>
      </c>
      <c r="O4089" s="12">
        <v>16382.87</v>
      </c>
    </row>
    <row r="4090" spans="1:15">
      <c r="A4090" t="s">
        <v>4264</v>
      </c>
      <c r="B4090" t="s">
        <v>387</v>
      </c>
      <c r="C4090" s="9">
        <v>35065</v>
      </c>
      <c r="D4090">
        <v>30</v>
      </c>
      <c r="E4090" t="s">
        <v>17</v>
      </c>
      <c r="F4090" t="s">
        <v>25</v>
      </c>
      <c r="G4090" s="9">
        <v>45351</v>
      </c>
      <c r="H4090" s="9">
        <v>45579</v>
      </c>
      <c r="I4090">
        <v>24</v>
      </c>
      <c r="J4090" t="s">
        <v>35</v>
      </c>
      <c r="K4090">
        <v>1</v>
      </c>
      <c r="L4090">
        <v>1</v>
      </c>
      <c r="M4090" s="11">
        <v>19018.82</v>
      </c>
      <c r="N4090" s="12">
        <v>4847.96</v>
      </c>
      <c r="O4090" s="12">
        <v>18014.150000000001</v>
      </c>
    </row>
    <row r="4091" spans="1:15">
      <c r="A4091" t="s">
        <v>4265</v>
      </c>
      <c r="B4091" t="s">
        <v>479</v>
      </c>
      <c r="C4091" s="9">
        <v>29586</v>
      </c>
      <c r="D4091">
        <v>45</v>
      </c>
      <c r="E4091" t="s">
        <v>17</v>
      </c>
      <c r="F4091" t="s">
        <v>5184</v>
      </c>
      <c r="G4091" s="9">
        <v>45341</v>
      </c>
      <c r="H4091" s="9">
        <v>45224</v>
      </c>
      <c r="I4091">
        <v>1</v>
      </c>
      <c r="J4091" t="s">
        <v>32</v>
      </c>
      <c r="K4091">
        <v>8</v>
      </c>
      <c r="L4091">
        <v>2</v>
      </c>
      <c r="M4091" s="11">
        <v>21296.09</v>
      </c>
      <c r="N4091" s="12">
        <v>6091.37</v>
      </c>
      <c r="O4091" s="12">
        <v>4095.81</v>
      </c>
    </row>
    <row r="4092" spans="1:15">
      <c r="A4092" t="s">
        <v>4266</v>
      </c>
      <c r="B4092" t="s">
        <v>48</v>
      </c>
      <c r="C4092" s="9">
        <v>36891</v>
      </c>
      <c r="D4092">
        <v>25</v>
      </c>
      <c r="E4092" t="s">
        <v>21</v>
      </c>
      <c r="F4092" t="s">
        <v>74</v>
      </c>
      <c r="G4092" s="9">
        <v>45582</v>
      </c>
      <c r="H4092" s="9">
        <v>45046</v>
      </c>
      <c r="I4092">
        <v>14</v>
      </c>
      <c r="J4092" t="s">
        <v>26</v>
      </c>
      <c r="K4092">
        <v>11</v>
      </c>
      <c r="L4092">
        <v>3</v>
      </c>
      <c r="M4092" s="11">
        <v>2320.64</v>
      </c>
      <c r="N4092" s="12">
        <v>7252.24</v>
      </c>
      <c r="O4092" s="12">
        <v>17194.990000000002</v>
      </c>
    </row>
    <row r="4093" spans="1:15">
      <c r="A4093" t="s">
        <v>4267</v>
      </c>
      <c r="B4093" t="s">
        <v>103</v>
      </c>
      <c r="C4093" s="9">
        <v>44561</v>
      </c>
      <c r="D4093">
        <v>4</v>
      </c>
      <c r="E4093" t="s">
        <v>17</v>
      </c>
      <c r="F4093" t="s">
        <v>18</v>
      </c>
      <c r="G4093" s="9">
        <v>45438</v>
      </c>
      <c r="H4093" s="9">
        <v>45714</v>
      </c>
      <c r="I4093">
        <v>3</v>
      </c>
      <c r="J4093" t="s">
        <v>35</v>
      </c>
      <c r="K4093">
        <v>12</v>
      </c>
      <c r="L4093">
        <v>2</v>
      </c>
      <c r="M4093" s="11">
        <v>346.83</v>
      </c>
      <c r="N4093" s="12">
        <v>10786.55</v>
      </c>
      <c r="O4093" s="12">
        <v>10908.91</v>
      </c>
    </row>
    <row r="4094" spans="1:15">
      <c r="A4094" t="s">
        <v>4268</v>
      </c>
      <c r="B4094" t="s">
        <v>91</v>
      </c>
      <c r="C4094" s="9">
        <v>15707</v>
      </c>
      <c r="D4094">
        <v>83</v>
      </c>
      <c r="E4094" t="s">
        <v>21</v>
      </c>
      <c r="F4094" t="s">
        <v>22</v>
      </c>
      <c r="G4094" s="9">
        <v>45311</v>
      </c>
      <c r="H4094" s="9">
        <v>45003</v>
      </c>
      <c r="I4094">
        <v>39</v>
      </c>
      <c r="J4094" t="s">
        <v>32</v>
      </c>
      <c r="K4094">
        <v>10</v>
      </c>
      <c r="L4094">
        <v>2</v>
      </c>
      <c r="M4094" s="11">
        <v>29071.02</v>
      </c>
      <c r="N4094" s="12">
        <v>2050.1</v>
      </c>
      <c r="O4094" s="12">
        <v>18481.84</v>
      </c>
    </row>
    <row r="4095" spans="1:15">
      <c r="A4095" t="s">
        <v>4269</v>
      </c>
      <c r="B4095" t="s">
        <v>332</v>
      </c>
      <c r="C4095" s="9">
        <v>27395</v>
      </c>
      <c r="D4095">
        <v>51</v>
      </c>
      <c r="E4095" t="s">
        <v>21</v>
      </c>
      <c r="F4095" t="s">
        <v>25</v>
      </c>
      <c r="G4095" s="9">
        <v>45314</v>
      </c>
      <c r="H4095" s="9">
        <v>45548</v>
      </c>
      <c r="I4095">
        <v>8</v>
      </c>
      <c r="J4095" t="s">
        <v>26</v>
      </c>
      <c r="K4095">
        <v>12</v>
      </c>
      <c r="L4095">
        <v>8</v>
      </c>
      <c r="M4095" s="11">
        <v>12524.49</v>
      </c>
      <c r="N4095" s="12">
        <v>4536.9799999999996</v>
      </c>
      <c r="O4095" s="12">
        <v>18314.75</v>
      </c>
    </row>
    <row r="4096" spans="1:15">
      <c r="A4096" t="s">
        <v>4270</v>
      </c>
      <c r="B4096" t="s">
        <v>596</v>
      </c>
      <c r="C4096" s="9">
        <v>18994</v>
      </c>
      <c r="D4096">
        <v>74</v>
      </c>
      <c r="E4096" t="s">
        <v>21</v>
      </c>
      <c r="F4096" t="s">
        <v>49</v>
      </c>
      <c r="G4096" s="9">
        <v>45375</v>
      </c>
      <c r="H4096" s="9">
        <v>45558</v>
      </c>
      <c r="I4096">
        <v>2</v>
      </c>
      <c r="J4096" t="s">
        <v>35</v>
      </c>
      <c r="K4096">
        <v>5</v>
      </c>
      <c r="L4096">
        <v>3</v>
      </c>
      <c r="M4096" s="11">
        <v>0</v>
      </c>
      <c r="N4096" s="12">
        <v>8080.06</v>
      </c>
      <c r="O4096" s="12">
        <v>7727.61</v>
      </c>
    </row>
    <row r="4097" spans="1:15">
      <c r="A4097" t="s">
        <v>4271</v>
      </c>
      <c r="B4097" t="s">
        <v>163</v>
      </c>
      <c r="C4097" s="9">
        <v>26664</v>
      </c>
      <c r="D4097">
        <v>53</v>
      </c>
      <c r="E4097" t="s">
        <v>21</v>
      </c>
      <c r="F4097" t="s">
        <v>5184</v>
      </c>
      <c r="G4097" s="9">
        <v>45490</v>
      </c>
      <c r="H4097" s="9">
        <v>45808</v>
      </c>
      <c r="I4097">
        <v>15</v>
      </c>
      <c r="J4097" t="s">
        <v>32</v>
      </c>
      <c r="K4097">
        <v>2</v>
      </c>
      <c r="L4097">
        <v>7</v>
      </c>
      <c r="M4097" s="11">
        <v>567.88</v>
      </c>
      <c r="N4097" s="12">
        <v>8843.66</v>
      </c>
      <c r="O4097" s="12">
        <v>13002.72</v>
      </c>
    </row>
    <row r="4098" spans="1:15">
      <c r="A4098" t="s">
        <v>4272</v>
      </c>
      <c r="B4098" t="s">
        <v>153</v>
      </c>
      <c r="C4098" s="9">
        <v>34334</v>
      </c>
      <c r="D4098">
        <v>32</v>
      </c>
      <c r="E4098" t="s">
        <v>17</v>
      </c>
      <c r="F4098" t="s">
        <v>49</v>
      </c>
      <c r="G4098" s="9">
        <v>45229</v>
      </c>
      <c r="H4098" s="9">
        <v>45185</v>
      </c>
      <c r="I4098">
        <v>22</v>
      </c>
      <c r="J4098" t="s">
        <v>32</v>
      </c>
      <c r="K4098">
        <v>10</v>
      </c>
      <c r="L4098">
        <v>0</v>
      </c>
      <c r="M4098" s="11">
        <v>3126.78</v>
      </c>
      <c r="N4098" s="12">
        <v>8049.45</v>
      </c>
      <c r="O4098" s="12">
        <v>17415.36</v>
      </c>
    </row>
    <row r="4099" spans="1:15">
      <c r="A4099" t="s">
        <v>4273</v>
      </c>
      <c r="B4099" t="s">
        <v>123</v>
      </c>
      <c r="C4099" s="9">
        <v>28125</v>
      </c>
      <c r="D4099">
        <v>49</v>
      </c>
      <c r="E4099" t="s">
        <v>21</v>
      </c>
      <c r="F4099" t="s">
        <v>22</v>
      </c>
      <c r="G4099" s="9">
        <v>45025</v>
      </c>
      <c r="H4099" s="9">
        <v>45459</v>
      </c>
      <c r="I4099">
        <v>7</v>
      </c>
      <c r="J4099" t="s">
        <v>32</v>
      </c>
      <c r="K4099">
        <v>6</v>
      </c>
      <c r="L4099">
        <v>5</v>
      </c>
      <c r="M4099" s="11">
        <v>28184.45</v>
      </c>
      <c r="N4099" s="12">
        <v>6532.33</v>
      </c>
      <c r="O4099" s="12">
        <v>7632.65</v>
      </c>
    </row>
    <row r="4100" spans="1:15">
      <c r="A4100" t="s">
        <v>4274</v>
      </c>
      <c r="B4100" t="s">
        <v>232</v>
      </c>
      <c r="C4100" s="9">
        <v>32508</v>
      </c>
      <c r="D4100">
        <v>37</v>
      </c>
      <c r="E4100" t="s">
        <v>17</v>
      </c>
      <c r="F4100" t="s">
        <v>18</v>
      </c>
      <c r="G4100" s="9">
        <v>45232</v>
      </c>
      <c r="H4100" s="9">
        <v>45558</v>
      </c>
      <c r="I4100">
        <v>38</v>
      </c>
      <c r="J4100" t="s">
        <v>26</v>
      </c>
      <c r="K4100">
        <v>6</v>
      </c>
      <c r="L4100">
        <v>0</v>
      </c>
      <c r="M4100" s="11">
        <v>0</v>
      </c>
      <c r="N4100" s="12">
        <v>10672.13</v>
      </c>
      <c r="O4100" s="12">
        <v>780.89</v>
      </c>
    </row>
    <row r="4101" spans="1:15">
      <c r="A4101" t="s">
        <v>4275</v>
      </c>
      <c r="B4101" t="s">
        <v>240</v>
      </c>
      <c r="C4101" s="9">
        <f>DATE(2026-D4061,1,1)</f>
        <v>36161</v>
      </c>
      <c r="D4101">
        <v>26</v>
      </c>
      <c r="E4101" t="s">
        <v>21</v>
      </c>
      <c r="F4101" t="s">
        <v>18</v>
      </c>
      <c r="G4101" s="9">
        <v>45483</v>
      </c>
      <c r="H4101" s="9">
        <v>45278</v>
      </c>
      <c r="I4101">
        <v>13</v>
      </c>
      <c r="J4101" t="s">
        <v>35</v>
      </c>
      <c r="K4101">
        <v>13</v>
      </c>
      <c r="L4101">
        <v>4</v>
      </c>
      <c r="M4101" s="11">
        <v>0</v>
      </c>
      <c r="N4101" s="12">
        <v>3067.12</v>
      </c>
      <c r="O4101" s="12">
        <v>7132.14</v>
      </c>
    </row>
    <row r="4102" spans="1:15">
      <c r="A4102" t="s">
        <v>4276</v>
      </c>
      <c r="B4102" t="s">
        <v>254</v>
      </c>
      <c r="C4102" s="9">
        <v>40909</v>
      </c>
      <c r="D4102">
        <v>14</v>
      </c>
      <c r="E4102" t="s">
        <v>21</v>
      </c>
      <c r="F4102" t="s">
        <v>29</v>
      </c>
      <c r="G4102" s="9">
        <v>44968</v>
      </c>
      <c r="H4102" s="9">
        <v>45576</v>
      </c>
      <c r="I4102">
        <v>7</v>
      </c>
      <c r="J4102" t="s">
        <v>32</v>
      </c>
      <c r="K4102">
        <v>1</v>
      </c>
      <c r="L4102">
        <v>6</v>
      </c>
      <c r="M4102" s="11">
        <v>27086.77</v>
      </c>
      <c r="N4102" s="12">
        <v>4240.92</v>
      </c>
      <c r="O4102" s="12">
        <v>7244.62</v>
      </c>
    </row>
    <row r="4103" spans="1:15">
      <c r="A4103" t="s">
        <v>4277</v>
      </c>
      <c r="B4103" t="s">
        <v>229</v>
      </c>
      <c r="C4103" s="9">
        <v>24107</v>
      </c>
      <c r="D4103">
        <v>60</v>
      </c>
      <c r="E4103" t="s">
        <v>5185</v>
      </c>
      <c r="F4103" t="s">
        <v>29</v>
      </c>
      <c r="G4103" s="9">
        <v>45394</v>
      </c>
      <c r="H4103" s="9">
        <v>45204</v>
      </c>
      <c r="I4103">
        <v>7</v>
      </c>
      <c r="J4103" t="s">
        <v>32</v>
      </c>
      <c r="K4103">
        <v>3</v>
      </c>
      <c r="L4103">
        <v>0</v>
      </c>
      <c r="M4103" s="11">
        <v>17491.73</v>
      </c>
      <c r="N4103" s="12">
        <v>6667.25</v>
      </c>
      <c r="O4103" s="12">
        <v>16115.59</v>
      </c>
    </row>
    <row r="4104" spans="1:15">
      <c r="A4104" t="s">
        <v>4278</v>
      </c>
      <c r="B4104" t="s">
        <v>196</v>
      </c>
      <c r="C4104" s="9">
        <v>38717</v>
      </c>
      <c r="D4104">
        <v>20</v>
      </c>
      <c r="E4104" t="s">
        <v>21</v>
      </c>
      <c r="F4104" t="s">
        <v>29</v>
      </c>
      <c r="G4104" s="9">
        <v>45366</v>
      </c>
      <c r="H4104" s="9">
        <v>45182</v>
      </c>
      <c r="I4104">
        <v>33</v>
      </c>
      <c r="J4104" t="s">
        <v>32</v>
      </c>
      <c r="K4104">
        <v>14</v>
      </c>
      <c r="L4104">
        <v>8</v>
      </c>
      <c r="M4104" s="11">
        <v>22267.279999999999</v>
      </c>
      <c r="N4104" s="12">
        <v>10432.540000000001</v>
      </c>
      <c r="O4104" s="12">
        <v>6123.43</v>
      </c>
    </row>
    <row r="4105" spans="1:15">
      <c r="A4105" t="s">
        <v>4279</v>
      </c>
      <c r="B4105" t="s">
        <v>596</v>
      </c>
      <c r="C4105" s="9">
        <f>DATE(2026-D4065,1,1)</f>
        <v>13516</v>
      </c>
      <c r="D4105">
        <v>45</v>
      </c>
      <c r="E4105" t="s">
        <v>17</v>
      </c>
      <c r="F4105" t="s">
        <v>18</v>
      </c>
      <c r="G4105" s="9">
        <v>45253</v>
      </c>
      <c r="H4105" s="9">
        <v>45191</v>
      </c>
      <c r="I4105">
        <v>18</v>
      </c>
      <c r="J4105" t="s">
        <v>32</v>
      </c>
      <c r="K4105">
        <v>1</v>
      </c>
      <c r="L4105">
        <v>8</v>
      </c>
      <c r="M4105" s="11">
        <v>12663.79</v>
      </c>
      <c r="N4105" s="12">
        <v>1235.26</v>
      </c>
      <c r="O4105" s="12">
        <v>17869.07</v>
      </c>
    </row>
    <row r="4106" spans="1:15">
      <c r="A4106" t="s">
        <v>4280</v>
      </c>
      <c r="B4106" t="s">
        <v>596</v>
      </c>
      <c r="C4106" s="9">
        <v>21185</v>
      </c>
      <c r="D4106">
        <v>68</v>
      </c>
      <c r="E4106" t="s">
        <v>21</v>
      </c>
      <c r="F4106" t="s">
        <v>25</v>
      </c>
      <c r="G4106" s="9">
        <v>45495</v>
      </c>
      <c r="H4106" s="9">
        <v>45606</v>
      </c>
      <c r="I4106">
        <v>11</v>
      </c>
      <c r="J4106" t="s">
        <v>35</v>
      </c>
      <c r="K4106">
        <v>13</v>
      </c>
      <c r="L4106">
        <v>5</v>
      </c>
      <c r="M4106" s="11">
        <v>12661.61</v>
      </c>
      <c r="N4106" s="12">
        <v>1735.06</v>
      </c>
      <c r="O4106" s="12">
        <v>10927.69</v>
      </c>
    </row>
    <row r="4107" spans="1:15">
      <c r="A4107" t="s">
        <v>4281</v>
      </c>
      <c r="B4107" t="s">
        <v>67</v>
      </c>
      <c r="C4107" s="9">
        <v>44196</v>
      </c>
      <c r="D4107">
        <v>5</v>
      </c>
      <c r="E4107" t="s">
        <v>21</v>
      </c>
      <c r="F4107" t="s">
        <v>74</v>
      </c>
      <c r="G4107" s="9">
        <v>44959</v>
      </c>
      <c r="H4107" s="9">
        <v>45604</v>
      </c>
      <c r="I4107">
        <v>5</v>
      </c>
      <c r="J4107" t="s">
        <v>35</v>
      </c>
      <c r="K4107">
        <v>11</v>
      </c>
      <c r="L4107">
        <v>1</v>
      </c>
      <c r="M4107" s="11">
        <v>1584.69</v>
      </c>
      <c r="N4107" s="12">
        <v>11736.13</v>
      </c>
      <c r="O4107" s="12">
        <v>11681.7</v>
      </c>
    </row>
    <row r="4108" spans="1:15">
      <c r="A4108" t="s">
        <v>4282</v>
      </c>
      <c r="B4108" t="s">
        <v>89</v>
      </c>
      <c r="C4108" s="9">
        <v>32508</v>
      </c>
      <c r="D4108">
        <v>37</v>
      </c>
      <c r="E4108" t="s">
        <v>17</v>
      </c>
      <c r="F4108" t="s">
        <v>22</v>
      </c>
      <c r="G4108" s="9">
        <v>45338</v>
      </c>
      <c r="H4108" s="9">
        <v>44956</v>
      </c>
      <c r="I4108">
        <v>2</v>
      </c>
      <c r="J4108" t="s">
        <v>35</v>
      </c>
      <c r="K4108">
        <v>11</v>
      </c>
      <c r="L4108">
        <v>1</v>
      </c>
      <c r="M4108" s="11">
        <v>21886.18</v>
      </c>
      <c r="N4108" s="12">
        <v>3914.32</v>
      </c>
      <c r="O4108" s="12">
        <v>16120.85</v>
      </c>
    </row>
    <row r="4109" spans="1:15">
      <c r="A4109" t="s">
        <v>4283</v>
      </c>
      <c r="B4109" t="s">
        <v>356</v>
      </c>
      <c r="C4109" s="9">
        <v>23742</v>
      </c>
      <c r="D4109">
        <v>61</v>
      </c>
      <c r="E4109" t="s">
        <v>17</v>
      </c>
      <c r="F4109" t="s">
        <v>5184</v>
      </c>
      <c r="G4109" s="9">
        <v>45552</v>
      </c>
      <c r="H4109" s="9">
        <v>45394</v>
      </c>
      <c r="I4109">
        <v>13</v>
      </c>
      <c r="J4109" t="s">
        <v>32</v>
      </c>
      <c r="K4109">
        <v>5</v>
      </c>
      <c r="L4109">
        <v>8</v>
      </c>
      <c r="M4109" s="11">
        <v>2523.08</v>
      </c>
      <c r="N4109" s="12">
        <v>14452.3</v>
      </c>
      <c r="O4109" s="12">
        <v>2604.96</v>
      </c>
    </row>
    <row r="4110" spans="1:15">
      <c r="A4110" t="s">
        <v>4284</v>
      </c>
      <c r="B4110" t="s">
        <v>112</v>
      </c>
      <c r="C4110" s="9">
        <v>14976</v>
      </c>
      <c r="D4110">
        <v>85</v>
      </c>
      <c r="E4110" t="s">
        <v>21</v>
      </c>
      <c r="F4110" t="s">
        <v>22</v>
      </c>
      <c r="G4110" s="9">
        <v>45040</v>
      </c>
      <c r="H4110" s="9">
        <v>44962</v>
      </c>
      <c r="I4110">
        <v>23</v>
      </c>
      <c r="J4110" t="s">
        <v>26</v>
      </c>
      <c r="K4110">
        <v>11</v>
      </c>
      <c r="L4110">
        <v>3</v>
      </c>
      <c r="M4110" s="11">
        <v>22810.16</v>
      </c>
      <c r="N4110" s="12">
        <v>14421.07</v>
      </c>
      <c r="O4110" s="12">
        <v>260.63</v>
      </c>
    </row>
    <row r="4111" spans="1:15">
      <c r="A4111" t="s">
        <v>4285</v>
      </c>
      <c r="B4111" t="s">
        <v>53</v>
      </c>
      <c r="C4111" s="9">
        <v>23742</v>
      </c>
      <c r="D4111">
        <v>61</v>
      </c>
      <c r="E4111" t="s">
        <v>21</v>
      </c>
      <c r="F4111" t="s">
        <v>22</v>
      </c>
      <c r="G4111" s="9">
        <v>45434</v>
      </c>
      <c r="H4111" s="9">
        <v>45676</v>
      </c>
      <c r="I4111">
        <v>39</v>
      </c>
      <c r="J4111" t="s">
        <v>32</v>
      </c>
      <c r="K4111">
        <v>2</v>
      </c>
      <c r="L4111">
        <v>5</v>
      </c>
      <c r="M4111" s="11">
        <v>5321.17</v>
      </c>
      <c r="N4111" s="12">
        <v>10289.17</v>
      </c>
      <c r="O4111" s="12">
        <v>1037.95</v>
      </c>
    </row>
    <row r="4112" spans="1:15">
      <c r="A4112" t="s">
        <v>4286</v>
      </c>
      <c r="B4112" t="s">
        <v>46</v>
      </c>
      <c r="C4112" s="9">
        <v>16437</v>
      </c>
      <c r="D4112">
        <v>81</v>
      </c>
      <c r="E4112" t="s">
        <v>21</v>
      </c>
      <c r="F4112" t="s">
        <v>29</v>
      </c>
      <c r="G4112" s="9">
        <v>44982</v>
      </c>
      <c r="H4112" s="9">
        <v>45221</v>
      </c>
      <c r="I4112">
        <v>3</v>
      </c>
      <c r="J4112" t="s">
        <v>26</v>
      </c>
      <c r="K4112">
        <v>14</v>
      </c>
      <c r="L4112">
        <v>9</v>
      </c>
      <c r="M4112" s="11">
        <v>7044.7</v>
      </c>
      <c r="N4112" s="12">
        <v>10753.1</v>
      </c>
      <c r="O4112" s="12">
        <v>516.34</v>
      </c>
    </row>
    <row r="4113" spans="1:15">
      <c r="A4113" t="s">
        <v>4287</v>
      </c>
      <c r="B4113" t="s">
        <v>524</v>
      </c>
      <c r="C4113" s="9">
        <v>17898</v>
      </c>
      <c r="D4113">
        <v>77</v>
      </c>
      <c r="E4113" t="s">
        <v>17</v>
      </c>
      <c r="F4113" t="s">
        <v>74</v>
      </c>
      <c r="G4113" s="9">
        <v>45482</v>
      </c>
      <c r="H4113" s="9">
        <v>45529</v>
      </c>
      <c r="I4113">
        <v>36</v>
      </c>
      <c r="J4113" t="s">
        <v>32</v>
      </c>
      <c r="K4113">
        <v>13</v>
      </c>
      <c r="L4113">
        <v>1</v>
      </c>
      <c r="M4113" s="11">
        <v>27495.64</v>
      </c>
      <c r="N4113" s="12">
        <v>9765</v>
      </c>
      <c r="O4113" s="12">
        <v>13967.89</v>
      </c>
    </row>
    <row r="4114" spans="1:15">
      <c r="A4114" t="s">
        <v>4288</v>
      </c>
      <c r="B4114" t="s">
        <v>20</v>
      </c>
      <c r="C4114" s="9">
        <v>19359</v>
      </c>
      <c r="D4114">
        <v>73</v>
      </c>
      <c r="E4114" t="s">
        <v>17</v>
      </c>
      <c r="F4114" t="s">
        <v>49</v>
      </c>
      <c r="G4114" s="9">
        <v>45650</v>
      </c>
      <c r="H4114" s="9">
        <v>45130</v>
      </c>
      <c r="I4114">
        <v>1</v>
      </c>
      <c r="J4114" t="s">
        <v>35</v>
      </c>
      <c r="K4114">
        <v>10</v>
      </c>
      <c r="L4114">
        <v>3</v>
      </c>
      <c r="M4114" s="11">
        <v>13882.81</v>
      </c>
      <c r="N4114" s="12">
        <v>2659.96</v>
      </c>
      <c r="O4114" s="12">
        <v>4823.92</v>
      </c>
    </row>
    <row r="4115" spans="1:15">
      <c r="A4115" t="s">
        <v>4289</v>
      </c>
      <c r="B4115" t="s">
        <v>44</v>
      </c>
      <c r="C4115" s="9">
        <v>29586</v>
      </c>
      <c r="D4115">
        <v>45</v>
      </c>
      <c r="E4115" t="s">
        <v>17</v>
      </c>
      <c r="F4115" t="s">
        <v>18</v>
      </c>
      <c r="G4115" s="9">
        <v>45278</v>
      </c>
      <c r="H4115" s="9">
        <v>45667</v>
      </c>
      <c r="I4115">
        <v>6</v>
      </c>
      <c r="J4115" t="s">
        <v>35</v>
      </c>
      <c r="K4115">
        <v>6</v>
      </c>
      <c r="L4115">
        <v>1</v>
      </c>
      <c r="M4115" s="11">
        <v>3319.9</v>
      </c>
      <c r="N4115" s="12">
        <v>7506.83</v>
      </c>
      <c r="O4115" s="12">
        <v>17134.18</v>
      </c>
    </row>
    <row r="4116" spans="1:15">
      <c r="A4116" t="s">
        <v>4290</v>
      </c>
      <c r="B4116" t="s">
        <v>149</v>
      </c>
      <c r="C4116" s="9">
        <v>41639</v>
      </c>
      <c r="D4116">
        <v>12</v>
      </c>
      <c r="E4116" t="s">
        <v>21</v>
      </c>
      <c r="F4116" t="s">
        <v>49</v>
      </c>
      <c r="G4116" s="9">
        <v>45255</v>
      </c>
      <c r="H4116" s="9">
        <v>44995</v>
      </c>
      <c r="I4116">
        <v>2</v>
      </c>
      <c r="J4116" t="s">
        <v>35</v>
      </c>
      <c r="K4116">
        <v>14</v>
      </c>
      <c r="L4116">
        <v>2</v>
      </c>
      <c r="M4116" s="11">
        <v>27104.99</v>
      </c>
      <c r="N4116" s="12">
        <v>11895.24</v>
      </c>
      <c r="O4116" s="12">
        <v>17645.79</v>
      </c>
    </row>
    <row r="4117" spans="1:15">
      <c r="A4117" t="s">
        <v>4291</v>
      </c>
      <c r="B4117" t="s">
        <v>194</v>
      </c>
      <c r="C4117" s="9">
        <v>11689</v>
      </c>
      <c r="D4117">
        <f ca="1">DATEDIF(C4068,TODAY(),"Y")</f>
        <v>76</v>
      </c>
      <c r="E4117" t="s">
        <v>17</v>
      </c>
      <c r="F4117" t="s">
        <v>29</v>
      </c>
      <c r="G4117" s="9">
        <v>45472</v>
      </c>
      <c r="H4117" s="9">
        <v>45058</v>
      </c>
      <c r="I4117">
        <v>37</v>
      </c>
      <c r="J4117" t="s">
        <v>32</v>
      </c>
      <c r="K4117">
        <v>10</v>
      </c>
      <c r="L4117">
        <v>1</v>
      </c>
      <c r="M4117" s="11">
        <v>13298.11</v>
      </c>
      <c r="N4117" s="12">
        <v>11620.17</v>
      </c>
      <c r="O4117" s="12">
        <v>7057.35</v>
      </c>
    </row>
    <row r="4118" spans="1:15">
      <c r="A4118" t="s">
        <v>4292</v>
      </c>
      <c r="B4118" t="s">
        <v>343</v>
      </c>
      <c r="C4118" s="9">
        <v>12054</v>
      </c>
      <c r="D4118">
        <v>93</v>
      </c>
      <c r="E4118" t="s">
        <v>17</v>
      </c>
      <c r="F4118" t="s">
        <v>25</v>
      </c>
      <c r="G4118" s="9">
        <v>45196</v>
      </c>
      <c r="H4118" s="9">
        <v>45804</v>
      </c>
      <c r="I4118">
        <v>2</v>
      </c>
      <c r="J4118" t="s">
        <v>32</v>
      </c>
      <c r="K4118">
        <v>6</v>
      </c>
      <c r="L4118">
        <v>7</v>
      </c>
      <c r="M4118" s="11">
        <v>3481.82</v>
      </c>
      <c r="N4118" s="12">
        <v>13481.56</v>
      </c>
      <c r="O4118" s="12">
        <v>3815.99</v>
      </c>
    </row>
    <row r="4119" spans="1:15">
      <c r="A4119" t="s">
        <v>4293</v>
      </c>
      <c r="B4119" t="s">
        <v>181</v>
      </c>
      <c r="C4119" s="9">
        <v>45292</v>
      </c>
      <c r="D4119">
        <v>2</v>
      </c>
      <c r="E4119" t="s">
        <v>17</v>
      </c>
      <c r="F4119" t="s">
        <v>5184</v>
      </c>
      <c r="G4119" s="9">
        <v>45122</v>
      </c>
      <c r="H4119" s="9">
        <v>45038</v>
      </c>
      <c r="I4119">
        <v>5</v>
      </c>
      <c r="J4119" t="s">
        <v>32</v>
      </c>
      <c r="K4119">
        <v>7</v>
      </c>
      <c r="L4119">
        <v>4</v>
      </c>
      <c r="M4119" s="11">
        <v>11420.1</v>
      </c>
      <c r="N4119" s="12">
        <v>13511.97</v>
      </c>
      <c r="O4119" s="12">
        <v>9926.1200000000008</v>
      </c>
    </row>
    <row r="4120" spans="1:15">
      <c r="A4120" t="s">
        <v>4294</v>
      </c>
      <c r="B4120" t="s">
        <v>57</v>
      </c>
      <c r="C4120" s="9">
        <v>12054</v>
      </c>
      <c r="D4120">
        <v>93</v>
      </c>
      <c r="E4120" t="s">
        <v>17</v>
      </c>
      <c r="F4120" t="s">
        <v>5184</v>
      </c>
      <c r="G4120" s="9">
        <v>45339</v>
      </c>
      <c r="H4120" s="9">
        <v>45451</v>
      </c>
      <c r="I4120">
        <v>2</v>
      </c>
      <c r="J4120" t="s">
        <v>26</v>
      </c>
      <c r="K4120">
        <v>9</v>
      </c>
      <c r="L4120">
        <v>4</v>
      </c>
      <c r="M4120" s="11">
        <v>17474.54</v>
      </c>
      <c r="N4120" s="12">
        <v>3922.28</v>
      </c>
      <c r="O4120" s="12">
        <v>16297.75</v>
      </c>
    </row>
    <row r="4121" spans="1:15">
      <c r="A4121" t="s">
        <v>4295</v>
      </c>
      <c r="B4121" t="s">
        <v>103</v>
      </c>
      <c r="C4121" s="9">
        <v>44196</v>
      </c>
      <c r="D4121">
        <v>5</v>
      </c>
      <c r="E4121" t="s">
        <v>17</v>
      </c>
      <c r="F4121" t="s">
        <v>29</v>
      </c>
      <c r="G4121" s="9">
        <v>45563</v>
      </c>
      <c r="H4121" s="9">
        <v>45215</v>
      </c>
      <c r="I4121">
        <v>2</v>
      </c>
      <c r="J4121" t="s">
        <v>32</v>
      </c>
      <c r="K4121">
        <v>4</v>
      </c>
      <c r="L4121">
        <v>7</v>
      </c>
      <c r="M4121" s="11">
        <v>10551.43</v>
      </c>
      <c r="N4121" s="12">
        <v>10825.81</v>
      </c>
      <c r="O4121" s="12">
        <v>13666.33</v>
      </c>
    </row>
    <row r="4122" spans="1:15">
      <c r="A4122" t="s">
        <v>4296</v>
      </c>
      <c r="B4122" t="s">
        <v>125</v>
      </c>
      <c r="C4122" s="9">
        <v>12419</v>
      </c>
      <c r="D4122">
        <v>92</v>
      </c>
      <c r="E4122" t="s">
        <v>21</v>
      </c>
      <c r="F4122" t="s">
        <v>74</v>
      </c>
      <c r="G4122" s="9">
        <v>45005</v>
      </c>
      <c r="H4122" s="9">
        <v>45614</v>
      </c>
      <c r="I4122">
        <v>14</v>
      </c>
      <c r="J4122" t="s">
        <v>26</v>
      </c>
      <c r="K4122">
        <v>5</v>
      </c>
      <c r="L4122">
        <v>7</v>
      </c>
      <c r="M4122" s="11">
        <v>27691.96</v>
      </c>
      <c r="N4122" s="12">
        <v>9770.1</v>
      </c>
      <c r="O4122" s="12">
        <v>417.42</v>
      </c>
    </row>
    <row r="4123" spans="1:15">
      <c r="A4123" t="s">
        <v>4297</v>
      </c>
      <c r="B4123" t="s">
        <v>207</v>
      </c>
      <c r="C4123" s="9">
        <v>43466</v>
      </c>
      <c r="D4123">
        <v>7</v>
      </c>
      <c r="E4123" t="s">
        <v>17</v>
      </c>
      <c r="F4123" t="s">
        <v>5184</v>
      </c>
      <c r="G4123" s="9">
        <v>45583</v>
      </c>
      <c r="H4123" s="9">
        <v>45758</v>
      </c>
      <c r="I4123">
        <v>6</v>
      </c>
      <c r="J4123" t="s">
        <v>32</v>
      </c>
      <c r="K4123">
        <v>13</v>
      </c>
      <c r="L4123">
        <v>6</v>
      </c>
      <c r="M4123" s="11">
        <v>7725.36</v>
      </c>
      <c r="N4123" s="12">
        <v>13287.45</v>
      </c>
      <c r="O4123" s="12">
        <v>43.73</v>
      </c>
    </row>
    <row r="4124" spans="1:15">
      <c r="A4124" t="s">
        <v>4298</v>
      </c>
      <c r="B4124" t="s">
        <v>145</v>
      </c>
      <c r="C4124" s="9">
        <v>30317</v>
      </c>
      <c r="D4124">
        <v>43</v>
      </c>
      <c r="E4124" t="s">
        <v>17</v>
      </c>
      <c r="F4124" t="s">
        <v>29</v>
      </c>
      <c r="G4124" s="9">
        <v>45009</v>
      </c>
      <c r="H4124" s="9">
        <v>45593</v>
      </c>
      <c r="I4124">
        <v>31</v>
      </c>
      <c r="J4124" t="s">
        <v>32</v>
      </c>
      <c r="K4124">
        <v>5</v>
      </c>
      <c r="L4124">
        <v>4</v>
      </c>
      <c r="M4124" s="11">
        <v>4862.68</v>
      </c>
      <c r="N4124" s="12">
        <v>2752.12</v>
      </c>
      <c r="O4124" s="12">
        <v>2187.4499999999998</v>
      </c>
    </row>
    <row r="4125" spans="1:15">
      <c r="A4125" t="s">
        <v>4299</v>
      </c>
      <c r="B4125" t="s">
        <v>155</v>
      </c>
      <c r="C4125" s="9">
        <v>34334</v>
      </c>
      <c r="D4125">
        <v>32</v>
      </c>
      <c r="E4125" t="s">
        <v>21</v>
      </c>
      <c r="F4125" t="s">
        <v>22</v>
      </c>
      <c r="G4125" s="9">
        <v>45063</v>
      </c>
      <c r="H4125" s="9">
        <v>44970</v>
      </c>
      <c r="I4125">
        <v>30</v>
      </c>
      <c r="J4125" t="s">
        <v>32</v>
      </c>
      <c r="K4125">
        <v>3</v>
      </c>
      <c r="L4125">
        <v>6</v>
      </c>
      <c r="M4125" s="11">
        <v>6239.01</v>
      </c>
      <c r="N4125" s="12">
        <v>11096.89</v>
      </c>
      <c r="O4125" s="12">
        <v>6669.15</v>
      </c>
    </row>
    <row r="4126" spans="1:15">
      <c r="A4126" t="s">
        <v>4300</v>
      </c>
      <c r="B4126" t="s">
        <v>326</v>
      </c>
      <c r="C4126" s="9">
        <v>16802</v>
      </c>
      <c r="D4126">
        <v>80</v>
      </c>
      <c r="E4126" t="s">
        <v>21</v>
      </c>
      <c r="F4126" t="s">
        <v>25</v>
      </c>
      <c r="G4126" s="9">
        <v>45465</v>
      </c>
      <c r="H4126" s="9">
        <v>45802</v>
      </c>
      <c r="I4126">
        <v>19</v>
      </c>
      <c r="J4126" t="s">
        <v>35</v>
      </c>
      <c r="K4126">
        <v>5</v>
      </c>
      <c r="L4126">
        <v>0</v>
      </c>
      <c r="M4126" s="11">
        <v>2054.37</v>
      </c>
      <c r="N4126" s="12">
        <v>6349.98</v>
      </c>
      <c r="O4126" s="12">
        <v>10691.33</v>
      </c>
    </row>
    <row r="4127" spans="1:15">
      <c r="A4127" t="s">
        <v>4301</v>
      </c>
      <c r="B4127" t="s">
        <v>237</v>
      </c>
      <c r="C4127" s="9">
        <v>18994</v>
      </c>
      <c r="D4127">
        <v>74</v>
      </c>
      <c r="E4127" t="s">
        <v>17</v>
      </c>
      <c r="F4127" t="s">
        <v>25</v>
      </c>
      <c r="G4127" s="9">
        <v>45615</v>
      </c>
      <c r="H4127" s="9">
        <v>45644</v>
      </c>
      <c r="I4127">
        <v>18</v>
      </c>
      <c r="J4127" t="s">
        <v>32</v>
      </c>
      <c r="K4127">
        <v>13</v>
      </c>
      <c r="L4127">
        <v>2</v>
      </c>
      <c r="M4127" s="11">
        <v>13295.03</v>
      </c>
      <c r="N4127" s="12">
        <v>5917.28</v>
      </c>
      <c r="O4127" s="12">
        <v>16333.46</v>
      </c>
    </row>
    <row r="4128" spans="1:15">
      <c r="A4128" t="s">
        <v>4302</v>
      </c>
      <c r="B4128" t="s">
        <v>55</v>
      </c>
      <c r="C4128" s="9">
        <v>18263</v>
      </c>
      <c r="D4128">
        <v>76</v>
      </c>
      <c r="E4128" t="s">
        <v>21</v>
      </c>
      <c r="F4128" t="s">
        <v>18</v>
      </c>
      <c r="G4128" s="9">
        <v>45645</v>
      </c>
      <c r="H4128" s="9">
        <v>45611</v>
      </c>
      <c r="I4128">
        <v>12</v>
      </c>
      <c r="J4128" t="s">
        <v>32</v>
      </c>
      <c r="K4128">
        <v>7</v>
      </c>
      <c r="L4128">
        <v>2</v>
      </c>
      <c r="M4128" s="11">
        <v>26289.18</v>
      </c>
      <c r="N4128" s="12">
        <v>536.86</v>
      </c>
      <c r="O4128" s="12">
        <v>2770.13</v>
      </c>
    </row>
    <row r="4129" spans="1:15">
      <c r="A4129" t="s">
        <v>4303</v>
      </c>
      <c r="B4129" t="s">
        <v>100</v>
      </c>
      <c r="C4129" s="9">
        <v>28125</v>
      </c>
      <c r="D4129">
        <v>49</v>
      </c>
      <c r="E4129" t="s">
        <v>17</v>
      </c>
      <c r="F4129" t="s">
        <v>18</v>
      </c>
      <c r="G4129" s="9">
        <v>45232</v>
      </c>
      <c r="H4129" s="9">
        <v>45221</v>
      </c>
      <c r="I4129">
        <v>2</v>
      </c>
      <c r="J4129" t="s">
        <v>32</v>
      </c>
      <c r="K4129">
        <v>10</v>
      </c>
      <c r="L4129">
        <v>1</v>
      </c>
      <c r="M4129" s="11">
        <v>8812.86</v>
      </c>
      <c r="N4129" s="12">
        <v>14421.91</v>
      </c>
      <c r="O4129" s="12">
        <v>2964.83</v>
      </c>
    </row>
    <row r="4130" spans="1:15">
      <c r="A4130" t="s">
        <v>4304</v>
      </c>
      <c r="B4130" t="s">
        <v>53</v>
      </c>
      <c r="C4130" s="9">
        <v>42370</v>
      </c>
      <c r="D4130">
        <v>10</v>
      </c>
      <c r="E4130" t="s">
        <v>21</v>
      </c>
      <c r="F4130" t="s">
        <v>22</v>
      </c>
      <c r="G4130" s="9">
        <v>45237</v>
      </c>
      <c r="H4130" s="9">
        <v>45212</v>
      </c>
      <c r="I4130">
        <v>4</v>
      </c>
      <c r="J4130" t="s">
        <v>35</v>
      </c>
      <c r="K4130">
        <v>12</v>
      </c>
      <c r="L4130">
        <v>5</v>
      </c>
      <c r="M4130" s="11">
        <v>7379.3</v>
      </c>
      <c r="N4130" s="12">
        <v>10136.530000000001</v>
      </c>
      <c r="O4130" s="12">
        <v>17258.97</v>
      </c>
    </row>
    <row r="4131" spans="1:15">
      <c r="A4131" t="s">
        <v>4305</v>
      </c>
      <c r="B4131" t="s">
        <v>163</v>
      </c>
      <c r="C4131" s="9">
        <v>11689</v>
      </c>
      <c r="D4131">
        <v>94</v>
      </c>
      <c r="E4131" t="s">
        <v>21</v>
      </c>
      <c r="F4131" t="s">
        <v>25</v>
      </c>
      <c r="G4131" s="9">
        <v>45314</v>
      </c>
      <c r="H4131" s="9">
        <v>45750</v>
      </c>
      <c r="I4131">
        <v>20</v>
      </c>
      <c r="J4131" t="s">
        <v>32</v>
      </c>
      <c r="K4131">
        <v>10</v>
      </c>
      <c r="L4131">
        <v>2</v>
      </c>
      <c r="M4131" s="11">
        <v>25040.23</v>
      </c>
      <c r="N4131" s="12">
        <v>8860.5300000000007</v>
      </c>
      <c r="O4131" s="12">
        <v>18472.900000000001</v>
      </c>
    </row>
    <row r="4132" spans="1:15">
      <c r="A4132" t="s">
        <v>4306</v>
      </c>
      <c r="B4132" t="s">
        <v>348</v>
      </c>
      <c r="C4132" s="9">
        <v>36161</v>
      </c>
      <c r="D4132">
        <v>27</v>
      </c>
      <c r="E4132" t="s">
        <v>21</v>
      </c>
      <c r="F4132" t="s">
        <v>22</v>
      </c>
      <c r="G4132" s="9">
        <v>45651</v>
      </c>
      <c r="H4132" s="9">
        <v>45491</v>
      </c>
      <c r="I4132">
        <v>3</v>
      </c>
      <c r="J4132" t="s">
        <v>26</v>
      </c>
      <c r="K4132">
        <v>9</v>
      </c>
      <c r="L4132">
        <v>3</v>
      </c>
      <c r="M4132" s="11">
        <v>8832.84</v>
      </c>
      <c r="N4132" s="12">
        <v>3767.49</v>
      </c>
      <c r="O4132" s="12">
        <v>10980.92</v>
      </c>
    </row>
    <row r="4133" spans="1:15">
      <c r="A4133" t="s">
        <v>4307</v>
      </c>
      <c r="B4133" t="s">
        <v>356</v>
      </c>
      <c r="C4133" s="9">
        <v>20820</v>
      </c>
      <c r="D4133">
        <v>69</v>
      </c>
      <c r="E4133" t="s">
        <v>21</v>
      </c>
      <c r="F4133" t="s">
        <v>25</v>
      </c>
      <c r="G4133" s="9">
        <v>45475</v>
      </c>
      <c r="H4133" s="9">
        <v>45554</v>
      </c>
      <c r="I4133">
        <v>17</v>
      </c>
      <c r="J4133" t="s">
        <v>32</v>
      </c>
      <c r="K4133">
        <v>2</v>
      </c>
      <c r="L4133">
        <v>2</v>
      </c>
      <c r="M4133" s="11">
        <v>14045.21</v>
      </c>
      <c r="N4133" s="12">
        <v>9876.68</v>
      </c>
      <c r="O4133" s="12">
        <v>15676.34</v>
      </c>
    </row>
    <row r="4134" spans="1:15">
      <c r="A4134" t="s">
        <v>4308</v>
      </c>
      <c r="B4134" t="s">
        <v>619</v>
      </c>
      <c r="C4134" s="9">
        <v>31412</v>
      </c>
      <c r="D4134">
        <v>40</v>
      </c>
      <c r="E4134" t="s">
        <v>21</v>
      </c>
      <c r="F4134" t="s">
        <v>74</v>
      </c>
      <c r="G4134" s="9">
        <v>45432</v>
      </c>
      <c r="H4134" s="9">
        <v>44946</v>
      </c>
      <c r="I4134">
        <v>23</v>
      </c>
      <c r="J4134" t="s">
        <v>35</v>
      </c>
      <c r="K4134">
        <v>11</v>
      </c>
      <c r="L4134">
        <v>6</v>
      </c>
      <c r="M4134" s="11">
        <v>452.76</v>
      </c>
      <c r="N4134" s="12">
        <v>14184.04</v>
      </c>
      <c r="O4134" s="12">
        <v>6787.69</v>
      </c>
    </row>
    <row r="4135" spans="1:15">
      <c r="A4135" t="s">
        <v>4309</v>
      </c>
      <c r="B4135" t="s">
        <v>326</v>
      </c>
      <c r="C4135" s="9">
        <v>40544</v>
      </c>
      <c r="D4135">
        <v>15</v>
      </c>
      <c r="E4135" t="s">
        <v>17</v>
      </c>
      <c r="F4135" t="s">
        <v>29</v>
      </c>
      <c r="G4135" s="9">
        <v>45314</v>
      </c>
      <c r="H4135" s="9">
        <v>45434</v>
      </c>
      <c r="I4135">
        <v>39</v>
      </c>
      <c r="J4135" t="s">
        <v>32</v>
      </c>
      <c r="K4135">
        <v>0</v>
      </c>
      <c r="L4135">
        <v>3</v>
      </c>
      <c r="M4135" s="11">
        <v>8255.69</v>
      </c>
      <c r="N4135" s="12">
        <v>2449.3200000000002</v>
      </c>
      <c r="O4135" s="12">
        <v>18919.96</v>
      </c>
    </row>
    <row r="4136" spans="1:15">
      <c r="A4136" t="s">
        <v>4310</v>
      </c>
      <c r="B4136" t="s">
        <v>105</v>
      </c>
      <c r="C4136" s="9">
        <v>21551</v>
      </c>
      <c r="D4136">
        <v>67</v>
      </c>
      <c r="E4136" t="s">
        <v>17</v>
      </c>
      <c r="F4136" t="s">
        <v>18</v>
      </c>
      <c r="G4136" s="9">
        <v>45219</v>
      </c>
      <c r="H4136" s="9">
        <v>45474</v>
      </c>
      <c r="I4136">
        <v>9</v>
      </c>
      <c r="J4136" t="s">
        <v>32</v>
      </c>
      <c r="K4136">
        <v>6</v>
      </c>
      <c r="L4136">
        <v>4</v>
      </c>
      <c r="M4136" s="11">
        <v>3482.08</v>
      </c>
      <c r="N4136" s="12">
        <v>14757.13</v>
      </c>
      <c r="O4136" s="12">
        <v>18088.099999999999</v>
      </c>
    </row>
    <row r="4137" spans="1:15">
      <c r="A4137" t="s">
        <v>4311</v>
      </c>
      <c r="B4137" t="s">
        <v>306</v>
      </c>
      <c r="C4137" s="9">
        <v>28856</v>
      </c>
      <c r="D4137">
        <v>47</v>
      </c>
      <c r="E4137" t="s">
        <v>5185</v>
      </c>
      <c r="F4137" t="s">
        <v>74</v>
      </c>
      <c r="G4137" s="9">
        <v>45105</v>
      </c>
      <c r="H4137" s="9">
        <v>44975</v>
      </c>
      <c r="I4137">
        <v>10</v>
      </c>
      <c r="J4137" t="s">
        <v>32</v>
      </c>
      <c r="K4137">
        <v>5</v>
      </c>
      <c r="L4137">
        <v>6</v>
      </c>
      <c r="M4137" s="11">
        <v>2728.31</v>
      </c>
      <c r="N4137" s="12">
        <v>6411.44</v>
      </c>
      <c r="O4137" s="12">
        <v>16977.060000000001</v>
      </c>
    </row>
    <row r="4138" spans="1:15">
      <c r="A4138" t="s">
        <v>4312</v>
      </c>
      <c r="B4138" t="s">
        <v>490</v>
      </c>
      <c r="C4138" s="9">
        <v>25934</v>
      </c>
      <c r="D4138">
        <v>55</v>
      </c>
      <c r="E4138" t="s">
        <v>21</v>
      </c>
      <c r="F4138" t="s">
        <v>5184</v>
      </c>
      <c r="G4138" s="9">
        <v>45598</v>
      </c>
      <c r="H4138" s="9">
        <v>45672</v>
      </c>
      <c r="I4138">
        <v>10</v>
      </c>
      <c r="J4138" t="s">
        <v>26</v>
      </c>
      <c r="K4138">
        <v>4</v>
      </c>
      <c r="L4138">
        <v>3</v>
      </c>
      <c r="M4138" s="11">
        <v>12658.23</v>
      </c>
      <c r="N4138" s="12">
        <v>14673.44</v>
      </c>
      <c r="O4138" s="12">
        <v>160.93</v>
      </c>
    </row>
    <row r="4139" spans="1:15">
      <c r="A4139" t="s">
        <v>4313</v>
      </c>
      <c r="B4139" t="s">
        <v>671</v>
      </c>
      <c r="C4139" s="9">
        <v>23012</v>
      </c>
      <c r="D4139">
        <v>63</v>
      </c>
      <c r="E4139" t="s">
        <v>17</v>
      </c>
      <c r="F4139" t="s">
        <v>29</v>
      </c>
      <c r="G4139" s="9">
        <v>45355</v>
      </c>
      <c r="H4139" s="9">
        <v>45146</v>
      </c>
      <c r="I4139">
        <v>1</v>
      </c>
      <c r="J4139" t="s">
        <v>26</v>
      </c>
      <c r="K4139">
        <v>5</v>
      </c>
      <c r="L4139">
        <v>5</v>
      </c>
      <c r="M4139" s="11">
        <v>7958.64</v>
      </c>
      <c r="N4139" s="12">
        <v>9508.01</v>
      </c>
      <c r="O4139" s="12">
        <v>10418.290000000001</v>
      </c>
    </row>
    <row r="4140" spans="1:15">
      <c r="A4140" t="s">
        <v>4314</v>
      </c>
      <c r="B4140" t="s">
        <v>153</v>
      </c>
      <c r="C4140" s="9">
        <v>24838</v>
      </c>
      <c r="D4140">
        <v>58</v>
      </c>
      <c r="E4140" t="s">
        <v>17</v>
      </c>
      <c r="F4140" t="s">
        <v>18</v>
      </c>
      <c r="G4140" s="9">
        <v>45450</v>
      </c>
      <c r="H4140" s="9">
        <v>45549</v>
      </c>
      <c r="I4140">
        <v>29</v>
      </c>
      <c r="J4140" t="s">
        <v>26</v>
      </c>
      <c r="K4140">
        <v>10</v>
      </c>
      <c r="L4140">
        <v>8</v>
      </c>
      <c r="M4140" s="11">
        <v>4576.63</v>
      </c>
      <c r="N4140" s="12">
        <v>4861.6000000000004</v>
      </c>
      <c r="O4140" s="12">
        <v>435.9</v>
      </c>
    </row>
    <row r="4141" spans="1:15">
      <c r="A4141" t="s">
        <v>4315</v>
      </c>
      <c r="B4141" t="s">
        <v>246</v>
      </c>
      <c r="C4141" s="9">
        <v>13515</v>
      </c>
      <c r="D4141">
        <v>89</v>
      </c>
      <c r="E4141" t="s">
        <v>17</v>
      </c>
      <c r="F4141" t="s">
        <v>5184</v>
      </c>
      <c r="G4141" s="9">
        <v>45607</v>
      </c>
      <c r="H4141" s="9">
        <v>45693</v>
      </c>
      <c r="I4141">
        <v>28</v>
      </c>
      <c r="J4141" t="s">
        <v>26</v>
      </c>
      <c r="K4141">
        <v>14</v>
      </c>
      <c r="L4141">
        <v>5</v>
      </c>
      <c r="M4141" s="11">
        <v>15100.3</v>
      </c>
      <c r="N4141" s="12">
        <v>5616.66</v>
      </c>
      <c r="O4141" s="12">
        <v>13516.66</v>
      </c>
    </row>
    <row r="4142" spans="1:15">
      <c r="A4142" t="s">
        <v>4316</v>
      </c>
      <c r="B4142" t="s">
        <v>192</v>
      </c>
      <c r="C4142" s="9">
        <v>23742</v>
      </c>
      <c r="D4142">
        <v>61</v>
      </c>
      <c r="E4142" t="s">
        <v>17</v>
      </c>
      <c r="F4142" t="s">
        <v>22</v>
      </c>
      <c r="G4142" s="9">
        <v>45238</v>
      </c>
      <c r="H4142" s="9">
        <v>45115</v>
      </c>
      <c r="I4142">
        <v>8</v>
      </c>
      <c r="J4142" t="s">
        <v>32</v>
      </c>
      <c r="K4142">
        <v>1</v>
      </c>
      <c r="L4142">
        <v>4</v>
      </c>
      <c r="M4142" s="11">
        <v>23413.34</v>
      </c>
      <c r="N4142" s="12">
        <v>4358.32</v>
      </c>
      <c r="O4142" s="12">
        <v>3587.22</v>
      </c>
    </row>
    <row r="4143" spans="1:15">
      <c r="A4143" t="s">
        <v>4317</v>
      </c>
      <c r="B4143" t="s">
        <v>427</v>
      </c>
      <c r="C4143" s="9">
        <v>18629</v>
      </c>
      <c r="D4143">
        <v>75</v>
      </c>
      <c r="E4143" t="s">
        <v>21</v>
      </c>
      <c r="F4143" t="s">
        <v>5184</v>
      </c>
      <c r="G4143" s="9">
        <v>45006</v>
      </c>
      <c r="H4143" s="9">
        <v>44958</v>
      </c>
      <c r="I4143">
        <v>34</v>
      </c>
      <c r="J4143" t="s">
        <v>32</v>
      </c>
      <c r="K4143">
        <v>4</v>
      </c>
      <c r="L4143">
        <v>0</v>
      </c>
      <c r="M4143" s="11">
        <v>21913.200000000001</v>
      </c>
      <c r="N4143" s="12">
        <v>5021.66</v>
      </c>
      <c r="O4143" s="12">
        <v>12753.55</v>
      </c>
    </row>
    <row r="4144" spans="1:15">
      <c r="A4144" t="s">
        <v>4318</v>
      </c>
      <c r="B4144" t="s">
        <v>59</v>
      </c>
      <c r="C4144" s="9">
        <v>42370</v>
      </c>
      <c r="D4144">
        <v>10</v>
      </c>
      <c r="E4144" t="s">
        <v>21</v>
      </c>
      <c r="F4144" t="s">
        <v>74</v>
      </c>
      <c r="G4144" s="9">
        <v>44940</v>
      </c>
      <c r="H4144" s="9">
        <v>45186</v>
      </c>
      <c r="I4144">
        <v>1</v>
      </c>
      <c r="J4144" t="s">
        <v>26</v>
      </c>
      <c r="K4144">
        <v>8</v>
      </c>
      <c r="L4144">
        <v>7</v>
      </c>
      <c r="M4144" s="11">
        <v>7148.27</v>
      </c>
      <c r="N4144" s="12">
        <v>9698.0400000000009</v>
      </c>
      <c r="O4144" s="12">
        <v>1868.97</v>
      </c>
    </row>
    <row r="4145" spans="1:15">
      <c r="A4145" t="s">
        <v>4319</v>
      </c>
      <c r="B4145" t="s">
        <v>207</v>
      </c>
      <c r="C4145" s="9">
        <v>13880</v>
      </c>
      <c r="D4145">
        <v>88</v>
      </c>
      <c r="E4145" t="s">
        <v>21</v>
      </c>
      <c r="F4145" t="s">
        <v>49</v>
      </c>
      <c r="G4145" s="9">
        <v>44980</v>
      </c>
      <c r="H4145" s="9">
        <v>45602</v>
      </c>
      <c r="I4145">
        <v>31</v>
      </c>
      <c r="J4145" t="s">
        <v>32</v>
      </c>
      <c r="K4145">
        <v>12</v>
      </c>
      <c r="L4145">
        <v>4</v>
      </c>
      <c r="M4145" s="11">
        <v>7525.61</v>
      </c>
      <c r="N4145" s="12">
        <v>249.08</v>
      </c>
      <c r="O4145" s="12">
        <v>15107.98</v>
      </c>
    </row>
    <row r="4146" spans="1:15">
      <c r="A4146" t="s">
        <v>4320</v>
      </c>
      <c r="B4146" t="s">
        <v>48</v>
      </c>
      <c r="C4146" s="9">
        <v>39813</v>
      </c>
      <c r="D4146">
        <v>17</v>
      </c>
      <c r="E4146" t="s">
        <v>21</v>
      </c>
      <c r="F4146" t="s">
        <v>5184</v>
      </c>
      <c r="G4146" s="9">
        <v>45373</v>
      </c>
      <c r="H4146" s="9">
        <v>45271</v>
      </c>
      <c r="I4146">
        <v>13</v>
      </c>
      <c r="J4146" t="s">
        <v>32</v>
      </c>
      <c r="K4146">
        <v>14</v>
      </c>
      <c r="L4146">
        <v>4</v>
      </c>
      <c r="M4146" s="11">
        <v>21823.01</v>
      </c>
      <c r="N4146" s="12">
        <v>14514.47</v>
      </c>
      <c r="O4146" s="12">
        <v>14501.6</v>
      </c>
    </row>
    <row r="4147" spans="1:15">
      <c r="A4147" t="s">
        <v>4321</v>
      </c>
      <c r="B4147" t="s">
        <v>170</v>
      </c>
      <c r="C4147" s="9">
        <v>39448</v>
      </c>
      <c r="D4147">
        <v>18</v>
      </c>
      <c r="E4147" t="s">
        <v>17</v>
      </c>
      <c r="F4147" t="s">
        <v>49</v>
      </c>
      <c r="G4147" s="9">
        <v>44991</v>
      </c>
      <c r="H4147" s="9">
        <v>45235</v>
      </c>
      <c r="I4147">
        <v>28</v>
      </c>
      <c r="J4147" t="s">
        <v>32</v>
      </c>
      <c r="K4147">
        <v>14</v>
      </c>
      <c r="L4147">
        <v>2</v>
      </c>
      <c r="M4147" s="11">
        <v>16493.64</v>
      </c>
      <c r="N4147" s="12">
        <v>11527.92</v>
      </c>
      <c r="O4147" s="12">
        <v>7.34</v>
      </c>
    </row>
    <row r="4148" spans="1:15">
      <c r="A4148" t="s">
        <v>4322</v>
      </c>
      <c r="B4148" t="s">
        <v>57</v>
      </c>
      <c r="C4148" s="9">
        <v>14611</v>
      </c>
      <c r="D4148">
        <v>86</v>
      </c>
      <c r="E4148" t="s">
        <v>21</v>
      </c>
      <c r="F4148" t="s">
        <v>18</v>
      </c>
      <c r="G4148" s="9">
        <v>45298</v>
      </c>
      <c r="H4148" s="9">
        <v>44998</v>
      </c>
      <c r="I4148">
        <v>22</v>
      </c>
      <c r="J4148" t="s">
        <v>26</v>
      </c>
      <c r="K4148">
        <v>5</v>
      </c>
      <c r="L4148">
        <v>9</v>
      </c>
      <c r="M4148" s="11">
        <v>22143.7</v>
      </c>
      <c r="N4148" s="12">
        <v>14115.14</v>
      </c>
      <c r="O4148" s="12">
        <v>15820.27</v>
      </c>
    </row>
    <row r="4149" spans="1:15">
      <c r="A4149" t="s">
        <v>4323</v>
      </c>
      <c r="B4149" t="s">
        <v>207</v>
      </c>
      <c r="C4149" s="9">
        <v>26299</v>
      </c>
      <c r="D4149">
        <v>54</v>
      </c>
      <c r="E4149" t="s">
        <v>17</v>
      </c>
      <c r="F4149" t="s">
        <v>74</v>
      </c>
      <c r="G4149" s="9">
        <v>45429</v>
      </c>
      <c r="H4149" s="9">
        <v>45234</v>
      </c>
      <c r="I4149">
        <v>36</v>
      </c>
      <c r="J4149" t="s">
        <v>26</v>
      </c>
      <c r="K4149">
        <v>5</v>
      </c>
      <c r="L4149">
        <v>1</v>
      </c>
      <c r="M4149" s="11">
        <v>458.36</v>
      </c>
      <c r="N4149" s="12">
        <v>10763.15</v>
      </c>
      <c r="O4149" s="12">
        <v>3192.13</v>
      </c>
    </row>
    <row r="4150" spans="1:15">
      <c r="A4150" t="s">
        <v>4324</v>
      </c>
      <c r="B4150" t="s">
        <v>326</v>
      </c>
      <c r="C4150" s="9">
        <v>16437</v>
      </c>
      <c r="D4150">
        <v>81</v>
      </c>
      <c r="E4150" t="s">
        <v>17</v>
      </c>
      <c r="F4150" t="s">
        <v>5184</v>
      </c>
      <c r="G4150" s="9">
        <v>45496</v>
      </c>
      <c r="H4150" s="9">
        <v>45495</v>
      </c>
      <c r="I4150">
        <v>5</v>
      </c>
      <c r="J4150" t="s">
        <v>32</v>
      </c>
      <c r="K4150">
        <v>11</v>
      </c>
      <c r="L4150">
        <v>0</v>
      </c>
      <c r="M4150" s="11">
        <v>2157.71</v>
      </c>
      <c r="N4150" s="12">
        <v>7215.5</v>
      </c>
      <c r="O4150" s="12">
        <v>2096.73</v>
      </c>
    </row>
    <row r="4151" spans="1:15">
      <c r="A4151" t="s">
        <v>4325</v>
      </c>
      <c r="B4151" t="s">
        <v>73</v>
      </c>
      <c r="C4151" s="9">
        <v>36891</v>
      </c>
      <c r="D4151">
        <v>25</v>
      </c>
      <c r="E4151" t="s">
        <v>5185</v>
      </c>
      <c r="F4151" t="s">
        <v>29</v>
      </c>
      <c r="G4151" s="9">
        <v>45022</v>
      </c>
      <c r="H4151" s="9">
        <v>45026</v>
      </c>
      <c r="I4151">
        <v>5</v>
      </c>
      <c r="J4151" t="s">
        <v>32</v>
      </c>
      <c r="K4151">
        <v>11</v>
      </c>
      <c r="L4151">
        <v>8</v>
      </c>
      <c r="M4151" s="11">
        <v>23960.09</v>
      </c>
      <c r="N4151" s="12">
        <v>2845.91</v>
      </c>
      <c r="O4151" s="12">
        <v>9954.9699999999993</v>
      </c>
    </row>
    <row r="4152" spans="1:15">
      <c r="A4152" t="s">
        <v>4326</v>
      </c>
      <c r="B4152" t="s">
        <v>100</v>
      </c>
      <c r="C4152" s="9">
        <v>44196</v>
      </c>
      <c r="D4152">
        <v>5</v>
      </c>
      <c r="E4152" t="s">
        <v>17</v>
      </c>
      <c r="F4152" t="s">
        <v>5184</v>
      </c>
      <c r="G4152" s="9">
        <v>45459</v>
      </c>
      <c r="H4152" s="9">
        <v>44948</v>
      </c>
      <c r="I4152">
        <v>31</v>
      </c>
      <c r="J4152" t="s">
        <v>32</v>
      </c>
      <c r="K4152">
        <v>3</v>
      </c>
      <c r="L4152">
        <v>4</v>
      </c>
      <c r="M4152" s="11">
        <v>25459.119999999999</v>
      </c>
      <c r="N4152" s="12">
        <v>7744.82</v>
      </c>
      <c r="O4152" s="12">
        <v>11760.83</v>
      </c>
    </row>
    <row r="4153" spans="1:15">
      <c r="A4153" t="s">
        <v>4327</v>
      </c>
      <c r="B4153" t="s">
        <v>328</v>
      </c>
      <c r="C4153" s="9">
        <v>44927</v>
      </c>
      <c r="D4153">
        <v>3</v>
      </c>
      <c r="E4153" t="s">
        <v>21</v>
      </c>
      <c r="F4153" t="s">
        <v>29</v>
      </c>
      <c r="G4153" s="9">
        <v>45186</v>
      </c>
      <c r="H4153" s="9">
        <v>45824</v>
      </c>
      <c r="I4153">
        <v>12</v>
      </c>
      <c r="J4153" t="s">
        <v>32</v>
      </c>
      <c r="K4153">
        <v>1</v>
      </c>
      <c r="L4153">
        <v>9</v>
      </c>
      <c r="M4153" s="11">
        <v>9974.93</v>
      </c>
      <c r="N4153" s="12">
        <v>10675.43</v>
      </c>
      <c r="O4153" s="12">
        <v>1972.43</v>
      </c>
    </row>
    <row r="4154" spans="1:15">
      <c r="A4154" t="s">
        <v>4328</v>
      </c>
      <c r="B4154" t="s">
        <v>73</v>
      </c>
      <c r="C4154" s="9">
        <v>35795</v>
      </c>
      <c r="D4154">
        <v>28</v>
      </c>
      <c r="E4154" t="s">
        <v>17</v>
      </c>
      <c r="F4154" t="s">
        <v>74</v>
      </c>
      <c r="G4154" s="9">
        <v>45511</v>
      </c>
      <c r="H4154" s="9">
        <v>45547</v>
      </c>
      <c r="I4154">
        <v>2</v>
      </c>
      <c r="J4154" t="s">
        <v>32</v>
      </c>
      <c r="K4154">
        <v>0</v>
      </c>
      <c r="L4154">
        <v>3</v>
      </c>
      <c r="M4154" s="11">
        <v>0</v>
      </c>
      <c r="N4154" s="12">
        <v>12812.74</v>
      </c>
      <c r="O4154" s="12">
        <v>6025.45</v>
      </c>
    </row>
    <row r="4155" spans="1:15">
      <c r="A4155" t="s">
        <v>4329</v>
      </c>
      <c r="B4155" t="s">
        <v>226</v>
      </c>
      <c r="C4155" s="9">
        <v>24838</v>
      </c>
      <c r="D4155">
        <v>58</v>
      </c>
      <c r="E4155" t="s">
        <v>21</v>
      </c>
      <c r="F4155" t="s">
        <v>49</v>
      </c>
      <c r="G4155" s="9">
        <v>45174</v>
      </c>
      <c r="H4155" s="9">
        <v>45492</v>
      </c>
      <c r="I4155">
        <v>16</v>
      </c>
      <c r="J4155" t="s">
        <v>35</v>
      </c>
      <c r="K4155">
        <v>11</v>
      </c>
      <c r="L4155">
        <v>6</v>
      </c>
      <c r="M4155" s="11">
        <v>8697.8700000000008</v>
      </c>
      <c r="N4155" s="12">
        <v>4861.97</v>
      </c>
      <c r="O4155" s="12">
        <v>8096.68</v>
      </c>
    </row>
    <row r="4156" spans="1:15">
      <c r="A4156" t="s">
        <v>4330</v>
      </c>
      <c r="B4156" t="s">
        <v>28</v>
      </c>
      <c r="C4156" s="9">
        <v>40178</v>
      </c>
      <c r="D4156">
        <v>16</v>
      </c>
      <c r="E4156" t="s">
        <v>17</v>
      </c>
      <c r="F4156" t="s">
        <v>74</v>
      </c>
      <c r="G4156" s="9">
        <v>45053</v>
      </c>
      <c r="H4156" s="9">
        <v>44933</v>
      </c>
      <c r="I4156">
        <v>7</v>
      </c>
      <c r="J4156" t="s">
        <v>35</v>
      </c>
      <c r="K4156">
        <v>5</v>
      </c>
      <c r="L4156">
        <v>3</v>
      </c>
      <c r="M4156" s="11">
        <v>26653.64</v>
      </c>
      <c r="N4156" s="12">
        <v>7657.21</v>
      </c>
      <c r="O4156" s="12">
        <v>18866.68</v>
      </c>
    </row>
    <row r="4157" spans="1:15">
      <c r="A4157" t="s">
        <v>4331</v>
      </c>
      <c r="B4157" t="s">
        <v>332</v>
      </c>
      <c r="C4157" s="9">
        <v>30682</v>
      </c>
      <c r="D4157">
        <v>42</v>
      </c>
      <c r="E4157" t="s">
        <v>17</v>
      </c>
      <c r="F4157" t="s">
        <v>49</v>
      </c>
      <c r="G4157" s="9">
        <v>45425</v>
      </c>
      <c r="H4157" s="9">
        <v>45158</v>
      </c>
      <c r="I4157">
        <v>6</v>
      </c>
      <c r="J4157" t="s">
        <v>26</v>
      </c>
      <c r="K4157">
        <v>2</v>
      </c>
      <c r="L4157">
        <v>1</v>
      </c>
      <c r="M4157" s="11">
        <v>12362.13</v>
      </c>
      <c r="N4157" s="12">
        <v>9299.7099999999991</v>
      </c>
      <c r="O4157" s="12">
        <v>4951.58</v>
      </c>
    </row>
    <row r="4158" spans="1:15">
      <c r="A4158" t="s">
        <v>4332</v>
      </c>
      <c r="B4158" t="s">
        <v>249</v>
      </c>
      <c r="C4158" s="9">
        <v>17168</v>
      </c>
      <c r="D4158">
        <v>79</v>
      </c>
      <c r="E4158" t="s">
        <v>17</v>
      </c>
      <c r="F4158" t="s">
        <v>49</v>
      </c>
      <c r="G4158" s="9">
        <v>44972</v>
      </c>
      <c r="H4158" s="9">
        <v>45009</v>
      </c>
      <c r="I4158">
        <v>26</v>
      </c>
      <c r="J4158" t="s">
        <v>32</v>
      </c>
      <c r="K4158">
        <v>0</v>
      </c>
      <c r="L4158">
        <v>8</v>
      </c>
      <c r="M4158" s="11">
        <v>16635.16</v>
      </c>
      <c r="N4158" s="12">
        <v>8828.89</v>
      </c>
      <c r="O4158" s="12">
        <v>5135.8100000000004</v>
      </c>
    </row>
    <row r="4159" spans="1:15">
      <c r="A4159" t="s">
        <v>4333</v>
      </c>
      <c r="B4159" t="s">
        <v>16</v>
      </c>
      <c r="C4159" s="9">
        <v>22281</v>
      </c>
      <c r="D4159">
        <v>65</v>
      </c>
      <c r="E4159" t="s">
        <v>21</v>
      </c>
      <c r="F4159" t="s">
        <v>22</v>
      </c>
      <c r="G4159" s="9">
        <v>45194</v>
      </c>
      <c r="H4159" s="9">
        <v>45144</v>
      </c>
      <c r="I4159">
        <v>37</v>
      </c>
      <c r="J4159" t="s">
        <v>35</v>
      </c>
      <c r="K4159">
        <v>11</v>
      </c>
      <c r="L4159">
        <v>7</v>
      </c>
      <c r="M4159" s="11">
        <v>19119.8</v>
      </c>
      <c r="N4159" s="12">
        <v>785.59</v>
      </c>
      <c r="O4159" s="12">
        <v>13153.84</v>
      </c>
    </row>
    <row r="4160" spans="1:15">
      <c r="A4160" t="s">
        <v>4334</v>
      </c>
      <c r="B4160" t="s">
        <v>664</v>
      </c>
      <c r="C4160" s="9">
        <v>33969</v>
      </c>
      <c r="D4160">
        <v>33</v>
      </c>
      <c r="E4160" t="s">
        <v>17</v>
      </c>
      <c r="F4160" t="s">
        <v>22</v>
      </c>
      <c r="G4160" s="9">
        <v>45566</v>
      </c>
      <c r="H4160" s="9">
        <v>45262</v>
      </c>
      <c r="I4160">
        <v>34</v>
      </c>
      <c r="J4160" t="s">
        <v>32</v>
      </c>
      <c r="K4160">
        <v>6</v>
      </c>
      <c r="L4160">
        <v>3</v>
      </c>
      <c r="M4160" s="11">
        <v>3559.8</v>
      </c>
      <c r="N4160" s="12">
        <v>7250.91</v>
      </c>
      <c r="O4160" s="12">
        <v>14515.77</v>
      </c>
    </row>
    <row r="4161" spans="1:15">
      <c r="A4161" t="s">
        <v>4335</v>
      </c>
      <c r="B4161" t="s">
        <v>502</v>
      </c>
      <c r="C4161" s="9">
        <v>43466</v>
      </c>
      <c r="D4161">
        <v>7</v>
      </c>
      <c r="E4161" t="s">
        <v>21</v>
      </c>
      <c r="F4161" t="s">
        <v>29</v>
      </c>
      <c r="G4161" s="9">
        <v>45468</v>
      </c>
      <c r="H4161" s="9">
        <v>45486</v>
      </c>
      <c r="I4161">
        <v>16</v>
      </c>
      <c r="J4161" t="s">
        <v>32</v>
      </c>
      <c r="K4161">
        <v>0</v>
      </c>
      <c r="L4161">
        <v>7</v>
      </c>
      <c r="M4161" s="11">
        <v>631.9</v>
      </c>
      <c r="N4161" s="12">
        <v>12135.47</v>
      </c>
      <c r="O4161" s="12">
        <v>117.53</v>
      </c>
    </row>
    <row r="4162" spans="1:15">
      <c r="A4162" t="s">
        <v>4336</v>
      </c>
      <c r="B4162" t="s">
        <v>39</v>
      </c>
      <c r="C4162" s="9">
        <v>41639</v>
      </c>
      <c r="D4162">
        <v>12</v>
      </c>
      <c r="E4162" t="s">
        <v>21</v>
      </c>
      <c r="F4162" t="s">
        <v>18</v>
      </c>
      <c r="G4162" s="9">
        <v>45020</v>
      </c>
      <c r="H4162" s="9">
        <v>45791</v>
      </c>
      <c r="I4162">
        <v>10</v>
      </c>
      <c r="J4162" t="s">
        <v>26</v>
      </c>
      <c r="K4162">
        <v>4</v>
      </c>
      <c r="L4162">
        <v>8</v>
      </c>
      <c r="M4162" s="11">
        <v>12517.41</v>
      </c>
      <c r="N4162" s="12">
        <v>12034.56</v>
      </c>
      <c r="O4162" s="12">
        <v>2594.02</v>
      </c>
    </row>
    <row r="4163" spans="1:15">
      <c r="A4163" t="s">
        <v>4337</v>
      </c>
      <c r="B4163" t="s">
        <v>502</v>
      </c>
      <c r="C4163" s="9">
        <v>43466</v>
      </c>
      <c r="D4163">
        <v>7</v>
      </c>
      <c r="E4163" t="s">
        <v>17</v>
      </c>
      <c r="F4163" t="s">
        <v>25</v>
      </c>
      <c r="G4163" s="9">
        <v>45242</v>
      </c>
      <c r="H4163" s="9">
        <v>45801</v>
      </c>
      <c r="I4163">
        <v>37</v>
      </c>
      <c r="J4163" t="s">
        <v>26</v>
      </c>
      <c r="K4163">
        <v>2</v>
      </c>
      <c r="L4163">
        <v>1</v>
      </c>
      <c r="M4163" s="11">
        <v>4390.87</v>
      </c>
      <c r="N4163" s="12">
        <v>7607.13</v>
      </c>
      <c r="O4163" s="12">
        <v>7089.59</v>
      </c>
    </row>
    <row r="4164" spans="1:15">
      <c r="A4164" t="s">
        <v>4338</v>
      </c>
      <c r="B4164" t="s">
        <v>16</v>
      </c>
      <c r="C4164" s="9">
        <v>12054</v>
      </c>
      <c r="D4164">
        <v>93</v>
      </c>
      <c r="E4164" t="s">
        <v>21</v>
      </c>
      <c r="F4164" t="s">
        <v>74</v>
      </c>
      <c r="G4164" s="9">
        <v>45538</v>
      </c>
      <c r="H4164" s="9">
        <v>45680</v>
      </c>
      <c r="I4164">
        <v>13</v>
      </c>
      <c r="J4164" t="s">
        <v>35</v>
      </c>
      <c r="K4164">
        <v>7</v>
      </c>
      <c r="L4164">
        <v>3</v>
      </c>
      <c r="M4164" s="11">
        <v>16242.48</v>
      </c>
      <c r="N4164" s="12">
        <v>14285.35</v>
      </c>
      <c r="O4164" s="12">
        <v>12603.42</v>
      </c>
    </row>
    <row r="4165" spans="1:15">
      <c r="A4165" t="s">
        <v>4339</v>
      </c>
      <c r="B4165" t="s">
        <v>326</v>
      </c>
      <c r="C4165" s="9">
        <v>12054</v>
      </c>
      <c r="D4165">
        <v>93</v>
      </c>
      <c r="E4165" t="s">
        <v>5185</v>
      </c>
      <c r="F4165" t="s">
        <v>49</v>
      </c>
      <c r="G4165" s="9">
        <v>44997</v>
      </c>
      <c r="H4165" s="9">
        <v>45617</v>
      </c>
      <c r="I4165">
        <v>27</v>
      </c>
      <c r="J4165" t="s">
        <v>32</v>
      </c>
      <c r="K4165">
        <v>3</v>
      </c>
      <c r="L4165">
        <v>5</v>
      </c>
      <c r="M4165" s="11">
        <v>13336.08</v>
      </c>
      <c r="N4165" s="12">
        <v>12393.45</v>
      </c>
      <c r="O4165" s="12">
        <v>2595.79</v>
      </c>
    </row>
    <row r="4166" spans="1:15">
      <c r="A4166" t="s">
        <v>4340</v>
      </c>
      <c r="B4166" t="s">
        <v>596</v>
      </c>
      <c r="C4166" s="9">
        <v>22646</v>
      </c>
      <c r="D4166">
        <v>64</v>
      </c>
      <c r="E4166" t="s">
        <v>21</v>
      </c>
      <c r="F4166" t="s">
        <v>74</v>
      </c>
      <c r="G4166" s="9">
        <v>45519</v>
      </c>
      <c r="H4166" s="9">
        <v>45521</v>
      </c>
      <c r="I4166">
        <v>2</v>
      </c>
      <c r="J4166" t="s">
        <v>26</v>
      </c>
      <c r="K4166">
        <v>14</v>
      </c>
      <c r="L4166">
        <v>6</v>
      </c>
      <c r="M4166" s="11">
        <v>3223.98</v>
      </c>
      <c r="N4166" s="12">
        <v>11059.9</v>
      </c>
      <c r="O4166" s="12">
        <v>7074.68</v>
      </c>
    </row>
    <row r="4167" spans="1:15">
      <c r="A4167" t="s">
        <v>4341</v>
      </c>
      <c r="B4167" t="s">
        <v>215</v>
      </c>
      <c r="C4167" s="9">
        <v>30682</v>
      </c>
      <c r="D4167">
        <v>42</v>
      </c>
      <c r="E4167" t="s">
        <v>17</v>
      </c>
      <c r="F4167" t="s">
        <v>18</v>
      </c>
      <c r="G4167" s="9">
        <v>45375</v>
      </c>
      <c r="H4167" s="9">
        <v>45726</v>
      </c>
      <c r="I4167">
        <v>30</v>
      </c>
      <c r="J4167" t="s">
        <v>26</v>
      </c>
      <c r="K4167">
        <v>2</v>
      </c>
      <c r="L4167">
        <v>4</v>
      </c>
      <c r="M4167" s="11">
        <v>19806.439999999999</v>
      </c>
      <c r="N4167" s="12">
        <v>7734.01</v>
      </c>
      <c r="O4167" s="12">
        <v>1512.07</v>
      </c>
    </row>
    <row r="4168" spans="1:15">
      <c r="A4168" t="s">
        <v>4342</v>
      </c>
      <c r="B4168" t="s">
        <v>356</v>
      </c>
      <c r="C4168" s="9">
        <v>32143</v>
      </c>
      <c r="D4168">
        <v>38</v>
      </c>
      <c r="E4168" t="s">
        <v>21</v>
      </c>
      <c r="F4168" t="s">
        <v>18</v>
      </c>
      <c r="G4168" s="9">
        <v>45293</v>
      </c>
      <c r="H4168" s="9">
        <v>45631</v>
      </c>
      <c r="I4168">
        <v>16</v>
      </c>
      <c r="J4168" t="s">
        <v>32</v>
      </c>
      <c r="K4168">
        <v>6</v>
      </c>
      <c r="L4168">
        <v>9</v>
      </c>
      <c r="M4168" s="11">
        <v>125.09</v>
      </c>
      <c r="N4168" s="12">
        <v>8860.15</v>
      </c>
      <c r="O4168" s="12">
        <v>11379.39</v>
      </c>
    </row>
    <row r="4169" spans="1:15">
      <c r="A4169" t="s">
        <v>4343</v>
      </c>
      <c r="B4169" t="s">
        <v>215</v>
      </c>
      <c r="C4169" s="9">
        <f>DATE(2026-D4129,1,1)</f>
        <v>28126</v>
      </c>
      <c r="D4169">
        <v>80</v>
      </c>
      <c r="E4169" t="s">
        <v>17</v>
      </c>
      <c r="F4169" t="s">
        <v>25</v>
      </c>
      <c r="G4169" s="9">
        <v>45546</v>
      </c>
      <c r="H4169" s="9">
        <v>45582</v>
      </c>
      <c r="I4169">
        <v>16</v>
      </c>
      <c r="J4169" t="s">
        <v>35</v>
      </c>
      <c r="K4169">
        <v>1</v>
      </c>
      <c r="L4169">
        <v>9</v>
      </c>
      <c r="M4169" s="11">
        <v>3354.69</v>
      </c>
      <c r="N4169" s="12">
        <v>3348.53</v>
      </c>
      <c r="O4169" s="12">
        <v>8469.94</v>
      </c>
    </row>
    <row r="4170" spans="1:15">
      <c r="A4170" t="s">
        <v>4344</v>
      </c>
      <c r="B4170" t="s">
        <v>16</v>
      </c>
      <c r="C4170" s="9">
        <v>24838</v>
      </c>
      <c r="D4170">
        <v>58</v>
      </c>
      <c r="E4170" t="s">
        <v>17</v>
      </c>
      <c r="F4170" t="s">
        <v>5184</v>
      </c>
      <c r="G4170" s="9">
        <v>45540</v>
      </c>
      <c r="H4170" s="9">
        <v>45753</v>
      </c>
      <c r="I4170">
        <v>14</v>
      </c>
      <c r="J4170" t="s">
        <v>26</v>
      </c>
      <c r="K4170">
        <v>12</v>
      </c>
      <c r="L4170">
        <v>6</v>
      </c>
      <c r="M4170" s="11">
        <v>20855.009999999998</v>
      </c>
      <c r="N4170" s="12">
        <v>7986.1</v>
      </c>
      <c r="O4170" s="12">
        <v>15740.43</v>
      </c>
    </row>
    <row r="4171" spans="1:15">
      <c r="A4171" t="s">
        <v>4345</v>
      </c>
      <c r="B4171" t="s">
        <v>387</v>
      </c>
      <c r="C4171" s="9">
        <v>15707</v>
      </c>
      <c r="D4171">
        <v>83</v>
      </c>
      <c r="E4171" t="s">
        <v>17</v>
      </c>
      <c r="F4171" t="s">
        <v>25</v>
      </c>
      <c r="G4171" s="9">
        <v>45336</v>
      </c>
      <c r="H4171" s="9">
        <v>45718</v>
      </c>
      <c r="I4171">
        <v>21</v>
      </c>
      <c r="J4171" t="s">
        <v>35</v>
      </c>
      <c r="K4171">
        <v>11</v>
      </c>
      <c r="L4171">
        <v>3</v>
      </c>
      <c r="M4171" s="11">
        <v>15599.59</v>
      </c>
      <c r="N4171" s="12">
        <v>7890.33</v>
      </c>
      <c r="O4171" s="12">
        <v>11435.16</v>
      </c>
    </row>
    <row r="4172" spans="1:15">
      <c r="A4172" t="s">
        <v>4346</v>
      </c>
      <c r="B4172" t="s">
        <v>392</v>
      </c>
      <c r="C4172" s="9">
        <v>14246</v>
      </c>
      <c r="D4172">
        <f ca="1">DATEDIF(C4123,TODAY(),"Y")</f>
        <v>7</v>
      </c>
      <c r="E4172" t="s">
        <v>21</v>
      </c>
      <c r="F4172" t="s">
        <v>49</v>
      </c>
      <c r="G4172" s="9">
        <v>45017</v>
      </c>
      <c r="H4172" s="9">
        <v>45480</v>
      </c>
      <c r="I4172">
        <v>25</v>
      </c>
      <c r="J4172" t="s">
        <v>32</v>
      </c>
      <c r="K4172">
        <v>7</v>
      </c>
      <c r="L4172">
        <v>7</v>
      </c>
      <c r="M4172" s="11">
        <v>8098.96</v>
      </c>
      <c r="N4172" s="12">
        <v>3041.44</v>
      </c>
      <c r="O4172" s="12">
        <v>13148.06</v>
      </c>
    </row>
    <row r="4173" spans="1:15">
      <c r="A4173" t="s">
        <v>4347</v>
      </c>
      <c r="B4173" t="s">
        <v>275</v>
      </c>
      <c r="C4173" s="9">
        <v>14976</v>
      </c>
      <c r="D4173">
        <v>85</v>
      </c>
      <c r="E4173" t="s">
        <v>17</v>
      </c>
      <c r="F4173" t="s">
        <v>22</v>
      </c>
      <c r="G4173" s="9">
        <v>45435</v>
      </c>
      <c r="H4173" s="9">
        <v>45386</v>
      </c>
      <c r="I4173">
        <v>39</v>
      </c>
      <c r="J4173" t="s">
        <v>35</v>
      </c>
      <c r="K4173">
        <v>6</v>
      </c>
      <c r="L4173">
        <v>2</v>
      </c>
      <c r="M4173" s="11">
        <v>4997.51</v>
      </c>
      <c r="N4173" s="12">
        <v>14267.22</v>
      </c>
      <c r="O4173" s="12">
        <v>13390.28</v>
      </c>
    </row>
    <row r="4174" spans="1:15">
      <c r="A4174" t="s">
        <v>4348</v>
      </c>
      <c r="B4174" t="s">
        <v>151</v>
      </c>
      <c r="C4174" s="9">
        <v>12419</v>
      </c>
      <c r="D4174">
        <v>92</v>
      </c>
      <c r="E4174" t="s">
        <v>21</v>
      </c>
      <c r="F4174" t="s">
        <v>5184</v>
      </c>
      <c r="G4174" s="9">
        <v>45454</v>
      </c>
      <c r="H4174" s="9">
        <v>45710</v>
      </c>
      <c r="I4174">
        <v>34</v>
      </c>
      <c r="J4174" t="s">
        <v>26</v>
      </c>
      <c r="K4174">
        <v>12</v>
      </c>
      <c r="L4174">
        <v>2</v>
      </c>
      <c r="M4174" s="11">
        <v>19089.650000000001</v>
      </c>
      <c r="N4174" s="12">
        <v>3671.28</v>
      </c>
      <c r="O4174" s="12">
        <v>11751.13</v>
      </c>
    </row>
    <row r="4175" spans="1:15">
      <c r="A4175" t="s">
        <v>4349</v>
      </c>
      <c r="B4175" t="s">
        <v>479</v>
      </c>
      <c r="C4175" s="9">
        <v>14976</v>
      </c>
      <c r="D4175">
        <v>85</v>
      </c>
      <c r="E4175" t="s">
        <v>21</v>
      </c>
      <c r="F4175" t="s">
        <v>25</v>
      </c>
      <c r="G4175" s="9">
        <v>45036</v>
      </c>
      <c r="H4175" s="9">
        <v>45014</v>
      </c>
      <c r="I4175">
        <v>19</v>
      </c>
      <c r="J4175" t="s">
        <v>32</v>
      </c>
      <c r="K4175">
        <v>10</v>
      </c>
      <c r="L4175">
        <v>4</v>
      </c>
      <c r="M4175" s="11">
        <v>5770.7</v>
      </c>
      <c r="N4175" s="12">
        <v>1563.34</v>
      </c>
      <c r="O4175" s="12">
        <v>223.45</v>
      </c>
    </row>
    <row r="4176" spans="1:15">
      <c r="A4176" t="s">
        <v>4350</v>
      </c>
      <c r="B4176" t="s">
        <v>600</v>
      </c>
      <c r="C4176" s="9">
        <v>30317</v>
      </c>
      <c r="D4176">
        <v>43</v>
      </c>
      <c r="E4176" t="s">
        <v>21</v>
      </c>
      <c r="F4176" t="s">
        <v>22</v>
      </c>
      <c r="G4176" s="9">
        <v>45598</v>
      </c>
      <c r="H4176" s="9">
        <v>45442</v>
      </c>
      <c r="I4176">
        <v>36</v>
      </c>
      <c r="J4176" t="s">
        <v>35</v>
      </c>
      <c r="K4176">
        <v>12</v>
      </c>
      <c r="L4176">
        <v>5</v>
      </c>
      <c r="M4176" s="11">
        <v>29530.639999999999</v>
      </c>
      <c r="N4176" s="12">
        <v>7005.14</v>
      </c>
      <c r="O4176" s="12">
        <v>16624.39</v>
      </c>
    </row>
    <row r="4177" spans="1:15">
      <c r="A4177" t="s">
        <v>4351</v>
      </c>
      <c r="B4177" t="s">
        <v>139</v>
      </c>
      <c r="C4177" s="9">
        <v>43100</v>
      </c>
      <c r="D4177">
        <v>8</v>
      </c>
      <c r="E4177" t="s">
        <v>17</v>
      </c>
      <c r="F4177" t="s">
        <v>5184</v>
      </c>
      <c r="G4177" s="9">
        <v>45015</v>
      </c>
      <c r="H4177" s="9">
        <v>45650</v>
      </c>
      <c r="I4177">
        <v>13</v>
      </c>
      <c r="J4177" t="s">
        <v>35</v>
      </c>
      <c r="K4177">
        <v>10</v>
      </c>
      <c r="L4177">
        <v>2</v>
      </c>
      <c r="M4177" s="11">
        <v>26013.99</v>
      </c>
      <c r="N4177" s="12">
        <v>10291.1</v>
      </c>
      <c r="O4177" s="12">
        <v>18325.66</v>
      </c>
    </row>
    <row r="4178" spans="1:15">
      <c r="A4178" t="s">
        <v>4352</v>
      </c>
      <c r="B4178" t="s">
        <v>328</v>
      </c>
      <c r="C4178" s="9">
        <f>DATE(2026-D4138,1,1)</f>
        <v>25934</v>
      </c>
      <c r="D4178">
        <v>36</v>
      </c>
      <c r="E4178" t="s">
        <v>21</v>
      </c>
      <c r="F4178" t="s">
        <v>22</v>
      </c>
      <c r="G4178" s="9">
        <v>45533</v>
      </c>
      <c r="H4178" s="9">
        <v>45440</v>
      </c>
      <c r="I4178">
        <v>32</v>
      </c>
      <c r="J4178" t="s">
        <v>32</v>
      </c>
      <c r="K4178">
        <v>6</v>
      </c>
      <c r="L4178">
        <v>9</v>
      </c>
      <c r="M4178" s="11">
        <v>3530.82</v>
      </c>
      <c r="N4178" s="12">
        <v>2927.28</v>
      </c>
      <c r="O4178" s="12">
        <v>10638.23</v>
      </c>
    </row>
    <row r="4179" spans="1:15">
      <c r="A4179" t="s">
        <v>4353</v>
      </c>
      <c r="B4179" t="s">
        <v>284</v>
      </c>
      <c r="C4179" s="9">
        <v>19359</v>
      </c>
      <c r="D4179">
        <v>73</v>
      </c>
      <c r="E4179" t="s">
        <v>17</v>
      </c>
      <c r="F4179" t="s">
        <v>49</v>
      </c>
      <c r="G4179" s="9">
        <v>45198</v>
      </c>
      <c r="H4179" s="9">
        <v>45514</v>
      </c>
      <c r="I4179">
        <v>24</v>
      </c>
      <c r="J4179" t="s">
        <v>32</v>
      </c>
      <c r="K4179">
        <v>8</v>
      </c>
      <c r="L4179">
        <v>1</v>
      </c>
      <c r="M4179" s="11">
        <v>25704.15</v>
      </c>
      <c r="N4179" s="12">
        <v>2743.37</v>
      </c>
      <c r="O4179" s="12">
        <v>2154.38</v>
      </c>
    </row>
    <row r="4180" spans="1:15">
      <c r="A4180" t="s">
        <v>4354</v>
      </c>
      <c r="B4180" t="s">
        <v>189</v>
      </c>
      <c r="C4180" s="9">
        <v>33239</v>
      </c>
      <c r="D4180">
        <v>35</v>
      </c>
      <c r="E4180" t="s">
        <v>17</v>
      </c>
      <c r="F4180" t="s">
        <v>29</v>
      </c>
      <c r="G4180" s="9">
        <v>45173</v>
      </c>
      <c r="H4180" s="9">
        <v>45405</v>
      </c>
      <c r="I4180">
        <v>9</v>
      </c>
      <c r="J4180" t="s">
        <v>35</v>
      </c>
      <c r="K4180">
        <v>3</v>
      </c>
      <c r="L4180">
        <v>4</v>
      </c>
      <c r="M4180" s="11">
        <v>10023.799999999999</v>
      </c>
      <c r="N4180" s="12">
        <v>3922.05</v>
      </c>
      <c r="O4180" s="12">
        <v>13059.5</v>
      </c>
    </row>
    <row r="4181" spans="1:15">
      <c r="A4181" t="s">
        <v>4355</v>
      </c>
      <c r="B4181" t="s">
        <v>300</v>
      </c>
      <c r="C4181" s="9">
        <v>12785</v>
      </c>
      <c r="D4181">
        <v>91</v>
      </c>
      <c r="E4181" t="s">
        <v>21</v>
      </c>
      <c r="F4181" t="s">
        <v>22</v>
      </c>
      <c r="G4181" s="9">
        <v>45287</v>
      </c>
      <c r="H4181" s="9">
        <v>45425</v>
      </c>
      <c r="I4181">
        <v>25</v>
      </c>
      <c r="J4181" t="s">
        <v>32</v>
      </c>
      <c r="K4181">
        <v>1</v>
      </c>
      <c r="L4181">
        <v>9</v>
      </c>
      <c r="M4181" s="11">
        <v>14444.45</v>
      </c>
      <c r="N4181" s="12">
        <v>4540.76</v>
      </c>
      <c r="O4181" s="12">
        <v>7210.98</v>
      </c>
    </row>
    <row r="4182" spans="1:15">
      <c r="A4182" t="s">
        <v>4356</v>
      </c>
      <c r="B4182" t="s">
        <v>108</v>
      </c>
      <c r="C4182" s="9">
        <v>36161</v>
      </c>
      <c r="D4182">
        <v>27</v>
      </c>
      <c r="E4182" t="s">
        <v>17</v>
      </c>
      <c r="F4182" t="s">
        <v>49</v>
      </c>
      <c r="G4182" s="9">
        <v>45304</v>
      </c>
      <c r="H4182" s="9">
        <v>45670</v>
      </c>
      <c r="I4182">
        <v>2</v>
      </c>
      <c r="J4182" t="s">
        <v>26</v>
      </c>
      <c r="K4182">
        <v>9</v>
      </c>
      <c r="L4182">
        <v>5</v>
      </c>
      <c r="M4182" s="11">
        <v>3856.14</v>
      </c>
      <c r="N4182" s="12">
        <v>3693</v>
      </c>
      <c r="O4182" s="12">
        <v>1372.93</v>
      </c>
    </row>
    <row r="4183" spans="1:15">
      <c r="A4183" t="s">
        <v>4357</v>
      </c>
      <c r="B4183" t="s">
        <v>159</v>
      </c>
      <c r="C4183" s="9">
        <v>31047</v>
      </c>
      <c r="D4183">
        <v>41</v>
      </c>
      <c r="E4183" t="s">
        <v>21</v>
      </c>
      <c r="F4183" t="s">
        <v>25</v>
      </c>
      <c r="G4183" s="9">
        <v>45132</v>
      </c>
      <c r="H4183" s="9">
        <v>45376</v>
      </c>
      <c r="I4183">
        <v>36</v>
      </c>
      <c r="J4183" t="s">
        <v>32</v>
      </c>
      <c r="K4183">
        <v>8</v>
      </c>
      <c r="L4183">
        <v>2</v>
      </c>
      <c r="M4183" s="11">
        <v>3116.45</v>
      </c>
      <c r="N4183" s="12">
        <v>7060.48</v>
      </c>
      <c r="O4183" s="12">
        <v>17069.560000000001</v>
      </c>
    </row>
    <row r="4184" spans="1:15">
      <c r="A4184" t="s">
        <v>4358</v>
      </c>
      <c r="B4184" t="s">
        <v>133</v>
      </c>
      <c r="C4184" s="9">
        <v>30682</v>
      </c>
      <c r="D4184">
        <v>42</v>
      </c>
      <c r="E4184" t="s">
        <v>17</v>
      </c>
      <c r="F4184" t="s">
        <v>74</v>
      </c>
      <c r="G4184" s="9">
        <v>45271</v>
      </c>
      <c r="H4184" s="9">
        <v>45515</v>
      </c>
      <c r="I4184">
        <v>15</v>
      </c>
      <c r="J4184" t="s">
        <v>26</v>
      </c>
      <c r="K4184">
        <v>11</v>
      </c>
      <c r="L4184">
        <v>6</v>
      </c>
      <c r="M4184" s="11">
        <v>25897.54</v>
      </c>
      <c r="N4184" s="12">
        <v>273.95</v>
      </c>
      <c r="O4184" s="12">
        <v>14205.44</v>
      </c>
    </row>
    <row r="4185" spans="1:15">
      <c r="A4185" t="s">
        <v>4359</v>
      </c>
      <c r="B4185" t="s">
        <v>619</v>
      </c>
      <c r="C4185" s="9">
        <v>15341</v>
      </c>
      <c r="D4185">
        <v>84</v>
      </c>
      <c r="E4185" t="s">
        <v>21</v>
      </c>
      <c r="F4185" t="s">
        <v>25</v>
      </c>
      <c r="G4185" s="9">
        <v>45381</v>
      </c>
      <c r="H4185" s="9">
        <v>45187</v>
      </c>
      <c r="I4185">
        <v>20</v>
      </c>
      <c r="J4185" t="s">
        <v>32</v>
      </c>
      <c r="K4185">
        <v>7</v>
      </c>
      <c r="L4185">
        <v>2</v>
      </c>
      <c r="M4185" s="11">
        <v>18712.02</v>
      </c>
      <c r="N4185" s="12">
        <v>1312.75</v>
      </c>
      <c r="O4185" s="12">
        <v>16076.98</v>
      </c>
    </row>
    <row r="4186" spans="1:15">
      <c r="A4186" t="s">
        <v>4360</v>
      </c>
      <c r="B4186" t="s">
        <v>546</v>
      </c>
      <c r="C4186" s="9">
        <v>14246</v>
      </c>
      <c r="D4186">
        <v>87</v>
      </c>
      <c r="E4186" t="s">
        <v>17</v>
      </c>
      <c r="F4186" t="s">
        <v>18</v>
      </c>
      <c r="G4186" s="9">
        <v>44993</v>
      </c>
      <c r="H4186" s="9">
        <v>45464</v>
      </c>
      <c r="I4186">
        <v>19</v>
      </c>
      <c r="J4186" t="s">
        <v>32</v>
      </c>
      <c r="K4186">
        <v>0</v>
      </c>
      <c r="L4186">
        <v>1</v>
      </c>
      <c r="M4186" s="11">
        <v>0</v>
      </c>
      <c r="N4186" s="12">
        <v>10940.47</v>
      </c>
      <c r="O4186" s="12">
        <v>15902.15</v>
      </c>
    </row>
    <row r="4187" spans="1:15">
      <c r="A4187" t="s">
        <v>4361</v>
      </c>
      <c r="B4187" t="s">
        <v>103</v>
      </c>
      <c r="C4187" s="9">
        <v>31047</v>
      </c>
      <c r="D4187">
        <v>41</v>
      </c>
      <c r="E4187" t="s">
        <v>21</v>
      </c>
      <c r="F4187" t="s">
        <v>25</v>
      </c>
      <c r="G4187" s="9">
        <v>45484</v>
      </c>
      <c r="H4187" s="9">
        <v>45127</v>
      </c>
      <c r="I4187">
        <v>1</v>
      </c>
      <c r="J4187" t="s">
        <v>32</v>
      </c>
      <c r="K4187">
        <v>1</v>
      </c>
      <c r="L4187">
        <v>9</v>
      </c>
      <c r="M4187" s="11">
        <v>603</v>
      </c>
      <c r="N4187" s="12">
        <v>6185.1</v>
      </c>
      <c r="O4187" s="12">
        <v>7089.33</v>
      </c>
    </row>
    <row r="4188" spans="1:15">
      <c r="A4188" t="s">
        <v>4362</v>
      </c>
      <c r="B4188" t="s">
        <v>159</v>
      </c>
      <c r="C4188" s="9">
        <v>22281</v>
      </c>
      <c r="D4188">
        <v>65</v>
      </c>
      <c r="E4188" t="s">
        <v>21</v>
      </c>
      <c r="F4188" t="s">
        <v>29</v>
      </c>
      <c r="G4188" s="9">
        <v>44969</v>
      </c>
      <c r="H4188" s="9">
        <v>45390</v>
      </c>
      <c r="I4188">
        <v>8</v>
      </c>
      <c r="J4188" t="s">
        <v>26</v>
      </c>
      <c r="K4188">
        <v>4</v>
      </c>
      <c r="L4188">
        <v>3</v>
      </c>
      <c r="M4188" s="11">
        <v>27619.84</v>
      </c>
      <c r="N4188" s="12">
        <v>5404.76</v>
      </c>
      <c r="O4188" s="12">
        <v>9592.48</v>
      </c>
    </row>
    <row r="4189" spans="1:15">
      <c r="A4189" t="s">
        <v>4363</v>
      </c>
      <c r="B4189" t="s">
        <v>20</v>
      </c>
      <c r="C4189" s="9">
        <v>26299</v>
      </c>
      <c r="D4189">
        <v>54</v>
      </c>
      <c r="E4189" t="s">
        <v>21</v>
      </c>
      <c r="F4189" t="s">
        <v>49</v>
      </c>
      <c r="G4189" s="9">
        <v>45155</v>
      </c>
      <c r="H4189" s="9">
        <v>45021</v>
      </c>
      <c r="I4189">
        <v>15</v>
      </c>
      <c r="J4189" t="s">
        <v>35</v>
      </c>
      <c r="K4189">
        <v>1</v>
      </c>
      <c r="L4189">
        <v>2</v>
      </c>
      <c r="M4189" s="11">
        <v>10970.69</v>
      </c>
      <c r="N4189" s="12">
        <v>156.66999999999999</v>
      </c>
      <c r="O4189" s="12">
        <v>4596.45</v>
      </c>
    </row>
    <row r="4190" spans="1:15">
      <c r="A4190" t="s">
        <v>4364</v>
      </c>
      <c r="B4190" t="s">
        <v>24</v>
      </c>
      <c r="C4190" s="9">
        <v>20090</v>
      </c>
      <c r="D4190">
        <v>71</v>
      </c>
      <c r="E4190" t="s">
        <v>21</v>
      </c>
      <c r="F4190" t="s">
        <v>22</v>
      </c>
      <c r="G4190" s="9">
        <v>45370</v>
      </c>
      <c r="H4190" s="9">
        <v>45279</v>
      </c>
      <c r="I4190">
        <v>4</v>
      </c>
      <c r="J4190" t="s">
        <v>26</v>
      </c>
      <c r="K4190">
        <v>14</v>
      </c>
      <c r="L4190">
        <v>6</v>
      </c>
      <c r="M4190" s="11">
        <v>12207.8</v>
      </c>
      <c r="N4190" s="12">
        <v>4473.2700000000004</v>
      </c>
      <c r="O4190" s="12">
        <v>15073.42</v>
      </c>
    </row>
    <row r="4191" spans="1:15">
      <c r="A4191" t="s">
        <v>4365</v>
      </c>
      <c r="B4191" t="s">
        <v>80</v>
      </c>
      <c r="C4191" s="9">
        <v>28856</v>
      </c>
      <c r="D4191">
        <v>47</v>
      </c>
      <c r="E4191" t="s">
        <v>21</v>
      </c>
      <c r="F4191" t="s">
        <v>18</v>
      </c>
      <c r="G4191" s="9">
        <v>45160</v>
      </c>
      <c r="H4191" s="9">
        <v>45035</v>
      </c>
      <c r="I4191">
        <v>18</v>
      </c>
      <c r="J4191" t="s">
        <v>32</v>
      </c>
      <c r="K4191">
        <v>8</v>
      </c>
      <c r="L4191">
        <v>7</v>
      </c>
      <c r="M4191" s="11">
        <v>8339.19</v>
      </c>
      <c r="N4191" s="12">
        <v>12317.8</v>
      </c>
      <c r="O4191" s="12">
        <v>10431.629999999999</v>
      </c>
    </row>
    <row r="4192" spans="1:15">
      <c r="A4192" t="s">
        <v>4366</v>
      </c>
      <c r="B4192" t="s">
        <v>115</v>
      </c>
      <c r="C4192" s="9">
        <v>13150</v>
      </c>
      <c r="D4192">
        <v>90</v>
      </c>
      <c r="E4192" t="s">
        <v>21</v>
      </c>
      <c r="F4192" t="s">
        <v>49</v>
      </c>
      <c r="G4192" s="9">
        <v>45125</v>
      </c>
      <c r="H4192" s="9">
        <v>45282</v>
      </c>
      <c r="I4192">
        <v>32</v>
      </c>
      <c r="J4192" t="s">
        <v>32</v>
      </c>
      <c r="K4192">
        <v>8</v>
      </c>
      <c r="L4192">
        <v>2</v>
      </c>
      <c r="M4192" s="11">
        <v>26684.35</v>
      </c>
      <c r="N4192" s="12">
        <v>5105.51</v>
      </c>
      <c r="O4192" s="12">
        <v>12965.11</v>
      </c>
    </row>
    <row r="4193" spans="1:15">
      <c r="A4193" t="s">
        <v>4367</v>
      </c>
      <c r="B4193" t="s">
        <v>490</v>
      </c>
      <c r="C4193" s="9">
        <v>38352</v>
      </c>
      <c r="D4193">
        <v>21</v>
      </c>
      <c r="E4193" t="s">
        <v>17</v>
      </c>
      <c r="F4193" t="s">
        <v>49</v>
      </c>
      <c r="G4193" s="9">
        <v>45423</v>
      </c>
      <c r="H4193" s="9">
        <v>45396</v>
      </c>
      <c r="I4193">
        <v>34</v>
      </c>
      <c r="J4193" t="s">
        <v>26</v>
      </c>
      <c r="K4193">
        <v>11</v>
      </c>
      <c r="L4193">
        <v>5</v>
      </c>
      <c r="M4193" s="11">
        <v>10009.84</v>
      </c>
      <c r="N4193" s="12">
        <v>14455.4</v>
      </c>
      <c r="O4193" s="12">
        <v>7068.11</v>
      </c>
    </row>
    <row r="4194" spans="1:15">
      <c r="A4194" t="s">
        <v>4368</v>
      </c>
      <c r="B4194" t="s">
        <v>479</v>
      </c>
      <c r="C4194" s="9">
        <v>36526</v>
      </c>
      <c r="D4194">
        <v>26</v>
      </c>
      <c r="E4194" t="s">
        <v>17</v>
      </c>
      <c r="F4194" t="s">
        <v>22</v>
      </c>
      <c r="G4194" s="9">
        <v>44958</v>
      </c>
      <c r="H4194" s="9">
        <v>45022</v>
      </c>
      <c r="I4194">
        <v>27</v>
      </c>
      <c r="J4194" t="s">
        <v>32</v>
      </c>
      <c r="K4194">
        <v>8</v>
      </c>
      <c r="L4194">
        <v>0</v>
      </c>
      <c r="M4194" s="11">
        <v>4814.6000000000004</v>
      </c>
      <c r="N4194" s="12">
        <v>5849.38</v>
      </c>
      <c r="O4194" s="12">
        <v>13551.57</v>
      </c>
    </row>
    <row r="4195" spans="1:15">
      <c r="A4195" t="s">
        <v>4369</v>
      </c>
      <c r="B4195" t="s">
        <v>343</v>
      </c>
      <c r="C4195" s="9">
        <v>12419</v>
      </c>
      <c r="D4195">
        <v>92</v>
      </c>
      <c r="E4195" t="s">
        <v>17</v>
      </c>
      <c r="F4195" t="s">
        <v>5184</v>
      </c>
      <c r="G4195" s="9">
        <v>45190</v>
      </c>
      <c r="H4195" s="9">
        <v>45795</v>
      </c>
      <c r="I4195">
        <v>14</v>
      </c>
      <c r="J4195" t="s">
        <v>32</v>
      </c>
      <c r="K4195">
        <v>13</v>
      </c>
      <c r="L4195">
        <v>4</v>
      </c>
      <c r="M4195" s="11">
        <v>14766.99</v>
      </c>
      <c r="N4195" s="12">
        <v>6961.93</v>
      </c>
      <c r="O4195" s="12">
        <v>13391.21</v>
      </c>
    </row>
    <row r="4196" spans="1:15">
      <c r="A4196" t="s">
        <v>4370</v>
      </c>
      <c r="B4196" t="s">
        <v>71</v>
      </c>
      <c r="C4196" s="9">
        <v>21916</v>
      </c>
      <c r="D4196">
        <v>66</v>
      </c>
      <c r="E4196" t="s">
        <v>17</v>
      </c>
      <c r="F4196" t="s">
        <v>25</v>
      </c>
      <c r="G4196" s="9">
        <v>45039</v>
      </c>
      <c r="H4196" s="9">
        <v>45018</v>
      </c>
      <c r="I4196">
        <v>30</v>
      </c>
      <c r="J4196" t="s">
        <v>32</v>
      </c>
      <c r="K4196">
        <v>5</v>
      </c>
      <c r="L4196">
        <v>1</v>
      </c>
      <c r="M4196" s="11">
        <v>23335.53</v>
      </c>
      <c r="N4196" s="12">
        <v>12028.64</v>
      </c>
      <c r="O4196" s="12">
        <v>15380.19</v>
      </c>
    </row>
    <row r="4197" spans="1:15">
      <c r="A4197" t="s">
        <v>4371</v>
      </c>
      <c r="B4197" t="s">
        <v>223</v>
      </c>
      <c r="C4197" s="9">
        <v>41639</v>
      </c>
      <c r="D4197">
        <v>12</v>
      </c>
      <c r="E4197" t="s">
        <v>17</v>
      </c>
      <c r="F4197" t="s">
        <v>74</v>
      </c>
      <c r="G4197" s="9">
        <v>45385</v>
      </c>
      <c r="H4197" s="9">
        <v>44971</v>
      </c>
      <c r="I4197">
        <v>13</v>
      </c>
      <c r="J4197" t="s">
        <v>32</v>
      </c>
      <c r="K4197">
        <v>12</v>
      </c>
      <c r="L4197">
        <v>0</v>
      </c>
      <c r="M4197" s="11">
        <v>10825.82</v>
      </c>
      <c r="N4197" s="12">
        <v>14745.36</v>
      </c>
      <c r="O4197" s="12">
        <v>3024.29</v>
      </c>
    </row>
    <row r="4198" spans="1:15">
      <c r="A4198" t="s">
        <v>4372</v>
      </c>
      <c r="B4198" t="s">
        <v>78</v>
      </c>
      <c r="C4198" s="9">
        <v>29951</v>
      </c>
      <c r="D4198">
        <v>44</v>
      </c>
      <c r="E4198" t="s">
        <v>17</v>
      </c>
      <c r="F4198" t="s">
        <v>5184</v>
      </c>
      <c r="G4198" s="9">
        <v>45202</v>
      </c>
      <c r="H4198" s="9">
        <v>45383</v>
      </c>
      <c r="I4198">
        <v>12</v>
      </c>
      <c r="J4198" t="s">
        <v>35</v>
      </c>
      <c r="K4198">
        <v>5</v>
      </c>
      <c r="L4198">
        <v>6</v>
      </c>
      <c r="M4198" s="11">
        <v>19387.41</v>
      </c>
      <c r="N4198" s="12">
        <v>5573.95</v>
      </c>
      <c r="O4198" s="12">
        <v>12435.73</v>
      </c>
    </row>
    <row r="4199" spans="1:15">
      <c r="A4199" t="s">
        <v>4373</v>
      </c>
      <c r="B4199" t="s">
        <v>348</v>
      </c>
      <c r="C4199" s="9">
        <v>42735</v>
      </c>
      <c r="D4199">
        <v>9</v>
      </c>
      <c r="E4199" t="s">
        <v>17</v>
      </c>
      <c r="F4199" t="s">
        <v>18</v>
      </c>
      <c r="G4199" s="9">
        <v>45072</v>
      </c>
      <c r="H4199" s="9">
        <v>45311</v>
      </c>
      <c r="I4199">
        <v>10</v>
      </c>
      <c r="J4199" t="s">
        <v>35</v>
      </c>
      <c r="K4199">
        <v>11</v>
      </c>
      <c r="L4199">
        <v>9</v>
      </c>
      <c r="M4199" s="11">
        <v>8778.84</v>
      </c>
      <c r="N4199" s="12">
        <v>1799.04</v>
      </c>
      <c r="O4199" s="12">
        <v>17577.47</v>
      </c>
    </row>
    <row r="4200" spans="1:15">
      <c r="A4200" t="s">
        <v>4374</v>
      </c>
      <c r="B4200" t="s">
        <v>268</v>
      </c>
      <c r="C4200" s="9">
        <v>43100</v>
      </c>
      <c r="D4200">
        <v>8</v>
      </c>
      <c r="E4200" t="s">
        <v>21</v>
      </c>
      <c r="F4200" t="s">
        <v>22</v>
      </c>
      <c r="G4200" s="9">
        <v>45283</v>
      </c>
      <c r="H4200" s="9">
        <v>44950</v>
      </c>
      <c r="I4200">
        <v>36</v>
      </c>
      <c r="J4200" t="s">
        <v>35</v>
      </c>
      <c r="K4200">
        <v>1</v>
      </c>
      <c r="L4200">
        <v>3</v>
      </c>
      <c r="M4200" s="11">
        <v>21452.75</v>
      </c>
      <c r="N4200" s="12">
        <v>7845.86</v>
      </c>
      <c r="O4200" s="12">
        <v>1792.64</v>
      </c>
    </row>
    <row r="4201" spans="1:15">
      <c r="A4201" t="s">
        <v>4375</v>
      </c>
      <c r="B4201" t="s">
        <v>242</v>
      </c>
      <c r="C4201" s="9">
        <v>26664</v>
      </c>
      <c r="D4201">
        <v>53</v>
      </c>
      <c r="E4201" t="s">
        <v>17</v>
      </c>
      <c r="F4201" t="s">
        <v>29</v>
      </c>
      <c r="G4201" s="9">
        <v>44932</v>
      </c>
      <c r="H4201" s="9">
        <v>45629</v>
      </c>
      <c r="I4201">
        <v>0</v>
      </c>
      <c r="J4201" t="s">
        <v>32</v>
      </c>
      <c r="K4201">
        <v>8</v>
      </c>
      <c r="L4201">
        <v>4</v>
      </c>
      <c r="M4201" s="11">
        <v>19896.080000000002</v>
      </c>
      <c r="N4201" s="12">
        <v>8876.41</v>
      </c>
      <c r="O4201" s="12">
        <v>19211.009999999998</v>
      </c>
    </row>
    <row r="4202" spans="1:15">
      <c r="A4202" t="s">
        <v>4376</v>
      </c>
      <c r="B4202" t="s">
        <v>286</v>
      </c>
      <c r="C4202" s="9">
        <v>36526</v>
      </c>
      <c r="D4202">
        <v>26</v>
      </c>
      <c r="E4202" t="s">
        <v>21</v>
      </c>
      <c r="F4202" t="s">
        <v>29</v>
      </c>
      <c r="G4202" s="9">
        <v>45266</v>
      </c>
      <c r="H4202" s="9">
        <v>44950</v>
      </c>
      <c r="I4202">
        <v>21</v>
      </c>
      <c r="J4202" t="s">
        <v>35</v>
      </c>
      <c r="K4202">
        <v>11</v>
      </c>
      <c r="L4202">
        <v>1</v>
      </c>
      <c r="M4202" s="11">
        <v>20263.02</v>
      </c>
      <c r="N4202" s="12">
        <v>14391.85</v>
      </c>
      <c r="O4202" s="12">
        <v>4076.44</v>
      </c>
    </row>
    <row r="4203" spans="1:15">
      <c r="A4203" t="s">
        <v>4377</v>
      </c>
      <c r="B4203" t="s">
        <v>166</v>
      </c>
      <c r="C4203" s="9">
        <v>33969</v>
      </c>
      <c r="D4203">
        <v>33</v>
      </c>
      <c r="E4203" t="s">
        <v>17</v>
      </c>
      <c r="F4203" t="s">
        <v>74</v>
      </c>
      <c r="G4203" s="9">
        <v>45420</v>
      </c>
      <c r="H4203" s="9">
        <v>45161</v>
      </c>
      <c r="I4203">
        <v>20</v>
      </c>
      <c r="J4203" t="s">
        <v>32</v>
      </c>
      <c r="K4203">
        <v>3</v>
      </c>
      <c r="L4203">
        <v>7</v>
      </c>
      <c r="M4203" s="11">
        <v>19200.18</v>
      </c>
      <c r="N4203" s="12">
        <v>6208.84</v>
      </c>
      <c r="O4203" s="12">
        <v>18724.580000000002</v>
      </c>
    </row>
    <row r="4204" spans="1:15">
      <c r="A4204" t="s">
        <v>4378</v>
      </c>
      <c r="B4204" t="s">
        <v>514</v>
      </c>
      <c r="C4204" s="9">
        <v>46022</v>
      </c>
      <c r="D4204">
        <v>0</v>
      </c>
      <c r="E4204" t="s">
        <v>17</v>
      </c>
      <c r="F4204" t="s">
        <v>74</v>
      </c>
      <c r="G4204" s="9">
        <v>45034</v>
      </c>
      <c r="H4204" s="9">
        <v>45625</v>
      </c>
      <c r="I4204">
        <v>2</v>
      </c>
      <c r="J4204" t="s">
        <v>32</v>
      </c>
      <c r="K4204">
        <v>1</v>
      </c>
      <c r="L4204">
        <v>9</v>
      </c>
      <c r="M4204" s="11">
        <v>4267.53</v>
      </c>
      <c r="N4204" s="12">
        <v>1362.16</v>
      </c>
      <c r="O4204" s="12">
        <v>17347.2</v>
      </c>
    </row>
    <row r="4205" spans="1:15">
      <c r="A4205" t="s">
        <v>4379</v>
      </c>
      <c r="B4205" t="s">
        <v>244</v>
      </c>
      <c r="C4205" s="9">
        <v>34700</v>
      </c>
      <c r="D4205">
        <v>31</v>
      </c>
      <c r="E4205" t="s">
        <v>21</v>
      </c>
      <c r="F4205" t="s">
        <v>25</v>
      </c>
      <c r="G4205" s="9">
        <v>44997</v>
      </c>
      <c r="H4205" s="9">
        <v>45238</v>
      </c>
      <c r="I4205">
        <v>29</v>
      </c>
      <c r="J4205" t="s">
        <v>26</v>
      </c>
      <c r="K4205">
        <v>11</v>
      </c>
      <c r="L4205">
        <v>2</v>
      </c>
      <c r="M4205" s="11">
        <v>26583.73</v>
      </c>
      <c r="N4205" s="12">
        <v>9764.02</v>
      </c>
      <c r="O4205" s="12">
        <v>15380.78</v>
      </c>
    </row>
    <row r="4206" spans="1:15">
      <c r="A4206" t="s">
        <v>4380</v>
      </c>
      <c r="B4206" t="s">
        <v>65</v>
      </c>
      <c r="C4206" s="9">
        <v>13880</v>
      </c>
      <c r="D4206">
        <v>88</v>
      </c>
      <c r="E4206" t="s">
        <v>17</v>
      </c>
      <c r="F4206" t="s">
        <v>29</v>
      </c>
      <c r="G4206" s="9">
        <v>45266</v>
      </c>
      <c r="H4206" s="9">
        <v>45344</v>
      </c>
      <c r="I4206">
        <v>30</v>
      </c>
      <c r="J4206" t="s">
        <v>35</v>
      </c>
      <c r="K4206">
        <v>11</v>
      </c>
      <c r="L4206">
        <v>6</v>
      </c>
      <c r="M4206" s="11">
        <v>17365.46</v>
      </c>
      <c r="N4206" s="12">
        <v>316.68</v>
      </c>
      <c r="O4206" s="12">
        <v>4109.63</v>
      </c>
    </row>
    <row r="4207" spans="1:15">
      <c r="A4207" t="s">
        <v>4381</v>
      </c>
      <c r="B4207" t="s">
        <v>240</v>
      </c>
      <c r="C4207" s="9">
        <v>12419</v>
      </c>
      <c r="D4207">
        <v>92</v>
      </c>
      <c r="E4207" t="s">
        <v>21</v>
      </c>
      <c r="F4207" t="s">
        <v>18</v>
      </c>
      <c r="G4207" s="9">
        <v>45600</v>
      </c>
      <c r="H4207" s="9">
        <v>45260</v>
      </c>
      <c r="I4207">
        <v>27</v>
      </c>
      <c r="J4207" t="s">
        <v>26</v>
      </c>
      <c r="K4207">
        <v>9</v>
      </c>
      <c r="L4207">
        <v>0</v>
      </c>
      <c r="M4207" s="11">
        <v>11162.81</v>
      </c>
      <c r="N4207" s="12">
        <v>6381.27</v>
      </c>
      <c r="O4207" s="12">
        <v>4250.3999999999996</v>
      </c>
    </row>
    <row r="4208" spans="1:15">
      <c r="A4208" t="s">
        <v>4382</v>
      </c>
      <c r="B4208" t="s">
        <v>174</v>
      </c>
      <c r="C4208" s="9">
        <v>20455</v>
      </c>
      <c r="D4208">
        <v>70</v>
      </c>
      <c r="E4208" t="s">
        <v>21</v>
      </c>
      <c r="F4208" t="s">
        <v>22</v>
      </c>
      <c r="G4208" s="9">
        <v>45026</v>
      </c>
      <c r="H4208" s="9">
        <v>45502</v>
      </c>
      <c r="I4208">
        <v>1</v>
      </c>
      <c r="J4208" t="s">
        <v>26</v>
      </c>
      <c r="K4208">
        <v>10</v>
      </c>
      <c r="L4208">
        <v>9</v>
      </c>
      <c r="M4208" s="11">
        <v>4756.2299999999996</v>
      </c>
      <c r="N4208" s="12">
        <v>6144.7</v>
      </c>
      <c r="O4208" s="12">
        <v>5112.03</v>
      </c>
    </row>
    <row r="4209" spans="1:15">
      <c r="A4209" t="s">
        <v>4383</v>
      </c>
      <c r="B4209" t="s">
        <v>412</v>
      </c>
      <c r="C4209" s="9">
        <v>21916</v>
      </c>
      <c r="D4209">
        <v>66</v>
      </c>
      <c r="E4209" t="s">
        <v>21</v>
      </c>
      <c r="F4209" t="s">
        <v>74</v>
      </c>
      <c r="G4209" s="9">
        <v>45253</v>
      </c>
      <c r="H4209" s="9">
        <v>45030</v>
      </c>
      <c r="I4209">
        <v>15</v>
      </c>
      <c r="J4209" t="s">
        <v>35</v>
      </c>
      <c r="K4209">
        <v>12</v>
      </c>
      <c r="L4209">
        <v>0</v>
      </c>
      <c r="M4209" s="11">
        <v>23399.22</v>
      </c>
      <c r="N4209" s="12">
        <v>3822.29</v>
      </c>
      <c r="O4209" s="12">
        <v>16190.17</v>
      </c>
    </row>
    <row r="4210" spans="1:15">
      <c r="A4210" t="s">
        <v>4384</v>
      </c>
      <c r="B4210" t="s">
        <v>127</v>
      </c>
      <c r="C4210" s="9">
        <v>15707</v>
      </c>
      <c r="D4210">
        <v>83</v>
      </c>
      <c r="E4210" t="s">
        <v>17</v>
      </c>
      <c r="F4210" t="s">
        <v>74</v>
      </c>
      <c r="G4210" s="9">
        <v>44959</v>
      </c>
      <c r="H4210" s="9">
        <v>45427</v>
      </c>
      <c r="I4210">
        <v>27</v>
      </c>
      <c r="J4210" t="s">
        <v>32</v>
      </c>
      <c r="K4210">
        <v>0</v>
      </c>
      <c r="L4210">
        <v>6</v>
      </c>
      <c r="M4210" s="11">
        <v>15025.97</v>
      </c>
      <c r="N4210" s="12">
        <v>14464.64</v>
      </c>
      <c r="O4210" s="12">
        <v>3672.55</v>
      </c>
    </row>
    <row r="4211" spans="1:15">
      <c r="A4211" t="s">
        <v>4385</v>
      </c>
      <c r="B4211" t="s">
        <v>207</v>
      </c>
      <c r="C4211" s="9">
        <v>39083</v>
      </c>
      <c r="D4211">
        <v>19</v>
      </c>
      <c r="E4211" t="s">
        <v>17</v>
      </c>
      <c r="F4211" t="s">
        <v>74</v>
      </c>
      <c r="G4211" s="9">
        <v>45069</v>
      </c>
      <c r="H4211" s="9">
        <v>45755</v>
      </c>
      <c r="I4211">
        <v>15</v>
      </c>
      <c r="J4211" t="s">
        <v>32</v>
      </c>
      <c r="K4211">
        <v>14</v>
      </c>
      <c r="L4211">
        <v>0</v>
      </c>
      <c r="M4211" s="11">
        <v>3992.44</v>
      </c>
      <c r="N4211" s="12">
        <v>6051.13</v>
      </c>
      <c r="O4211" s="12">
        <v>11574.9</v>
      </c>
    </row>
    <row r="4212" spans="1:15">
      <c r="A4212" t="s">
        <v>4386</v>
      </c>
      <c r="B4212" t="s">
        <v>53</v>
      </c>
      <c r="C4212" s="9">
        <v>12054</v>
      </c>
      <c r="D4212">
        <v>93</v>
      </c>
      <c r="E4212" t="s">
        <v>17</v>
      </c>
      <c r="F4212" t="s">
        <v>22</v>
      </c>
      <c r="G4212" s="9">
        <v>45170</v>
      </c>
      <c r="H4212" s="9">
        <v>45410</v>
      </c>
      <c r="I4212">
        <v>2</v>
      </c>
      <c r="J4212" t="s">
        <v>32</v>
      </c>
      <c r="K4212">
        <v>9</v>
      </c>
      <c r="L4212">
        <v>8</v>
      </c>
      <c r="M4212" s="11">
        <v>27603.34</v>
      </c>
      <c r="N4212" s="12">
        <v>13420.61</v>
      </c>
      <c r="O4212" s="12">
        <v>15528.33</v>
      </c>
    </row>
    <row r="4213" spans="1:15">
      <c r="A4213" t="s">
        <v>4387</v>
      </c>
      <c r="B4213" t="s">
        <v>332</v>
      </c>
      <c r="C4213" s="9">
        <v>33604</v>
      </c>
      <c r="D4213">
        <v>34</v>
      </c>
      <c r="E4213" t="s">
        <v>21</v>
      </c>
      <c r="F4213" t="s">
        <v>18</v>
      </c>
      <c r="G4213" s="9">
        <v>45652</v>
      </c>
      <c r="H4213" s="9">
        <v>45116</v>
      </c>
      <c r="I4213">
        <v>2</v>
      </c>
      <c r="J4213" t="s">
        <v>35</v>
      </c>
      <c r="K4213">
        <v>13</v>
      </c>
      <c r="L4213">
        <v>8</v>
      </c>
      <c r="M4213" s="11">
        <v>2735.51</v>
      </c>
      <c r="N4213" s="12">
        <v>7726.66</v>
      </c>
      <c r="O4213" s="12">
        <v>9158.66</v>
      </c>
    </row>
    <row r="4214" spans="1:15">
      <c r="A4214" t="s">
        <v>4388</v>
      </c>
      <c r="B4214" t="s">
        <v>328</v>
      </c>
      <c r="C4214" s="9">
        <v>13150</v>
      </c>
      <c r="D4214">
        <v>90</v>
      </c>
      <c r="E4214" t="s">
        <v>17</v>
      </c>
      <c r="F4214" t="s">
        <v>29</v>
      </c>
      <c r="G4214" s="9">
        <v>45558</v>
      </c>
      <c r="H4214" s="9">
        <v>45775</v>
      </c>
      <c r="I4214">
        <v>5</v>
      </c>
      <c r="J4214" t="s">
        <v>32</v>
      </c>
      <c r="K4214">
        <v>3</v>
      </c>
      <c r="L4214">
        <v>7</v>
      </c>
      <c r="M4214" s="11">
        <v>15488.75</v>
      </c>
      <c r="N4214" s="12">
        <v>12308.04</v>
      </c>
      <c r="O4214" s="12">
        <v>16799</v>
      </c>
    </row>
    <row r="4215" spans="1:15">
      <c r="A4215" t="s">
        <v>4389</v>
      </c>
      <c r="B4215" t="s">
        <v>207</v>
      </c>
      <c r="C4215" s="9">
        <v>13515</v>
      </c>
      <c r="D4215">
        <v>89</v>
      </c>
      <c r="E4215" t="s">
        <v>17</v>
      </c>
      <c r="F4215" t="s">
        <v>5184</v>
      </c>
      <c r="G4215" s="9">
        <v>45606</v>
      </c>
      <c r="H4215" s="9">
        <v>45387</v>
      </c>
      <c r="I4215">
        <v>6</v>
      </c>
      <c r="J4215" t="s">
        <v>26</v>
      </c>
      <c r="K4215">
        <v>3</v>
      </c>
      <c r="L4215">
        <v>7</v>
      </c>
      <c r="M4215" s="11">
        <v>18122.73</v>
      </c>
      <c r="N4215" s="12">
        <v>6770.93</v>
      </c>
      <c r="O4215" s="12">
        <v>11198.27</v>
      </c>
    </row>
    <row r="4216" spans="1:15">
      <c r="A4216" t="s">
        <v>4390</v>
      </c>
      <c r="B4216" t="s">
        <v>578</v>
      </c>
      <c r="C4216" s="9">
        <v>17898</v>
      </c>
      <c r="D4216">
        <v>77</v>
      </c>
      <c r="E4216" t="s">
        <v>21</v>
      </c>
      <c r="F4216" t="s">
        <v>18</v>
      </c>
      <c r="G4216" s="9">
        <v>45143</v>
      </c>
      <c r="H4216" s="9">
        <v>45116</v>
      </c>
      <c r="I4216">
        <v>29</v>
      </c>
      <c r="J4216" t="s">
        <v>32</v>
      </c>
      <c r="K4216">
        <v>0</v>
      </c>
      <c r="L4216">
        <v>3</v>
      </c>
      <c r="M4216" s="11">
        <v>29969.03</v>
      </c>
      <c r="N4216" s="12">
        <v>14873.06</v>
      </c>
      <c r="O4216" s="12">
        <v>11862.02</v>
      </c>
    </row>
    <row r="4217" spans="1:15">
      <c r="A4217" t="s">
        <v>4391</v>
      </c>
      <c r="B4217" t="s">
        <v>278</v>
      </c>
      <c r="C4217" s="9">
        <v>40178</v>
      </c>
      <c r="D4217">
        <v>16</v>
      </c>
      <c r="E4217" t="s">
        <v>17</v>
      </c>
      <c r="F4217" t="s">
        <v>22</v>
      </c>
      <c r="G4217" s="9">
        <v>45360</v>
      </c>
      <c r="H4217" s="9">
        <v>45278</v>
      </c>
      <c r="I4217">
        <v>11</v>
      </c>
      <c r="J4217" t="s">
        <v>35</v>
      </c>
      <c r="K4217">
        <v>4</v>
      </c>
      <c r="L4217">
        <v>3</v>
      </c>
      <c r="M4217" s="11">
        <v>3797.93</v>
      </c>
      <c r="N4217" s="12">
        <v>9600.44</v>
      </c>
      <c r="O4217" s="12">
        <v>13503.34</v>
      </c>
    </row>
    <row r="4218" spans="1:15">
      <c r="A4218" t="s">
        <v>4392</v>
      </c>
      <c r="B4218" t="s">
        <v>350</v>
      </c>
      <c r="C4218" s="9">
        <v>39813</v>
      </c>
      <c r="D4218">
        <v>17</v>
      </c>
      <c r="E4218" t="s">
        <v>21</v>
      </c>
      <c r="F4218" t="s">
        <v>18</v>
      </c>
      <c r="G4218" s="9">
        <v>45655</v>
      </c>
      <c r="H4218" s="9">
        <v>45508</v>
      </c>
      <c r="I4218">
        <v>10</v>
      </c>
      <c r="J4218" t="s">
        <v>32</v>
      </c>
      <c r="K4218">
        <v>5</v>
      </c>
      <c r="L4218">
        <v>4</v>
      </c>
      <c r="M4218" s="11">
        <v>18213.59</v>
      </c>
      <c r="N4218" s="12">
        <v>2339.21</v>
      </c>
      <c r="O4218" s="12">
        <v>16904.18</v>
      </c>
    </row>
    <row r="4219" spans="1:15">
      <c r="A4219" t="s">
        <v>4393</v>
      </c>
      <c r="B4219" t="s">
        <v>157</v>
      </c>
      <c r="C4219" s="9">
        <v>29951</v>
      </c>
      <c r="D4219">
        <v>44</v>
      </c>
      <c r="E4219" t="s">
        <v>21</v>
      </c>
      <c r="F4219" t="s">
        <v>25</v>
      </c>
      <c r="G4219" s="9">
        <v>44980</v>
      </c>
      <c r="H4219" s="9">
        <v>45041</v>
      </c>
      <c r="I4219">
        <v>15</v>
      </c>
      <c r="J4219" t="s">
        <v>26</v>
      </c>
      <c r="K4219">
        <v>1</v>
      </c>
      <c r="L4219">
        <v>8</v>
      </c>
      <c r="M4219" s="11">
        <v>14039.83</v>
      </c>
      <c r="N4219" s="12">
        <v>96.46</v>
      </c>
      <c r="O4219" s="12">
        <v>6.86</v>
      </c>
    </row>
    <row r="4220" spans="1:15">
      <c r="A4220" t="s">
        <v>4394</v>
      </c>
      <c r="B4220" t="s">
        <v>490</v>
      </c>
      <c r="C4220" s="9">
        <v>12419</v>
      </c>
      <c r="D4220">
        <v>92</v>
      </c>
      <c r="E4220" t="s">
        <v>21</v>
      </c>
      <c r="F4220" t="s">
        <v>5184</v>
      </c>
      <c r="G4220" s="9">
        <v>45646</v>
      </c>
      <c r="H4220" s="9">
        <v>45031</v>
      </c>
      <c r="I4220">
        <v>1</v>
      </c>
      <c r="J4220" t="s">
        <v>32</v>
      </c>
      <c r="K4220">
        <v>1</v>
      </c>
      <c r="L4220">
        <v>2</v>
      </c>
      <c r="M4220" s="11">
        <v>7341.99</v>
      </c>
      <c r="N4220" s="12">
        <v>13933.51</v>
      </c>
      <c r="O4220" s="12">
        <v>7790.36</v>
      </c>
    </row>
    <row r="4221" spans="1:15">
      <c r="A4221" t="s">
        <v>4395</v>
      </c>
      <c r="B4221" t="s">
        <v>237</v>
      </c>
      <c r="C4221" s="9">
        <v>15707</v>
      </c>
      <c r="D4221">
        <v>83</v>
      </c>
      <c r="E4221" t="s">
        <v>17</v>
      </c>
      <c r="F4221" t="s">
        <v>22</v>
      </c>
      <c r="G4221" s="9">
        <v>45518</v>
      </c>
      <c r="H4221" s="9">
        <v>45547</v>
      </c>
      <c r="I4221">
        <v>19</v>
      </c>
      <c r="J4221" t="s">
        <v>26</v>
      </c>
      <c r="K4221">
        <v>2</v>
      </c>
      <c r="L4221">
        <v>3</v>
      </c>
      <c r="M4221" s="11">
        <v>28237.41</v>
      </c>
      <c r="N4221" s="12">
        <v>10302.01</v>
      </c>
      <c r="O4221" s="12">
        <v>19256.13</v>
      </c>
    </row>
    <row r="4222" spans="1:15">
      <c r="A4222" t="s">
        <v>4396</v>
      </c>
      <c r="B4222" t="s">
        <v>137</v>
      </c>
      <c r="C4222" s="9">
        <v>27029</v>
      </c>
      <c r="D4222">
        <v>52</v>
      </c>
      <c r="E4222" t="s">
        <v>21</v>
      </c>
      <c r="F4222" t="s">
        <v>5184</v>
      </c>
      <c r="G4222" s="9">
        <v>45077</v>
      </c>
      <c r="H4222" s="9">
        <v>45435</v>
      </c>
      <c r="I4222">
        <v>17</v>
      </c>
      <c r="J4222" t="s">
        <v>32</v>
      </c>
      <c r="K4222">
        <v>0</v>
      </c>
      <c r="L4222">
        <v>9</v>
      </c>
      <c r="M4222" s="11">
        <v>23620.73</v>
      </c>
      <c r="N4222" s="12">
        <v>1594.36</v>
      </c>
      <c r="O4222" s="12">
        <v>1883.3</v>
      </c>
    </row>
    <row r="4223" spans="1:15">
      <c r="A4223" t="s">
        <v>4397</v>
      </c>
      <c r="B4223" t="s">
        <v>446</v>
      </c>
      <c r="C4223" s="9">
        <v>13150</v>
      </c>
      <c r="D4223">
        <v>90</v>
      </c>
      <c r="E4223" t="s">
        <v>21</v>
      </c>
      <c r="F4223" t="s">
        <v>5184</v>
      </c>
      <c r="G4223" s="9">
        <v>44981</v>
      </c>
      <c r="H4223" s="9">
        <v>45272</v>
      </c>
      <c r="I4223">
        <v>12</v>
      </c>
      <c r="J4223" t="s">
        <v>32</v>
      </c>
      <c r="K4223">
        <v>8</v>
      </c>
      <c r="L4223">
        <v>4</v>
      </c>
      <c r="M4223" s="11">
        <v>23200.26</v>
      </c>
      <c r="N4223" s="12">
        <v>11152.3</v>
      </c>
      <c r="O4223" s="12">
        <v>4592.32</v>
      </c>
    </row>
    <row r="4224" spans="1:15">
      <c r="A4224" t="s">
        <v>4398</v>
      </c>
      <c r="B4224" t="s">
        <v>55</v>
      </c>
      <c r="C4224" s="9">
        <v>16437</v>
      </c>
      <c r="D4224">
        <v>81</v>
      </c>
      <c r="E4224" t="s">
        <v>21</v>
      </c>
      <c r="F4224" t="s">
        <v>74</v>
      </c>
      <c r="G4224" s="9">
        <v>45443</v>
      </c>
      <c r="H4224" s="9">
        <v>44948</v>
      </c>
      <c r="I4224">
        <v>4</v>
      </c>
      <c r="J4224" t="s">
        <v>32</v>
      </c>
      <c r="K4224">
        <v>9</v>
      </c>
      <c r="L4224">
        <v>6</v>
      </c>
      <c r="M4224" s="11">
        <v>26925.17</v>
      </c>
      <c r="N4224" s="12">
        <v>3407.23</v>
      </c>
      <c r="O4224" s="12">
        <v>11375.71</v>
      </c>
    </row>
    <row r="4225" spans="1:15">
      <c r="A4225" t="s">
        <v>4399</v>
      </c>
      <c r="B4225" t="s">
        <v>326</v>
      </c>
      <c r="C4225" s="9">
        <v>21551</v>
      </c>
      <c r="D4225">
        <v>67</v>
      </c>
      <c r="E4225" t="s">
        <v>21</v>
      </c>
      <c r="F4225" t="s">
        <v>29</v>
      </c>
      <c r="G4225" s="9">
        <v>45374</v>
      </c>
      <c r="H4225" s="9">
        <v>45314</v>
      </c>
      <c r="I4225">
        <v>10</v>
      </c>
      <c r="J4225" t="s">
        <v>32</v>
      </c>
      <c r="K4225">
        <v>3</v>
      </c>
      <c r="L4225">
        <v>4</v>
      </c>
      <c r="M4225" s="11">
        <v>21613.84</v>
      </c>
      <c r="N4225" s="12">
        <v>12138.46</v>
      </c>
      <c r="O4225" s="12">
        <v>17143.38</v>
      </c>
    </row>
    <row r="4226" spans="1:15">
      <c r="A4226" t="s">
        <v>4400</v>
      </c>
      <c r="B4226" t="s">
        <v>73</v>
      </c>
      <c r="C4226" s="9">
        <v>22646</v>
      </c>
      <c r="D4226">
        <v>64</v>
      </c>
      <c r="E4226" t="s">
        <v>21</v>
      </c>
      <c r="F4226" t="s">
        <v>5184</v>
      </c>
      <c r="G4226" s="9">
        <v>44961</v>
      </c>
      <c r="H4226" s="9">
        <v>45705</v>
      </c>
      <c r="I4226">
        <v>31</v>
      </c>
      <c r="J4226" t="s">
        <v>26</v>
      </c>
      <c r="K4226">
        <v>11</v>
      </c>
      <c r="L4226">
        <v>8</v>
      </c>
      <c r="M4226" s="11">
        <v>14955.55</v>
      </c>
      <c r="N4226" s="12">
        <v>9148.84</v>
      </c>
      <c r="O4226" s="12">
        <v>1853.79</v>
      </c>
    </row>
    <row r="4227" spans="1:15">
      <c r="A4227" t="s">
        <v>4401</v>
      </c>
      <c r="B4227" t="s">
        <v>24</v>
      </c>
      <c r="C4227" s="9">
        <v>46022</v>
      </c>
      <c r="D4227">
        <v>0</v>
      </c>
      <c r="E4227" t="s">
        <v>21</v>
      </c>
      <c r="F4227" t="s">
        <v>25</v>
      </c>
      <c r="G4227" s="9">
        <v>45045</v>
      </c>
      <c r="H4227" s="9">
        <v>45782</v>
      </c>
      <c r="I4227">
        <v>38</v>
      </c>
      <c r="J4227" t="s">
        <v>26</v>
      </c>
      <c r="K4227">
        <v>14</v>
      </c>
      <c r="L4227">
        <v>5</v>
      </c>
      <c r="M4227" s="11">
        <v>11441.86</v>
      </c>
      <c r="N4227" s="12">
        <v>1854.9</v>
      </c>
      <c r="O4227" s="12">
        <v>18.989999999999998</v>
      </c>
    </row>
    <row r="4228" spans="1:15">
      <c r="A4228" t="s">
        <v>4402</v>
      </c>
      <c r="B4228" t="s">
        <v>192</v>
      </c>
      <c r="C4228" s="9">
        <v>25203</v>
      </c>
      <c r="D4228">
        <v>57</v>
      </c>
      <c r="E4228" t="s">
        <v>17</v>
      </c>
      <c r="F4228" t="s">
        <v>25</v>
      </c>
      <c r="G4228" s="9">
        <v>45123</v>
      </c>
      <c r="H4228" s="9">
        <v>45136</v>
      </c>
      <c r="I4228">
        <v>27</v>
      </c>
      <c r="J4228" t="s">
        <v>26</v>
      </c>
      <c r="K4228">
        <v>14</v>
      </c>
      <c r="L4228">
        <v>2</v>
      </c>
      <c r="M4228" s="11">
        <v>20976.07</v>
      </c>
      <c r="N4228" s="12">
        <v>1064.24</v>
      </c>
      <c r="O4228" s="12">
        <v>13709.14</v>
      </c>
    </row>
    <row r="4229" spans="1:15">
      <c r="A4229" t="s">
        <v>4403</v>
      </c>
      <c r="B4229" t="s">
        <v>157</v>
      </c>
      <c r="C4229" s="9">
        <v>36891</v>
      </c>
      <c r="D4229">
        <v>25</v>
      </c>
      <c r="E4229" t="s">
        <v>21</v>
      </c>
      <c r="F4229" t="s">
        <v>22</v>
      </c>
      <c r="G4229" s="9">
        <v>45492</v>
      </c>
      <c r="H4229" s="9">
        <v>45609</v>
      </c>
      <c r="I4229">
        <v>2</v>
      </c>
      <c r="J4229" t="s">
        <v>35</v>
      </c>
      <c r="K4229">
        <v>2</v>
      </c>
      <c r="L4229">
        <v>5</v>
      </c>
      <c r="M4229" s="11">
        <v>17885.759999999998</v>
      </c>
      <c r="N4229" s="12">
        <v>6991.77</v>
      </c>
      <c r="O4229" s="12">
        <v>11905.77</v>
      </c>
    </row>
    <row r="4230" spans="1:15">
      <c r="A4230" t="s">
        <v>4404</v>
      </c>
      <c r="B4230" t="s">
        <v>211</v>
      </c>
      <c r="C4230" s="9">
        <v>39083</v>
      </c>
      <c r="D4230">
        <v>19</v>
      </c>
      <c r="E4230" t="s">
        <v>17</v>
      </c>
      <c r="F4230" t="s">
        <v>49</v>
      </c>
      <c r="G4230" s="9">
        <v>45440</v>
      </c>
      <c r="H4230" s="9">
        <v>45410</v>
      </c>
      <c r="I4230">
        <v>2</v>
      </c>
      <c r="J4230" t="s">
        <v>26</v>
      </c>
      <c r="K4230">
        <v>9</v>
      </c>
      <c r="L4230">
        <v>5</v>
      </c>
      <c r="M4230" s="11">
        <v>16057.73</v>
      </c>
      <c r="N4230" s="12">
        <v>14053.4</v>
      </c>
      <c r="O4230" s="12">
        <v>5348.32</v>
      </c>
    </row>
    <row r="4231" spans="1:15">
      <c r="A4231" t="s">
        <v>4405</v>
      </c>
      <c r="B4231" t="s">
        <v>427</v>
      </c>
      <c r="C4231" s="9">
        <v>14611</v>
      </c>
      <c r="D4231">
        <v>86</v>
      </c>
      <c r="E4231" t="s">
        <v>17</v>
      </c>
      <c r="F4231" t="s">
        <v>74</v>
      </c>
      <c r="G4231" s="9">
        <v>45520</v>
      </c>
      <c r="H4231" s="9">
        <v>45400</v>
      </c>
      <c r="I4231">
        <v>28</v>
      </c>
      <c r="J4231" t="s">
        <v>35</v>
      </c>
      <c r="K4231">
        <v>0</v>
      </c>
      <c r="L4231">
        <v>9</v>
      </c>
      <c r="M4231" s="11">
        <v>17466.240000000002</v>
      </c>
      <c r="N4231" s="12">
        <v>8469.49</v>
      </c>
      <c r="O4231" s="12">
        <v>19148.060000000001</v>
      </c>
    </row>
    <row r="4232" spans="1:15">
      <c r="A4232" t="s">
        <v>4406</v>
      </c>
      <c r="B4232" t="s">
        <v>78</v>
      </c>
      <c r="C4232" s="9">
        <v>42735</v>
      </c>
      <c r="D4232">
        <v>9</v>
      </c>
      <c r="E4232" t="s">
        <v>21</v>
      </c>
      <c r="F4232" t="s">
        <v>29</v>
      </c>
      <c r="G4232" s="9">
        <v>45348</v>
      </c>
      <c r="H4232" s="9">
        <v>45633</v>
      </c>
      <c r="I4232">
        <v>17</v>
      </c>
      <c r="J4232" t="s">
        <v>26</v>
      </c>
      <c r="K4232">
        <v>13</v>
      </c>
      <c r="L4232">
        <v>0</v>
      </c>
      <c r="M4232" s="11">
        <v>19488.099999999999</v>
      </c>
      <c r="N4232" s="12">
        <v>11386.63</v>
      </c>
      <c r="O4232" s="12">
        <v>11138.91</v>
      </c>
    </row>
    <row r="4233" spans="1:15">
      <c r="A4233" t="s">
        <v>4407</v>
      </c>
      <c r="B4233" t="s">
        <v>223</v>
      </c>
      <c r="C4233" s="9">
        <v>24838</v>
      </c>
      <c r="D4233">
        <v>58</v>
      </c>
      <c r="E4233" t="s">
        <v>21</v>
      </c>
      <c r="F4233" t="s">
        <v>29</v>
      </c>
      <c r="G4233" s="9">
        <v>45443</v>
      </c>
      <c r="H4233" s="9">
        <v>45786</v>
      </c>
      <c r="I4233">
        <v>16</v>
      </c>
      <c r="J4233" t="s">
        <v>35</v>
      </c>
      <c r="K4233">
        <v>9</v>
      </c>
      <c r="L4233">
        <v>6</v>
      </c>
      <c r="M4233" s="11">
        <v>29045.48</v>
      </c>
      <c r="N4233" s="12">
        <v>7042.1</v>
      </c>
      <c r="O4233" s="12">
        <v>13234.61</v>
      </c>
    </row>
    <row r="4234" spans="1:15">
      <c r="A4234" t="s">
        <v>4408</v>
      </c>
      <c r="B4234" t="s">
        <v>1148</v>
      </c>
      <c r="C4234" s="9">
        <v>18994</v>
      </c>
      <c r="D4234">
        <v>74</v>
      </c>
      <c r="E4234" t="s">
        <v>17</v>
      </c>
      <c r="F4234" t="s">
        <v>29</v>
      </c>
      <c r="G4234" s="9">
        <v>45612</v>
      </c>
      <c r="H4234" s="9">
        <v>45320</v>
      </c>
      <c r="I4234">
        <v>26</v>
      </c>
      <c r="J4234" t="s">
        <v>32</v>
      </c>
      <c r="K4234">
        <v>1</v>
      </c>
      <c r="L4234">
        <v>2</v>
      </c>
      <c r="M4234" s="11">
        <v>22471.32</v>
      </c>
      <c r="N4234" s="12">
        <v>5761.21</v>
      </c>
      <c r="O4234" s="12">
        <v>7513.52</v>
      </c>
    </row>
    <row r="4235" spans="1:15">
      <c r="A4235" t="s">
        <v>4409</v>
      </c>
      <c r="B4235" t="s">
        <v>387</v>
      </c>
      <c r="C4235" s="9">
        <v>31412</v>
      </c>
      <c r="D4235">
        <v>40</v>
      </c>
      <c r="E4235" t="s">
        <v>21</v>
      </c>
      <c r="F4235" t="s">
        <v>22</v>
      </c>
      <c r="G4235" s="9">
        <v>45065</v>
      </c>
      <c r="H4235" s="9">
        <v>45562</v>
      </c>
      <c r="I4235">
        <v>35</v>
      </c>
      <c r="J4235" t="s">
        <v>32</v>
      </c>
      <c r="K4235">
        <v>6</v>
      </c>
      <c r="L4235">
        <v>0</v>
      </c>
      <c r="M4235" s="11">
        <v>4881.2</v>
      </c>
      <c r="N4235" s="12">
        <v>12333.11</v>
      </c>
      <c r="O4235" s="12">
        <v>18423.919999999998</v>
      </c>
    </row>
    <row r="4236" spans="1:15">
      <c r="A4236" t="s">
        <v>4410</v>
      </c>
      <c r="B4236" t="s">
        <v>332</v>
      </c>
      <c r="C4236" s="9">
        <v>44561</v>
      </c>
      <c r="D4236">
        <v>4</v>
      </c>
      <c r="E4236" t="s">
        <v>21</v>
      </c>
      <c r="F4236" t="s">
        <v>74</v>
      </c>
      <c r="G4236" s="9">
        <v>45631</v>
      </c>
      <c r="H4236" s="9">
        <v>45616</v>
      </c>
      <c r="I4236">
        <v>7</v>
      </c>
      <c r="J4236" t="s">
        <v>26</v>
      </c>
      <c r="K4236">
        <v>0</v>
      </c>
      <c r="L4236">
        <v>0</v>
      </c>
      <c r="M4236" s="11">
        <v>13736.45</v>
      </c>
      <c r="N4236" s="12">
        <v>6950.8</v>
      </c>
      <c r="O4236" s="12">
        <v>5449.14</v>
      </c>
    </row>
    <row r="4237" spans="1:15">
      <c r="A4237" t="s">
        <v>4411</v>
      </c>
      <c r="B4237" t="s">
        <v>240</v>
      </c>
      <c r="C4237" s="9">
        <v>22646</v>
      </c>
      <c r="D4237">
        <v>64</v>
      </c>
      <c r="E4237" t="s">
        <v>21</v>
      </c>
      <c r="F4237" t="s">
        <v>5184</v>
      </c>
      <c r="G4237" s="9">
        <v>45576</v>
      </c>
      <c r="H4237" s="9">
        <v>45443</v>
      </c>
      <c r="I4237">
        <v>26</v>
      </c>
      <c r="J4237" t="s">
        <v>35</v>
      </c>
      <c r="K4237">
        <v>2</v>
      </c>
      <c r="L4237">
        <v>4</v>
      </c>
      <c r="M4237" s="11">
        <v>20186.37</v>
      </c>
      <c r="N4237" s="12">
        <v>2123.14</v>
      </c>
      <c r="O4237" s="12">
        <v>14950.63</v>
      </c>
    </row>
    <row r="4238" spans="1:15">
      <c r="A4238" t="s">
        <v>4412</v>
      </c>
      <c r="B4238" t="s">
        <v>105</v>
      </c>
      <c r="C4238" s="9">
        <v>40178</v>
      </c>
      <c r="D4238">
        <v>16</v>
      </c>
      <c r="E4238" t="s">
        <v>17</v>
      </c>
      <c r="F4238" t="s">
        <v>5184</v>
      </c>
      <c r="G4238" s="9">
        <v>45554</v>
      </c>
      <c r="H4238" s="9">
        <v>45115</v>
      </c>
      <c r="I4238">
        <v>28</v>
      </c>
      <c r="J4238" t="s">
        <v>32</v>
      </c>
      <c r="K4238">
        <v>10</v>
      </c>
      <c r="L4238">
        <v>9</v>
      </c>
      <c r="M4238" s="11">
        <v>4857.4399999999996</v>
      </c>
      <c r="N4238" s="12">
        <v>4117.8100000000004</v>
      </c>
      <c r="O4238" s="12">
        <v>2244.9899999999998</v>
      </c>
    </row>
    <row r="4239" spans="1:15">
      <c r="A4239" t="s">
        <v>4413</v>
      </c>
      <c r="B4239" t="s">
        <v>48</v>
      </c>
      <c r="C4239" s="9">
        <v>38352</v>
      </c>
      <c r="D4239">
        <v>21</v>
      </c>
      <c r="E4239" t="s">
        <v>17</v>
      </c>
      <c r="F4239" t="s">
        <v>22</v>
      </c>
      <c r="G4239" s="9">
        <v>44970</v>
      </c>
      <c r="H4239" s="9">
        <v>45273</v>
      </c>
      <c r="I4239">
        <v>8</v>
      </c>
      <c r="J4239" t="s">
        <v>32</v>
      </c>
      <c r="K4239">
        <v>14</v>
      </c>
      <c r="L4239">
        <v>9</v>
      </c>
      <c r="M4239" s="11">
        <v>27947.55</v>
      </c>
      <c r="N4239" s="12">
        <v>8420.75</v>
      </c>
      <c r="O4239" s="12">
        <v>10709.51</v>
      </c>
    </row>
    <row r="4240" spans="1:15">
      <c r="A4240" t="s">
        <v>4414</v>
      </c>
      <c r="B4240" t="s">
        <v>16</v>
      </c>
      <c r="C4240" s="9">
        <v>31412</v>
      </c>
      <c r="D4240">
        <v>40</v>
      </c>
      <c r="E4240" t="s">
        <v>5185</v>
      </c>
      <c r="F4240" t="s">
        <v>29</v>
      </c>
      <c r="G4240" s="9">
        <v>45145</v>
      </c>
      <c r="H4240" s="9">
        <v>45279</v>
      </c>
      <c r="I4240">
        <v>20</v>
      </c>
      <c r="J4240" t="s">
        <v>32</v>
      </c>
      <c r="K4240">
        <v>8</v>
      </c>
      <c r="L4240">
        <v>1</v>
      </c>
      <c r="M4240" s="11">
        <v>1849.27</v>
      </c>
      <c r="N4240" s="12">
        <v>6038.66</v>
      </c>
      <c r="O4240" s="12">
        <v>11513.57</v>
      </c>
    </row>
    <row r="4241" spans="1:15">
      <c r="A4241" t="s">
        <v>4415</v>
      </c>
      <c r="B4241" t="s">
        <v>209</v>
      </c>
      <c r="C4241" s="9">
        <v>12419</v>
      </c>
      <c r="D4241">
        <v>92</v>
      </c>
      <c r="E4241" t="s">
        <v>17</v>
      </c>
      <c r="F4241" t="s">
        <v>5184</v>
      </c>
      <c r="G4241" s="9">
        <v>45494</v>
      </c>
      <c r="H4241" s="9">
        <v>45468</v>
      </c>
      <c r="I4241">
        <v>27</v>
      </c>
      <c r="J4241" t="s">
        <v>32</v>
      </c>
      <c r="K4241">
        <v>3</v>
      </c>
      <c r="L4241">
        <v>1</v>
      </c>
      <c r="M4241" s="11">
        <v>18134.990000000002</v>
      </c>
      <c r="N4241" s="12">
        <v>5495.89</v>
      </c>
      <c r="O4241" s="12">
        <v>3685.91</v>
      </c>
    </row>
    <row r="4242" spans="1:15">
      <c r="A4242" t="s">
        <v>4416</v>
      </c>
      <c r="B4242" t="s">
        <v>252</v>
      </c>
      <c r="C4242" s="9">
        <v>21551</v>
      </c>
      <c r="D4242">
        <v>67</v>
      </c>
      <c r="E4242" t="s">
        <v>21</v>
      </c>
      <c r="F4242" t="s">
        <v>18</v>
      </c>
      <c r="G4242" s="9">
        <v>45184</v>
      </c>
      <c r="H4242" s="9">
        <v>45525</v>
      </c>
      <c r="I4242">
        <v>22</v>
      </c>
      <c r="J4242" t="s">
        <v>32</v>
      </c>
      <c r="K4242">
        <v>0</v>
      </c>
      <c r="L4242">
        <v>3</v>
      </c>
      <c r="M4242" s="11">
        <v>29266.03</v>
      </c>
      <c r="N4242" s="12">
        <v>10031.459999999999</v>
      </c>
      <c r="O4242" s="12">
        <v>6407.91</v>
      </c>
    </row>
    <row r="4243" spans="1:15">
      <c r="A4243" t="s">
        <v>4417</v>
      </c>
      <c r="B4243" t="s">
        <v>229</v>
      </c>
      <c r="C4243" s="9">
        <v>21185</v>
      </c>
      <c r="D4243">
        <v>68</v>
      </c>
      <c r="E4243" t="s">
        <v>21</v>
      </c>
      <c r="F4243" t="s">
        <v>18</v>
      </c>
      <c r="G4243" s="9">
        <v>45439</v>
      </c>
      <c r="H4243" s="9">
        <v>44974</v>
      </c>
      <c r="I4243">
        <v>13</v>
      </c>
      <c r="J4243" t="s">
        <v>35</v>
      </c>
      <c r="K4243">
        <v>8</v>
      </c>
      <c r="L4243">
        <v>9</v>
      </c>
      <c r="M4243" s="11">
        <v>21699.98</v>
      </c>
      <c r="N4243" s="12">
        <v>9544.81</v>
      </c>
      <c r="O4243" s="12">
        <v>3491.81</v>
      </c>
    </row>
    <row r="4244" spans="1:15">
      <c r="A4244" t="s">
        <v>4418</v>
      </c>
      <c r="B4244" t="s">
        <v>34</v>
      </c>
      <c r="C4244" s="9">
        <v>42370</v>
      </c>
      <c r="D4244">
        <v>10</v>
      </c>
      <c r="E4244" t="s">
        <v>21</v>
      </c>
      <c r="F4244" t="s">
        <v>74</v>
      </c>
      <c r="G4244" s="9">
        <v>45303</v>
      </c>
      <c r="H4244" s="9">
        <v>45004</v>
      </c>
      <c r="I4244">
        <v>20</v>
      </c>
      <c r="J4244" t="s">
        <v>26</v>
      </c>
      <c r="K4244">
        <v>7</v>
      </c>
      <c r="L4244">
        <v>6</v>
      </c>
      <c r="M4244" s="11">
        <v>20156.37</v>
      </c>
      <c r="N4244" s="12">
        <v>4710.3900000000003</v>
      </c>
      <c r="O4244" s="12">
        <v>16885.02</v>
      </c>
    </row>
    <row r="4245" spans="1:15">
      <c r="A4245" t="s">
        <v>4419</v>
      </c>
      <c r="B4245" t="s">
        <v>166</v>
      </c>
      <c r="C4245" s="9">
        <v>25934</v>
      </c>
      <c r="D4245">
        <v>55</v>
      </c>
      <c r="E4245" t="s">
        <v>21</v>
      </c>
      <c r="F4245" t="s">
        <v>29</v>
      </c>
      <c r="G4245" s="9">
        <v>45215</v>
      </c>
      <c r="H4245" s="9">
        <v>45270</v>
      </c>
      <c r="I4245">
        <v>30</v>
      </c>
      <c r="J4245" t="s">
        <v>32</v>
      </c>
      <c r="K4245">
        <v>0</v>
      </c>
      <c r="L4245">
        <v>7</v>
      </c>
      <c r="M4245" s="11">
        <v>29921.32</v>
      </c>
      <c r="N4245" s="12">
        <v>5391.4</v>
      </c>
      <c r="O4245" s="12">
        <v>13109.5</v>
      </c>
    </row>
    <row r="4246" spans="1:15">
      <c r="A4246" t="s">
        <v>4420</v>
      </c>
      <c r="B4246" t="s">
        <v>155</v>
      </c>
      <c r="C4246" s="9">
        <v>27760</v>
      </c>
      <c r="D4246">
        <v>50</v>
      </c>
      <c r="E4246" t="s">
        <v>21</v>
      </c>
      <c r="F4246" t="s">
        <v>22</v>
      </c>
      <c r="G4246" s="9">
        <v>45396</v>
      </c>
      <c r="H4246" s="9">
        <v>45118</v>
      </c>
      <c r="I4246">
        <v>34</v>
      </c>
      <c r="J4246" t="s">
        <v>26</v>
      </c>
      <c r="K4246">
        <v>4</v>
      </c>
      <c r="L4246">
        <v>9</v>
      </c>
      <c r="M4246" s="11">
        <v>23649.82</v>
      </c>
      <c r="N4246" s="12">
        <v>11281</v>
      </c>
      <c r="O4246" s="12">
        <v>8873.33</v>
      </c>
    </row>
    <row r="4247" spans="1:15">
      <c r="A4247" t="s">
        <v>4421</v>
      </c>
      <c r="B4247" t="s">
        <v>427</v>
      </c>
      <c r="C4247" s="9">
        <v>38717</v>
      </c>
      <c r="D4247">
        <f ca="1">DATEDIF(C4198,TODAY(),"Y")</f>
        <v>44</v>
      </c>
      <c r="E4247" t="s">
        <v>21</v>
      </c>
      <c r="F4247" t="s">
        <v>49</v>
      </c>
      <c r="G4247" s="9">
        <v>45029</v>
      </c>
      <c r="H4247" s="9">
        <v>45470</v>
      </c>
      <c r="I4247">
        <v>25</v>
      </c>
      <c r="J4247" t="s">
        <v>32</v>
      </c>
      <c r="K4247">
        <v>5</v>
      </c>
      <c r="L4247">
        <v>6</v>
      </c>
      <c r="M4247" s="11">
        <v>29093.95</v>
      </c>
      <c r="N4247" s="12">
        <v>13819.31</v>
      </c>
      <c r="O4247" s="12">
        <v>11075.2</v>
      </c>
    </row>
    <row r="4248" spans="1:15">
      <c r="A4248" t="s">
        <v>4422</v>
      </c>
      <c r="B4248" t="s">
        <v>194</v>
      </c>
      <c r="C4248" s="9">
        <v>18629</v>
      </c>
      <c r="D4248">
        <v>75</v>
      </c>
      <c r="E4248" t="s">
        <v>21</v>
      </c>
      <c r="F4248" t="s">
        <v>49</v>
      </c>
      <c r="G4248" s="9">
        <v>45075</v>
      </c>
      <c r="H4248" s="9">
        <v>45746</v>
      </c>
      <c r="I4248">
        <v>24</v>
      </c>
      <c r="J4248" t="s">
        <v>32</v>
      </c>
      <c r="K4248">
        <v>4</v>
      </c>
      <c r="L4248">
        <v>8</v>
      </c>
      <c r="M4248" s="11">
        <v>20816.21</v>
      </c>
      <c r="N4248" s="12">
        <v>4863.22</v>
      </c>
      <c r="O4248" s="12">
        <v>6815.24</v>
      </c>
    </row>
    <row r="4249" spans="1:15">
      <c r="A4249" t="s">
        <v>4423</v>
      </c>
      <c r="B4249" t="s">
        <v>67</v>
      </c>
      <c r="C4249" s="9">
        <v>36891</v>
      </c>
      <c r="D4249">
        <v>25</v>
      </c>
      <c r="E4249" t="s">
        <v>21</v>
      </c>
      <c r="F4249" t="s">
        <v>49</v>
      </c>
      <c r="G4249" s="9">
        <v>45010</v>
      </c>
      <c r="H4249" s="9">
        <v>45608</v>
      </c>
      <c r="I4249">
        <v>3</v>
      </c>
      <c r="J4249" t="s">
        <v>26</v>
      </c>
      <c r="K4249">
        <v>9</v>
      </c>
      <c r="L4249">
        <v>6</v>
      </c>
      <c r="M4249" s="11">
        <v>19796.490000000002</v>
      </c>
      <c r="N4249" s="12">
        <v>4378.16</v>
      </c>
      <c r="O4249" s="12">
        <v>8517.66</v>
      </c>
    </row>
    <row r="4250" spans="1:15">
      <c r="A4250" t="s">
        <v>4424</v>
      </c>
      <c r="B4250" t="s">
        <v>246</v>
      </c>
      <c r="C4250" s="9">
        <v>39448</v>
      </c>
      <c r="D4250">
        <v>18</v>
      </c>
      <c r="E4250" t="s">
        <v>21</v>
      </c>
      <c r="F4250" t="s">
        <v>18</v>
      </c>
      <c r="G4250" s="9">
        <v>44952</v>
      </c>
      <c r="H4250" s="9">
        <v>44963</v>
      </c>
      <c r="I4250">
        <v>35</v>
      </c>
      <c r="J4250" t="s">
        <v>35</v>
      </c>
      <c r="K4250">
        <v>9</v>
      </c>
      <c r="L4250">
        <v>3</v>
      </c>
      <c r="M4250" s="11">
        <v>22758.31</v>
      </c>
      <c r="N4250" s="12">
        <v>3979.2</v>
      </c>
      <c r="O4250" s="12">
        <v>12349.37</v>
      </c>
    </row>
    <row r="4251" spans="1:15">
      <c r="A4251" t="s">
        <v>4425</v>
      </c>
      <c r="B4251" t="s">
        <v>119</v>
      </c>
      <c r="C4251" s="9">
        <v>24473</v>
      </c>
      <c r="D4251">
        <v>59</v>
      </c>
      <c r="E4251" t="s">
        <v>5185</v>
      </c>
      <c r="F4251" t="s">
        <v>22</v>
      </c>
      <c r="G4251" s="9">
        <v>45101</v>
      </c>
      <c r="H4251" s="9">
        <v>45684</v>
      </c>
      <c r="I4251">
        <v>34</v>
      </c>
      <c r="J4251" t="s">
        <v>32</v>
      </c>
      <c r="K4251">
        <v>13</v>
      </c>
      <c r="L4251">
        <v>8</v>
      </c>
      <c r="M4251" s="11">
        <v>5257</v>
      </c>
      <c r="N4251" s="12">
        <v>2122.6</v>
      </c>
      <c r="O4251" s="12">
        <v>4150.72</v>
      </c>
    </row>
    <row r="4252" spans="1:15">
      <c r="A4252" t="s">
        <v>4426</v>
      </c>
      <c r="B4252" t="s">
        <v>133</v>
      </c>
      <c r="C4252" s="9">
        <v>20455</v>
      </c>
      <c r="D4252">
        <v>70</v>
      </c>
      <c r="E4252" t="s">
        <v>17</v>
      </c>
      <c r="F4252" t="s">
        <v>49</v>
      </c>
      <c r="G4252" s="9">
        <v>45567</v>
      </c>
      <c r="H4252" s="9">
        <v>45351</v>
      </c>
      <c r="I4252">
        <v>3</v>
      </c>
      <c r="J4252" t="s">
        <v>35</v>
      </c>
      <c r="K4252">
        <v>10</v>
      </c>
      <c r="L4252">
        <v>8</v>
      </c>
      <c r="M4252" s="11">
        <v>24076.44</v>
      </c>
      <c r="N4252" s="12">
        <v>5657.61</v>
      </c>
      <c r="O4252" s="12">
        <v>2595.34</v>
      </c>
    </row>
    <row r="4253" spans="1:15">
      <c r="A4253" t="s">
        <v>4427</v>
      </c>
      <c r="B4253" t="s">
        <v>84</v>
      </c>
      <c r="C4253" s="9">
        <v>29221</v>
      </c>
      <c r="D4253">
        <v>46</v>
      </c>
      <c r="E4253" t="s">
        <v>5185</v>
      </c>
      <c r="F4253" t="s">
        <v>29</v>
      </c>
      <c r="G4253" s="9">
        <v>45348</v>
      </c>
      <c r="H4253" s="9">
        <v>45278</v>
      </c>
      <c r="I4253">
        <v>22</v>
      </c>
      <c r="J4253" t="s">
        <v>32</v>
      </c>
      <c r="K4253">
        <v>11</v>
      </c>
      <c r="L4253">
        <v>2</v>
      </c>
      <c r="M4253" s="11">
        <v>29089.279999999999</v>
      </c>
      <c r="N4253" s="12">
        <v>7740.09</v>
      </c>
      <c r="O4253" s="12">
        <v>18883.62</v>
      </c>
    </row>
    <row r="4254" spans="1:15">
      <c r="A4254" t="s">
        <v>4428</v>
      </c>
      <c r="B4254" t="s">
        <v>336</v>
      </c>
      <c r="C4254" s="9">
        <v>20455</v>
      </c>
      <c r="D4254">
        <v>70</v>
      </c>
      <c r="E4254" t="s">
        <v>21</v>
      </c>
      <c r="F4254" t="s">
        <v>29</v>
      </c>
      <c r="G4254" s="9">
        <v>45580</v>
      </c>
      <c r="H4254" s="9">
        <v>45115</v>
      </c>
      <c r="I4254">
        <v>10</v>
      </c>
      <c r="J4254" t="s">
        <v>32</v>
      </c>
      <c r="K4254">
        <v>2</v>
      </c>
      <c r="L4254">
        <v>9</v>
      </c>
      <c r="M4254" s="11">
        <v>18155.12</v>
      </c>
      <c r="N4254" s="12">
        <v>8061.5</v>
      </c>
      <c r="O4254" s="12">
        <v>4660.7700000000004</v>
      </c>
    </row>
    <row r="4255" spans="1:15">
      <c r="A4255" t="s">
        <v>4429</v>
      </c>
      <c r="B4255" t="s">
        <v>129</v>
      </c>
      <c r="C4255" s="9">
        <v>36891</v>
      </c>
      <c r="D4255">
        <v>25</v>
      </c>
      <c r="E4255" t="s">
        <v>21</v>
      </c>
      <c r="F4255" t="s">
        <v>49</v>
      </c>
      <c r="G4255" s="9">
        <v>45272</v>
      </c>
      <c r="H4255" s="9">
        <v>45454</v>
      </c>
      <c r="I4255">
        <v>30</v>
      </c>
      <c r="J4255" t="s">
        <v>32</v>
      </c>
      <c r="K4255">
        <v>1</v>
      </c>
      <c r="L4255">
        <v>7</v>
      </c>
      <c r="M4255" s="11">
        <v>123.16</v>
      </c>
      <c r="N4255" s="12">
        <v>10365.459999999999</v>
      </c>
      <c r="O4255" s="12">
        <v>9854.01</v>
      </c>
    </row>
    <row r="4256" spans="1:15">
      <c r="A4256" t="s">
        <v>4430</v>
      </c>
      <c r="B4256" t="s">
        <v>372</v>
      </c>
      <c r="C4256" s="9">
        <f>DATE(2026-D4216,1,1)</f>
        <v>17899</v>
      </c>
      <c r="D4256">
        <f ca="1">DATEDIF(C4207,TODAY(),"Y")</f>
        <v>92</v>
      </c>
      <c r="E4256" t="s">
        <v>21</v>
      </c>
      <c r="F4256" t="s">
        <v>25</v>
      </c>
      <c r="G4256" s="9">
        <v>45228</v>
      </c>
      <c r="H4256" s="9">
        <v>45261</v>
      </c>
      <c r="I4256">
        <v>30</v>
      </c>
      <c r="J4256" t="s">
        <v>35</v>
      </c>
      <c r="K4256">
        <v>0</v>
      </c>
      <c r="L4256">
        <v>0</v>
      </c>
      <c r="M4256" s="11">
        <v>1698.82</v>
      </c>
      <c r="N4256" s="12">
        <v>788.28</v>
      </c>
      <c r="O4256" s="12">
        <v>15206.6</v>
      </c>
    </row>
    <row r="4257" spans="1:15">
      <c r="A4257" t="s">
        <v>4431</v>
      </c>
      <c r="B4257" t="s">
        <v>367</v>
      </c>
      <c r="C4257" s="9">
        <v>44561</v>
      </c>
      <c r="D4257">
        <v>4</v>
      </c>
      <c r="E4257" t="s">
        <v>21</v>
      </c>
      <c r="F4257" t="s">
        <v>49</v>
      </c>
      <c r="G4257" s="9">
        <v>45224</v>
      </c>
      <c r="H4257" s="9">
        <v>45410</v>
      </c>
      <c r="I4257">
        <v>22</v>
      </c>
      <c r="J4257" t="s">
        <v>32</v>
      </c>
      <c r="K4257">
        <v>13</v>
      </c>
      <c r="L4257">
        <v>1</v>
      </c>
      <c r="M4257" s="11">
        <v>6658.57</v>
      </c>
      <c r="N4257" s="12">
        <v>8421.1299999999992</v>
      </c>
      <c r="O4257" s="12">
        <v>11077.28</v>
      </c>
    </row>
    <row r="4258" spans="1:15">
      <c r="A4258" t="s">
        <v>4432</v>
      </c>
      <c r="B4258" t="s">
        <v>108</v>
      </c>
      <c r="C4258" s="9">
        <v>38717</v>
      </c>
      <c r="D4258">
        <v>20</v>
      </c>
      <c r="E4258" t="s">
        <v>21</v>
      </c>
      <c r="F4258" t="s">
        <v>25</v>
      </c>
      <c r="G4258" s="9">
        <v>45061</v>
      </c>
      <c r="H4258" s="9">
        <v>45143</v>
      </c>
      <c r="I4258">
        <v>11</v>
      </c>
      <c r="J4258" t="s">
        <v>32</v>
      </c>
      <c r="K4258">
        <v>10</v>
      </c>
      <c r="L4258">
        <v>7</v>
      </c>
      <c r="M4258" s="11">
        <v>14478.48</v>
      </c>
      <c r="N4258" s="12">
        <v>3824.83</v>
      </c>
      <c r="O4258" s="12">
        <v>12660.98</v>
      </c>
    </row>
    <row r="4259" spans="1:15">
      <c r="A4259" t="s">
        <v>4433</v>
      </c>
      <c r="B4259" t="s">
        <v>446</v>
      </c>
      <c r="C4259" s="9">
        <v>17898</v>
      </c>
      <c r="D4259">
        <v>77</v>
      </c>
      <c r="E4259" t="s">
        <v>17</v>
      </c>
      <c r="F4259" t="s">
        <v>74</v>
      </c>
      <c r="G4259" s="9">
        <v>44981</v>
      </c>
      <c r="H4259" s="9">
        <v>45085</v>
      </c>
      <c r="I4259">
        <v>37</v>
      </c>
      <c r="J4259" t="s">
        <v>32</v>
      </c>
      <c r="K4259">
        <v>8</v>
      </c>
      <c r="L4259">
        <v>7</v>
      </c>
      <c r="M4259" s="11">
        <v>12119.55</v>
      </c>
      <c r="N4259" s="12">
        <v>3586.85</v>
      </c>
      <c r="O4259" s="12">
        <v>3185</v>
      </c>
    </row>
    <row r="4260" spans="1:15">
      <c r="A4260" t="s">
        <v>4434</v>
      </c>
      <c r="B4260" t="s">
        <v>163</v>
      </c>
      <c r="C4260" s="9">
        <v>44927</v>
      </c>
      <c r="D4260">
        <v>3</v>
      </c>
      <c r="E4260" t="s">
        <v>5185</v>
      </c>
      <c r="F4260" t="s">
        <v>74</v>
      </c>
      <c r="G4260" s="9">
        <v>44982</v>
      </c>
      <c r="H4260" s="9">
        <v>45594</v>
      </c>
      <c r="I4260">
        <v>38</v>
      </c>
      <c r="J4260" t="s">
        <v>32</v>
      </c>
      <c r="K4260">
        <v>10</v>
      </c>
      <c r="L4260">
        <v>5</v>
      </c>
      <c r="M4260" s="11">
        <v>29365.97</v>
      </c>
      <c r="N4260" s="12">
        <v>11845.89</v>
      </c>
      <c r="O4260" s="12">
        <v>7838.06</v>
      </c>
    </row>
    <row r="4261" spans="1:15">
      <c r="A4261" t="s">
        <v>4435</v>
      </c>
      <c r="B4261" t="s">
        <v>289</v>
      </c>
      <c r="C4261" s="9">
        <v>37987</v>
      </c>
      <c r="D4261">
        <v>22</v>
      </c>
      <c r="E4261" t="s">
        <v>21</v>
      </c>
      <c r="F4261" t="s">
        <v>29</v>
      </c>
      <c r="G4261" s="9">
        <v>45300</v>
      </c>
      <c r="H4261" s="9">
        <v>45168</v>
      </c>
      <c r="I4261">
        <v>39</v>
      </c>
      <c r="J4261" t="s">
        <v>32</v>
      </c>
      <c r="K4261">
        <v>8</v>
      </c>
      <c r="L4261">
        <v>7</v>
      </c>
      <c r="M4261" s="11">
        <v>28340.42</v>
      </c>
      <c r="N4261" s="12">
        <v>2302.16</v>
      </c>
      <c r="O4261" s="12">
        <v>13773.76</v>
      </c>
    </row>
    <row r="4262" spans="1:15">
      <c r="A4262" t="s">
        <v>4436</v>
      </c>
      <c r="B4262" t="s">
        <v>350</v>
      </c>
      <c r="C4262" s="9">
        <v>15707</v>
      </c>
      <c r="D4262">
        <v>83</v>
      </c>
      <c r="E4262" t="s">
        <v>21</v>
      </c>
      <c r="F4262" t="s">
        <v>22</v>
      </c>
      <c r="G4262" s="9">
        <v>45514</v>
      </c>
      <c r="H4262" s="9">
        <v>45223</v>
      </c>
      <c r="I4262">
        <v>35</v>
      </c>
      <c r="J4262" t="s">
        <v>26</v>
      </c>
      <c r="K4262">
        <v>10</v>
      </c>
      <c r="L4262">
        <v>7</v>
      </c>
      <c r="M4262" s="11">
        <v>11478.04</v>
      </c>
      <c r="N4262" s="12">
        <v>4936.5</v>
      </c>
      <c r="O4262" s="12">
        <v>4116.7</v>
      </c>
    </row>
    <row r="4263" spans="1:15">
      <c r="A4263" t="s">
        <v>4437</v>
      </c>
      <c r="B4263" t="s">
        <v>326</v>
      </c>
      <c r="C4263" s="9">
        <v>40909</v>
      </c>
      <c r="D4263">
        <v>14</v>
      </c>
      <c r="E4263" t="s">
        <v>21</v>
      </c>
      <c r="F4263" t="s">
        <v>18</v>
      </c>
      <c r="G4263" s="9">
        <v>45265</v>
      </c>
      <c r="H4263" s="9">
        <v>45389</v>
      </c>
      <c r="I4263">
        <v>6</v>
      </c>
      <c r="J4263" t="s">
        <v>26</v>
      </c>
      <c r="K4263">
        <v>12</v>
      </c>
      <c r="L4263">
        <v>1</v>
      </c>
      <c r="M4263" s="11">
        <v>23726.65</v>
      </c>
      <c r="N4263" s="12">
        <v>9564.58</v>
      </c>
      <c r="O4263" s="12">
        <v>9619.49</v>
      </c>
    </row>
    <row r="4264" spans="1:15">
      <c r="A4264" t="s">
        <v>4438</v>
      </c>
      <c r="B4264" t="s">
        <v>117</v>
      </c>
      <c r="C4264" s="9">
        <v>12419</v>
      </c>
      <c r="D4264">
        <v>92</v>
      </c>
      <c r="E4264" t="s">
        <v>21</v>
      </c>
      <c r="F4264" t="s">
        <v>22</v>
      </c>
      <c r="G4264" s="9">
        <v>45383</v>
      </c>
      <c r="H4264" s="9">
        <v>44972</v>
      </c>
      <c r="I4264">
        <v>15</v>
      </c>
      <c r="J4264" t="s">
        <v>35</v>
      </c>
      <c r="K4264">
        <v>4</v>
      </c>
      <c r="L4264">
        <v>2</v>
      </c>
      <c r="M4264" s="11">
        <v>18909.080000000002</v>
      </c>
      <c r="N4264" s="12">
        <v>9643.1</v>
      </c>
      <c r="O4264" s="12">
        <v>11743.92</v>
      </c>
    </row>
    <row r="4265" spans="1:15">
      <c r="A4265" t="s">
        <v>4439</v>
      </c>
      <c r="B4265" t="s">
        <v>151</v>
      </c>
      <c r="C4265" s="9">
        <v>43466</v>
      </c>
      <c r="D4265">
        <v>7</v>
      </c>
      <c r="E4265" t="s">
        <v>21</v>
      </c>
      <c r="F4265" t="s">
        <v>29</v>
      </c>
      <c r="G4265" s="9">
        <v>45281</v>
      </c>
      <c r="H4265" s="9">
        <v>45422</v>
      </c>
      <c r="I4265">
        <v>12</v>
      </c>
      <c r="J4265" t="s">
        <v>35</v>
      </c>
      <c r="K4265">
        <v>6</v>
      </c>
      <c r="L4265">
        <v>6</v>
      </c>
      <c r="M4265" s="11">
        <v>6915.64</v>
      </c>
      <c r="N4265" s="12">
        <v>721.32</v>
      </c>
      <c r="O4265" s="12">
        <v>15765.59</v>
      </c>
    </row>
    <row r="4266" spans="1:15">
      <c r="A4266" t="s">
        <v>4440</v>
      </c>
      <c r="B4266" t="s">
        <v>550</v>
      </c>
      <c r="C4266" s="9">
        <v>31412</v>
      </c>
      <c r="D4266">
        <v>40</v>
      </c>
      <c r="E4266" t="s">
        <v>21</v>
      </c>
      <c r="F4266" t="s">
        <v>29</v>
      </c>
      <c r="G4266" s="9">
        <v>45058</v>
      </c>
      <c r="H4266" s="9">
        <v>45102</v>
      </c>
      <c r="I4266">
        <v>1</v>
      </c>
      <c r="J4266" t="s">
        <v>32</v>
      </c>
      <c r="K4266">
        <v>12</v>
      </c>
      <c r="L4266">
        <v>2</v>
      </c>
      <c r="M4266" s="11">
        <v>27900.91</v>
      </c>
      <c r="N4266" s="12">
        <v>1088.3800000000001</v>
      </c>
      <c r="O4266" s="12">
        <v>4248.4799999999996</v>
      </c>
    </row>
    <row r="4267" spans="1:15">
      <c r="A4267" t="s">
        <v>4441</v>
      </c>
      <c r="B4267" t="s">
        <v>278</v>
      </c>
      <c r="C4267" s="9">
        <v>39448</v>
      </c>
      <c r="D4267">
        <v>18</v>
      </c>
      <c r="E4267" t="s">
        <v>21</v>
      </c>
      <c r="F4267" t="s">
        <v>22</v>
      </c>
      <c r="G4267" s="9">
        <v>45419</v>
      </c>
      <c r="H4267" s="9">
        <v>45273</v>
      </c>
      <c r="I4267">
        <v>31</v>
      </c>
      <c r="J4267" t="s">
        <v>32</v>
      </c>
      <c r="K4267">
        <v>13</v>
      </c>
      <c r="L4267">
        <v>1</v>
      </c>
      <c r="M4267" s="11">
        <v>7415.29</v>
      </c>
      <c r="N4267" s="12">
        <v>9830.4500000000007</v>
      </c>
      <c r="O4267" s="12">
        <v>19559.650000000001</v>
      </c>
    </row>
    <row r="4268" spans="1:15">
      <c r="A4268" t="s">
        <v>4442</v>
      </c>
      <c r="B4268" t="s">
        <v>244</v>
      </c>
      <c r="C4268" s="9">
        <v>29586</v>
      </c>
      <c r="D4268">
        <f ca="1">DATEDIF(C4219,TODAY(),"Y")</f>
        <v>44</v>
      </c>
      <c r="E4268" t="s">
        <v>21</v>
      </c>
      <c r="F4268" t="s">
        <v>18</v>
      </c>
      <c r="G4268" s="9">
        <v>45480</v>
      </c>
      <c r="H4268" s="9">
        <v>44983</v>
      </c>
      <c r="I4268">
        <v>35</v>
      </c>
      <c r="J4268" t="s">
        <v>32</v>
      </c>
      <c r="K4268">
        <v>1</v>
      </c>
      <c r="L4268">
        <v>5</v>
      </c>
      <c r="M4268" s="11">
        <v>26045.47</v>
      </c>
      <c r="N4268" s="12">
        <v>14297.27</v>
      </c>
      <c r="O4268" s="12">
        <v>19345.27</v>
      </c>
    </row>
    <row r="4269" spans="1:15">
      <c r="A4269" t="s">
        <v>4443</v>
      </c>
      <c r="B4269" t="s">
        <v>16</v>
      </c>
      <c r="C4269" s="9">
        <v>36161</v>
      </c>
      <c r="D4269">
        <v>27</v>
      </c>
      <c r="E4269" t="s">
        <v>21</v>
      </c>
      <c r="F4269" t="s">
        <v>29</v>
      </c>
      <c r="G4269" s="9">
        <v>45036</v>
      </c>
      <c r="H4269" s="9">
        <v>45493</v>
      </c>
      <c r="I4269">
        <v>14</v>
      </c>
      <c r="J4269" t="s">
        <v>26</v>
      </c>
      <c r="K4269">
        <v>5</v>
      </c>
      <c r="L4269">
        <v>1</v>
      </c>
      <c r="M4269" s="11">
        <v>18948.04</v>
      </c>
      <c r="N4269" s="12">
        <v>14977.55</v>
      </c>
      <c r="O4269" s="12">
        <v>147.1</v>
      </c>
    </row>
    <row r="4270" spans="1:15">
      <c r="A4270" t="s">
        <v>4444</v>
      </c>
      <c r="B4270" t="s">
        <v>550</v>
      </c>
      <c r="C4270" s="9">
        <f>DATE(2026-D4230,1,1)</f>
        <v>39083</v>
      </c>
      <c r="D4270">
        <f ca="1">DATEDIF(C4221,TODAY(),"Y")</f>
        <v>83</v>
      </c>
      <c r="E4270" t="s">
        <v>21</v>
      </c>
      <c r="F4270" t="s">
        <v>5184</v>
      </c>
      <c r="G4270" s="9">
        <v>45508</v>
      </c>
      <c r="H4270" s="9">
        <v>45268</v>
      </c>
      <c r="I4270">
        <v>4</v>
      </c>
      <c r="J4270" t="s">
        <v>26</v>
      </c>
      <c r="K4270">
        <v>13</v>
      </c>
      <c r="L4270">
        <v>1</v>
      </c>
      <c r="M4270" s="11">
        <v>18444.38</v>
      </c>
      <c r="N4270" s="12">
        <v>14806.65</v>
      </c>
      <c r="O4270" s="12">
        <v>7296.35</v>
      </c>
    </row>
    <row r="4271" spans="1:15">
      <c r="A4271" t="s">
        <v>4445</v>
      </c>
      <c r="B4271" t="s">
        <v>242</v>
      </c>
      <c r="C4271" s="9">
        <v>21551</v>
      </c>
      <c r="D4271">
        <v>67</v>
      </c>
      <c r="E4271" t="s">
        <v>21</v>
      </c>
      <c r="F4271" t="s">
        <v>5184</v>
      </c>
      <c r="G4271" s="9">
        <v>45052</v>
      </c>
      <c r="H4271" s="9">
        <v>45704</v>
      </c>
      <c r="I4271">
        <v>29</v>
      </c>
      <c r="J4271" t="s">
        <v>32</v>
      </c>
      <c r="K4271">
        <v>7</v>
      </c>
      <c r="L4271">
        <v>1</v>
      </c>
      <c r="M4271" s="11">
        <v>25071.5</v>
      </c>
      <c r="N4271" s="12">
        <v>5273.7</v>
      </c>
      <c r="O4271" s="12">
        <v>1263.57</v>
      </c>
    </row>
    <row r="4272" spans="1:15">
      <c r="A4272" t="s">
        <v>4446</v>
      </c>
      <c r="B4272" t="s">
        <v>39</v>
      </c>
      <c r="C4272" s="9">
        <v>40909</v>
      </c>
      <c r="D4272">
        <v>14</v>
      </c>
      <c r="E4272" t="s">
        <v>5185</v>
      </c>
      <c r="F4272" t="s">
        <v>18</v>
      </c>
      <c r="G4272" s="9">
        <v>45222</v>
      </c>
      <c r="H4272" s="9">
        <v>45813</v>
      </c>
      <c r="I4272">
        <v>20</v>
      </c>
      <c r="J4272" t="s">
        <v>32</v>
      </c>
      <c r="K4272">
        <v>2</v>
      </c>
      <c r="L4272">
        <v>3</v>
      </c>
      <c r="M4272" s="11">
        <v>14576.46</v>
      </c>
      <c r="N4272" s="12">
        <v>3627.15</v>
      </c>
      <c r="O4272" s="12">
        <v>6276.66</v>
      </c>
    </row>
    <row r="4273" spans="1:15">
      <c r="A4273" t="s">
        <v>4447</v>
      </c>
      <c r="B4273" t="s">
        <v>246</v>
      </c>
      <c r="C4273" s="9">
        <v>32873</v>
      </c>
      <c r="D4273">
        <v>36</v>
      </c>
      <c r="E4273" t="s">
        <v>21</v>
      </c>
      <c r="F4273" t="s">
        <v>29</v>
      </c>
      <c r="G4273" s="9">
        <v>45105</v>
      </c>
      <c r="H4273" s="9">
        <v>45678</v>
      </c>
      <c r="I4273">
        <v>17</v>
      </c>
      <c r="J4273" t="s">
        <v>35</v>
      </c>
      <c r="K4273">
        <v>9</v>
      </c>
      <c r="L4273">
        <v>6</v>
      </c>
      <c r="M4273" s="11">
        <v>0</v>
      </c>
      <c r="N4273" s="12">
        <v>1479.74</v>
      </c>
      <c r="O4273" s="12">
        <v>12101.96</v>
      </c>
    </row>
    <row r="4274" spans="1:15">
      <c r="A4274" t="s">
        <v>4448</v>
      </c>
      <c r="B4274" t="s">
        <v>204</v>
      </c>
      <c r="C4274" s="9">
        <v>46022</v>
      </c>
      <c r="D4274">
        <v>0</v>
      </c>
      <c r="E4274" t="s">
        <v>17</v>
      </c>
      <c r="F4274" t="s">
        <v>5184</v>
      </c>
      <c r="G4274" s="9">
        <v>45123</v>
      </c>
      <c r="H4274" s="9">
        <v>45760</v>
      </c>
      <c r="I4274">
        <v>1</v>
      </c>
      <c r="J4274" t="s">
        <v>32</v>
      </c>
      <c r="K4274">
        <v>5</v>
      </c>
      <c r="L4274">
        <v>5</v>
      </c>
      <c r="M4274" s="11">
        <v>16281.97</v>
      </c>
      <c r="N4274" s="12">
        <v>4887.3999999999996</v>
      </c>
      <c r="O4274" s="12">
        <v>12135.6</v>
      </c>
    </row>
    <row r="4275" spans="1:15">
      <c r="A4275" t="s">
        <v>4449</v>
      </c>
      <c r="B4275" t="s">
        <v>422</v>
      </c>
      <c r="C4275" s="9">
        <v>21916</v>
      </c>
      <c r="D4275">
        <v>66</v>
      </c>
      <c r="E4275" t="s">
        <v>17</v>
      </c>
      <c r="F4275" t="s">
        <v>74</v>
      </c>
      <c r="G4275" s="9">
        <v>45027</v>
      </c>
      <c r="H4275" s="9">
        <v>45035</v>
      </c>
      <c r="I4275">
        <v>18</v>
      </c>
      <c r="J4275" t="s">
        <v>32</v>
      </c>
      <c r="K4275">
        <v>5</v>
      </c>
      <c r="L4275">
        <v>4</v>
      </c>
      <c r="M4275" s="11">
        <v>29531.759999999998</v>
      </c>
      <c r="N4275" s="12">
        <v>4152.8</v>
      </c>
      <c r="O4275" s="12">
        <v>1842.94</v>
      </c>
    </row>
    <row r="4276" spans="1:15">
      <c r="A4276" t="s">
        <v>4450</v>
      </c>
      <c r="B4276" t="s">
        <v>137</v>
      </c>
      <c r="C4276" s="9">
        <v>37622</v>
      </c>
      <c r="D4276">
        <v>23</v>
      </c>
      <c r="E4276" t="s">
        <v>17</v>
      </c>
      <c r="F4276" t="s">
        <v>25</v>
      </c>
      <c r="G4276" s="9">
        <v>45499</v>
      </c>
      <c r="H4276" s="9">
        <v>45637</v>
      </c>
      <c r="I4276">
        <v>9</v>
      </c>
      <c r="J4276" t="s">
        <v>32</v>
      </c>
      <c r="K4276">
        <v>11</v>
      </c>
      <c r="L4276">
        <v>3</v>
      </c>
      <c r="M4276" s="11">
        <v>19627.87</v>
      </c>
      <c r="N4276" s="12">
        <v>8651.94</v>
      </c>
      <c r="O4276" s="12">
        <v>13510.08</v>
      </c>
    </row>
    <row r="4277" spans="1:15">
      <c r="A4277" t="s">
        <v>4451</v>
      </c>
      <c r="B4277" t="s">
        <v>201</v>
      </c>
      <c r="C4277" s="9">
        <v>36526</v>
      </c>
      <c r="D4277">
        <v>26</v>
      </c>
      <c r="E4277" t="s">
        <v>17</v>
      </c>
      <c r="F4277" t="s">
        <v>29</v>
      </c>
      <c r="G4277" s="9">
        <v>45109</v>
      </c>
      <c r="H4277" s="9">
        <v>45824</v>
      </c>
      <c r="I4277">
        <v>39</v>
      </c>
      <c r="J4277" t="s">
        <v>32</v>
      </c>
      <c r="K4277">
        <v>10</v>
      </c>
      <c r="L4277">
        <v>1</v>
      </c>
      <c r="M4277" s="11">
        <v>10908.85</v>
      </c>
      <c r="N4277" s="12">
        <v>5531.78</v>
      </c>
      <c r="O4277" s="12">
        <v>16911.41</v>
      </c>
    </row>
    <row r="4278" spans="1:15">
      <c r="A4278" t="s">
        <v>4452</v>
      </c>
      <c r="B4278" t="s">
        <v>149</v>
      </c>
      <c r="C4278" s="9">
        <v>31778</v>
      </c>
      <c r="D4278">
        <v>39</v>
      </c>
      <c r="E4278" t="s">
        <v>17</v>
      </c>
      <c r="F4278" t="s">
        <v>25</v>
      </c>
      <c r="G4278" s="9">
        <v>44935</v>
      </c>
      <c r="H4278" s="9">
        <v>45141</v>
      </c>
      <c r="I4278">
        <v>24</v>
      </c>
      <c r="J4278" t="s">
        <v>26</v>
      </c>
      <c r="K4278">
        <v>8</v>
      </c>
      <c r="L4278">
        <v>7</v>
      </c>
      <c r="M4278" s="11">
        <v>22782.6</v>
      </c>
      <c r="N4278" s="12">
        <v>3472.95</v>
      </c>
      <c r="O4278" s="12">
        <v>12586.41</v>
      </c>
    </row>
    <row r="4279" spans="1:15">
      <c r="A4279" t="s">
        <v>4453</v>
      </c>
      <c r="B4279" t="s">
        <v>427</v>
      </c>
      <c r="C4279" s="9">
        <v>23377</v>
      </c>
      <c r="D4279">
        <v>62</v>
      </c>
      <c r="E4279" t="s">
        <v>17</v>
      </c>
      <c r="F4279" t="s">
        <v>49</v>
      </c>
      <c r="G4279" s="9">
        <v>45339</v>
      </c>
      <c r="H4279" s="9">
        <v>45426</v>
      </c>
      <c r="I4279">
        <v>7</v>
      </c>
      <c r="J4279" t="s">
        <v>26</v>
      </c>
      <c r="K4279">
        <v>7</v>
      </c>
      <c r="L4279">
        <v>1</v>
      </c>
      <c r="M4279" s="11">
        <v>15051.87</v>
      </c>
      <c r="N4279" s="12">
        <v>9188.17</v>
      </c>
      <c r="O4279" s="12">
        <v>6130.32</v>
      </c>
    </row>
    <row r="4280" spans="1:15">
      <c r="A4280" t="s">
        <v>4454</v>
      </c>
      <c r="B4280" t="s">
        <v>275</v>
      </c>
      <c r="C4280" s="9">
        <v>24107</v>
      </c>
      <c r="D4280">
        <v>60</v>
      </c>
      <c r="E4280" t="s">
        <v>21</v>
      </c>
      <c r="F4280" t="s">
        <v>5184</v>
      </c>
      <c r="G4280" s="9">
        <v>45644</v>
      </c>
      <c r="H4280" s="9">
        <v>45685</v>
      </c>
      <c r="I4280">
        <v>5</v>
      </c>
      <c r="J4280" t="s">
        <v>35</v>
      </c>
      <c r="K4280">
        <v>1</v>
      </c>
      <c r="L4280">
        <v>7</v>
      </c>
      <c r="M4280" s="11">
        <v>24083.759999999998</v>
      </c>
      <c r="N4280" s="12">
        <v>4846.01</v>
      </c>
      <c r="O4280" s="12">
        <v>49.85</v>
      </c>
    </row>
    <row r="4281" spans="1:15">
      <c r="A4281" t="s">
        <v>4455</v>
      </c>
      <c r="B4281" t="s">
        <v>223</v>
      </c>
      <c r="C4281" s="9">
        <v>33239</v>
      </c>
      <c r="D4281">
        <v>35</v>
      </c>
      <c r="E4281" t="s">
        <v>21</v>
      </c>
      <c r="F4281" t="s">
        <v>29</v>
      </c>
      <c r="G4281" s="9">
        <v>45492</v>
      </c>
      <c r="H4281" s="9">
        <v>45324</v>
      </c>
      <c r="I4281">
        <v>18</v>
      </c>
      <c r="J4281" t="s">
        <v>35</v>
      </c>
      <c r="K4281">
        <v>9</v>
      </c>
      <c r="L4281">
        <v>9</v>
      </c>
      <c r="M4281" s="11">
        <v>24920.61</v>
      </c>
      <c r="N4281" s="12">
        <v>5304.6</v>
      </c>
      <c r="O4281" s="12">
        <v>12933.01</v>
      </c>
    </row>
    <row r="4282" spans="1:15">
      <c r="A4282" t="s">
        <v>4456</v>
      </c>
      <c r="B4282" t="s">
        <v>237</v>
      </c>
      <c r="C4282" s="9">
        <v>12419</v>
      </c>
      <c r="D4282">
        <v>92</v>
      </c>
      <c r="E4282" t="s">
        <v>5185</v>
      </c>
      <c r="F4282" t="s">
        <v>74</v>
      </c>
      <c r="G4282" s="9">
        <v>45618</v>
      </c>
      <c r="H4282" s="9">
        <v>45477</v>
      </c>
      <c r="I4282">
        <v>19</v>
      </c>
      <c r="J4282" t="s">
        <v>32</v>
      </c>
      <c r="K4282">
        <v>1</v>
      </c>
      <c r="L4282">
        <v>3</v>
      </c>
      <c r="M4282" s="11">
        <v>18315.849999999999</v>
      </c>
      <c r="N4282" s="12">
        <v>8976.61</v>
      </c>
      <c r="O4282" s="12">
        <v>13522.86</v>
      </c>
    </row>
    <row r="4283" spans="1:15">
      <c r="A4283" t="s">
        <v>4457</v>
      </c>
      <c r="B4283" t="s">
        <v>596</v>
      </c>
      <c r="C4283" s="9">
        <v>37622</v>
      </c>
      <c r="D4283">
        <v>23</v>
      </c>
      <c r="E4283" t="s">
        <v>17</v>
      </c>
      <c r="F4283" t="s">
        <v>18</v>
      </c>
      <c r="G4283" s="9">
        <v>45030</v>
      </c>
      <c r="H4283" s="9">
        <v>45424</v>
      </c>
      <c r="I4283">
        <v>10</v>
      </c>
      <c r="J4283" t="s">
        <v>35</v>
      </c>
      <c r="K4283">
        <v>6</v>
      </c>
      <c r="L4283">
        <v>4</v>
      </c>
      <c r="M4283" s="11">
        <v>26101.75</v>
      </c>
      <c r="N4283" s="12">
        <v>1773.28</v>
      </c>
      <c r="O4283" s="12">
        <v>14145.86</v>
      </c>
    </row>
    <row r="4284" spans="1:15">
      <c r="A4284" t="s">
        <v>4458</v>
      </c>
      <c r="B4284" t="s">
        <v>51</v>
      </c>
      <c r="C4284" s="9">
        <v>37622</v>
      </c>
      <c r="D4284">
        <v>23</v>
      </c>
      <c r="E4284" t="s">
        <v>5185</v>
      </c>
      <c r="F4284" t="s">
        <v>74</v>
      </c>
      <c r="G4284" s="9">
        <v>45052</v>
      </c>
      <c r="H4284" s="9">
        <v>45100</v>
      </c>
      <c r="I4284">
        <v>37</v>
      </c>
      <c r="J4284" t="s">
        <v>32</v>
      </c>
      <c r="K4284">
        <v>2</v>
      </c>
      <c r="L4284">
        <v>0</v>
      </c>
      <c r="M4284" s="11">
        <v>11804.52</v>
      </c>
      <c r="N4284" s="12">
        <v>11613.74</v>
      </c>
      <c r="O4284" s="12">
        <v>689.14</v>
      </c>
    </row>
    <row r="4285" spans="1:15">
      <c r="A4285" t="s">
        <v>4459</v>
      </c>
      <c r="B4285" t="s">
        <v>28</v>
      </c>
      <c r="C4285" s="9">
        <f>DATE(2026-D4245,1,1)</f>
        <v>25934</v>
      </c>
      <c r="D4285">
        <v>3</v>
      </c>
      <c r="E4285" t="s">
        <v>17</v>
      </c>
      <c r="F4285" t="s">
        <v>25</v>
      </c>
      <c r="G4285" s="9">
        <v>45472</v>
      </c>
      <c r="H4285" s="9">
        <v>45032</v>
      </c>
      <c r="I4285">
        <v>9</v>
      </c>
      <c r="J4285" t="s">
        <v>32</v>
      </c>
      <c r="K4285">
        <v>0</v>
      </c>
      <c r="L4285">
        <v>1</v>
      </c>
      <c r="M4285" s="11">
        <v>1250</v>
      </c>
      <c r="N4285" s="12">
        <v>14481.52</v>
      </c>
      <c r="O4285" s="12">
        <v>10280.6</v>
      </c>
    </row>
    <row r="4286" spans="1:15">
      <c r="A4286" t="s">
        <v>4460</v>
      </c>
      <c r="B4286" t="s">
        <v>392</v>
      </c>
      <c r="C4286" s="9">
        <v>21916</v>
      </c>
      <c r="D4286">
        <v>66</v>
      </c>
      <c r="E4286" t="s">
        <v>17</v>
      </c>
      <c r="F4286" t="s">
        <v>18</v>
      </c>
      <c r="G4286" s="9">
        <v>45603</v>
      </c>
      <c r="H4286" s="9">
        <v>45479</v>
      </c>
      <c r="I4286">
        <v>14</v>
      </c>
      <c r="J4286" t="s">
        <v>32</v>
      </c>
      <c r="K4286">
        <v>3</v>
      </c>
      <c r="L4286">
        <v>7</v>
      </c>
      <c r="M4286" s="11">
        <v>19710.77</v>
      </c>
      <c r="N4286" s="12">
        <v>7362.4</v>
      </c>
      <c r="O4286" s="12">
        <v>8209.9699999999993</v>
      </c>
    </row>
    <row r="4287" spans="1:15">
      <c r="A4287" t="s">
        <v>4461</v>
      </c>
      <c r="B4287" t="s">
        <v>196</v>
      </c>
      <c r="C4287" s="9">
        <v>33969</v>
      </c>
      <c r="D4287">
        <v>33</v>
      </c>
      <c r="E4287" t="s">
        <v>17</v>
      </c>
      <c r="F4287" t="s">
        <v>74</v>
      </c>
      <c r="G4287" s="9">
        <v>45196</v>
      </c>
      <c r="H4287" s="9">
        <v>45406</v>
      </c>
      <c r="I4287">
        <v>6</v>
      </c>
      <c r="J4287" t="s">
        <v>26</v>
      </c>
      <c r="K4287">
        <v>2</v>
      </c>
      <c r="L4287">
        <v>0</v>
      </c>
      <c r="M4287" s="11">
        <v>22815.78</v>
      </c>
      <c r="N4287" s="12">
        <v>8397.8799999999992</v>
      </c>
      <c r="O4287" s="12">
        <v>15323.7</v>
      </c>
    </row>
    <row r="4288" spans="1:15">
      <c r="A4288" t="s">
        <v>4462</v>
      </c>
      <c r="B4288" t="s">
        <v>192</v>
      </c>
      <c r="C4288" s="9">
        <v>25568</v>
      </c>
      <c r="D4288">
        <v>56</v>
      </c>
      <c r="E4288" t="s">
        <v>17</v>
      </c>
      <c r="F4288" t="s">
        <v>74</v>
      </c>
      <c r="G4288" s="9">
        <v>45392</v>
      </c>
      <c r="H4288" s="9">
        <v>45326</v>
      </c>
      <c r="I4288">
        <v>37</v>
      </c>
      <c r="J4288" t="s">
        <v>32</v>
      </c>
      <c r="K4288">
        <v>1</v>
      </c>
      <c r="L4288">
        <v>2</v>
      </c>
      <c r="M4288" s="11">
        <v>1720.45</v>
      </c>
      <c r="N4288" s="12">
        <v>5769.64</v>
      </c>
      <c r="O4288" s="12">
        <v>14426.05</v>
      </c>
    </row>
    <row r="4289" spans="1:15">
      <c r="A4289" t="s">
        <v>4463</v>
      </c>
      <c r="B4289" t="s">
        <v>172</v>
      </c>
      <c r="C4289" s="9">
        <v>28490</v>
      </c>
      <c r="D4289">
        <v>48</v>
      </c>
      <c r="E4289" t="s">
        <v>17</v>
      </c>
      <c r="F4289" t="s">
        <v>74</v>
      </c>
      <c r="G4289" s="9">
        <v>45044</v>
      </c>
      <c r="H4289" s="9">
        <v>45361</v>
      </c>
      <c r="I4289">
        <v>9</v>
      </c>
      <c r="J4289" t="s">
        <v>32</v>
      </c>
      <c r="K4289">
        <v>14</v>
      </c>
      <c r="L4289">
        <v>1</v>
      </c>
      <c r="M4289" s="11">
        <v>0</v>
      </c>
      <c r="N4289" s="12">
        <v>14350.77</v>
      </c>
      <c r="O4289" s="12">
        <v>19008.28</v>
      </c>
    </row>
    <row r="4290" spans="1:15">
      <c r="A4290" t="s">
        <v>4464</v>
      </c>
      <c r="B4290" t="s">
        <v>596</v>
      </c>
      <c r="C4290" s="9">
        <v>14611</v>
      </c>
      <c r="D4290">
        <v>86</v>
      </c>
      <c r="E4290" t="s">
        <v>17</v>
      </c>
      <c r="F4290" t="s">
        <v>22</v>
      </c>
      <c r="G4290" s="9">
        <v>45018</v>
      </c>
      <c r="H4290" s="9">
        <v>45569</v>
      </c>
      <c r="I4290">
        <v>6</v>
      </c>
      <c r="J4290" t="s">
        <v>32</v>
      </c>
      <c r="K4290">
        <v>10</v>
      </c>
      <c r="L4290">
        <v>9</v>
      </c>
      <c r="M4290" s="11">
        <v>0</v>
      </c>
      <c r="N4290" s="12">
        <v>1994.17</v>
      </c>
      <c r="O4290" s="12">
        <v>17939.95</v>
      </c>
    </row>
    <row r="4291" spans="1:15">
      <c r="A4291" t="s">
        <v>4465</v>
      </c>
      <c r="B4291" t="s">
        <v>427</v>
      </c>
      <c r="C4291" s="9">
        <v>27029</v>
      </c>
      <c r="D4291">
        <v>52</v>
      </c>
      <c r="E4291" t="s">
        <v>17</v>
      </c>
      <c r="F4291" t="s">
        <v>18</v>
      </c>
      <c r="G4291" s="9">
        <v>45538</v>
      </c>
      <c r="H4291" s="9">
        <v>45620</v>
      </c>
      <c r="I4291">
        <v>27</v>
      </c>
      <c r="J4291" t="s">
        <v>26</v>
      </c>
      <c r="K4291">
        <v>5</v>
      </c>
      <c r="L4291">
        <v>4</v>
      </c>
      <c r="M4291" s="11">
        <v>3050.54</v>
      </c>
      <c r="N4291" s="12">
        <v>12202.83</v>
      </c>
      <c r="O4291" s="12">
        <v>11115.94</v>
      </c>
    </row>
    <row r="4292" spans="1:15">
      <c r="A4292" t="s">
        <v>4466</v>
      </c>
      <c r="B4292" t="s">
        <v>143</v>
      </c>
      <c r="C4292" s="9">
        <v>37987</v>
      </c>
      <c r="D4292">
        <v>22</v>
      </c>
      <c r="E4292" t="s">
        <v>17</v>
      </c>
      <c r="F4292" t="s">
        <v>74</v>
      </c>
      <c r="G4292" s="9">
        <v>45411</v>
      </c>
      <c r="H4292" s="9">
        <v>45121</v>
      </c>
      <c r="I4292">
        <v>3</v>
      </c>
      <c r="J4292" t="s">
        <v>35</v>
      </c>
      <c r="K4292">
        <v>2</v>
      </c>
      <c r="L4292">
        <v>3</v>
      </c>
      <c r="M4292" s="11">
        <v>15968.17</v>
      </c>
      <c r="N4292" s="12">
        <v>9756.39</v>
      </c>
      <c r="O4292" s="12">
        <v>19607.53</v>
      </c>
    </row>
    <row r="4293" spans="1:15">
      <c r="A4293" t="s">
        <v>4467</v>
      </c>
      <c r="B4293" t="s">
        <v>211</v>
      </c>
      <c r="C4293" s="9">
        <f>DATE(2026-D4253,1,1)</f>
        <v>29221</v>
      </c>
      <c r="D4293">
        <v>68</v>
      </c>
      <c r="E4293" t="s">
        <v>17</v>
      </c>
      <c r="F4293" t="s">
        <v>5184</v>
      </c>
      <c r="G4293" s="9">
        <v>45013</v>
      </c>
      <c r="H4293" s="9">
        <v>45770</v>
      </c>
      <c r="I4293">
        <v>22</v>
      </c>
      <c r="J4293" t="s">
        <v>32</v>
      </c>
      <c r="K4293">
        <v>6</v>
      </c>
      <c r="L4293">
        <v>3</v>
      </c>
      <c r="M4293" s="11">
        <v>2816.63</v>
      </c>
      <c r="N4293" s="12">
        <v>11872.44</v>
      </c>
      <c r="O4293" s="12">
        <v>2919.28</v>
      </c>
    </row>
    <row r="4294" spans="1:15">
      <c r="A4294" t="s">
        <v>4468</v>
      </c>
      <c r="B4294" t="s">
        <v>578</v>
      </c>
      <c r="C4294" s="9">
        <v>11689</v>
      </c>
      <c r="D4294">
        <v>94</v>
      </c>
      <c r="E4294" t="s">
        <v>21</v>
      </c>
      <c r="F4294" t="s">
        <v>5184</v>
      </c>
      <c r="G4294" s="9">
        <v>45160</v>
      </c>
      <c r="H4294" s="9">
        <v>45728</v>
      </c>
      <c r="I4294">
        <v>25</v>
      </c>
      <c r="J4294" t="s">
        <v>26</v>
      </c>
      <c r="K4294">
        <v>7</v>
      </c>
      <c r="L4294">
        <v>3</v>
      </c>
      <c r="M4294" s="11">
        <v>9309.3700000000008</v>
      </c>
      <c r="N4294" s="12">
        <v>14256.89</v>
      </c>
      <c r="O4294" s="12">
        <v>43.89</v>
      </c>
    </row>
    <row r="4295" spans="1:15">
      <c r="A4295" t="s">
        <v>4469</v>
      </c>
      <c r="B4295" t="s">
        <v>226</v>
      </c>
      <c r="C4295" s="9">
        <v>27029</v>
      </c>
      <c r="D4295">
        <v>52</v>
      </c>
      <c r="E4295" t="s">
        <v>21</v>
      </c>
      <c r="F4295" t="s">
        <v>74</v>
      </c>
      <c r="G4295" s="9">
        <v>45050</v>
      </c>
      <c r="H4295" s="9">
        <v>45393</v>
      </c>
      <c r="I4295">
        <v>7</v>
      </c>
      <c r="J4295" t="s">
        <v>32</v>
      </c>
      <c r="K4295">
        <v>14</v>
      </c>
      <c r="L4295">
        <v>3</v>
      </c>
      <c r="M4295" s="11">
        <v>24021.54</v>
      </c>
      <c r="N4295" s="12">
        <v>7442.28</v>
      </c>
      <c r="O4295" s="12">
        <v>2067.44</v>
      </c>
    </row>
    <row r="4296" spans="1:15">
      <c r="A4296" t="s">
        <v>4470</v>
      </c>
      <c r="B4296" t="s">
        <v>539</v>
      </c>
      <c r="C4296" s="9">
        <v>23742</v>
      </c>
      <c r="D4296">
        <v>61</v>
      </c>
      <c r="E4296" t="s">
        <v>17</v>
      </c>
      <c r="F4296" t="s">
        <v>25</v>
      </c>
      <c r="G4296" s="9">
        <v>45129</v>
      </c>
      <c r="H4296" s="9">
        <v>45268</v>
      </c>
      <c r="I4296">
        <v>38</v>
      </c>
      <c r="J4296" t="s">
        <v>32</v>
      </c>
      <c r="K4296">
        <v>6</v>
      </c>
      <c r="L4296">
        <v>3</v>
      </c>
      <c r="M4296" s="11">
        <v>2574.0700000000002</v>
      </c>
      <c r="N4296" s="12">
        <v>4324.96</v>
      </c>
      <c r="O4296" s="12">
        <v>7037.75</v>
      </c>
    </row>
    <row r="4297" spans="1:15">
      <c r="A4297" t="s">
        <v>4471</v>
      </c>
      <c r="B4297" t="s">
        <v>53</v>
      </c>
      <c r="C4297" s="9">
        <v>31412</v>
      </c>
      <c r="D4297">
        <v>40</v>
      </c>
      <c r="E4297" t="s">
        <v>17</v>
      </c>
      <c r="F4297" t="s">
        <v>74</v>
      </c>
      <c r="G4297" s="9">
        <v>44958</v>
      </c>
      <c r="H4297" s="9">
        <v>44986</v>
      </c>
      <c r="I4297">
        <v>25</v>
      </c>
      <c r="J4297" t="s">
        <v>26</v>
      </c>
      <c r="K4297">
        <v>1</v>
      </c>
      <c r="L4297">
        <v>5</v>
      </c>
      <c r="M4297" s="11">
        <v>13511.33</v>
      </c>
      <c r="N4297" s="12">
        <v>11692.67</v>
      </c>
      <c r="O4297" s="12">
        <v>15080.71</v>
      </c>
    </row>
    <row r="4298" spans="1:15">
      <c r="A4298" t="s">
        <v>4472</v>
      </c>
      <c r="B4298" t="s">
        <v>155</v>
      </c>
      <c r="C4298" s="9">
        <v>25568</v>
      </c>
      <c r="D4298">
        <v>56</v>
      </c>
      <c r="E4298" t="s">
        <v>21</v>
      </c>
      <c r="F4298" t="s">
        <v>5184</v>
      </c>
      <c r="G4298" s="9">
        <v>45283</v>
      </c>
      <c r="H4298" s="9">
        <v>45790</v>
      </c>
      <c r="I4298">
        <v>26</v>
      </c>
      <c r="J4298" t="s">
        <v>32</v>
      </c>
      <c r="K4298">
        <v>6</v>
      </c>
      <c r="L4298">
        <v>1</v>
      </c>
      <c r="M4298" s="11">
        <v>17974.25</v>
      </c>
      <c r="N4298" s="12">
        <v>12668.56</v>
      </c>
      <c r="O4298" s="12">
        <v>7599.64</v>
      </c>
    </row>
    <row r="4299" spans="1:15">
      <c r="A4299" t="s">
        <v>4473</v>
      </c>
      <c r="B4299" t="s">
        <v>181</v>
      </c>
      <c r="C4299" s="9">
        <v>24473</v>
      </c>
      <c r="D4299">
        <v>59</v>
      </c>
      <c r="E4299" t="s">
        <v>21</v>
      </c>
      <c r="F4299" t="s">
        <v>74</v>
      </c>
      <c r="G4299" s="9">
        <v>45389</v>
      </c>
      <c r="H4299" s="9">
        <v>45465</v>
      </c>
      <c r="I4299">
        <v>33</v>
      </c>
      <c r="J4299" t="s">
        <v>35</v>
      </c>
      <c r="K4299">
        <v>3</v>
      </c>
      <c r="L4299">
        <v>3</v>
      </c>
      <c r="M4299" s="11">
        <v>28185.599999999999</v>
      </c>
      <c r="N4299" s="12">
        <v>10293.83</v>
      </c>
      <c r="O4299" s="12">
        <v>15590.1</v>
      </c>
    </row>
    <row r="4300" spans="1:15">
      <c r="A4300" t="s">
        <v>4474</v>
      </c>
      <c r="B4300" t="s">
        <v>1148</v>
      </c>
      <c r="C4300" s="9">
        <v>26664</v>
      </c>
      <c r="D4300">
        <v>53</v>
      </c>
      <c r="E4300" t="s">
        <v>17</v>
      </c>
      <c r="F4300" t="s">
        <v>49</v>
      </c>
      <c r="G4300" s="9">
        <v>45477</v>
      </c>
      <c r="H4300" s="9">
        <v>45405</v>
      </c>
      <c r="I4300">
        <v>8</v>
      </c>
      <c r="J4300" t="s">
        <v>26</v>
      </c>
      <c r="K4300">
        <v>1</v>
      </c>
      <c r="L4300">
        <v>6</v>
      </c>
      <c r="M4300" s="11">
        <v>0</v>
      </c>
      <c r="N4300" s="12">
        <v>12735.02</v>
      </c>
      <c r="O4300" s="12">
        <v>14829.96</v>
      </c>
    </row>
    <row r="4301" spans="1:15">
      <c r="A4301" t="s">
        <v>4475</v>
      </c>
      <c r="B4301" t="s">
        <v>204</v>
      </c>
      <c r="C4301" s="9">
        <v>20820</v>
      </c>
      <c r="D4301">
        <v>69</v>
      </c>
      <c r="E4301" t="s">
        <v>17</v>
      </c>
      <c r="F4301" t="s">
        <v>18</v>
      </c>
      <c r="G4301" s="9">
        <v>45020</v>
      </c>
      <c r="H4301" s="9">
        <v>45030</v>
      </c>
      <c r="I4301">
        <v>18</v>
      </c>
      <c r="J4301" t="s">
        <v>35</v>
      </c>
      <c r="K4301">
        <v>7</v>
      </c>
      <c r="L4301">
        <v>6</v>
      </c>
      <c r="M4301" s="11">
        <v>3747.04</v>
      </c>
      <c r="N4301" s="12">
        <v>10954.91</v>
      </c>
      <c r="O4301" s="12">
        <v>15866.43</v>
      </c>
    </row>
    <row r="4302" spans="1:15">
      <c r="A4302" t="s">
        <v>4476</v>
      </c>
      <c r="B4302" t="s">
        <v>112</v>
      </c>
      <c r="C4302" s="9">
        <f>DATE(2026-D4262,1,1)</f>
        <v>15707</v>
      </c>
      <c r="D4302">
        <v>56</v>
      </c>
      <c r="E4302" t="s">
        <v>17</v>
      </c>
      <c r="F4302" t="s">
        <v>49</v>
      </c>
      <c r="G4302" s="9">
        <v>45448</v>
      </c>
      <c r="H4302" s="9">
        <v>45460</v>
      </c>
      <c r="I4302">
        <v>35</v>
      </c>
      <c r="J4302" t="s">
        <v>32</v>
      </c>
      <c r="K4302">
        <v>7</v>
      </c>
      <c r="L4302">
        <v>0</v>
      </c>
      <c r="M4302" s="11">
        <v>29050.49</v>
      </c>
      <c r="N4302" s="12">
        <v>14362.1</v>
      </c>
      <c r="O4302" s="12">
        <v>3664.17</v>
      </c>
    </row>
    <row r="4303" spans="1:15">
      <c r="A4303" t="s">
        <v>4477</v>
      </c>
      <c r="B4303" t="s">
        <v>108</v>
      </c>
      <c r="C4303" s="9">
        <v>42735</v>
      </c>
      <c r="D4303">
        <v>9</v>
      </c>
      <c r="E4303" t="s">
        <v>17</v>
      </c>
      <c r="F4303" t="s">
        <v>22</v>
      </c>
      <c r="G4303" s="9">
        <v>45653</v>
      </c>
      <c r="H4303" s="9">
        <v>45519</v>
      </c>
      <c r="I4303">
        <v>23</v>
      </c>
      <c r="J4303" t="s">
        <v>35</v>
      </c>
      <c r="K4303">
        <v>5</v>
      </c>
      <c r="L4303">
        <v>9</v>
      </c>
      <c r="M4303" s="11">
        <v>14077.71</v>
      </c>
      <c r="N4303" s="12">
        <v>8560.2199999999993</v>
      </c>
      <c r="O4303" s="12">
        <v>10272.27</v>
      </c>
    </row>
    <row r="4304" spans="1:15">
      <c r="A4304" t="s">
        <v>4478</v>
      </c>
      <c r="B4304" t="s">
        <v>309</v>
      </c>
      <c r="C4304" s="9">
        <v>31778</v>
      </c>
      <c r="D4304">
        <v>39</v>
      </c>
      <c r="E4304" t="s">
        <v>21</v>
      </c>
      <c r="F4304" t="s">
        <v>25</v>
      </c>
      <c r="G4304" s="9">
        <v>45334</v>
      </c>
      <c r="H4304" s="9">
        <v>45766</v>
      </c>
      <c r="I4304">
        <v>15</v>
      </c>
      <c r="J4304" t="s">
        <v>35</v>
      </c>
      <c r="K4304">
        <v>13</v>
      </c>
      <c r="L4304">
        <v>8</v>
      </c>
      <c r="M4304" s="11">
        <v>10776.38</v>
      </c>
      <c r="N4304" s="12">
        <v>5707.1</v>
      </c>
      <c r="O4304" s="12">
        <v>14225.1</v>
      </c>
    </row>
    <row r="4305" spans="1:15">
      <c r="A4305" t="s">
        <v>4479</v>
      </c>
      <c r="B4305" t="s">
        <v>392</v>
      </c>
      <c r="C4305" s="9">
        <v>43831</v>
      </c>
      <c r="D4305">
        <v>6</v>
      </c>
      <c r="E4305" t="s">
        <v>21</v>
      </c>
      <c r="F4305" t="s">
        <v>49</v>
      </c>
      <c r="G4305" s="9">
        <v>45026</v>
      </c>
      <c r="H4305" s="9">
        <v>45638</v>
      </c>
      <c r="I4305">
        <v>1</v>
      </c>
      <c r="J4305" t="s">
        <v>35</v>
      </c>
      <c r="K4305">
        <v>5</v>
      </c>
      <c r="L4305">
        <v>6</v>
      </c>
      <c r="M4305" s="11">
        <v>0</v>
      </c>
      <c r="N4305" s="12">
        <v>10207.81</v>
      </c>
      <c r="O4305" s="12">
        <v>5611.91</v>
      </c>
    </row>
    <row r="4306" spans="1:15">
      <c r="A4306" t="s">
        <v>4480</v>
      </c>
      <c r="B4306" t="s">
        <v>89</v>
      </c>
      <c r="C4306" s="9">
        <v>32508</v>
      </c>
      <c r="D4306">
        <v>37</v>
      </c>
      <c r="E4306" t="s">
        <v>21</v>
      </c>
      <c r="F4306" t="s">
        <v>22</v>
      </c>
      <c r="G4306" s="9">
        <v>45170</v>
      </c>
      <c r="H4306" s="9">
        <v>45249</v>
      </c>
      <c r="I4306">
        <v>38</v>
      </c>
      <c r="J4306" t="s">
        <v>35</v>
      </c>
      <c r="K4306">
        <v>9</v>
      </c>
      <c r="L4306">
        <v>5</v>
      </c>
      <c r="M4306" s="11">
        <v>27971.21</v>
      </c>
      <c r="N4306" s="12">
        <v>1036.72</v>
      </c>
      <c r="O4306" s="12">
        <v>16744.330000000002</v>
      </c>
    </row>
    <row r="4307" spans="1:15">
      <c r="A4307" t="s">
        <v>4481</v>
      </c>
      <c r="B4307" t="s">
        <v>105</v>
      </c>
      <c r="C4307" s="9">
        <v>15341</v>
      </c>
      <c r="D4307">
        <v>84</v>
      </c>
      <c r="E4307" t="s">
        <v>17</v>
      </c>
      <c r="F4307" t="s">
        <v>29</v>
      </c>
      <c r="G4307" s="9">
        <v>44984</v>
      </c>
      <c r="H4307" s="9">
        <v>45476</v>
      </c>
      <c r="I4307">
        <v>12</v>
      </c>
      <c r="J4307" t="s">
        <v>26</v>
      </c>
      <c r="K4307">
        <v>1</v>
      </c>
      <c r="L4307">
        <v>1</v>
      </c>
      <c r="M4307" s="11">
        <v>17379.28</v>
      </c>
      <c r="N4307" s="12">
        <v>7475.86</v>
      </c>
      <c r="O4307" s="12">
        <v>15564.17</v>
      </c>
    </row>
    <row r="4308" spans="1:15">
      <c r="A4308" t="s">
        <v>4482</v>
      </c>
      <c r="B4308" t="s">
        <v>356</v>
      </c>
      <c r="C4308" s="9">
        <v>24107</v>
      </c>
      <c r="D4308">
        <v>60</v>
      </c>
      <c r="E4308" t="s">
        <v>21</v>
      </c>
      <c r="F4308" t="s">
        <v>18</v>
      </c>
      <c r="G4308" s="9">
        <v>45283</v>
      </c>
      <c r="H4308" s="9">
        <v>44941</v>
      </c>
      <c r="I4308">
        <v>20</v>
      </c>
      <c r="J4308" t="s">
        <v>32</v>
      </c>
      <c r="K4308">
        <v>7</v>
      </c>
      <c r="L4308">
        <v>5</v>
      </c>
      <c r="M4308" s="11">
        <v>29633.62</v>
      </c>
      <c r="N4308" s="12">
        <v>11601.01</v>
      </c>
      <c r="O4308" s="12">
        <v>2309.52</v>
      </c>
    </row>
    <row r="4309" spans="1:15">
      <c r="A4309" t="s">
        <v>4483</v>
      </c>
      <c r="B4309" t="s">
        <v>123</v>
      </c>
      <c r="C4309" s="9">
        <v>15707</v>
      </c>
      <c r="D4309">
        <v>83</v>
      </c>
      <c r="E4309" t="s">
        <v>17</v>
      </c>
      <c r="F4309" t="s">
        <v>74</v>
      </c>
      <c r="G4309" s="9">
        <v>45417</v>
      </c>
      <c r="H4309" s="9">
        <v>45383</v>
      </c>
      <c r="I4309">
        <v>38</v>
      </c>
      <c r="J4309" t="s">
        <v>32</v>
      </c>
      <c r="K4309">
        <v>1</v>
      </c>
      <c r="L4309">
        <v>4</v>
      </c>
      <c r="M4309" s="11">
        <v>4802.91</v>
      </c>
      <c r="N4309" s="12">
        <v>2534.46</v>
      </c>
      <c r="O4309" s="12">
        <v>4279.55</v>
      </c>
    </row>
    <row r="4310" spans="1:15">
      <c r="A4310" t="s">
        <v>4484</v>
      </c>
      <c r="B4310" t="s">
        <v>264</v>
      </c>
      <c r="C4310" s="9">
        <v>45292</v>
      </c>
      <c r="D4310">
        <v>2</v>
      </c>
      <c r="E4310" t="s">
        <v>17</v>
      </c>
      <c r="F4310" t="s">
        <v>49</v>
      </c>
      <c r="G4310" s="9">
        <v>45246</v>
      </c>
      <c r="H4310" s="9">
        <v>45148</v>
      </c>
      <c r="I4310">
        <v>3</v>
      </c>
      <c r="J4310" t="s">
        <v>32</v>
      </c>
      <c r="K4310">
        <v>11</v>
      </c>
      <c r="L4310">
        <v>8</v>
      </c>
      <c r="M4310" s="11">
        <v>16147.99</v>
      </c>
      <c r="N4310" s="12">
        <v>6006.11</v>
      </c>
      <c r="O4310" s="12">
        <v>4671.21</v>
      </c>
    </row>
    <row r="4311" spans="1:15">
      <c r="A4311" t="s">
        <v>4485</v>
      </c>
      <c r="B4311" t="s">
        <v>119</v>
      </c>
      <c r="C4311" s="9">
        <v>27760</v>
      </c>
      <c r="D4311">
        <v>50</v>
      </c>
      <c r="E4311" t="s">
        <v>17</v>
      </c>
      <c r="F4311" t="s">
        <v>49</v>
      </c>
      <c r="G4311" s="9">
        <v>44945</v>
      </c>
      <c r="H4311" s="9">
        <v>45803</v>
      </c>
      <c r="I4311">
        <v>4</v>
      </c>
      <c r="J4311" t="s">
        <v>35</v>
      </c>
      <c r="K4311">
        <v>13</v>
      </c>
      <c r="L4311">
        <v>0</v>
      </c>
      <c r="M4311" s="11">
        <v>2851.53</v>
      </c>
      <c r="N4311" s="12">
        <v>5254.3</v>
      </c>
      <c r="O4311" s="12">
        <v>17557.38</v>
      </c>
    </row>
    <row r="4312" spans="1:15">
      <c r="A4312" t="s">
        <v>4486</v>
      </c>
      <c r="B4312" t="s">
        <v>201</v>
      </c>
      <c r="C4312" s="9">
        <v>14976</v>
      </c>
      <c r="D4312">
        <v>85</v>
      </c>
      <c r="E4312" t="s">
        <v>17</v>
      </c>
      <c r="F4312" t="s">
        <v>74</v>
      </c>
      <c r="G4312" s="9">
        <v>45283</v>
      </c>
      <c r="H4312" s="9">
        <v>45318</v>
      </c>
      <c r="I4312">
        <v>12</v>
      </c>
      <c r="J4312" t="s">
        <v>35</v>
      </c>
      <c r="K4312">
        <v>10</v>
      </c>
      <c r="L4312">
        <v>4</v>
      </c>
      <c r="M4312" s="11">
        <v>15490.41</v>
      </c>
      <c r="N4312" s="12">
        <v>5024.54</v>
      </c>
      <c r="O4312" s="12">
        <v>3653.21</v>
      </c>
    </row>
    <row r="4313" spans="1:15">
      <c r="A4313" t="s">
        <v>4487</v>
      </c>
      <c r="B4313" t="s">
        <v>273</v>
      </c>
      <c r="C4313" s="9">
        <v>29221</v>
      </c>
      <c r="D4313">
        <v>46</v>
      </c>
      <c r="E4313" t="s">
        <v>21</v>
      </c>
      <c r="F4313" t="s">
        <v>74</v>
      </c>
      <c r="G4313" s="9">
        <v>45043</v>
      </c>
      <c r="H4313" s="9">
        <v>45605</v>
      </c>
      <c r="I4313">
        <v>6</v>
      </c>
      <c r="J4313" t="s">
        <v>32</v>
      </c>
      <c r="K4313">
        <v>5</v>
      </c>
      <c r="L4313">
        <v>2</v>
      </c>
      <c r="M4313" s="11">
        <v>26638.65</v>
      </c>
      <c r="N4313" s="12">
        <v>9759.4</v>
      </c>
      <c r="O4313" s="12">
        <v>12404.14</v>
      </c>
    </row>
    <row r="4314" spans="1:15">
      <c r="A4314" t="s">
        <v>4488</v>
      </c>
      <c r="B4314" t="s">
        <v>514</v>
      </c>
      <c r="C4314" s="9">
        <v>21551</v>
      </c>
      <c r="D4314">
        <v>67</v>
      </c>
      <c r="E4314" t="s">
        <v>17</v>
      </c>
      <c r="F4314" t="s">
        <v>25</v>
      </c>
      <c r="G4314" s="9">
        <v>45062</v>
      </c>
      <c r="H4314" s="9">
        <v>45100</v>
      </c>
      <c r="I4314">
        <v>27</v>
      </c>
      <c r="J4314" t="s">
        <v>32</v>
      </c>
      <c r="K4314">
        <v>7</v>
      </c>
      <c r="L4314">
        <v>8</v>
      </c>
      <c r="M4314" s="11">
        <v>2834.29</v>
      </c>
      <c r="N4314" s="12">
        <v>7462.44</v>
      </c>
      <c r="O4314" s="12">
        <v>1204.73</v>
      </c>
    </row>
    <row r="4315" spans="1:15">
      <c r="A4315" t="s">
        <v>4489</v>
      </c>
      <c r="B4315" t="s">
        <v>89</v>
      </c>
      <c r="C4315" s="9">
        <v>12785</v>
      </c>
      <c r="D4315">
        <v>91</v>
      </c>
      <c r="E4315" t="s">
        <v>21</v>
      </c>
      <c r="F4315" t="s">
        <v>49</v>
      </c>
      <c r="G4315" s="9">
        <v>45222</v>
      </c>
      <c r="H4315" s="9">
        <v>45589</v>
      </c>
      <c r="I4315">
        <v>25</v>
      </c>
      <c r="J4315" t="s">
        <v>35</v>
      </c>
      <c r="K4315">
        <v>7</v>
      </c>
      <c r="L4315">
        <v>0</v>
      </c>
      <c r="M4315" s="11">
        <v>7724.29</v>
      </c>
      <c r="N4315" s="12">
        <v>11959.73</v>
      </c>
      <c r="O4315" s="12">
        <v>11005.36</v>
      </c>
    </row>
    <row r="4316" spans="1:15">
      <c r="A4316" t="s">
        <v>4490</v>
      </c>
      <c r="B4316" t="s">
        <v>137</v>
      </c>
      <c r="C4316" s="9">
        <v>18629</v>
      </c>
      <c r="D4316">
        <v>75</v>
      </c>
      <c r="E4316" t="s">
        <v>21</v>
      </c>
      <c r="F4316" t="s">
        <v>49</v>
      </c>
      <c r="G4316" s="9">
        <v>45451</v>
      </c>
      <c r="H4316" s="9">
        <v>45611</v>
      </c>
      <c r="I4316">
        <v>27</v>
      </c>
      <c r="J4316" t="s">
        <v>32</v>
      </c>
      <c r="K4316">
        <v>14</v>
      </c>
      <c r="L4316">
        <v>5</v>
      </c>
      <c r="M4316" s="11">
        <v>20313.259999999998</v>
      </c>
      <c r="N4316" s="12">
        <v>867.74</v>
      </c>
      <c r="O4316" s="12">
        <v>2739.17</v>
      </c>
    </row>
    <row r="4317" spans="1:15">
      <c r="A4317" t="s">
        <v>4491</v>
      </c>
      <c r="B4317" t="s">
        <v>34</v>
      </c>
      <c r="C4317" s="9">
        <v>32508</v>
      </c>
      <c r="D4317">
        <v>37</v>
      </c>
      <c r="E4317" t="s">
        <v>21</v>
      </c>
      <c r="F4317" t="s">
        <v>5184</v>
      </c>
      <c r="G4317" s="9">
        <v>45027</v>
      </c>
      <c r="H4317" s="9">
        <v>45008</v>
      </c>
      <c r="I4317">
        <v>5</v>
      </c>
      <c r="J4317" t="s">
        <v>32</v>
      </c>
      <c r="K4317">
        <v>3</v>
      </c>
      <c r="L4317">
        <v>2</v>
      </c>
      <c r="M4317" s="11">
        <v>1826.75</v>
      </c>
      <c r="N4317" s="12">
        <v>6808.64</v>
      </c>
      <c r="O4317" s="12">
        <v>11467.46</v>
      </c>
    </row>
    <row r="4318" spans="1:15">
      <c r="A4318" t="s">
        <v>4492</v>
      </c>
      <c r="B4318" t="s">
        <v>82</v>
      </c>
      <c r="C4318" s="9">
        <v>33239</v>
      </c>
      <c r="D4318">
        <v>35</v>
      </c>
      <c r="E4318" t="s">
        <v>21</v>
      </c>
      <c r="F4318" t="s">
        <v>29</v>
      </c>
      <c r="G4318" s="9">
        <v>45306</v>
      </c>
      <c r="H4318" s="9">
        <v>45263</v>
      </c>
      <c r="I4318">
        <v>32</v>
      </c>
      <c r="J4318" t="s">
        <v>35</v>
      </c>
      <c r="K4318">
        <v>10</v>
      </c>
      <c r="L4318">
        <v>0</v>
      </c>
      <c r="M4318" s="11">
        <v>13346.54</v>
      </c>
      <c r="N4318" s="12">
        <v>209.98</v>
      </c>
      <c r="O4318" s="12">
        <v>7292.69</v>
      </c>
    </row>
    <row r="4319" spans="1:15">
      <c r="A4319" t="s">
        <v>4493</v>
      </c>
      <c r="B4319" t="s">
        <v>338</v>
      </c>
      <c r="C4319" s="9">
        <v>31412</v>
      </c>
      <c r="D4319">
        <v>40</v>
      </c>
      <c r="E4319" t="s">
        <v>17</v>
      </c>
      <c r="F4319" t="s">
        <v>5184</v>
      </c>
      <c r="G4319" s="9">
        <v>45081</v>
      </c>
      <c r="H4319" s="9">
        <v>45152</v>
      </c>
      <c r="I4319">
        <v>32</v>
      </c>
      <c r="J4319" t="s">
        <v>32</v>
      </c>
      <c r="K4319">
        <v>11</v>
      </c>
      <c r="L4319">
        <v>2</v>
      </c>
      <c r="M4319" s="11">
        <v>9658.3799999999992</v>
      </c>
      <c r="N4319" s="12">
        <v>3312.9</v>
      </c>
      <c r="O4319" s="12">
        <v>12074.22</v>
      </c>
    </row>
    <row r="4320" spans="1:15">
      <c r="A4320" t="s">
        <v>4494</v>
      </c>
      <c r="B4320" t="s">
        <v>57</v>
      </c>
      <c r="C4320" s="9">
        <v>21185</v>
      </c>
      <c r="D4320">
        <v>68</v>
      </c>
      <c r="E4320" t="s">
        <v>17</v>
      </c>
      <c r="F4320" t="s">
        <v>22</v>
      </c>
      <c r="G4320" s="9">
        <v>45520</v>
      </c>
      <c r="H4320" s="9">
        <v>45798</v>
      </c>
      <c r="I4320">
        <v>23</v>
      </c>
      <c r="J4320" t="s">
        <v>26</v>
      </c>
      <c r="K4320">
        <v>14</v>
      </c>
      <c r="L4320">
        <v>1</v>
      </c>
      <c r="M4320" s="11">
        <v>25063.52</v>
      </c>
      <c r="N4320" s="12">
        <v>11630.64</v>
      </c>
      <c r="O4320" s="12">
        <v>7828.31</v>
      </c>
    </row>
    <row r="4321" spans="1:15">
      <c r="A4321" t="s">
        <v>4495</v>
      </c>
      <c r="B4321" t="s">
        <v>664</v>
      </c>
      <c r="C4321" s="9">
        <v>41639</v>
      </c>
      <c r="D4321">
        <v>12</v>
      </c>
      <c r="E4321" t="s">
        <v>21</v>
      </c>
      <c r="F4321" t="s">
        <v>29</v>
      </c>
      <c r="G4321" s="9">
        <v>45526</v>
      </c>
      <c r="H4321" s="9">
        <v>44962</v>
      </c>
      <c r="I4321">
        <v>27</v>
      </c>
      <c r="J4321" t="s">
        <v>32</v>
      </c>
      <c r="K4321">
        <v>4</v>
      </c>
      <c r="L4321">
        <v>9</v>
      </c>
      <c r="M4321" s="11">
        <v>996.82</v>
      </c>
      <c r="N4321" s="12">
        <v>1590.76</v>
      </c>
      <c r="O4321" s="12">
        <v>17071.330000000002</v>
      </c>
    </row>
    <row r="4322" spans="1:15">
      <c r="A4322" t="s">
        <v>4496</v>
      </c>
      <c r="B4322" t="s">
        <v>41</v>
      </c>
      <c r="C4322" s="9">
        <v>14611</v>
      </c>
      <c r="D4322">
        <v>86</v>
      </c>
      <c r="E4322" t="s">
        <v>21</v>
      </c>
      <c r="F4322" t="s">
        <v>5184</v>
      </c>
      <c r="G4322" s="9">
        <v>45031</v>
      </c>
      <c r="H4322" s="9">
        <v>45797</v>
      </c>
      <c r="I4322">
        <v>32</v>
      </c>
      <c r="J4322" t="s">
        <v>32</v>
      </c>
      <c r="K4322">
        <v>0</v>
      </c>
      <c r="L4322">
        <v>7</v>
      </c>
      <c r="M4322" s="11">
        <v>25833.56</v>
      </c>
      <c r="N4322" s="12">
        <v>1583.69</v>
      </c>
      <c r="O4322" s="12">
        <v>15115.25</v>
      </c>
    </row>
    <row r="4323" spans="1:15">
      <c r="A4323" t="s">
        <v>4497</v>
      </c>
      <c r="B4323" t="s">
        <v>300</v>
      </c>
      <c r="C4323" s="9">
        <v>25203</v>
      </c>
      <c r="D4323">
        <v>57</v>
      </c>
      <c r="E4323" t="s">
        <v>17</v>
      </c>
      <c r="F4323" t="s">
        <v>49</v>
      </c>
      <c r="G4323" s="9">
        <v>45568</v>
      </c>
      <c r="H4323" s="9">
        <v>45115</v>
      </c>
      <c r="I4323">
        <v>35</v>
      </c>
      <c r="J4323" t="s">
        <v>32</v>
      </c>
      <c r="K4323">
        <v>0</v>
      </c>
      <c r="L4323">
        <v>2</v>
      </c>
      <c r="M4323" s="11">
        <v>20960.78</v>
      </c>
      <c r="N4323" s="12">
        <v>6021.58</v>
      </c>
      <c r="O4323" s="12">
        <v>16878.509999999998</v>
      </c>
    </row>
    <row r="4324" spans="1:15">
      <c r="A4324" t="s">
        <v>4498</v>
      </c>
      <c r="B4324" t="s">
        <v>341</v>
      </c>
      <c r="C4324" s="9">
        <v>28125</v>
      </c>
      <c r="D4324">
        <v>49</v>
      </c>
      <c r="E4324" t="s">
        <v>17</v>
      </c>
      <c r="F4324" t="s">
        <v>29</v>
      </c>
      <c r="G4324" s="9">
        <v>45452</v>
      </c>
      <c r="H4324" s="9">
        <v>45151</v>
      </c>
      <c r="I4324">
        <v>8</v>
      </c>
      <c r="J4324" t="s">
        <v>26</v>
      </c>
      <c r="K4324">
        <v>8</v>
      </c>
      <c r="L4324">
        <v>6</v>
      </c>
      <c r="M4324" s="11">
        <v>8564.31</v>
      </c>
      <c r="N4324" s="12">
        <v>11654.12</v>
      </c>
      <c r="O4324" s="12">
        <v>4363.25</v>
      </c>
    </row>
    <row r="4325" spans="1:15">
      <c r="A4325" t="s">
        <v>4499</v>
      </c>
      <c r="B4325" t="s">
        <v>479</v>
      </c>
      <c r="C4325" s="9">
        <v>35430</v>
      </c>
      <c r="D4325">
        <v>29</v>
      </c>
      <c r="E4325" t="s">
        <v>21</v>
      </c>
      <c r="F4325" t="s">
        <v>49</v>
      </c>
      <c r="G4325" s="9">
        <v>45054</v>
      </c>
      <c r="H4325" s="9">
        <v>45570</v>
      </c>
      <c r="I4325">
        <v>17</v>
      </c>
      <c r="J4325" t="s">
        <v>32</v>
      </c>
      <c r="K4325">
        <v>7</v>
      </c>
      <c r="L4325">
        <v>9</v>
      </c>
      <c r="M4325" s="11">
        <v>5531.94</v>
      </c>
      <c r="N4325" s="12">
        <v>9570.34</v>
      </c>
      <c r="O4325" s="12">
        <v>2891.2</v>
      </c>
    </row>
    <row r="4326" spans="1:15">
      <c r="A4326" t="s">
        <v>4500</v>
      </c>
      <c r="B4326" t="s">
        <v>181</v>
      </c>
      <c r="C4326" s="9">
        <v>23742</v>
      </c>
      <c r="D4326">
        <f ca="1">DATEDIF(C4277,TODAY(),"Y")</f>
        <v>26</v>
      </c>
      <c r="E4326" t="s">
        <v>17</v>
      </c>
      <c r="F4326" t="s">
        <v>18</v>
      </c>
      <c r="G4326" s="9">
        <v>45327</v>
      </c>
      <c r="H4326" s="9">
        <v>45813</v>
      </c>
      <c r="I4326">
        <v>28</v>
      </c>
      <c r="J4326" t="s">
        <v>32</v>
      </c>
      <c r="K4326">
        <v>11</v>
      </c>
      <c r="L4326">
        <v>5</v>
      </c>
      <c r="M4326" s="11">
        <v>28480.38</v>
      </c>
      <c r="N4326" s="12">
        <v>11726.33</v>
      </c>
      <c r="O4326" s="12">
        <v>11102.43</v>
      </c>
    </row>
    <row r="4327" spans="1:15">
      <c r="A4327" t="s">
        <v>4501</v>
      </c>
      <c r="B4327" t="s">
        <v>237</v>
      </c>
      <c r="C4327" s="9">
        <v>37256</v>
      </c>
      <c r="D4327">
        <v>24</v>
      </c>
      <c r="E4327" t="s">
        <v>17</v>
      </c>
      <c r="F4327" t="s">
        <v>25</v>
      </c>
      <c r="G4327" s="9">
        <v>45498</v>
      </c>
      <c r="H4327" s="9">
        <v>45421</v>
      </c>
      <c r="I4327">
        <v>31</v>
      </c>
      <c r="J4327" t="s">
        <v>26</v>
      </c>
      <c r="K4327">
        <v>1</v>
      </c>
      <c r="L4327">
        <v>6</v>
      </c>
      <c r="M4327" s="11">
        <v>16394.189999999999</v>
      </c>
      <c r="N4327" s="12">
        <v>743.23</v>
      </c>
      <c r="O4327" s="12">
        <v>17443.95</v>
      </c>
    </row>
    <row r="4328" spans="1:15">
      <c r="A4328" t="s">
        <v>4502</v>
      </c>
      <c r="B4328" t="s">
        <v>137</v>
      </c>
      <c r="C4328" s="9">
        <v>36526</v>
      </c>
      <c r="D4328">
        <v>26</v>
      </c>
      <c r="E4328" t="s">
        <v>17</v>
      </c>
      <c r="F4328" t="s">
        <v>29</v>
      </c>
      <c r="G4328" s="9">
        <v>45455</v>
      </c>
      <c r="H4328" s="9">
        <v>45790</v>
      </c>
      <c r="I4328">
        <v>9</v>
      </c>
      <c r="J4328" t="s">
        <v>35</v>
      </c>
      <c r="K4328">
        <v>8</v>
      </c>
      <c r="L4328">
        <v>6</v>
      </c>
      <c r="M4328" s="11">
        <v>10015.719999999999</v>
      </c>
      <c r="N4328" s="12">
        <v>8455.89</v>
      </c>
      <c r="O4328" s="12">
        <v>2123.54</v>
      </c>
    </row>
    <row r="4329" spans="1:15">
      <c r="A4329" t="s">
        <v>4503</v>
      </c>
      <c r="B4329" t="s">
        <v>264</v>
      </c>
      <c r="C4329" s="9">
        <v>27760</v>
      </c>
      <c r="D4329">
        <v>50</v>
      </c>
      <c r="E4329" t="s">
        <v>21</v>
      </c>
      <c r="F4329" t="s">
        <v>49</v>
      </c>
      <c r="G4329" s="9">
        <v>45483</v>
      </c>
      <c r="H4329" s="9">
        <v>45238</v>
      </c>
      <c r="I4329">
        <v>25</v>
      </c>
      <c r="J4329" t="s">
        <v>32</v>
      </c>
      <c r="K4329">
        <v>10</v>
      </c>
      <c r="L4329">
        <v>9</v>
      </c>
      <c r="M4329" s="11">
        <v>0</v>
      </c>
      <c r="N4329" s="12">
        <v>6799.39</v>
      </c>
      <c r="O4329" s="12">
        <v>4601.1499999999996</v>
      </c>
    </row>
    <row r="4330" spans="1:15">
      <c r="A4330" t="s">
        <v>4504</v>
      </c>
      <c r="B4330" t="s">
        <v>273</v>
      </c>
      <c r="C4330" s="9">
        <v>17898</v>
      </c>
      <c r="D4330">
        <v>77</v>
      </c>
      <c r="E4330" t="s">
        <v>17</v>
      </c>
      <c r="F4330" t="s">
        <v>29</v>
      </c>
      <c r="G4330" s="9">
        <v>45476</v>
      </c>
      <c r="H4330" s="9">
        <v>45448</v>
      </c>
      <c r="I4330">
        <v>0</v>
      </c>
      <c r="J4330" t="s">
        <v>32</v>
      </c>
      <c r="K4330">
        <v>10</v>
      </c>
      <c r="L4330">
        <v>0</v>
      </c>
      <c r="M4330" s="11">
        <v>4556.42</v>
      </c>
      <c r="N4330" s="12">
        <v>13440.32</v>
      </c>
      <c r="O4330" s="12">
        <v>14894.56</v>
      </c>
    </row>
    <row r="4331" spans="1:15">
      <c r="A4331" t="s">
        <v>4505</v>
      </c>
      <c r="B4331" t="s">
        <v>41</v>
      </c>
      <c r="C4331" s="9">
        <v>25568</v>
      </c>
      <c r="D4331">
        <v>56</v>
      </c>
      <c r="E4331" t="s">
        <v>17</v>
      </c>
      <c r="F4331" t="s">
        <v>22</v>
      </c>
      <c r="G4331" s="9">
        <v>45050</v>
      </c>
      <c r="H4331" s="9">
        <v>45508</v>
      </c>
      <c r="I4331">
        <v>39</v>
      </c>
      <c r="J4331" t="s">
        <v>32</v>
      </c>
      <c r="K4331">
        <v>12</v>
      </c>
      <c r="L4331">
        <v>3</v>
      </c>
      <c r="M4331" s="11">
        <v>17744.03</v>
      </c>
      <c r="N4331" s="12">
        <v>11060.09</v>
      </c>
      <c r="O4331" s="12">
        <v>9253.76</v>
      </c>
    </row>
    <row r="4332" spans="1:15">
      <c r="A4332" t="s">
        <v>4506</v>
      </c>
      <c r="B4332" t="s">
        <v>356</v>
      </c>
      <c r="C4332" s="9">
        <v>29221</v>
      </c>
      <c r="D4332">
        <v>46</v>
      </c>
      <c r="E4332" t="s">
        <v>17</v>
      </c>
      <c r="F4332" t="s">
        <v>25</v>
      </c>
      <c r="G4332" s="9">
        <v>45286</v>
      </c>
      <c r="H4332" s="9">
        <v>45467</v>
      </c>
      <c r="I4332">
        <v>2</v>
      </c>
      <c r="J4332" t="s">
        <v>32</v>
      </c>
      <c r="K4332">
        <v>3</v>
      </c>
      <c r="L4332">
        <v>3</v>
      </c>
      <c r="M4332" s="11">
        <v>15149.84</v>
      </c>
      <c r="N4332" s="12">
        <v>6365.12</v>
      </c>
      <c r="O4332" s="12">
        <v>12029.61</v>
      </c>
    </row>
    <row r="4333" spans="1:15">
      <c r="A4333" t="s">
        <v>4507</v>
      </c>
      <c r="B4333" t="s">
        <v>350</v>
      </c>
      <c r="C4333" s="9">
        <v>32143</v>
      </c>
      <c r="D4333">
        <v>38</v>
      </c>
      <c r="E4333" t="s">
        <v>17</v>
      </c>
      <c r="F4333" t="s">
        <v>18</v>
      </c>
      <c r="G4333" s="9">
        <v>44990</v>
      </c>
      <c r="H4333" s="9">
        <v>45296</v>
      </c>
      <c r="I4333">
        <v>10</v>
      </c>
      <c r="J4333" t="s">
        <v>32</v>
      </c>
      <c r="K4333">
        <v>12</v>
      </c>
      <c r="L4333">
        <v>4</v>
      </c>
      <c r="M4333" s="11">
        <v>22607.11</v>
      </c>
      <c r="N4333" s="12">
        <v>8307.74</v>
      </c>
      <c r="O4333" s="12">
        <v>11794.26</v>
      </c>
    </row>
    <row r="4334" spans="1:15">
      <c r="A4334" t="s">
        <v>4508</v>
      </c>
      <c r="B4334" t="s">
        <v>174</v>
      </c>
      <c r="C4334" s="9">
        <v>40544</v>
      </c>
      <c r="D4334">
        <v>15</v>
      </c>
      <c r="E4334" t="s">
        <v>5185</v>
      </c>
      <c r="F4334" t="s">
        <v>74</v>
      </c>
      <c r="G4334" s="9">
        <v>45550</v>
      </c>
      <c r="H4334" s="9">
        <v>45402</v>
      </c>
      <c r="I4334">
        <v>9</v>
      </c>
      <c r="J4334" t="s">
        <v>32</v>
      </c>
      <c r="K4334">
        <v>5</v>
      </c>
      <c r="L4334">
        <v>9</v>
      </c>
      <c r="M4334" s="11">
        <v>24962.55</v>
      </c>
      <c r="N4334" s="12">
        <v>6372.5</v>
      </c>
      <c r="O4334" s="12">
        <v>8188.33</v>
      </c>
    </row>
    <row r="4335" spans="1:15">
      <c r="A4335" t="s">
        <v>4509</v>
      </c>
      <c r="B4335" t="s">
        <v>97</v>
      </c>
      <c r="C4335" s="9">
        <v>38352</v>
      </c>
      <c r="D4335">
        <v>21</v>
      </c>
      <c r="E4335" t="s">
        <v>21</v>
      </c>
      <c r="F4335" t="s">
        <v>74</v>
      </c>
      <c r="G4335" s="9">
        <v>45028</v>
      </c>
      <c r="H4335" s="9">
        <v>45673</v>
      </c>
      <c r="I4335">
        <v>2</v>
      </c>
      <c r="J4335" t="s">
        <v>32</v>
      </c>
      <c r="K4335">
        <v>10</v>
      </c>
      <c r="L4335">
        <v>4</v>
      </c>
      <c r="M4335" s="11">
        <v>11613.83</v>
      </c>
      <c r="N4335" s="12">
        <v>6617.2</v>
      </c>
      <c r="O4335" s="12">
        <v>14084.62</v>
      </c>
    </row>
    <row r="4336" spans="1:15">
      <c r="A4336" t="s">
        <v>4510</v>
      </c>
      <c r="B4336" t="s">
        <v>153</v>
      </c>
      <c r="C4336" s="9">
        <v>15341</v>
      </c>
      <c r="D4336">
        <v>84</v>
      </c>
      <c r="E4336" t="s">
        <v>17</v>
      </c>
      <c r="F4336" t="s">
        <v>29</v>
      </c>
      <c r="G4336" s="9">
        <v>45487</v>
      </c>
      <c r="H4336" s="9">
        <v>44958</v>
      </c>
      <c r="I4336">
        <v>16</v>
      </c>
      <c r="J4336" t="s">
        <v>26</v>
      </c>
      <c r="K4336">
        <v>8</v>
      </c>
      <c r="L4336">
        <v>7</v>
      </c>
      <c r="M4336" s="11">
        <v>2578.36</v>
      </c>
      <c r="N4336" s="12">
        <v>9511.24</v>
      </c>
      <c r="O4336" s="12">
        <v>17030.61</v>
      </c>
    </row>
    <row r="4337" spans="1:15">
      <c r="A4337" t="s">
        <v>4511</v>
      </c>
      <c r="B4337" t="s">
        <v>149</v>
      </c>
      <c r="C4337" s="9">
        <f t="shared" ref="C4337:C4338" si="22">DATE(2026-D4297,1,1)</f>
        <v>31413</v>
      </c>
      <c r="D4337">
        <v>53</v>
      </c>
      <c r="E4337" t="s">
        <v>17</v>
      </c>
      <c r="F4337" t="s">
        <v>49</v>
      </c>
      <c r="G4337" s="9">
        <v>45203</v>
      </c>
      <c r="H4337" s="9">
        <v>45754</v>
      </c>
      <c r="I4337">
        <v>26</v>
      </c>
      <c r="J4337" t="s">
        <v>32</v>
      </c>
      <c r="K4337">
        <v>4</v>
      </c>
      <c r="L4337">
        <v>3</v>
      </c>
      <c r="M4337" s="11">
        <v>23641.66</v>
      </c>
      <c r="N4337" s="12">
        <v>3248.02</v>
      </c>
      <c r="O4337" s="12">
        <v>18145.919999999998</v>
      </c>
    </row>
    <row r="4338" spans="1:15">
      <c r="A4338" t="s">
        <v>4512</v>
      </c>
      <c r="B4338" t="s">
        <v>600</v>
      </c>
      <c r="C4338" s="9">
        <f t="shared" si="22"/>
        <v>25569</v>
      </c>
      <c r="D4338">
        <v>20</v>
      </c>
      <c r="E4338" t="s">
        <v>17</v>
      </c>
      <c r="F4338" t="s">
        <v>22</v>
      </c>
      <c r="G4338" s="9">
        <v>45153</v>
      </c>
      <c r="H4338" s="9">
        <v>45159</v>
      </c>
      <c r="I4338">
        <v>36</v>
      </c>
      <c r="J4338" t="s">
        <v>32</v>
      </c>
      <c r="K4338">
        <v>4</v>
      </c>
      <c r="L4338">
        <v>0</v>
      </c>
      <c r="M4338" s="11">
        <v>16389.07</v>
      </c>
      <c r="N4338" s="12">
        <v>4997.76</v>
      </c>
      <c r="O4338" s="12">
        <v>832.87</v>
      </c>
    </row>
    <row r="4339" spans="1:15">
      <c r="A4339" t="s">
        <v>4513</v>
      </c>
      <c r="B4339" t="s">
        <v>133</v>
      </c>
      <c r="C4339" s="9">
        <v>20090</v>
      </c>
      <c r="D4339">
        <v>71</v>
      </c>
      <c r="E4339" t="s">
        <v>21</v>
      </c>
      <c r="F4339" t="s">
        <v>25</v>
      </c>
      <c r="G4339" s="9">
        <v>44949</v>
      </c>
      <c r="H4339" s="9">
        <v>45777</v>
      </c>
      <c r="I4339">
        <v>39</v>
      </c>
      <c r="J4339" t="s">
        <v>35</v>
      </c>
      <c r="K4339">
        <v>4</v>
      </c>
      <c r="L4339">
        <v>4</v>
      </c>
      <c r="M4339" s="11">
        <v>29383.65</v>
      </c>
      <c r="N4339" s="12">
        <v>4187.38</v>
      </c>
      <c r="O4339" s="12">
        <v>11027.48</v>
      </c>
    </row>
    <row r="4340" spans="1:15">
      <c r="A4340" t="s">
        <v>4514</v>
      </c>
      <c r="B4340" t="s">
        <v>671</v>
      </c>
      <c r="C4340" s="9">
        <v>40544</v>
      </c>
      <c r="D4340">
        <v>15</v>
      </c>
      <c r="E4340" t="s">
        <v>21</v>
      </c>
      <c r="F4340" t="s">
        <v>18</v>
      </c>
      <c r="G4340" s="9">
        <v>45623</v>
      </c>
      <c r="H4340" s="9">
        <v>45424</v>
      </c>
      <c r="I4340">
        <v>22</v>
      </c>
      <c r="J4340" t="s">
        <v>35</v>
      </c>
      <c r="K4340">
        <v>11</v>
      </c>
      <c r="L4340">
        <v>0</v>
      </c>
      <c r="M4340" s="11">
        <v>23788.67</v>
      </c>
      <c r="N4340" s="12">
        <v>12012.04</v>
      </c>
      <c r="O4340" s="12">
        <v>711.47</v>
      </c>
    </row>
    <row r="4341" spans="1:15">
      <c r="A4341" t="s">
        <v>4515</v>
      </c>
      <c r="B4341" t="s">
        <v>168</v>
      </c>
      <c r="C4341" s="9">
        <v>24838</v>
      </c>
      <c r="D4341">
        <v>58</v>
      </c>
      <c r="E4341" t="s">
        <v>17</v>
      </c>
      <c r="F4341" t="s">
        <v>18</v>
      </c>
      <c r="G4341" s="9">
        <v>44990</v>
      </c>
      <c r="H4341" s="9">
        <v>45493</v>
      </c>
      <c r="I4341">
        <v>13</v>
      </c>
      <c r="J4341" t="s">
        <v>26</v>
      </c>
      <c r="K4341">
        <v>6</v>
      </c>
      <c r="L4341">
        <v>2</v>
      </c>
      <c r="M4341" s="11">
        <v>9536.7199999999993</v>
      </c>
      <c r="N4341" s="12">
        <v>14129.15</v>
      </c>
      <c r="O4341" s="12">
        <v>18008.7</v>
      </c>
    </row>
    <row r="4342" spans="1:15">
      <c r="A4342" t="s">
        <v>4516</v>
      </c>
      <c r="B4342" t="s">
        <v>201</v>
      </c>
      <c r="C4342" s="9">
        <v>35065</v>
      </c>
      <c r="D4342">
        <f ca="1">DATEDIF(C4293,TODAY(),"Y")</f>
        <v>46</v>
      </c>
      <c r="E4342" t="s">
        <v>17</v>
      </c>
      <c r="F4342" t="s">
        <v>5184</v>
      </c>
      <c r="G4342" s="9">
        <v>45083</v>
      </c>
      <c r="H4342" s="9">
        <v>45102</v>
      </c>
      <c r="I4342">
        <v>14</v>
      </c>
      <c r="J4342" t="s">
        <v>32</v>
      </c>
      <c r="K4342">
        <v>5</v>
      </c>
      <c r="L4342">
        <v>7</v>
      </c>
      <c r="M4342" s="11">
        <v>12568.95</v>
      </c>
      <c r="N4342" s="12">
        <v>6214.51</v>
      </c>
      <c r="O4342" s="12">
        <v>8528.24</v>
      </c>
    </row>
    <row r="4343" spans="1:15">
      <c r="A4343" t="s">
        <v>4517</v>
      </c>
      <c r="B4343" t="s">
        <v>34</v>
      </c>
      <c r="C4343" s="9">
        <v>31047</v>
      </c>
      <c r="D4343">
        <v>41</v>
      </c>
      <c r="E4343" t="s">
        <v>21</v>
      </c>
      <c r="F4343" t="s">
        <v>18</v>
      </c>
      <c r="G4343" s="9">
        <v>45316</v>
      </c>
      <c r="H4343" s="9">
        <v>45225</v>
      </c>
      <c r="I4343">
        <v>25</v>
      </c>
      <c r="J4343" t="s">
        <v>32</v>
      </c>
      <c r="K4343">
        <v>3</v>
      </c>
      <c r="L4343">
        <v>9</v>
      </c>
      <c r="M4343" s="11">
        <v>0</v>
      </c>
      <c r="N4343" s="12">
        <v>1156.52</v>
      </c>
      <c r="O4343" s="12">
        <v>18000.560000000001</v>
      </c>
    </row>
    <row r="4344" spans="1:15">
      <c r="A4344" t="s">
        <v>4518</v>
      </c>
      <c r="B4344" t="s">
        <v>44</v>
      </c>
      <c r="C4344" s="9">
        <v>19359</v>
      </c>
      <c r="D4344">
        <v>73</v>
      </c>
      <c r="E4344" t="s">
        <v>17</v>
      </c>
      <c r="F4344" t="s">
        <v>74</v>
      </c>
      <c r="G4344" s="9">
        <v>45075</v>
      </c>
      <c r="H4344" s="9">
        <v>45718</v>
      </c>
      <c r="I4344">
        <v>36</v>
      </c>
      <c r="J4344" t="s">
        <v>26</v>
      </c>
      <c r="K4344">
        <v>8</v>
      </c>
      <c r="L4344">
        <v>4</v>
      </c>
      <c r="M4344" s="11">
        <v>15115.95</v>
      </c>
      <c r="N4344" s="12">
        <v>1403.26</v>
      </c>
      <c r="O4344" s="12">
        <v>3672.44</v>
      </c>
    </row>
    <row r="4345" spans="1:15">
      <c r="A4345" t="s">
        <v>4519</v>
      </c>
      <c r="B4345" t="s">
        <v>73</v>
      </c>
      <c r="C4345" s="9">
        <v>34700</v>
      </c>
      <c r="D4345">
        <v>31</v>
      </c>
      <c r="E4345" t="s">
        <v>21</v>
      </c>
      <c r="F4345" t="s">
        <v>25</v>
      </c>
      <c r="G4345" s="9">
        <v>45289</v>
      </c>
      <c r="H4345" s="9">
        <v>45292</v>
      </c>
      <c r="I4345">
        <v>2</v>
      </c>
      <c r="J4345" t="s">
        <v>26</v>
      </c>
      <c r="K4345">
        <v>0</v>
      </c>
      <c r="L4345">
        <v>6</v>
      </c>
      <c r="M4345" s="11">
        <v>21177.11</v>
      </c>
      <c r="N4345" s="12">
        <v>5993.83</v>
      </c>
      <c r="O4345" s="12">
        <v>3163.66</v>
      </c>
    </row>
    <row r="4346" spans="1:15">
      <c r="A4346" t="s">
        <v>4520</v>
      </c>
      <c r="B4346" t="s">
        <v>65</v>
      </c>
      <c r="C4346" s="9">
        <v>24838</v>
      </c>
      <c r="D4346">
        <v>58</v>
      </c>
      <c r="E4346" t="s">
        <v>5185</v>
      </c>
      <c r="F4346" t="s">
        <v>5184</v>
      </c>
      <c r="G4346" s="9">
        <v>45607</v>
      </c>
      <c r="H4346" s="9">
        <v>45013</v>
      </c>
      <c r="I4346">
        <v>2</v>
      </c>
      <c r="J4346" t="s">
        <v>26</v>
      </c>
      <c r="K4346">
        <v>8</v>
      </c>
      <c r="L4346">
        <v>0</v>
      </c>
      <c r="M4346" s="11">
        <v>18180.91</v>
      </c>
      <c r="N4346" s="12">
        <v>5924.77</v>
      </c>
      <c r="O4346" s="12">
        <v>18157.32</v>
      </c>
    </row>
    <row r="4347" spans="1:15">
      <c r="A4347" t="s">
        <v>4521</v>
      </c>
      <c r="B4347" t="s">
        <v>139</v>
      </c>
      <c r="C4347" s="9">
        <v>33969</v>
      </c>
      <c r="D4347">
        <v>33</v>
      </c>
      <c r="E4347" t="s">
        <v>17</v>
      </c>
      <c r="F4347" t="s">
        <v>74</v>
      </c>
      <c r="G4347" s="9">
        <v>45390</v>
      </c>
      <c r="H4347" s="9">
        <v>45504</v>
      </c>
      <c r="I4347">
        <v>0</v>
      </c>
      <c r="J4347" t="s">
        <v>32</v>
      </c>
      <c r="K4347">
        <v>4</v>
      </c>
      <c r="L4347">
        <v>5</v>
      </c>
      <c r="M4347" s="11">
        <v>9933.5499999999993</v>
      </c>
      <c r="N4347" s="12">
        <v>2192.35</v>
      </c>
      <c r="O4347" s="12">
        <v>18761.349999999999</v>
      </c>
    </row>
    <row r="4348" spans="1:15">
      <c r="A4348" t="s">
        <v>4522</v>
      </c>
      <c r="B4348" t="s">
        <v>226</v>
      </c>
      <c r="C4348" s="9">
        <v>43100</v>
      </c>
      <c r="D4348">
        <v>8</v>
      </c>
      <c r="E4348" t="s">
        <v>21</v>
      </c>
      <c r="F4348" t="s">
        <v>29</v>
      </c>
      <c r="G4348" s="9">
        <v>45571</v>
      </c>
      <c r="H4348" s="9">
        <v>45016</v>
      </c>
      <c r="I4348">
        <v>21</v>
      </c>
      <c r="J4348" t="s">
        <v>32</v>
      </c>
      <c r="K4348">
        <v>14</v>
      </c>
      <c r="L4348">
        <v>7</v>
      </c>
      <c r="M4348" s="11">
        <v>24610.65</v>
      </c>
      <c r="N4348" s="12">
        <v>12106.85</v>
      </c>
      <c r="O4348" s="12">
        <v>15312.47</v>
      </c>
    </row>
    <row r="4349" spans="1:15">
      <c r="A4349" t="s">
        <v>4523</v>
      </c>
      <c r="B4349" t="s">
        <v>356</v>
      </c>
      <c r="C4349" s="9">
        <v>16802</v>
      </c>
      <c r="D4349">
        <v>80</v>
      </c>
      <c r="E4349" t="s">
        <v>17</v>
      </c>
      <c r="F4349" t="s">
        <v>18</v>
      </c>
      <c r="G4349" s="9">
        <v>45325</v>
      </c>
      <c r="H4349" s="9">
        <v>44981</v>
      </c>
      <c r="I4349">
        <v>26</v>
      </c>
      <c r="J4349" t="s">
        <v>26</v>
      </c>
      <c r="K4349">
        <v>8</v>
      </c>
      <c r="L4349">
        <v>5</v>
      </c>
      <c r="M4349" s="11">
        <v>2704.29</v>
      </c>
      <c r="N4349" s="12">
        <v>7502.02</v>
      </c>
      <c r="O4349" s="12">
        <v>4362.71</v>
      </c>
    </row>
    <row r="4350" spans="1:15">
      <c r="A4350" t="s">
        <v>4524</v>
      </c>
      <c r="B4350" t="s">
        <v>619</v>
      </c>
      <c r="C4350" s="9">
        <v>42370</v>
      </c>
      <c r="D4350">
        <f ca="1">DATEDIF(C4301,TODAY(),"Y")</f>
        <v>69</v>
      </c>
      <c r="E4350" t="s">
        <v>17</v>
      </c>
      <c r="F4350" t="s">
        <v>25</v>
      </c>
      <c r="G4350" s="9">
        <v>45331</v>
      </c>
      <c r="H4350" s="9">
        <v>45557</v>
      </c>
      <c r="I4350">
        <v>12</v>
      </c>
      <c r="J4350" t="s">
        <v>35</v>
      </c>
      <c r="K4350">
        <v>13</v>
      </c>
      <c r="L4350">
        <v>3</v>
      </c>
      <c r="M4350" s="11">
        <v>0</v>
      </c>
      <c r="N4350" s="12">
        <v>1635.9</v>
      </c>
      <c r="O4350" s="12">
        <v>3356.91</v>
      </c>
    </row>
    <row r="4351" spans="1:15">
      <c r="A4351" t="s">
        <v>4525</v>
      </c>
      <c r="B4351" t="s">
        <v>73</v>
      </c>
      <c r="C4351" s="9">
        <f t="shared" ref="C4351:C4352" si="23">DATE(2026-D4311,1,1)</f>
        <v>27760</v>
      </c>
      <c r="D4351">
        <v>9</v>
      </c>
      <c r="E4351" t="s">
        <v>21</v>
      </c>
      <c r="F4351" t="s">
        <v>18</v>
      </c>
      <c r="G4351" s="9">
        <v>45058</v>
      </c>
      <c r="H4351" s="9">
        <v>45288</v>
      </c>
      <c r="I4351">
        <v>1</v>
      </c>
      <c r="J4351" t="s">
        <v>32</v>
      </c>
      <c r="K4351">
        <v>3</v>
      </c>
      <c r="L4351">
        <v>7</v>
      </c>
      <c r="M4351" s="11">
        <v>11826.87</v>
      </c>
      <c r="N4351" s="12">
        <v>1480.8</v>
      </c>
      <c r="O4351" s="12">
        <v>14935.06</v>
      </c>
    </row>
    <row r="4352" spans="1:15">
      <c r="A4352" t="s">
        <v>4526</v>
      </c>
      <c r="B4352" t="s">
        <v>341</v>
      </c>
      <c r="C4352" s="9">
        <f t="shared" si="23"/>
        <v>14977</v>
      </c>
      <c r="D4352">
        <v>85</v>
      </c>
      <c r="E4352" t="s">
        <v>17</v>
      </c>
      <c r="F4352" t="s">
        <v>74</v>
      </c>
      <c r="G4352" s="9">
        <v>45123</v>
      </c>
      <c r="H4352" s="9">
        <v>45403</v>
      </c>
      <c r="I4352">
        <v>2</v>
      </c>
      <c r="J4352" t="s">
        <v>32</v>
      </c>
      <c r="K4352">
        <v>2</v>
      </c>
      <c r="L4352">
        <v>7</v>
      </c>
      <c r="M4352" s="11">
        <v>20918.419999999998</v>
      </c>
      <c r="N4352" s="12">
        <v>6689.47</v>
      </c>
      <c r="O4352" s="12">
        <v>12658.97</v>
      </c>
    </row>
    <row r="4353" spans="1:15">
      <c r="A4353" t="s">
        <v>4527</v>
      </c>
      <c r="B4353" t="s">
        <v>73</v>
      </c>
      <c r="C4353" s="9">
        <v>40178</v>
      </c>
      <c r="D4353">
        <v>16</v>
      </c>
      <c r="E4353" t="s">
        <v>21</v>
      </c>
      <c r="F4353" t="s">
        <v>74</v>
      </c>
      <c r="G4353" s="9">
        <v>45573</v>
      </c>
      <c r="H4353" s="9">
        <v>45156</v>
      </c>
      <c r="I4353">
        <v>12</v>
      </c>
      <c r="J4353" t="s">
        <v>32</v>
      </c>
      <c r="K4353">
        <v>8</v>
      </c>
      <c r="L4353">
        <v>5</v>
      </c>
      <c r="M4353" s="11">
        <v>20672.66</v>
      </c>
      <c r="N4353" s="12">
        <v>1752.55</v>
      </c>
      <c r="O4353" s="12">
        <v>17428.740000000002</v>
      </c>
    </row>
    <row r="4354" spans="1:15">
      <c r="A4354" t="s">
        <v>4528</v>
      </c>
      <c r="B4354" t="s">
        <v>53</v>
      </c>
      <c r="C4354" s="9">
        <v>21551</v>
      </c>
      <c r="D4354">
        <v>67</v>
      </c>
      <c r="E4354" t="s">
        <v>17</v>
      </c>
      <c r="F4354" t="s">
        <v>74</v>
      </c>
      <c r="G4354" s="9">
        <v>44961</v>
      </c>
      <c r="H4354" s="9">
        <v>45706</v>
      </c>
      <c r="I4354">
        <v>21</v>
      </c>
      <c r="J4354" t="s">
        <v>32</v>
      </c>
      <c r="K4354">
        <v>9</v>
      </c>
      <c r="L4354">
        <v>7</v>
      </c>
      <c r="M4354" s="11">
        <v>10678.97</v>
      </c>
      <c r="N4354" s="12">
        <v>8417.94</v>
      </c>
      <c r="O4354" s="12">
        <v>5463.91</v>
      </c>
    </row>
    <row r="4355" spans="1:15">
      <c r="A4355" t="s">
        <v>4529</v>
      </c>
      <c r="B4355" t="s">
        <v>89</v>
      </c>
      <c r="C4355" s="9">
        <v>28856</v>
      </c>
      <c r="D4355">
        <v>47</v>
      </c>
      <c r="E4355" t="s">
        <v>21</v>
      </c>
      <c r="F4355" t="s">
        <v>18</v>
      </c>
      <c r="G4355" s="9">
        <v>45346</v>
      </c>
      <c r="H4355" s="9">
        <v>45758</v>
      </c>
      <c r="I4355">
        <v>28</v>
      </c>
      <c r="J4355" t="s">
        <v>26</v>
      </c>
      <c r="K4355">
        <v>3</v>
      </c>
      <c r="L4355">
        <v>5</v>
      </c>
      <c r="M4355" s="11">
        <v>20746.54</v>
      </c>
      <c r="N4355" s="12">
        <v>5775.23</v>
      </c>
      <c r="O4355" s="12">
        <v>5836.68</v>
      </c>
    </row>
    <row r="4356" spans="1:15">
      <c r="A4356" t="s">
        <v>4530</v>
      </c>
      <c r="B4356" t="s">
        <v>69</v>
      </c>
      <c r="C4356" s="9">
        <v>27395</v>
      </c>
      <c r="D4356">
        <v>51</v>
      </c>
      <c r="E4356" t="s">
        <v>21</v>
      </c>
      <c r="F4356" t="s">
        <v>25</v>
      </c>
      <c r="G4356" s="9">
        <v>45303</v>
      </c>
      <c r="H4356" s="9">
        <v>45461</v>
      </c>
      <c r="I4356">
        <v>17</v>
      </c>
      <c r="J4356" t="s">
        <v>32</v>
      </c>
      <c r="K4356">
        <v>7</v>
      </c>
      <c r="L4356">
        <v>3</v>
      </c>
      <c r="M4356" s="11">
        <v>1347.87</v>
      </c>
      <c r="N4356" s="12">
        <v>13795.12</v>
      </c>
      <c r="O4356" s="12">
        <v>14605.99</v>
      </c>
    </row>
    <row r="4357" spans="1:15">
      <c r="A4357" t="s">
        <v>4531</v>
      </c>
      <c r="B4357" t="s">
        <v>137</v>
      </c>
      <c r="C4357" s="9">
        <v>37256</v>
      </c>
      <c r="D4357">
        <v>24</v>
      </c>
      <c r="E4357" t="s">
        <v>21</v>
      </c>
      <c r="F4357" t="s">
        <v>25</v>
      </c>
      <c r="G4357" s="9">
        <v>45325</v>
      </c>
      <c r="H4357" s="9">
        <v>45686</v>
      </c>
      <c r="I4357">
        <v>7</v>
      </c>
      <c r="J4357" t="s">
        <v>35</v>
      </c>
      <c r="K4357">
        <v>10</v>
      </c>
      <c r="L4357">
        <v>5</v>
      </c>
      <c r="M4357" s="11">
        <v>8345.67</v>
      </c>
      <c r="N4357" s="12">
        <v>6283.65</v>
      </c>
      <c r="O4357" s="12">
        <v>5284.16</v>
      </c>
    </row>
    <row r="4358" spans="1:15">
      <c r="A4358" t="s">
        <v>4532</v>
      </c>
      <c r="B4358" t="s">
        <v>110</v>
      </c>
      <c r="C4358" s="9">
        <v>38717</v>
      </c>
      <c r="D4358">
        <v>20</v>
      </c>
      <c r="E4358" t="s">
        <v>21</v>
      </c>
      <c r="F4358" t="s">
        <v>29</v>
      </c>
      <c r="G4358" s="9">
        <v>45146</v>
      </c>
      <c r="H4358" s="9">
        <v>45300</v>
      </c>
      <c r="I4358">
        <v>8</v>
      </c>
      <c r="J4358" t="s">
        <v>35</v>
      </c>
      <c r="K4358">
        <v>11</v>
      </c>
      <c r="L4358">
        <v>8</v>
      </c>
      <c r="M4358" s="11">
        <v>20660.09</v>
      </c>
      <c r="N4358" s="12">
        <v>9216.4500000000007</v>
      </c>
      <c r="O4358" s="12">
        <v>9193.7800000000007</v>
      </c>
    </row>
    <row r="4359" spans="1:15">
      <c r="A4359" t="s">
        <v>4533</v>
      </c>
      <c r="B4359" t="s">
        <v>774</v>
      </c>
      <c r="C4359" s="9">
        <v>22646</v>
      </c>
      <c r="D4359">
        <v>64</v>
      </c>
      <c r="E4359" t="s">
        <v>17</v>
      </c>
      <c r="F4359" t="s">
        <v>18</v>
      </c>
      <c r="G4359" s="9">
        <v>45623</v>
      </c>
      <c r="H4359" s="9">
        <v>45396</v>
      </c>
      <c r="I4359">
        <v>15</v>
      </c>
      <c r="J4359" t="s">
        <v>26</v>
      </c>
      <c r="K4359">
        <v>0</v>
      </c>
      <c r="L4359">
        <v>7</v>
      </c>
      <c r="M4359" s="11">
        <v>5113.26</v>
      </c>
      <c r="N4359" s="12">
        <v>12170.31</v>
      </c>
      <c r="O4359" s="12">
        <v>10354.86</v>
      </c>
    </row>
    <row r="4360" spans="1:15">
      <c r="A4360" t="s">
        <v>4534</v>
      </c>
      <c r="B4360" t="s">
        <v>166</v>
      </c>
      <c r="C4360" s="9">
        <v>23377</v>
      </c>
      <c r="D4360">
        <v>62</v>
      </c>
      <c r="E4360" t="s">
        <v>21</v>
      </c>
      <c r="F4360" t="s">
        <v>29</v>
      </c>
      <c r="G4360" s="9">
        <v>45443</v>
      </c>
      <c r="H4360" s="9">
        <v>45347</v>
      </c>
      <c r="I4360">
        <v>31</v>
      </c>
      <c r="J4360" t="s">
        <v>32</v>
      </c>
      <c r="K4360">
        <v>4</v>
      </c>
      <c r="L4360">
        <v>6</v>
      </c>
      <c r="M4360" s="11">
        <v>5987.72</v>
      </c>
      <c r="N4360" s="12">
        <v>4543.1400000000003</v>
      </c>
      <c r="O4360" s="12">
        <v>13350.61</v>
      </c>
    </row>
    <row r="4361" spans="1:15">
      <c r="A4361" t="s">
        <v>4535</v>
      </c>
      <c r="B4361" t="s">
        <v>326</v>
      </c>
      <c r="C4361" s="9">
        <v>13880</v>
      </c>
      <c r="D4361">
        <v>88</v>
      </c>
      <c r="E4361" t="s">
        <v>21</v>
      </c>
      <c r="F4361" t="s">
        <v>22</v>
      </c>
      <c r="G4361" s="9">
        <v>45509</v>
      </c>
      <c r="H4361" s="9">
        <v>45753</v>
      </c>
      <c r="I4361">
        <v>25</v>
      </c>
      <c r="J4361" t="s">
        <v>35</v>
      </c>
      <c r="K4361">
        <v>13</v>
      </c>
      <c r="L4361">
        <v>4</v>
      </c>
      <c r="M4361" s="11">
        <v>2149.92</v>
      </c>
      <c r="N4361" s="12">
        <v>7678.33</v>
      </c>
      <c r="O4361" s="12">
        <v>6822.11</v>
      </c>
    </row>
    <row r="4362" spans="1:15">
      <c r="A4362" t="s">
        <v>4536</v>
      </c>
      <c r="B4362" t="s">
        <v>444</v>
      </c>
      <c r="C4362" s="9">
        <v>27760</v>
      </c>
      <c r="D4362">
        <v>50</v>
      </c>
      <c r="E4362" t="s">
        <v>17</v>
      </c>
      <c r="F4362" t="s">
        <v>29</v>
      </c>
      <c r="G4362" s="9">
        <v>45268</v>
      </c>
      <c r="H4362" s="9">
        <v>45459</v>
      </c>
      <c r="I4362">
        <v>35</v>
      </c>
      <c r="J4362" t="s">
        <v>32</v>
      </c>
      <c r="K4362">
        <v>9</v>
      </c>
      <c r="L4362">
        <v>6</v>
      </c>
      <c r="M4362" s="11">
        <v>10616.37</v>
      </c>
      <c r="N4362" s="12">
        <v>1814.1</v>
      </c>
      <c r="O4362" s="12">
        <v>17152.57</v>
      </c>
    </row>
    <row r="4363" spans="1:15">
      <c r="A4363" t="s">
        <v>4537</v>
      </c>
      <c r="B4363" t="s">
        <v>65</v>
      </c>
      <c r="C4363" s="9">
        <v>33239</v>
      </c>
      <c r="D4363">
        <v>35</v>
      </c>
      <c r="E4363" t="s">
        <v>17</v>
      </c>
      <c r="F4363" t="s">
        <v>29</v>
      </c>
      <c r="G4363" s="9">
        <v>45342</v>
      </c>
      <c r="H4363" s="9">
        <v>45327</v>
      </c>
      <c r="I4363">
        <v>13</v>
      </c>
      <c r="J4363" t="s">
        <v>32</v>
      </c>
      <c r="K4363">
        <v>7</v>
      </c>
      <c r="L4363">
        <v>0</v>
      </c>
      <c r="M4363" s="11">
        <v>24660.28</v>
      </c>
      <c r="N4363" s="12">
        <v>6491.54</v>
      </c>
      <c r="O4363" s="12">
        <v>7986.81</v>
      </c>
    </row>
    <row r="4364" spans="1:15">
      <c r="A4364" t="s">
        <v>4538</v>
      </c>
      <c r="B4364" t="s">
        <v>82</v>
      </c>
      <c r="C4364" s="9">
        <v>16802</v>
      </c>
      <c r="D4364">
        <v>80</v>
      </c>
      <c r="E4364" t="s">
        <v>17</v>
      </c>
      <c r="F4364" t="s">
        <v>29</v>
      </c>
      <c r="G4364" s="9">
        <v>45382</v>
      </c>
      <c r="H4364" s="9">
        <v>45111</v>
      </c>
      <c r="I4364">
        <v>21</v>
      </c>
      <c r="J4364" t="s">
        <v>26</v>
      </c>
      <c r="K4364">
        <v>10</v>
      </c>
      <c r="L4364">
        <v>7</v>
      </c>
      <c r="M4364" s="11">
        <v>25008.95</v>
      </c>
      <c r="N4364" s="12">
        <v>5637.32</v>
      </c>
      <c r="O4364" s="12">
        <v>731.6</v>
      </c>
    </row>
    <row r="4365" spans="1:15">
      <c r="A4365" t="s">
        <v>4539</v>
      </c>
      <c r="B4365" t="s">
        <v>412</v>
      </c>
      <c r="C4365" s="9">
        <v>14246</v>
      </c>
      <c r="D4365">
        <v>87</v>
      </c>
      <c r="E4365" t="s">
        <v>17</v>
      </c>
      <c r="F4365" t="s">
        <v>74</v>
      </c>
      <c r="G4365" s="9">
        <v>45223</v>
      </c>
      <c r="H4365" s="9">
        <v>45788</v>
      </c>
      <c r="I4365">
        <v>36</v>
      </c>
      <c r="J4365" t="s">
        <v>32</v>
      </c>
      <c r="K4365">
        <v>8</v>
      </c>
      <c r="L4365">
        <v>4</v>
      </c>
      <c r="M4365" s="11">
        <v>25802.06</v>
      </c>
      <c r="N4365" s="12">
        <v>6422.84</v>
      </c>
      <c r="O4365" s="12">
        <v>1246.74</v>
      </c>
    </row>
    <row r="4366" spans="1:15">
      <c r="A4366" t="s">
        <v>4540</v>
      </c>
      <c r="B4366" t="s">
        <v>48</v>
      </c>
      <c r="C4366" s="9">
        <v>22281</v>
      </c>
      <c r="D4366">
        <f ca="1">DATEDIF(C4317,TODAY(),"Y")</f>
        <v>37</v>
      </c>
      <c r="E4366" t="s">
        <v>17</v>
      </c>
      <c r="F4366" t="s">
        <v>22</v>
      </c>
      <c r="G4366" s="9">
        <v>45257</v>
      </c>
      <c r="H4366" s="9">
        <v>45489</v>
      </c>
      <c r="I4366">
        <v>9</v>
      </c>
      <c r="J4366" t="s">
        <v>32</v>
      </c>
      <c r="K4366">
        <v>11</v>
      </c>
      <c r="L4366">
        <v>6</v>
      </c>
      <c r="M4366" s="11">
        <v>0</v>
      </c>
      <c r="N4366" s="12">
        <v>1611.15</v>
      </c>
      <c r="O4366" s="12">
        <v>19428.62</v>
      </c>
    </row>
    <row r="4367" spans="1:15">
      <c r="A4367" t="s">
        <v>4541</v>
      </c>
      <c r="B4367" t="s">
        <v>151</v>
      </c>
      <c r="C4367" s="9">
        <v>40909</v>
      </c>
      <c r="D4367">
        <v>14</v>
      </c>
      <c r="E4367" t="s">
        <v>21</v>
      </c>
      <c r="F4367" t="s">
        <v>5184</v>
      </c>
      <c r="G4367" s="9">
        <v>45631</v>
      </c>
      <c r="H4367" s="9">
        <v>45017</v>
      </c>
      <c r="I4367">
        <v>39</v>
      </c>
      <c r="J4367" t="s">
        <v>32</v>
      </c>
      <c r="K4367">
        <v>14</v>
      </c>
      <c r="L4367">
        <v>6</v>
      </c>
      <c r="M4367" s="11">
        <v>29801.41</v>
      </c>
      <c r="N4367" s="12">
        <v>5976.01</v>
      </c>
      <c r="O4367" s="12">
        <v>12403.06</v>
      </c>
    </row>
    <row r="4368" spans="1:15">
      <c r="A4368" t="s">
        <v>4542</v>
      </c>
      <c r="B4368" t="s">
        <v>71</v>
      </c>
      <c r="C4368" s="9">
        <v>32143</v>
      </c>
      <c r="D4368">
        <v>38</v>
      </c>
      <c r="E4368" t="s">
        <v>21</v>
      </c>
      <c r="F4368" t="s">
        <v>29</v>
      </c>
      <c r="G4368" s="9">
        <v>45606</v>
      </c>
      <c r="H4368" s="9">
        <v>45543</v>
      </c>
      <c r="I4368">
        <v>4</v>
      </c>
      <c r="J4368" t="s">
        <v>32</v>
      </c>
      <c r="K4368">
        <v>3</v>
      </c>
      <c r="L4368">
        <v>7</v>
      </c>
      <c r="M4368" s="11">
        <v>14830.56</v>
      </c>
      <c r="N4368" s="12">
        <v>13054</v>
      </c>
      <c r="O4368" s="12">
        <v>9767.65</v>
      </c>
    </row>
    <row r="4369" spans="1:15">
      <c r="A4369" t="s">
        <v>4543</v>
      </c>
      <c r="B4369" t="s">
        <v>108</v>
      </c>
      <c r="C4369" s="9">
        <v>20820</v>
      </c>
      <c r="D4369">
        <v>69</v>
      </c>
      <c r="E4369" t="s">
        <v>5185</v>
      </c>
      <c r="F4369" t="s">
        <v>25</v>
      </c>
      <c r="G4369" s="9">
        <v>45265</v>
      </c>
      <c r="H4369" s="9">
        <v>45633</v>
      </c>
      <c r="I4369">
        <v>33</v>
      </c>
      <c r="J4369" t="s">
        <v>32</v>
      </c>
      <c r="K4369">
        <v>10</v>
      </c>
      <c r="L4369">
        <v>6</v>
      </c>
      <c r="M4369" s="11">
        <v>26118.17</v>
      </c>
      <c r="N4369" s="12">
        <v>14055.83</v>
      </c>
      <c r="O4369" s="12">
        <v>17380.580000000002</v>
      </c>
    </row>
    <row r="4370" spans="1:15">
      <c r="A4370" t="s">
        <v>4544</v>
      </c>
      <c r="B4370" t="s">
        <v>286</v>
      </c>
      <c r="C4370" s="9">
        <v>46022</v>
      </c>
      <c r="D4370">
        <v>0</v>
      </c>
      <c r="E4370" t="s">
        <v>21</v>
      </c>
      <c r="F4370" t="s">
        <v>29</v>
      </c>
      <c r="G4370" s="9">
        <v>45224</v>
      </c>
      <c r="H4370" s="9">
        <v>45310</v>
      </c>
      <c r="I4370">
        <v>14</v>
      </c>
      <c r="J4370" t="s">
        <v>35</v>
      </c>
      <c r="K4370">
        <v>9</v>
      </c>
      <c r="L4370">
        <v>5</v>
      </c>
      <c r="M4370" s="11">
        <v>27106</v>
      </c>
      <c r="N4370" s="12">
        <v>3625.91</v>
      </c>
      <c r="O4370" s="12">
        <v>14309.38</v>
      </c>
    </row>
    <row r="4371" spans="1:15">
      <c r="A4371" t="s">
        <v>4545</v>
      </c>
      <c r="B4371" t="s">
        <v>73</v>
      </c>
      <c r="C4371" s="9">
        <v>37987</v>
      </c>
      <c r="D4371">
        <v>22</v>
      </c>
      <c r="E4371" t="s">
        <v>21</v>
      </c>
      <c r="F4371" t="s">
        <v>74</v>
      </c>
      <c r="G4371" s="9">
        <v>45603</v>
      </c>
      <c r="H4371" s="9">
        <v>45296</v>
      </c>
      <c r="I4371">
        <v>1</v>
      </c>
      <c r="J4371" t="s">
        <v>32</v>
      </c>
      <c r="K4371">
        <v>4</v>
      </c>
      <c r="L4371">
        <v>5</v>
      </c>
      <c r="M4371" s="11">
        <v>15192.2</v>
      </c>
      <c r="N4371" s="12">
        <v>4507.5200000000004</v>
      </c>
      <c r="O4371" s="12">
        <v>3545.98</v>
      </c>
    </row>
    <row r="4372" spans="1:15">
      <c r="A4372" t="s">
        <v>4546</v>
      </c>
      <c r="B4372" t="s">
        <v>123</v>
      </c>
      <c r="C4372" s="9">
        <v>32143</v>
      </c>
      <c r="D4372">
        <v>38</v>
      </c>
      <c r="E4372" t="s">
        <v>21</v>
      </c>
      <c r="F4372" t="s">
        <v>49</v>
      </c>
      <c r="G4372" s="9">
        <v>45238</v>
      </c>
      <c r="H4372" s="9">
        <v>45001</v>
      </c>
      <c r="I4372">
        <v>34</v>
      </c>
      <c r="J4372" t="s">
        <v>32</v>
      </c>
      <c r="K4372">
        <v>13</v>
      </c>
      <c r="L4372">
        <v>4</v>
      </c>
      <c r="M4372" s="11">
        <v>1058.24</v>
      </c>
      <c r="N4372" s="12">
        <v>143.35</v>
      </c>
      <c r="O4372" s="12">
        <v>46.58</v>
      </c>
    </row>
    <row r="4373" spans="1:15">
      <c r="A4373" t="s">
        <v>4547</v>
      </c>
      <c r="B4373" t="s">
        <v>44</v>
      </c>
      <c r="C4373" s="9">
        <v>25568</v>
      </c>
      <c r="D4373">
        <v>56</v>
      </c>
      <c r="E4373" t="s">
        <v>21</v>
      </c>
      <c r="F4373" t="s">
        <v>5184</v>
      </c>
      <c r="G4373" s="9">
        <v>45509</v>
      </c>
      <c r="H4373" s="9">
        <v>45196</v>
      </c>
      <c r="I4373">
        <v>30</v>
      </c>
      <c r="J4373" t="s">
        <v>26</v>
      </c>
      <c r="K4373">
        <v>8</v>
      </c>
      <c r="L4373">
        <v>4</v>
      </c>
      <c r="M4373" s="11">
        <v>17722.830000000002</v>
      </c>
      <c r="N4373" s="12">
        <v>1733.71</v>
      </c>
      <c r="O4373" s="12">
        <v>19640.82</v>
      </c>
    </row>
    <row r="4374" spans="1:15">
      <c r="A4374" t="s">
        <v>4548</v>
      </c>
      <c r="B4374" t="s">
        <v>105</v>
      </c>
      <c r="C4374" s="9">
        <v>16802</v>
      </c>
      <c r="D4374">
        <v>80</v>
      </c>
      <c r="E4374" t="s">
        <v>17</v>
      </c>
      <c r="F4374" t="s">
        <v>22</v>
      </c>
      <c r="G4374" s="9">
        <v>44981</v>
      </c>
      <c r="H4374" s="9">
        <v>44942</v>
      </c>
      <c r="I4374">
        <v>16</v>
      </c>
      <c r="J4374" t="s">
        <v>26</v>
      </c>
      <c r="K4374">
        <v>10</v>
      </c>
      <c r="L4374">
        <v>3</v>
      </c>
      <c r="M4374" s="11">
        <v>9689.85</v>
      </c>
      <c r="N4374" s="12">
        <v>5176.79</v>
      </c>
      <c r="O4374" s="12">
        <v>12547.24</v>
      </c>
    </row>
    <row r="4375" spans="1:15">
      <c r="A4375" t="s">
        <v>4549</v>
      </c>
      <c r="B4375" t="s">
        <v>215</v>
      </c>
      <c r="C4375" s="9">
        <v>33969</v>
      </c>
      <c r="D4375">
        <v>33</v>
      </c>
      <c r="E4375" t="s">
        <v>17</v>
      </c>
      <c r="F4375" t="s">
        <v>49</v>
      </c>
      <c r="G4375" s="9">
        <v>45620</v>
      </c>
      <c r="H4375" s="9">
        <v>45256</v>
      </c>
      <c r="I4375">
        <v>23</v>
      </c>
      <c r="J4375" t="s">
        <v>32</v>
      </c>
      <c r="K4375">
        <v>2</v>
      </c>
      <c r="L4375">
        <v>6</v>
      </c>
      <c r="M4375" s="11">
        <v>5806.38</v>
      </c>
      <c r="N4375" s="12">
        <v>10276.629999999999</v>
      </c>
      <c r="O4375" s="12">
        <v>9489.19</v>
      </c>
    </row>
    <row r="4376" spans="1:15">
      <c r="A4376" t="s">
        <v>4550</v>
      </c>
      <c r="B4376" t="s">
        <v>149</v>
      </c>
      <c r="C4376" s="9">
        <v>31412</v>
      </c>
      <c r="D4376">
        <v>40</v>
      </c>
      <c r="E4376" t="s">
        <v>5185</v>
      </c>
      <c r="F4376" t="s">
        <v>49</v>
      </c>
      <c r="G4376" s="9">
        <v>45460</v>
      </c>
      <c r="H4376" s="9">
        <v>45722</v>
      </c>
      <c r="I4376">
        <v>8</v>
      </c>
      <c r="J4376" t="s">
        <v>35</v>
      </c>
      <c r="K4376">
        <v>3</v>
      </c>
      <c r="L4376">
        <v>2</v>
      </c>
      <c r="M4376" s="11">
        <v>5066.28</v>
      </c>
      <c r="N4376" s="12">
        <v>4383.0600000000004</v>
      </c>
      <c r="O4376" s="12">
        <v>18887.59</v>
      </c>
    </row>
    <row r="4377" spans="1:15">
      <c r="A4377" t="s">
        <v>4551</v>
      </c>
      <c r="B4377" t="s">
        <v>194</v>
      </c>
      <c r="C4377" s="9">
        <f>DATE(2026-D4337,1,1)</f>
        <v>26665</v>
      </c>
      <c r="D4377">
        <v>92</v>
      </c>
      <c r="E4377" t="s">
        <v>17</v>
      </c>
      <c r="F4377" t="s">
        <v>22</v>
      </c>
      <c r="G4377" s="9">
        <v>45031</v>
      </c>
      <c r="H4377" s="9">
        <v>45319</v>
      </c>
      <c r="I4377">
        <v>28</v>
      </c>
      <c r="J4377" t="s">
        <v>35</v>
      </c>
      <c r="K4377">
        <v>6</v>
      </c>
      <c r="L4377">
        <v>4</v>
      </c>
      <c r="M4377" s="11">
        <v>16557.560000000001</v>
      </c>
      <c r="N4377" s="12">
        <v>1130.96</v>
      </c>
      <c r="O4377" s="12">
        <v>7321.07</v>
      </c>
    </row>
    <row r="4378" spans="1:15">
      <c r="A4378" t="s">
        <v>4552</v>
      </c>
      <c r="B4378" t="s">
        <v>422</v>
      </c>
      <c r="C4378" s="9">
        <v>19724</v>
      </c>
      <c r="D4378">
        <v>72</v>
      </c>
      <c r="E4378" t="s">
        <v>21</v>
      </c>
      <c r="F4378" t="s">
        <v>18</v>
      </c>
      <c r="G4378" s="9">
        <v>45101</v>
      </c>
      <c r="H4378" s="9">
        <v>45637</v>
      </c>
      <c r="I4378">
        <v>2</v>
      </c>
      <c r="J4378" t="s">
        <v>32</v>
      </c>
      <c r="K4378">
        <v>10</v>
      </c>
      <c r="L4378">
        <v>2</v>
      </c>
      <c r="M4378" s="11">
        <v>2686.48</v>
      </c>
      <c r="N4378" s="12">
        <v>10963.02</v>
      </c>
      <c r="O4378" s="12">
        <v>14423.31</v>
      </c>
    </row>
    <row r="4379" spans="1:15">
      <c r="A4379" t="s">
        <v>4553</v>
      </c>
      <c r="B4379" t="s">
        <v>309</v>
      </c>
      <c r="C4379" s="9">
        <v>41639</v>
      </c>
      <c r="D4379">
        <v>12</v>
      </c>
      <c r="E4379" t="s">
        <v>21</v>
      </c>
      <c r="F4379" t="s">
        <v>5184</v>
      </c>
      <c r="G4379" s="9">
        <v>45220</v>
      </c>
      <c r="H4379" s="9">
        <v>45361</v>
      </c>
      <c r="I4379">
        <v>37</v>
      </c>
      <c r="J4379" t="s">
        <v>26</v>
      </c>
      <c r="K4379">
        <v>1</v>
      </c>
      <c r="L4379">
        <v>7</v>
      </c>
      <c r="M4379" s="11">
        <v>24560.16</v>
      </c>
      <c r="N4379" s="12">
        <v>7001.48</v>
      </c>
      <c r="O4379" s="12">
        <v>13369.3</v>
      </c>
    </row>
    <row r="4380" spans="1:15">
      <c r="A4380" t="s">
        <v>4554</v>
      </c>
      <c r="B4380" t="s">
        <v>278</v>
      </c>
      <c r="C4380" s="9">
        <v>20820</v>
      </c>
      <c r="D4380">
        <v>69</v>
      </c>
      <c r="E4380" t="s">
        <v>5185</v>
      </c>
      <c r="F4380" t="s">
        <v>5184</v>
      </c>
      <c r="G4380" s="9">
        <v>45477</v>
      </c>
      <c r="H4380" s="9">
        <v>45271</v>
      </c>
      <c r="I4380">
        <v>33</v>
      </c>
      <c r="J4380" t="s">
        <v>26</v>
      </c>
      <c r="K4380">
        <v>1</v>
      </c>
      <c r="L4380">
        <v>4</v>
      </c>
      <c r="M4380" s="11">
        <v>6432.45</v>
      </c>
      <c r="N4380" s="12">
        <v>7787.96</v>
      </c>
      <c r="O4380" s="12">
        <v>13508.13</v>
      </c>
    </row>
    <row r="4381" spans="1:15">
      <c r="A4381" t="s">
        <v>4555</v>
      </c>
      <c r="B4381" t="s">
        <v>127</v>
      </c>
      <c r="C4381" s="9">
        <v>44196</v>
      </c>
      <c r="D4381">
        <v>5</v>
      </c>
      <c r="E4381" t="s">
        <v>21</v>
      </c>
      <c r="F4381" t="s">
        <v>25</v>
      </c>
      <c r="G4381" s="9">
        <v>45301</v>
      </c>
      <c r="H4381" s="9">
        <v>45122</v>
      </c>
      <c r="I4381">
        <v>26</v>
      </c>
      <c r="J4381" t="s">
        <v>26</v>
      </c>
      <c r="K4381">
        <v>8</v>
      </c>
      <c r="L4381">
        <v>9</v>
      </c>
      <c r="M4381" s="11">
        <v>16253.37</v>
      </c>
      <c r="N4381" s="12">
        <v>4890.38</v>
      </c>
      <c r="O4381" s="12">
        <v>13510.37</v>
      </c>
    </row>
    <row r="4382" spans="1:15">
      <c r="A4382" t="s">
        <v>4556</v>
      </c>
      <c r="B4382" t="s">
        <v>53</v>
      </c>
      <c r="C4382" s="9">
        <v>15707</v>
      </c>
      <c r="D4382">
        <v>83</v>
      </c>
      <c r="E4382" t="s">
        <v>21</v>
      </c>
      <c r="F4382" t="s">
        <v>74</v>
      </c>
      <c r="G4382" s="9">
        <v>45376</v>
      </c>
      <c r="H4382" s="9">
        <v>44963</v>
      </c>
      <c r="I4382">
        <v>22</v>
      </c>
      <c r="J4382" t="s">
        <v>32</v>
      </c>
      <c r="K4382">
        <v>2</v>
      </c>
      <c r="L4382">
        <v>5</v>
      </c>
      <c r="M4382" s="11">
        <v>3326.54</v>
      </c>
      <c r="N4382" s="12">
        <v>9195.66</v>
      </c>
      <c r="O4382" s="12">
        <v>109.59</v>
      </c>
    </row>
    <row r="4383" spans="1:15">
      <c r="A4383" t="s">
        <v>4557</v>
      </c>
      <c r="B4383" t="s">
        <v>82</v>
      </c>
      <c r="C4383" s="9">
        <v>27395</v>
      </c>
      <c r="D4383">
        <v>51</v>
      </c>
      <c r="E4383" t="s">
        <v>17</v>
      </c>
      <c r="F4383" t="s">
        <v>22</v>
      </c>
      <c r="G4383" s="9">
        <v>45371</v>
      </c>
      <c r="H4383" s="9">
        <v>45132</v>
      </c>
      <c r="I4383">
        <v>15</v>
      </c>
      <c r="J4383" t="s">
        <v>35</v>
      </c>
      <c r="K4383">
        <v>11</v>
      </c>
      <c r="L4383">
        <v>0</v>
      </c>
      <c r="M4383" s="11">
        <v>25718.69</v>
      </c>
      <c r="N4383" s="12">
        <v>13361.69</v>
      </c>
      <c r="O4383" s="12">
        <v>16468.47</v>
      </c>
    </row>
    <row r="4384" spans="1:15">
      <c r="A4384" t="s">
        <v>4558</v>
      </c>
      <c r="B4384" t="s">
        <v>619</v>
      </c>
      <c r="C4384" s="9">
        <v>45292</v>
      </c>
      <c r="D4384">
        <v>2</v>
      </c>
      <c r="E4384" t="s">
        <v>17</v>
      </c>
      <c r="F4384" t="s">
        <v>49</v>
      </c>
      <c r="G4384" s="9">
        <v>44986</v>
      </c>
      <c r="H4384" s="9">
        <v>45747</v>
      </c>
      <c r="I4384">
        <v>0</v>
      </c>
      <c r="J4384" t="s">
        <v>26</v>
      </c>
      <c r="K4384">
        <v>12</v>
      </c>
      <c r="L4384">
        <v>3</v>
      </c>
      <c r="M4384" s="11">
        <v>20608.669999999998</v>
      </c>
      <c r="N4384" s="12">
        <v>8306.3799999999992</v>
      </c>
      <c r="O4384" s="12">
        <v>18451.37</v>
      </c>
    </row>
    <row r="4385" spans="1:15">
      <c r="A4385" t="s">
        <v>4559</v>
      </c>
      <c r="B4385" t="s">
        <v>163</v>
      </c>
      <c r="C4385" s="9">
        <v>16802</v>
      </c>
      <c r="D4385">
        <f t="shared" ref="D4385:D4386" ca="1" si="24">DATEDIF(C4336,TODAY(),"Y")</f>
        <v>84</v>
      </c>
      <c r="E4385" t="s">
        <v>21</v>
      </c>
      <c r="F4385" t="s">
        <v>74</v>
      </c>
      <c r="G4385" s="9">
        <v>45318</v>
      </c>
      <c r="H4385" s="9">
        <v>45578</v>
      </c>
      <c r="I4385">
        <v>15</v>
      </c>
      <c r="J4385" t="s">
        <v>32</v>
      </c>
      <c r="K4385">
        <v>8</v>
      </c>
      <c r="L4385">
        <v>8</v>
      </c>
      <c r="M4385" s="11">
        <v>5798.92</v>
      </c>
      <c r="N4385" s="12">
        <v>8812.74</v>
      </c>
      <c r="O4385" s="12">
        <v>8931.92</v>
      </c>
    </row>
    <row r="4386" spans="1:15">
      <c r="A4386" t="s">
        <v>4560</v>
      </c>
      <c r="B4386" t="s">
        <v>514</v>
      </c>
      <c r="C4386" s="9">
        <v>23377</v>
      </c>
      <c r="D4386">
        <f t="shared" ca="1" si="24"/>
        <v>40</v>
      </c>
      <c r="E4386" t="s">
        <v>17</v>
      </c>
      <c r="F4386" t="s">
        <v>74</v>
      </c>
      <c r="G4386" s="9">
        <v>45316</v>
      </c>
      <c r="H4386" s="9">
        <v>45703</v>
      </c>
      <c r="I4386">
        <v>4</v>
      </c>
      <c r="J4386" t="s">
        <v>32</v>
      </c>
      <c r="K4386">
        <v>1</v>
      </c>
      <c r="L4386">
        <v>4</v>
      </c>
      <c r="M4386" s="11">
        <v>21330.09</v>
      </c>
      <c r="N4386" s="12">
        <v>5603.44</v>
      </c>
      <c r="O4386" s="12">
        <v>11165.72</v>
      </c>
    </row>
    <row r="4387" spans="1:15">
      <c r="A4387" t="s">
        <v>4561</v>
      </c>
      <c r="B4387" t="s">
        <v>71</v>
      </c>
      <c r="C4387" s="9">
        <v>28490</v>
      </c>
      <c r="D4387">
        <v>48</v>
      </c>
      <c r="E4387" t="s">
        <v>5185</v>
      </c>
      <c r="F4387" t="s">
        <v>18</v>
      </c>
      <c r="G4387" s="9">
        <v>45138</v>
      </c>
      <c r="H4387" s="9">
        <v>44984</v>
      </c>
      <c r="I4387">
        <v>25</v>
      </c>
      <c r="J4387" t="s">
        <v>35</v>
      </c>
      <c r="K4387">
        <v>3</v>
      </c>
      <c r="L4387">
        <v>0</v>
      </c>
      <c r="M4387" s="11">
        <v>2028.45</v>
      </c>
      <c r="N4387" s="12">
        <v>1239.46</v>
      </c>
      <c r="O4387" s="12">
        <v>6426.78</v>
      </c>
    </row>
    <row r="4388" spans="1:15">
      <c r="A4388" t="s">
        <v>4562</v>
      </c>
      <c r="B4388" t="s">
        <v>226</v>
      </c>
      <c r="C4388" s="9">
        <v>18629</v>
      </c>
      <c r="D4388">
        <v>75</v>
      </c>
      <c r="E4388" t="s">
        <v>21</v>
      </c>
      <c r="F4388" t="s">
        <v>49</v>
      </c>
      <c r="G4388" s="9">
        <v>45593</v>
      </c>
      <c r="H4388" s="9">
        <v>45037</v>
      </c>
      <c r="I4388">
        <v>14</v>
      </c>
      <c r="J4388" t="s">
        <v>32</v>
      </c>
      <c r="K4388">
        <v>9</v>
      </c>
      <c r="L4388">
        <v>3</v>
      </c>
      <c r="M4388" s="11">
        <v>23052.61</v>
      </c>
      <c r="N4388" s="12">
        <v>6428.12</v>
      </c>
      <c r="O4388" s="12">
        <v>15679.95</v>
      </c>
    </row>
    <row r="4389" spans="1:15">
      <c r="A4389" t="s">
        <v>4563</v>
      </c>
      <c r="B4389" t="s">
        <v>44</v>
      </c>
      <c r="C4389" s="9">
        <v>29221</v>
      </c>
      <c r="D4389">
        <v>46</v>
      </c>
      <c r="E4389" t="s">
        <v>17</v>
      </c>
      <c r="F4389" t="s">
        <v>29</v>
      </c>
      <c r="G4389" s="9">
        <v>45611</v>
      </c>
      <c r="H4389" s="9">
        <v>45613</v>
      </c>
      <c r="I4389">
        <v>22</v>
      </c>
      <c r="J4389" t="s">
        <v>26</v>
      </c>
      <c r="K4389">
        <v>8</v>
      </c>
      <c r="L4389">
        <v>5</v>
      </c>
      <c r="M4389" s="11">
        <v>14455.58</v>
      </c>
      <c r="N4389" s="12">
        <v>13869.59</v>
      </c>
      <c r="O4389" s="12">
        <v>14705.69</v>
      </c>
    </row>
    <row r="4390" spans="1:15">
      <c r="A4390" t="s">
        <v>4564</v>
      </c>
      <c r="B4390" t="s">
        <v>163</v>
      </c>
      <c r="C4390" s="9">
        <v>26299</v>
      </c>
      <c r="D4390">
        <v>54</v>
      </c>
      <c r="E4390" t="s">
        <v>21</v>
      </c>
      <c r="F4390" t="s">
        <v>74</v>
      </c>
      <c r="G4390" s="9">
        <v>45461</v>
      </c>
      <c r="H4390" s="9">
        <v>45423</v>
      </c>
      <c r="I4390">
        <v>15</v>
      </c>
      <c r="J4390" t="s">
        <v>32</v>
      </c>
      <c r="K4390">
        <v>6</v>
      </c>
      <c r="L4390">
        <v>6</v>
      </c>
      <c r="M4390" s="11">
        <v>3165.6</v>
      </c>
      <c r="N4390" s="12">
        <v>10203.23</v>
      </c>
      <c r="O4390" s="12">
        <v>14743.87</v>
      </c>
    </row>
    <row r="4391" spans="1:15">
      <c r="A4391" t="s">
        <v>4565</v>
      </c>
      <c r="B4391" t="s">
        <v>196</v>
      </c>
      <c r="C4391" s="9">
        <v>23012</v>
      </c>
      <c r="D4391">
        <v>63</v>
      </c>
      <c r="E4391" t="s">
        <v>17</v>
      </c>
      <c r="F4391" t="s">
        <v>49</v>
      </c>
      <c r="G4391" s="9">
        <v>45166</v>
      </c>
      <c r="H4391" s="9">
        <v>45645</v>
      </c>
      <c r="I4391">
        <v>37</v>
      </c>
      <c r="J4391" t="s">
        <v>35</v>
      </c>
      <c r="K4391">
        <v>1</v>
      </c>
      <c r="L4391">
        <v>6</v>
      </c>
      <c r="M4391" s="11">
        <v>16289.59</v>
      </c>
      <c r="N4391" s="12">
        <v>7353.3</v>
      </c>
      <c r="O4391" s="12">
        <v>14671.95</v>
      </c>
    </row>
    <row r="4392" spans="1:15">
      <c r="A4392" t="s">
        <v>4566</v>
      </c>
      <c r="B4392" t="s">
        <v>187</v>
      </c>
      <c r="C4392" s="9">
        <v>22646</v>
      </c>
      <c r="D4392">
        <v>64</v>
      </c>
      <c r="E4392" t="s">
        <v>17</v>
      </c>
      <c r="F4392" t="s">
        <v>5184</v>
      </c>
      <c r="G4392" s="9">
        <v>45414</v>
      </c>
      <c r="H4392" s="9">
        <v>45152</v>
      </c>
      <c r="I4392">
        <v>0</v>
      </c>
      <c r="J4392" t="s">
        <v>26</v>
      </c>
      <c r="K4392">
        <v>3</v>
      </c>
      <c r="L4392">
        <v>7</v>
      </c>
      <c r="M4392" s="11">
        <v>5626.42</v>
      </c>
      <c r="N4392" s="12">
        <v>9313.25</v>
      </c>
      <c r="O4392" s="12">
        <v>4292.7299999999996</v>
      </c>
    </row>
    <row r="4393" spans="1:15">
      <c r="A4393" t="s">
        <v>4567</v>
      </c>
      <c r="B4393" t="s">
        <v>338</v>
      </c>
      <c r="C4393" s="9">
        <v>16802</v>
      </c>
      <c r="D4393">
        <v>80</v>
      </c>
      <c r="E4393" t="s">
        <v>5185</v>
      </c>
      <c r="F4393" t="s">
        <v>74</v>
      </c>
      <c r="G4393" s="9">
        <v>45647</v>
      </c>
      <c r="H4393" s="9">
        <v>45313</v>
      </c>
      <c r="I4393">
        <v>22</v>
      </c>
      <c r="J4393" t="s">
        <v>35</v>
      </c>
      <c r="K4393">
        <v>12</v>
      </c>
      <c r="L4393">
        <v>4</v>
      </c>
      <c r="M4393" s="11">
        <v>20019.57</v>
      </c>
      <c r="N4393" s="12">
        <v>8378.0499999999993</v>
      </c>
      <c r="O4393" s="12">
        <v>2161.71</v>
      </c>
    </row>
    <row r="4394" spans="1:15">
      <c r="A4394" t="s">
        <v>4568</v>
      </c>
      <c r="B4394" t="s">
        <v>284</v>
      </c>
      <c r="C4394" s="9">
        <v>21916</v>
      </c>
      <c r="D4394">
        <v>66</v>
      </c>
      <c r="E4394" t="s">
        <v>21</v>
      </c>
      <c r="F4394" t="s">
        <v>18</v>
      </c>
      <c r="G4394" s="9">
        <v>45048</v>
      </c>
      <c r="H4394" s="9">
        <v>44991</v>
      </c>
      <c r="I4394">
        <v>4</v>
      </c>
      <c r="J4394" t="s">
        <v>32</v>
      </c>
      <c r="K4394">
        <v>3</v>
      </c>
      <c r="L4394">
        <v>5</v>
      </c>
      <c r="M4394" s="11">
        <v>21112.9</v>
      </c>
      <c r="N4394" s="12">
        <v>13686.05</v>
      </c>
      <c r="O4394" s="12">
        <v>6146.16</v>
      </c>
    </row>
    <row r="4395" spans="1:15">
      <c r="A4395" t="s">
        <v>4569</v>
      </c>
      <c r="B4395" t="s">
        <v>174</v>
      </c>
      <c r="C4395" s="9">
        <v>13515</v>
      </c>
      <c r="D4395">
        <v>89</v>
      </c>
      <c r="E4395" t="s">
        <v>21</v>
      </c>
      <c r="F4395" t="s">
        <v>18</v>
      </c>
      <c r="G4395" s="9">
        <v>45179</v>
      </c>
      <c r="H4395" s="9">
        <v>45691</v>
      </c>
      <c r="I4395">
        <v>7</v>
      </c>
      <c r="J4395" t="s">
        <v>32</v>
      </c>
      <c r="K4395">
        <v>0</v>
      </c>
      <c r="L4395">
        <v>1</v>
      </c>
      <c r="M4395" s="11">
        <v>22705.62</v>
      </c>
      <c r="N4395" s="12">
        <v>3357.72</v>
      </c>
      <c r="O4395" s="12">
        <v>11465.12</v>
      </c>
    </row>
    <row r="4396" spans="1:15">
      <c r="A4396" t="s">
        <v>4570</v>
      </c>
      <c r="B4396" t="s">
        <v>57</v>
      </c>
      <c r="C4396" s="9">
        <v>40909</v>
      </c>
      <c r="D4396">
        <v>14</v>
      </c>
      <c r="E4396" t="s">
        <v>21</v>
      </c>
      <c r="F4396" t="s">
        <v>29</v>
      </c>
      <c r="G4396" s="9">
        <v>45067</v>
      </c>
      <c r="H4396" s="9">
        <v>45706</v>
      </c>
      <c r="I4396">
        <v>16</v>
      </c>
      <c r="J4396" t="s">
        <v>26</v>
      </c>
      <c r="K4396">
        <v>11</v>
      </c>
      <c r="L4396">
        <v>9</v>
      </c>
      <c r="M4396" s="11">
        <v>26793.55</v>
      </c>
      <c r="N4396" s="12">
        <v>13330.29</v>
      </c>
      <c r="O4396" s="12">
        <v>7930.42</v>
      </c>
    </row>
    <row r="4397" spans="1:15">
      <c r="A4397" t="s">
        <v>4571</v>
      </c>
      <c r="B4397" t="s">
        <v>524</v>
      </c>
      <c r="C4397" s="9">
        <v>34700</v>
      </c>
      <c r="D4397">
        <v>31</v>
      </c>
      <c r="E4397" t="s">
        <v>17</v>
      </c>
      <c r="F4397" t="s">
        <v>18</v>
      </c>
      <c r="G4397" s="9">
        <v>45378</v>
      </c>
      <c r="H4397" s="9">
        <v>45279</v>
      </c>
      <c r="I4397">
        <v>12</v>
      </c>
      <c r="J4397" t="s">
        <v>35</v>
      </c>
      <c r="K4397">
        <v>3</v>
      </c>
      <c r="L4397">
        <v>1</v>
      </c>
      <c r="M4397" s="11">
        <v>19475.66</v>
      </c>
      <c r="N4397" s="12">
        <v>10327.06</v>
      </c>
      <c r="O4397" s="12">
        <v>4909.84</v>
      </c>
    </row>
    <row r="4398" spans="1:15">
      <c r="A4398" t="s">
        <v>4572</v>
      </c>
      <c r="B4398" t="s">
        <v>151</v>
      </c>
      <c r="C4398" s="9">
        <v>21551</v>
      </c>
      <c r="D4398">
        <v>67</v>
      </c>
      <c r="E4398" t="s">
        <v>21</v>
      </c>
      <c r="F4398" t="s">
        <v>49</v>
      </c>
      <c r="G4398" s="9">
        <v>45079</v>
      </c>
      <c r="H4398" s="9">
        <v>45390</v>
      </c>
      <c r="I4398">
        <v>18</v>
      </c>
      <c r="J4398" t="s">
        <v>32</v>
      </c>
      <c r="K4398">
        <v>6</v>
      </c>
      <c r="L4398">
        <v>2</v>
      </c>
      <c r="M4398" s="11">
        <v>14498.96</v>
      </c>
      <c r="N4398" s="12">
        <v>1916.2</v>
      </c>
      <c r="O4398" s="12">
        <v>348</v>
      </c>
    </row>
    <row r="4399" spans="1:15">
      <c r="A4399" t="s">
        <v>4573</v>
      </c>
      <c r="B4399" t="s">
        <v>39</v>
      </c>
      <c r="C4399" s="9">
        <v>39813</v>
      </c>
      <c r="D4399">
        <v>17</v>
      </c>
      <c r="E4399" t="s">
        <v>21</v>
      </c>
      <c r="F4399" t="s">
        <v>22</v>
      </c>
      <c r="G4399" s="9">
        <v>45652</v>
      </c>
      <c r="H4399" s="9">
        <v>45771</v>
      </c>
      <c r="I4399">
        <v>18</v>
      </c>
      <c r="J4399" t="s">
        <v>35</v>
      </c>
      <c r="K4399">
        <v>8</v>
      </c>
      <c r="L4399">
        <v>3</v>
      </c>
      <c r="M4399" s="11">
        <v>25553.88</v>
      </c>
      <c r="N4399" s="12">
        <v>5578.57</v>
      </c>
      <c r="O4399" s="12">
        <v>2334.7800000000002</v>
      </c>
    </row>
    <row r="4400" spans="1:15">
      <c r="A4400" t="s">
        <v>4574</v>
      </c>
      <c r="B4400" t="s">
        <v>469</v>
      </c>
      <c r="C4400" s="9">
        <v>16072</v>
      </c>
      <c r="D4400">
        <v>82</v>
      </c>
      <c r="E4400" t="s">
        <v>21</v>
      </c>
      <c r="F4400" t="s">
        <v>18</v>
      </c>
      <c r="G4400" s="9">
        <v>45234</v>
      </c>
      <c r="H4400" s="9">
        <v>45247</v>
      </c>
      <c r="I4400">
        <v>34</v>
      </c>
      <c r="J4400" t="s">
        <v>35</v>
      </c>
      <c r="K4400">
        <v>5</v>
      </c>
      <c r="L4400">
        <v>5</v>
      </c>
      <c r="M4400" s="11">
        <v>26945.24</v>
      </c>
      <c r="N4400" s="12">
        <v>6544.48</v>
      </c>
      <c r="O4400" s="12">
        <v>2017.17</v>
      </c>
    </row>
    <row r="4401" spans="1:15">
      <c r="A4401" t="s">
        <v>4575</v>
      </c>
      <c r="B4401" t="s">
        <v>97</v>
      </c>
      <c r="C4401" s="9">
        <v>30682</v>
      </c>
      <c r="D4401">
        <v>42</v>
      </c>
      <c r="E4401" t="s">
        <v>21</v>
      </c>
      <c r="F4401" t="s">
        <v>22</v>
      </c>
      <c r="G4401" s="9">
        <v>45486</v>
      </c>
      <c r="H4401" s="9">
        <v>45284</v>
      </c>
      <c r="I4401">
        <v>25</v>
      </c>
      <c r="J4401" t="s">
        <v>32</v>
      </c>
      <c r="K4401">
        <v>10</v>
      </c>
      <c r="L4401">
        <v>5</v>
      </c>
      <c r="M4401" s="11">
        <v>23343.48</v>
      </c>
      <c r="N4401" s="12">
        <v>1244</v>
      </c>
      <c r="O4401" s="12">
        <v>19128.45</v>
      </c>
    </row>
    <row r="4402" spans="1:15">
      <c r="A4402" t="s">
        <v>4576</v>
      </c>
      <c r="B4402" t="s">
        <v>174</v>
      </c>
      <c r="C4402" s="9">
        <v>33604</v>
      </c>
      <c r="D4402">
        <v>34</v>
      </c>
      <c r="E4402" t="s">
        <v>21</v>
      </c>
      <c r="F4402" t="s">
        <v>29</v>
      </c>
      <c r="G4402" s="9">
        <v>45243</v>
      </c>
      <c r="H4402" s="9">
        <v>45020</v>
      </c>
      <c r="I4402">
        <v>29</v>
      </c>
      <c r="J4402" t="s">
        <v>26</v>
      </c>
      <c r="K4402">
        <v>0</v>
      </c>
      <c r="L4402">
        <v>2</v>
      </c>
      <c r="M4402" s="11">
        <v>28244.06</v>
      </c>
      <c r="N4402" s="12">
        <v>8312.99</v>
      </c>
      <c r="O4402" s="12">
        <v>15554.38</v>
      </c>
    </row>
    <row r="4403" spans="1:15">
      <c r="A4403" t="s">
        <v>4577</v>
      </c>
      <c r="B4403" t="s">
        <v>31</v>
      </c>
      <c r="C4403" s="9">
        <v>17898</v>
      </c>
      <c r="D4403">
        <v>77</v>
      </c>
      <c r="E4403" t="s">
        <v>17</v>
      </c>
      <c r="F4403" t="s">
        <v>5184</v>
      </c>
      <c r="G4403" s="9">
        <v>45455</v>
      </c>
      <c r="H4403" s="9">
        <v>45622</v>
      </c>
      <c r="I4403">
        <v>38</v>
      </c>
      <c r="J4403" t="s">
        <v>26</v>
      </c>
      <c r="K4403">
        <v>11</v>
      </c>
      <c r="L4403">
        <v>0</v>
      </c>
      <c r="M4403" s="11">
        <v>29372.74</v>
      </c>
      <c r="N4403" s="12">
        <v>3890.46</v>
      </c>
      <c r="O4403" s="12">
        <v>2367.31</v>
      </c>
    </row>
    <row r="4404" spans="1:15">
      <c r="A4404" t="s">
        <v>4578</v>
      </c>
      <c r="B4404" t="s">
        <v>309</v>
      </c>
      <c r="C4404" s="9">
        <v>25203</v>
      </c>
      <c r="D4404">
        <v>57</v>
      </c>
      <c r="E4404" t="s">
        <v>21</v>
      </c>
      <c r="F4404" t="s">
        <v>25</v>
      </c>
      <c r="G4404" s="9">
        <v>45222</v>
      </c>
      <c r="H4404" s="9">
        <v>45227</v>
      </c>
      <c r="I4404">
        <v>24</v>
      </c>
      <c r="J4404" t="s">
        <v>35</v>
      </c>
      <c r="K4404">
        <v>12</v>
      </c>
      <c r="L4404">
        <v>2</v>
      </c>
      <c r="M4404" s="11">
        <v>0</v>
      </c>
      <c r="N4404" s="12">
        <v>6871.92</v>
      </c>
      <c r="O4404" s="12">
        <v>9290.93</v>
      </c>
    </row>
    <row r="4405" spans="1:15">
      <c r="A4405" t="s">
        <v>4579</v>
      </c>
      <c r="B4405" t="s">
        <v>55</v>
      </c>
      <c r="C4405" s="9">
        <v>34334</v>
      </c>
      <c r="D4405">
        <v>32</v>
      </c>
      <c r="E4405" t="s">
        <v>21</v>
      </c>
      <c r="F4405" t="s">
        <v>74</v>
      </c>
      <c r="G4405" s="9">
        <v>45271</v>
      </c>
      <c r="H4405" s="9">
        <v>45653</v>
      </c>
      <c r="I4405">
        <v>20</v>
      </c>
      <c r="J4405" t="s">
        <v>32</v>
      </c>
      <c r="K4405">
        <v>4</v>
      </c>
      <c r="L4405">
        <v>3</v>
      </c>
      <c r="M4405" s="11">
        <v>5102.6899999999996</v>
      </c>
      <c r="N4405" s="12">
        <v>6581.52</v>
      </c>
      <c r="O4405" s="12">
        <v>13055.17</v>
      </c>
    </row>
    <row r="4406" spans="1:15">
      <c r="A4406" t="s">
        <v>4580</v>
      </c>
      <c r="B4406" t="s">
        <v>34</v>
      </c>
      <c r="C4406" s="9">
        <v>41274</v>
      </c>
      <c r="D4406">
        <v>13</v>
      </c>
      <c r="E4406" t="s">
        <v>17</v>
      </c>
      <c r="F4406" t="s">
        <v>74</v>
      </c>
      <c r="G4406" s="9">
        <v>45507</v>
      </c>
      <c r="H4406" s="9">
        <v>45421</v>
      </c>
      <c r="I4406">
        <v>7</v>
      </c>
      <c r="J4406" t="s">
        <v>35</v>
      </c>
      <c r="K4406">
        <v>14</v>
      </c>
      <c r="L4406">
        <v>8</v>
      </c>
      <c r="M4406" s="11">
        <v>13182.07</v>
      </c>
      <c r="N4406" s="12">
        <v>7825.11</v>
      </c>
      <c r="O4406" s="12">
        <v>19216.77</v>
      </c>
    </row>
    <row r="4407" spans="1:15">
      <c r="A4407" t="s">
        <v>4581</v>
      </c>
      <c r="B4407" t="s">
        <v>37</v>
      </c>
      <c r="C4407" s="9">
        <v>33969</v>
      </c>
      <c r="D4407">
        <v>33</v>
      </c>
      <c r="E4407" t="s">
        <v>17</v>
      </c>
      <c r="F4407" t="s">
        <v>49</v>
      </c>
      <c r="G4407" s="9">
        <v>45523</v>
      </c>
      <c r="H4407" s="9">
        <v>45581</v>
      </c>
      <c r="I4407">
        <v>37</v>
      </c>
      <c r="J4407" t="s">
        <v>26</v>
      </c>
      <c r="K4407">
        <v>8</v>
      </c>
      <c r="L4407">
        <v>9</v>
      </c>
      <c r="M4407" s="11">
        <v>29906.26</v>
      </c>
      <c r="N4407" s="12">
        <v>12693.11</v>
      </c>
      <c r="O4407" s="12">
        <v>5306.17</v>
      </c>
    </row>
    <row r="4408" spans="1:15">
      <c r="A4408" t="s">
        <v>4582</v>
      </c>
      <c r="B4408" t="s">
        <v>654</v>
      </c>
      <c r="C4408" s="9">
        <v>24107</v>
      </c>
      <c r="D4408">
        <v>60</v>
      </c>
      <c r="E4408" t="s">
        <v>21</v>
      </c>
      <c r="F4408" t="s">
        <v>29</v>
      </c>
      <c r="G4408" s="9">
        <v>45208</v>
      </c>
      <c r="H4408" s="9">
        <v>45522</v>
      </c>
      <c r="I4408">
        <v>38</v>
      </c>
      <c r="J4408" t="s">
        <v>26</v>
      </c>
      <c r="K4408">
        <v>11</v>
      </c>
      <c r="L4408">
        <v>7</v>
      </c>
      <c r="M4408" s="11">
        <v>2198.44</v>
      </c>
      <c r="N4408" s="12">
        <v>11711.42</v>
      </c>
      <c r="O4408" s="12">
        <v>5207.34</v>
      </c>
    </row>
    <row r="4409" spans="1:15">
      <c r="A4409" t="s">
        <v>4583</v>
      </c>
      <c r="B4409" t="s">
        <v>286</v>
      </c>
      <c r="C4409" s="9">
        <v>44927</v>
      </c>
      <c r="D4409">
        <v>3</v>
      </c>
      <c r="E4409" t="s">
        <v>21</v>
      </c>
      <c r="F4409" t="s">
        <v>29</v>
      </c>
      <c r="G4409" s="9">
        <v>45134</v>
      </c>
      <c r="H4409" s="9">
        <v>45316</v>
      </c>
      <c r="I4409">
        <v>3</v>
      </c>
      <c r="J4409" t="s">
        <v>35</v>
      </c>
      <c r="K4409">
        <v>9</v>
      </c>
      <c r="L4409">
        <v>3</v>
      </c>
      <c r="M4409" s="11">
        <v>0</v>
      </c>
      <c r="N4409" s="12">
        <v>13095.02</v>
      </c>
      <c r="O4409" s="12">
        <v>11321.98</v>
      </c>
    </row>
    <row r="4410" spans="1:15">
      <c r="A4410" t="s">
        <v>4584</v>
      </c>
      <c r="B4410" t="s">
        <v>278</v>
      </c>
      <c r="C4410" s="9">
        <v>14246</v>
      </c>
      <c r="D4410">
        <f ca="1">DATEDIF(C4361,TODAY(),"Y")</f>
        <v>88</v>
      </c>
      <c r="E4410" t="s">
        <v>17</v>
      </c>
      <c r="F4410" t="s">
        <v>29</v>
      </c>
      <c r="G4410" s="9">
        <v>45478</v>
      </c>
      <c r="H4410" s="9">
        <v>45538</v>
      </c>
      <c r="I4410">
        <v>21</v>
      </c>
      <c r="J4410" t="s">
        <v>35</v>
      </c>
      <c r="K4410">
        <v>9</v>
      </c>
      <c r="L4410">
        <v>6</v>
      </c>
      <c r="M4410" s="11">
        <v>25450.49</v>
      </c>
      <c r="N4410" s="12">
        <v>8585.2099999999991</v>
      </c>
      <c r="O4410" s="12">
        <v>17133.29</v>
      </c>
    </row>
    <row r="4411" spans="1:15">
      <c r="A4411" t="s">
        <v>4585</v>
      </c>
      <c r="B4411" t="s">
        <v>600</v>
      </c>
      <c r="C4411" s="9">
        <v>24838</v>
      </c>
      <c r="D4411">
        <v>58</v>
      </c>
      <c r="E4411" t="s">
        <v>21</v>
      </c>
      <c r="F4411" t="s">
        <v>74</v>
      </c>
      <c r="G4411" s="9">
        <v>45022</v>
      </c>
      <c r="H4411" s="9">
        <v>45720</v>
      </c>
      <c r="I4411">
        <v>15</v>
      </c>
      <c r="J4411" t="s">
        <v>35</v>
      </c>
      <c r="K4411">
        <v>1</v>
      </c>
      <c r="L4411">
        <v>8</v>
      </c>
      <c r="M4411" s="11">
        <v>29891.65</v>
      </c>
      <c r="N4411" s="12">
        <v>9237.08</v>
      </c>
      <c r="O4411" s="12">
        <v>5520.39</v>
      </c>
    </row>
    <row r="4412" spans="1:15">
      <c r="A4412" t="s">
        <v>4586</v>
      </c>
      <c r="B4412" t="s">
        <v>392</v>
      </c>
      <c r="C4412" s="9">
        <v>35795</v>
      </c>
      <c r="D4412">
        <v>28</v>
      </c>
      <c r="E4412" t="s">
        <v>17</v>
      </c>
      <c r="F4412" t="s">
        <v>18</v>
      </c>
      <c r="G4412" s="9">
        <v>45378</v>
      </c>
      <c r="H4412" s="9">
        <v>45361</v>
      </c>
      <c r="I4412">
        <v>7</v>
      </c>
      <c r="J4412" t="s">
        <v>26</v>
      </c>
      <c r="K4412">
        <v>13</v>
      </c>
      <c r="L4412">
        <v>1</v>
      </c>
      <c r="M4412" s="11">
        <v>18401.23</v>
      </c>
      <c r="N4412" s="12">
        <v>6457.3</v>
      </c>
      <c r="O4412" s="12">
        <v>2429.09</v>
      </c>
    </row>
    <row r="4413" spans="1:15">
      <c r="A4413" t="s">
        <v>4587</v>
      </c>
      <c r="B4413" t="s">
        <v>34</v>
      </c>
      <c r="C4413" s="9">
        <v>16072</v>
      </c>
      <c r="D4413">
        <v>82</v>
      </c>
      <c r="E4413" t="s">
        <v>21</v>
      </c>
      <c r="F4413" t="s">
        <v>74</v>
      </c>
      <c r="G4413" s="9">
        <v>45299</v>
      </c>
      <c r="H4413" s="9">
        <v>45029</v>
      </c>
      <c r="I4413">
        <v>12</v>
      </c>
      <c r="J4413" t="s">
        <v>35</v>
      </c>
      <c r="K4413">
        <v>14</v>
      </c>
      <c r="L4413">
        <v>2</v>
      </c>
      <c r="M4413" s="11">
        <v>11092.88</v>
      </c>
      <c r="N4413" s="12">
        <v>10758.29</v>
      </c>
      <c r="O4413" s="12">
        <v>5249.22</v>
      </c>
    </row>
    <row r="4414" spans="1:15">
      <c r="A4414" t="s">
        <v>4588</v>
      </c>
      <c r="B4414" t="s">
        <v>149</v>
      </c>
      <c r="C4414" s="9">
        <v>44196</v>
      </c>
      <c r="D4414">
        <v>5</v>
      </c>
      <c r="E4414" t="s">
        <v>21</v>
      </c>
      <c r="F4414" t="s">
        <v>74</v>
      </c>
      <c r="G4414" s="9">
        <v>45574</v>
      </c>
      <c r="H4414" s="9">
        <v>45768</v>
      </c>
      <c r="I4414">
        <v>31</v>
      </c>
      <c r="J4414" t="s">
        <v>35</v>
      </c>
      <c r="K4414">
        <v>8</v>
      </c>
      <c r="L4414">
        <v>0</v>
      </c>
      <c r="M4414" s="11">
        <v>4578.0600000000004</v>
      </c>
      <c r="N4414" s="12">
        <v>3073.43</v>
      </c>
      <c r="O4414" s="12">
        <v>8926.25</v>
      </c>
    </row>
    <row r="4415" spans="1:15">
      <c r="A4415" t="s">
        <v>4589</v>
      </c>
      <c r="B4415" t="s">
        <v>289</v>
      </c>
      <c r="C4415" s="9">
        <v>28490</v>
      </c>
      <c r="D4415">
        <v>48</v>
      </c>
      <c r="E4415" t="s">
        <v>21</v>
      </c>
      <c r="F4415" t="s">
        <v>74</v>
      </c>
      <c r="G4415" s="9">
        <v>44999</v>
      </c>
      <c r="H4415" s="9">
        <v>45305</v>
      </c>
      <c r="I4415">
        <v>5</v>
      </c>
      <c r="J4415" t="s">
        <v>32</v>
      </c>
      <c r="K4415">
        <v>8</v>
      </c>
      <c r="L4415">
        <v>7</v>
      </c>
      <c r="M4415" s="11">
        <v>29443.74</v>
      </c>
      <c r="N4415" s="12">
        <v>7127.75</v>
      </c>
      <c r="O4415" s="12">
        <v>7135.06</v>
      </c>
    </row>
    <row r="4416" spans="1:15">
      <c r="A4416" t="s">
        <v>4590</v>
      </c>
      <c r="B4416" t="s">
        <v>615</v>
      </c>
      <c r="C4416" s="9">
        <v>31778</v>
      </c>
      <c r="D4416">
        <v>39</v>
      </c>
      <c r="E4416" t="s">
        <v>17</v>
      </c>
      <c r="F4416" t="s">
        <v>5184</v>
      </c>
      <c r="G4416" s="9">
        <v>45607</v>
      </c>
      <c r="H4416" s="9">
        <v>45510</v>
      </c>
      <c r="I4416">
        <v>32</v>
      </c>
      <c r="J4416" t="s">
        <v>26</v>
      </c>
      <c r="K4416">
        <v>1</v>
      </c>
      <c r="L4416">
        <v>1</v>
      </c>
      <c r="M4416" s="11">
        <v>27688.2</v>
      </c>
      <c r="N4416" s="12">
        <v>10712.6</v>
      </c>
      <c r="O4416" s="12">
        <v>17210.38</v>
      </c>
    </row>
    <row r="4417" spans="1:15">
      <c r="A4417" t="s">
        <v>4591</v>
      </c>
      <c r="B4417" t="s">
        <v>209</v>
      </c>
      <c r="C4417" s="9">
        <v>16072</v>
      </c>
      <c r="D4417">
        <v>82</v>
      </c>
      <c r="E4417" t="s">
        <v>17</v>
      </c>
      <c r="F4417" t="s">
        <v>5184</v>
      </c>
      <c r="G4417" s="9">
        <v>45259</v>
      </c>
      <c r="H4417" s="9">
        <v>45812</v>
      </c>
      <c r="I4417">
        <v>24</v>
      </c>
      <c r="J4417" t="s">
        <v>35</v>
      </c>
      <c r="K4417">
        <v>9</v>
      </c>
      <c r="L4417">
        <v>6</v>
      </c>
      <c r="M4417" s="11">
        <v>24037.82</v>
      </c>
      <c r="N4417" s="12">
        <v>11668.18</v>
      </c>
      <c r="O4417" s="12">
        <v>18853.2</v>
      </c>
    </row>
    <row r="4418" spans="1:15">
      <c r="A4418" t="s">
        <v>4592</v>
      </c>
      <c r="B4418" t="s">
        <v>147</v>
      </c>
      <c r="C4418" s="9">
        <v>22646</v>
      </c>
      <c r="D4418">
        <v>64</v>
      </c>
      <c r="E4418" t="s">
        <v>21</v>
      </c>
      <c r="F4418" t="s">
        <v>18</v>
      </c>
      <c r="G4418" s="9">
        <v>45319</v>
      </c>
      <c r="H4418" s="9">
        <v>45265</v>
      </c>
      <c r="I4418">
        <v>22</v>
      </c>
      <c r="J4418" t="s">
        <v>32</v>
      </c>
      <c r="K4418">
        <v>9</v>
      </c>
      <c r="L4418">
        <v>6</v>
      </c>
      <c r="M4418" s="11">
        <v>28285.13</v>
      </c>
      <c r="N4418" s="12">
        <v>3719.25</v>
      </c>
      <c r="O4418" s="12">
        <v>7506.84</v>
      </c>
    </row>
    <row r="4419" spans="1:15">
      <c r="A4419" t="s">
        <v>4593</v>
      </c>
      <c r="B4419" t="s">
        <v>61</v>
      </c>
      <c r="C4419" s="9">
        <v>21185</v>
      </c>
      <c r="D4419">
        <v>68</v>
      </c>
      <c r="E4419" t="s">
        <v>17</v>
      </c>
      <c r="F4419" t="s">
        <v>25</v>
      </c>
      <c r="G4419" s="9">
        <v>45636</v>
      </c>
      <c r="H4419" s="9">
        <v>45825</v>
      </c>
      <c r="I4419">
        <v>0</v>
      </c>
      <c r="J4419" t="s">
        <v>26</v>
      </c>
      <c r="K4419">
        <v>14</v>
      </c>
      <c r="L4419">
        <v>2</v>
      </c>
      <c r="M4419" s="11">
        <v>1356.06</v>
      </c>
      <c r="N4419" s="12">
        <v>2723.23</v>
      </c>
      <c r="O4419" s="12">
        <v>16450.77</v>
      </c>
    </row>
    <row r="4420" spans="1:15">
      <c r="A4420" t="s">
        <v>4594</v>
      </c>
      <c r="B4420" t="s">
        <v>446</v>
      </c>
      <c r="C4420" s="9">
        <v>36526</v>
      </c>
      <c r="D4420">
        <v>26</v>
      </c>
      <c r="E4420" t="s">
        <v>21</v>
      </c>
      <c r="F4420" t="s">
        <v>49</v>
      </c>
      <c r="G4420" s="9">
        <v>45032</v>
      </c>
      <c r="H4420" s="9">
        <v>45811</v>
      </c>
      <c r="I4420">
        <v>18</v>
      </c>
      <c r="J4420" t="s">
        <v>35</v>
      </c>
      <c r="K4420">
        <v>4</v>
      </c>
      <c r="L4420">
        <v>1</v>
      </c>
      <c r="M4420" s="11">
        <v>18760.53</v>
      </c>
      <c r="N4420" s="12">
        <v>4328.01</v>
      </c>
      <c r="O4420" s="12">
        <v>1279.0899999999999</v>
      </c>
    </row>
    <row r="4421" spans="1:15">
      <c r="A4421" t="s">
        <v>4595</v>
      </c>
      <c r="B4421" t="s">
        <v>302</v>
      </c>
      <c r="C4421" s="9">
        <v>17168</v>
      </c>
      <c r="D4421">
        <v>79</v>
      </c>
      <c r="E4421" t="s">
        <v>21</v>
      </c>
      <c r="F4421" t="s">
        <v>25</v>
      </c>
      <c r="G4421" s="9">
        <v>45027</v>
      </c>
      <c r="H4421" s="9">
        <v>45705</v>
      </c>
      <c r="I4421">
        <v>36</v>
      </c>
      <c r="J4421" t="s">
        <v>35</v>
      </c>
      <c r="K4421">
        <v>12</v>
      </c>
      <c r="L4421">
        <v>2</v>
      </c>
      <c r="M4421" s="11">
        <v>7881.29</v>
      </c>
      <c r="N4421" s="12">
        <v>13802.33</v>
      </c>
      <c r="O4421" s="12">
        <v>11029.44</v>
      </c>
    </row>
    <row r="4422" spans="1:15">
      <c r="A4422" t="s">
        <v>4596</v>
      </c>
      <c r="B4422" t="s">
        <v>444</v>
      </c>
      <c r="C4422" s="9">
        <v>44196</v>
      </c>
      <c r="D4422">
        <v>5</v>
      </c>
      <c r="E4422" t="s">
        <v>17</v>
      </c>
      <c r="F4422" t="s">
        <v>25</v>
      </c>
      <c r="G4422" s="9">
        <v>45285</v>
      </c>
      <c r="H4422" s="9">
        <v>45419</v>
      </c>
      <c r="I4422">
        <v>29</v>
      </c>
      <c r="J4422" t="s">
        <v>32</v>
      </c>
      <c r="K4422">
        <v>7</v>
      </c>
      <c r="L4422">
        <v>7</v>
      </c>
      <c r="M4422" s="11">
        <v>22850.560000000001</v>
      </c>
      <c r="N4422" s="12">
        <v>1936.81</v>
      </c>
      <c r="O4422" s="12">
        <v>16617.240000000002</v>
      </c>
    </row>
    <row r="4423" spans="1:15">
      <c r="A4423" t="s">
        <v>4597</v>
      </c>
      <c r="B4423" t="s">
        <v>168</v>
      </c>
      <c r="C4423" s="9">
        <v>41639</v>
      </c>
      <c r="D4423">
        <v>12</v>
      </c>
      <c r="E4423" t="s">
        <v>21</v>
      </c>
      <c r="F4423" t="s">
        <v>74</v>
      </c>
      <c r="G4423" s="9">
        <v>45255</v>
      </c>
      <c r="H4423" s="9">
        <v>45569</v>
      </c>
      <c r="I4423">
        <v>18</v>
      </c>
      <c r="J4423" t="s">
        <v>32</v>
      </c>
      <c r="K4423">
        <v>1</v>
      </c>
      <c r="L4423">
        <v>8</v>
      </c>
      <c r="M4423" s="11">
        <v>2419.36</v>
      </c>
      <c r="N4423" s="12">
        <v>14296.43</v>
      </c>
      <c r="O4423" s="12">
        <v>8314.33</v>
      </c>
    </row>
    <row r="4424" spans="1:15">
      <c r="A4424" t="s">
        <v>4598</v>
      </c>
      <c r="B4424" t="s">
        <v>367</v>
      </c>
      <c r="C4424" s="9">
        <v>23012</v>
      </c>
      <c r="D4424">
        <v>63</v>
      </c>
      <c r="E4424" t="s">
        <v>17</v>
      </c>
      <c r="F4424" t="s">
        <v>25</v>
      </c>
      <c r="G4424" s="9">
        <v>45544</v>
      </c>
      <c r="H4424" s="9">
        <v>44987</v>
      </c>
      <c r="I4424">
        <v>6</v>
      </c>
      <c r="J4424" t="s">
        <v>26</v>
      </c>
      <c r="K4424">
        <v>10</v>
      </c>
      <c r="L4424">
        <v>7</v>
      </c>
      <c r="M4424" s="11">
        <v>7390.96</v>
      </c>
      <c r="N4424" s="12">
        <v>14922.19</v>
      </c>
      <c r="O4424" s="12">
        <v>2783.02</v>
      </c>
    </row>
    <row r="4425" spans="1:15">
      <c r="A4425" t="s">
        <v>4599</v>
      </c>
      <c r="B4425" t="s">
        <v>67</v>
      </c>
      <c r="C4425" s="9">
        <v>23742</v>
      </c>
      <c r="D4425">
        <v>61</v>
      </c>
      <c r="E4425" t="s">
        <v>17</v>
      </c>
      <c r="F4425" t="s">
        <v>74</v>
      </c>
      <c r="G4425" s="9">
        <v>45321</v>
      </c>
      <c r="H4425" s="9">
        <v>45740</v>
      </c>
      <c r="I4425">
        <v>2</v>
      </c>
      <c r="J4425" t="s">
        <v>32</v>
      </c>
      <c r="K4425">
        <v>4</v>
      </c>
      <c r="L4425">
        <v>1</v>
      </c>
      <c r="M4425" s="11">
        <v>25432.69</v>
      </c>
      <c r="N4425" s="12">
        <v>11751.66</v>
      </c>
      <c r="O4425" s="12">
        <v>5610.21</v>
      </c>
    </row>
    <row r="4426" spans="1:15">
      <c r="A4426" t="s">
        <v>4600</v>
      </c>
      <c r="B4426" t="s">
        <v>20</v>
      </c>
      <c r="C4426" s="9">
        <v>39448</v>
      </c>
      <c r="D4426">
        <v>18</v>
      </c>
      <c r="E4426" t="s">
        <v>17</v>
      </c>
      <c r="F4426" t="s">
        <v>74</v>
      </c>
      <c r="G4426" s="9">
        <v>44961</v>
      </c>
      <c r="H4426" s="9">
        <v>45436</v>
      </c>
      <c r="I4426">
        <v>1</v>
      </c>
      <c r="J4426" t="s">
        <v>32</v>
      </c>
      <c r="K4426">
        <v>0</v>
      </c>
      <c r="L4426">
        <v>8</v>
      </c>
      <c r="M4426" s="11">
        <v>22358.13</v>
      </c>
      <c r="N4426" s="12">
        <v>11406.34</v>
      </c>
      <c r="O4426" s="12">
        <v>9787.34</v>
      </c>
    </row>
    <row r="4427" spans="1:15">
      <c r="A4427" t="s">
        <v>4601</v>
      </c>
      <c r="B4427" t="s">
        <v>209</v>
      </c>
      <c r="C4427" s="9">
        <v>18629</v>
      </c>
      <c r="D4427">
        <v>75</v>
      </c>
      <c r="E4427" t="s">
        <v>17</v>
      </c>
      <c r="F4427" t="s">
        <v>49</v>
      </c>
      <c r="G4427" s="9">
        <v>45083</v>
      </c>
      <c r="H4427" s="9">
        <v>45319</v>
      </c>
      <c r="I4427">
        <v>1</v>
      </c>
      <c r="J4427" t="s">
        <v>26</v>
      </c>
      <c r="K4427">
        <v>7</v>
      </c>
      <c r="L4427">
        <v>5</v>
      </c>
      <c r="M4427" s="11">
        <v>29756.67</v>
      </c>
      <c r="N4427" s="12">
        <v>14299.3</v>
      </c>
      <c r="O4427" s="12">
        <v>16854.3</v>
      </c>
    </row>
    <row r="4428" spans="1:15">
      <c r="A4428" t="s">
        <v>4602</v>
      </c>
      <c r="B4428" t="s">
        <v>539</v>
      </c>
      <c r="C4428" s="9">
        <v>17168</v>
      </c>
      <c r="D4428">
        <v>79</v>
      </c>
      <c r="E4428" t="s">
        <v>21</v>
      </c>
      <c r="F4428" t="s">
        <v>29</v>
      </c>
      <c r="G4428" s="9">
        <v>45199</v>
      </c>
      <c r="H4428" s="9">
        <v>45046</v>
      </c>
      <c r="I4428">
        <v>23</v>
      </c>
      <c r="J4428" t="s">
        <v>32</v>
      </c>
      <c r="K4428">
        <v>11</v>
      </c>
      <c r="L4428">
        <v>1</v>
      </c>
      <c r="M4428" s="11">
        <v>0</v>
      </c>
      <c r="N4428" s="12">
        <v>4358.03</v>
      </c>
      <c r="O4428" s="12">
        <v>14946.81</v>
      </c>
    </row>
    <row r="4429" spans="1:15">
      <c r="A4429" t="s">
        <v>4603</v>
      </c>
      <c r="B4429" t="s">
        <v>254</v>
      </c>
      <c r="C4429" s="9">
        <v>30682</v>
      </c>
      <c r="D4429">
        <v>42</v>
      </c>
      <c r="E4429" t="s">
        <v>21</v>
      </c>
      <c r="F4429" t="s">
        <v>74</v>
      </c>
      <c r="G4429" s="9">
        <v>45322</v>
      </c>
      <c r="H4429" s="9">
        <v>45702</v>
      </c>
      <c r="I4429">
        <v>31</v>
      </c>
      <c r="J4429" t="s">
        <v>35</v>
      </c>
      <c r="K4429">
        <v>0</v>
      </c>
      <c r="L4429">
        <v>8</v>
      </c>
      <c r="M4429" s="11">
        <v>8743.7900000000009</v>
      </c>
      <c r="N4429" s="12">
        <v>1934.73</v>
      </c>
      <c r="O4429" s="12">
        <v>1579.87</v>
      </c>
    </row>
    <row r="4430" spans="1:15">
      <c r="A4430" t="s">
        <v>4604</v>
      </c>
      <c r="B4430" t="s">
        <v>166</v>
      </c>
      <c r="C4430" s="9">
        <v>19359</v>
      </c>
      <c r="D4430">
        <v>73</v>
      </c>
      <c r="E4430" t="s">
        <v>21</v>
      </c>
      <c r="F4430" t="s">
        <v>5184</v>
      </c>
      <c r="G4430" s="9">
        <v>45133</v>
      </c>
      <c r="H4430" s="9">
        <v>45398</v>
      </c>
      <c r="I4430">
        <v>24</v>
      </c>
      <c r="J4430" t="s">
        <v>35</v>
      </c>
      <c r="K4430">
        <v>10</v>
      </c>
      <c r="L4430">
        <v>4</v>
      </c>
      <c r="M4430" s="11">
        <v>16210.45</v>
      </c>
      <c r="N4430" s="12">
        <v>12346.51</v>
      </c>
      <c r="O4430" s="12">
        <v>10877.76</v>
      </c>
    </row>
    <row r="4431" spans="1:15">
      <c r="A4431" t="s">
        <v>4605</v>
      </c>
      <c r="B4431" t="s">
        <v>487</v>
      </c>
      <c r="C4431" s="9">
        <v>13880</v>
      </c>
      <c r="D4431">
        <v>88</v>
      </c>
      <c r="E4431" t="s">
        <v>21</v>
      </c>
      <c r="F4431" t="s">
        <v>25</v>
      </c>
      <c r="G4431" s="9">
        <v>45531</v>
      </c>
      <c r="H4431" s="9">
        <v>45255</v>
      </c>
      <c r="I4431">
        <v>12</v>
      </c>
      <c r="J4431" t="s">
        <v>32</v>
      </c>
      <c r="K4431">
        <v>1</v>
      </c>
      <c r="L4431">
        <v>5</v>
      </c>
      <c r="M4431" s="11">
        <v>28290.98</v>
      </c>
      <c r="N4431" s="12">
        <v>2563.9499999999998</v>
      </c>
      <c r="O4431" s="12">
        <v>17434.25</v>
      </c>
    </row>
    <row r="4432" spans="1:15">
      <c r="A4432" t="s">
        <v>4606</v>
      </c>
      <c r="B4432" t="s">
        <v>240</v>
      </c>
      <c r="C4432" s="9">
        <v>39083</v>
      </c>
      <c r="D4432">
        <v>19</v>
      </c>
      <c r="E4432" t="s">
        <v>17</v>
      </c>
      <c r="F4432" t="s">
        <v>49</v>
      </c>
      <c r="G4432" s="9">
        <v>45547</v>
      </c>
      <c r="H4432" s="9">
        <v>44948</v>
      </c>
      <c r="I4432">
        <v>29</v>
      </c>
      <c r="J4432" t="s">
        <v>35</v>
      </c>
      <c r="K4432">
        <v>10</v>
      </c>
      <c r="L4432">
        <v>0</v>
      </c>
      <c r="M4432" s="11">
        <v>19378.79</v>
      </c>
      <c r="N4432" s="12">
        <v>681.15</v>
      </c>
      <c r="O4432" s="12">
        <v>11499.92</v>
      </c>
    </row>
    <row r="4433" spans="1:15">
      <c r="A4433" t="s">
        <v>4607</v>
      </c>
      <c r="B4433" t="s">
        <v>209</v>
      </c>
      <c r="C4433" s="9">
        <v>11689</v>
      </c>
      <c r="D4433">
        <v>94</v>
      </c>
      <c r="E4433" t="s">
        <v>21</v>
      </c>
      <c r="F4433" t="s">
        <v>22</v>
      </c>
      <c r="G4433" s="9">
        <v>45232</v>
      </c>
      <c r="H4433" s="9">
        <v>45024</v>
      </c>
      <c r="I4433">
        <v>38</v>
      </c>
      <c r="J4433" t="s">
        <v>32</v>
      </c>
      <c r="K4433">
        <v>0</v>
      </c>
      <c r="L4433">
        <v>1</v>
      </c>
      <c r="M4433" s="11">
        <v>26385.72</v>
      </c>
      <c r="N4433" s="12">
        <v>2946.92</v>
      </c>
      <c r="O4433" s="12">
        <v>1205.24</v>
      </c>
    </row>
    <row r="4434" spans="1:15">
      <c r="A4434" t="s">
        <v>4608</v>
      </c>
      <c r="B4434" t="s">
        <v>57</v>
      </c>
      <c r="C4434" s="9">
        <v>21551</v>
      </c>
      <c r="D4434">
        <v>67</v>
      </c>
      <c r="E4434" t="s">
        <v>17</v>
      </c>
      <c r="F4434" t="s">
        <v>22</v>
      </c>
      <c r="G4434" s="9">
        <v>45552</v>
      </c>
      <c r="H4434" s="9">
        <v>45742</v>
      </c>
      <c r="I4434">
        <v>4</v>
      </c>
      <c r="J4434" t="s">
        <v>26</v>
      </c>
      <c r="K4434">
        <v>9</v>
      </c>
      <c r="L4434">
        <v>0</v>
      </c>
      <c r="M4434" s="11">
        <v>198.05</v>
      </c>
      <c r="N4434" s="12">
        <v>6568.6</v>
      </c>
      <c r="O4434" s="12">
        <v>16444.72</v>
      </c>
    </row>
    <row r="4435" spans="1:15">
      <c r="A4435" t="s">
        <v>4609</v>
      </c>
      <c r="B4435" t="s">
        <v>127</v>
      </c>
      <c r="C4435" s="9">
        <v>30317</v>
      </c>
      <c r="D4435">
        <v>43</v>
      </c>
      <c r="E4435" t="s">
        <v>21</v>
      </c>
      <c r="F4435" t="s">
        <v>22</v>
      </c>
      <c r="G4435" s="9">
        <v>45462</v>
      </c>
      <c r="H4435" s="9">
        <v>45440</v>
      </c>
      <c r="I4435">
        <v>11</v>
      </c>
      <c r="J4435" t="s">
        <v>26</v>
      </c>
      <c r="K4435">
        <v>2</v>
      </c>
      <c r="L4435">
        <v>3</v>
      </c>
      <c r="M4435" s="11">
        <v>10771.3</v>
      </c>
      <c r="N4435" s="12">
        <v>7426.53</v>
      </c>
      <c r="O4435" s="12">
        <v>18126.07</v>
      </c>
    </row>
    <row r="4436" spans="1:15">
      <c r="A4436" t="s">
        <v>4610</v>
      </c>
      <c r="B4436" t="s">
        <v>87</v>
      </c>
      <c r="C4436" s="9">
        <v>37987</v>
      </c>
      <c r="D4436">
        <v>22</v>
      </c>
      <c r="E4436" t="s">
        <v>17</v>
      </c>
      <c r="F4436" t="s">
        <v>25</v>
      </c>
      <c r="G4436" s="9">
        <v>45388</v>
      </c>
      <c r="H4436" s="9">
        <v>45642</v>
      </c>
      <c r="I4436">
        <v>20</v>
      </c>
      <c r="J4436" t="s">
        <v>26</v>
      </c>
      <c r="K4436">
        <v>2</v>
      </c>
      <c r="L4436">
        <v>1</v>
      </c>
      <c r="M4436" s="11">
        <v>28026.87</v>
      </c>
      <c r="N4436" s="12">
        <v>937.53</v>
      </c>
      <c r="O4436" s="12">
        <v>7722.7</v>
      </c>
    </row>
    <row r="4437" spans="1:15">
      <c r="A4437" t="s">
        <v>4611</v>
      </c>
      <c r="B4437" t="s">
        <v>336</v>
      </c>
      <c r="C4437" s="9">
        <v>45657</v>
      </c>
      <c r="D4437">
        <v>1</v>
      </c>
      <c r="E4437" t="s">
        <v>17</v>
      </c>
      <c r="F4437" t="s">
        <v>29</v>
      </c>
      <c r="G4437" s="9">
        <v>45178</v>
      </c>
      <c r="H4437" s="9">
        <v>45567</v>
      </c>
      <c r="I4437">
        <v>2</v>
      </c>
      <c r="J4437" t="s">
        <v>35</v>
      </c>
      <c r="K4437">
        <v>8</v>
      </c>
      <c r="L4437">
        <v>0</v>
      </c>
      <c r="M4437" s="11">
        <v>698.33</v>
      </c>
      <c r="N4437" s="12">
        <v>6650.92</v>
      </c>
      <c r="O4437" s="12">
        <v>6133.75</v>
      </c>
    </row>
    <row r="4438" spans="1:15">
      <c r="A4438" t="s">
        <v>4612</v>
      </c>
      <c r="B4438" t="s">
        <v>119</v>
      </c>
      <c r="C4438" s="9">
        <v>38352</v>
      </c>
      <c r="D4438">
        <v>21</v>
      </c>
      <c r="E4438" t="s">
        <v>17</v>
      </c>
      <c r="F4438" t="s">
        <v>18</v>
      </c>
      <c r="G4438" s="9">
        <v>45193</v>
      </c>
      <c r="H4438" s="9">
        <v>45277</v>
      </c>
      <c r="I4438">
        <v>29</v>
      </c>
      <c r="J4438" t="s">
        <v>32</v>
      </c>
      <c r="K4438">
        <v>1</v>
      </c>
      <c r="L4438">
        <v>2</v>
      </c>
      <c r="M4438" s="11">
        <v>15332.59</v>
      </c>
      <c r="N4438" s="12">
        <v>9064.61</v>
      </c>
      <c r="O4438" s="12">
        <v>10821.35</v>
      </c>
    </row>
    <row r="4439" spans="1:15">
      <c r="A4439" t="s">
        <v>4613</v>
      </c>
      <c r="B4439" t="s">
        <v>151</v>
      </c>
      <c r="C4439" s="9">
        <v>25568</v>
      </c>
      <c r="D4439">
        <v>56</v>
      </c>
      <c r="E4439" t="s">
        <v>21</v>
      </c>
      <c r="F4439" t="s">
        <v>29</v>
      </c>
      <c r="G4439" s="9">
        <v>45135</v>
      </c>
      <c r="H4439" s="9">
        <v>45059</v>
      </c>
      <c r="I4439">
        <v>38</v>
      </c>
      <c r="J4439" t="s">
        <v>32</v>
      </c>
      <c r="K4439">
        <v>6</v>
      </c>
      <c r="L4439">
        <v>3</v>
      </c>
      <c r="M4439" s="11">
        <v>10069.15</v>
      </c>
      <c r="N4439" s="12">
        <v>13977.1</v>
      </c>
      <c r="O4439" s="12">
        <v>19680.169999999998</v>
      </c>
    </row>
    <row r="4440" spans="1:15">
      <c r="A4440" t="s">
        <v>4614</v>
      </c>
      <c r="B4440" t="s">
        <v>284</v>
      </c>
      <c r="C4440" s="9">
        <v>20090</v>
      </c>
      <c r="D4440">
        <v>71</v>
      </c>
      <c r="E4440" t="s">
        <v>17</v>
      </c>
      <c r="F4440" t="s">
        <v>49</v>
      </c>
      <c r="G4440" s="9">
        <v>45493</v>
      </c>
      <c r="H4440" s="9">
        <v>45473</v>
      </c>
      <c r="I4440">
        <v>23</v>
      </c>
      <c r="J4440" t="s">
        <v>35</v>
      </c>
      <c r="K4440">
        <v>14</v>
      </c>
      <c r="L4440">
        <v>3</v>
      </c>
      <c r="M4440" s="11">
        <v>19209.23</v>
      </c>
      <c r="N4440" s="12">
        <v>3409.79</v>
      </c>
      <c r="O4440" s="12">
        <v>16733.03</v>
      </c>
    </row>
    <row r="4441" spans="1:15">
      <c r="A4441" t="s">
        <v>4615</v>
      </c>
      <c r="B4441" t="s">
        <v>189</v>
      </c>
      <c r="C4441" s="9">
        <v>43831</v>
      </c>
      <c r="D4441">
        <v>6</v>
      </c>
      <c r="E4441" t="s">
        <v>21</v>
      </c>
      <c r="F4441" t="s">
        <v>29</v>
      </c>
      <c r="G4441" s="9">
        <v>45465</v>
      </c>
      <c r="H4441" s="9">
        <v>45526</v>
      </c>
      <c r="I4441">
        <v>6</v>
      </c>
      <c r="J4441" t="s">
        <v>26</v>
      </c>
      <c r="K4441">
        <v>3</v>
      </c>
      <c r="L4441">
        <v>2</v>
      </c>
      <c r="M4441" s="11">
        <v>4447.8</v>
      </c>
      <c r="N4441" s="12">
        <v>3164.56</v>
      </c>
      <c r="O4441" s="12">
        <v>16202.22</v>
      </c>
    </row>
    <row r="4442" spans="1:15">
      <c r="A4442" t="s">
        <v>4616</v>
      </c>
      <c r="B4442" t="s">
        <v>412</v>
      </c>
      <c r="C4442" s="9">
        <v>17898</v>
      </c>
      <c r="D4442">
        <v>77</v>
      </c>
      <c r="E4442" t="s">
        <v>21</v>
      </c>
      <c r="F4442" t="s">
        <v>22</v>
      </c>
      <c r="G4442" s="9">
        <v>45429</v>
      </c>
      <c r="H4442" s="9">
        <v>44959</v>
      </c>
      <c r="I4442">
        <v>13</v>
      </c>
      <c r="J4442" t="s">
        <v>32</v>
      </c>
      <c r="K4442">
        <v>10</v>
      </c>
      <c r="L4442">
        <v>1</v>
      </c>
      <c r="M4442" s="11">
        <v>19425.66</v>
      </c>
      <c r="N4442" s="12">
        <v>5841.38</v>
      </c>
      <c r="O4442" s="12">
        <v>3782.18</v>
      </c>
    </row>
    <row r="4443" spans="1:15">
      <c r="A4443" t="s">
        <v>4617</v>
      </c>
      <c r="B4443" t="s">
        <v>61</v>
      </c>
      <c r="C4443" s="9">
        <v>25934</v>
      </c>
      <c r="D4443">
        <v>55</v>
      </c>
      <c r="E4443" t="s">
        <v>21</v>
      </c>
      <c r="F4443" t="s">
        <v>29</v>
      </c>
      <c r="G4443" s="9">
        <v>45440</v>
      </c>
      <c r="H4443" s="9">
        <v>45186</v>
      </c>
      <c r="I4443">
        <v>28</v>
      </c>
      <c r="J4443" t="s">
        <v>32</v>
      </c>
      <c r="K4443">
        <v>6</v>
      </c>
      <c r="L4443">
        <v>7</v>
      </c>
      <c r="M4443" s="11">
        <v>0</v>
      </c>
      <c r="N4443" s="12">
        <v>14754.82</v>
      </c>
      <c r="O4443" s="12">
        <v>17892.82</v>
      </c>
    </row>
    <row r="4444" spans="1:15">
      <c r="A4444" t="s">
        <v>4618</v>
      </c>
      <c r="B4444" t="s">
        <v>479</v>
      </c>
      <c r="C4444" s="9">
        <v>21916</v>
      </c>
      <c r="D4444">
        <v>66</v>
      </c>
      <c r="E4444" t="s">
        <v>17</v>
      </c>
      <c r="F4444" t="s">
        <v>49</v>
      </c>
      <c r="G4444" s="9">
        <v>45506</v>
      </c>
      <c r="H4444" s="9">
        <v>45403</v>
      </c>
      <c r="I4444">
        <v>1</v>
      </c>
      <c r="J4444" t="s">
        <v>32</v>
      </c>
      <c r="K4444">
        <v>11</v>
      </c>
      <c r="L4444">
        <v>9</v>
      </c>
      <c r="M4444" s="11">
        <v>7770.49</v>
      </c>
      <c r="N4444" s="12">
        <v>5043.37</v>
      </c>
      <c r="O4444" s="12">
        <v>11074.51</v>
      </c>
    </row>
    <row r="4445" spans="1:15">
      <c r="A4445" t="s">
        <v>4619</v>
      </c>
      <c r="B4445" t="s">
        <v>446</v>
      </c>
      <c r="C4445" s="9">
        <f>DATE(2026-D4405,1,1)</f>
        <v>34335</v>
      </c>
      <c r="D4445">
        <v>15</v>
      </c>
      <c r="E4445" t="s">
        <v>21</v>
      </c>
      <c r="F4445" t="s">
        <v>49</v>
      </c>
      <c r="G4445" s="9">
        <v>45074</v>
      </c>
      <c r="H4445" s="9">
        <v>45763</v>
      </c>
      <c r="I4445">
        <v>29</v>
      </c>
      <c r="J4445" t="s">
        <v>35</v>
      </c>
      <c r="K4445">
        <v>4</v>
      </c>
      <c r="L4445">
        <v>1</v>
      </c>
      <c r="M4445" s="11">
        <v>13573.55</v>
      </c>
      <c r="N4445" s="12">
        <v>658.02</v>
      </c>
      <c r="O4445" s="12">
        <v>18329.259999999998</v>
      </c>
    </row>
    <row r="4446" spans="1:15">
      <c r="A4446" t="s">
        <v>4620</v>
      </c>
      <c r="B4446" t="s">
        <v>412</v>
      </c>
      <c r="C4446" s="9">
        <v>16072</v>
      </c>
      <c r="D4446">
        <v>82</v>
      </c>
      <c r="E4446" t="s">
        <v>17</v>
      </c>
      <c r="F4446" t="s">
        <v>22</v>
      </c>
      <c r="G4446" s="9">
        <v>45568</v>
      </c>
      <c r="H4446" s="9">
        <v>45752</v>
      </c>
      <c r="I4446">
        <v>7</v>
      </c>
      <c r="J4446" t="s">
        <v>32</v>
      </c>
      <c r="K4446">
        <v>12</v>
      </c>
      <c r="L4446">
        <v>4</v>
      </c>
      <c r="M4446" s="11">
        <v>405.83</v>
      </c>
      <c r="N4446" s="12">
        <v>3984.22</v>
      </c>
      <c r="O4446" s="12">
        <v>12999.38</v>
      </c>
    </row>
    <row r="4447" spans="1:15">
      <c r="A4447" t="s">
        <v>4621</v>
      </c>
      <c r="B4447" t="s">
        <v>51</v>
      </c>
      <c r="C4447" s="9">
        <v>27760</v>
      </c>
      <c r="D4447">
        <v>50</v>
      </c>
      <c r="E4447" t="s">
        <v>5185</v>
      </c>
      <c r="F4447" t="s">
        <v>5184</v>
      </c>
      <c r="G4447" s="9">
        <v>45009</v>
      </c>
      <c r="H4447" s="9">
        <v>45809</v>
      </c>
      <c r="I4447">
        <v>22</v>
      </c>
      <c r="J4447" t="s">
        <v>26</v>
      </c>
      <c r="K4447">
        <v>0</v>
      </c>
      <c r="L4447">
        <v>6</v>
      </c>
      <c r="M4447" s="11">
        <v>12738.49</v>
      </c>
      <c r="N4447" s="12">
        <v>8374.52</v>
      </c>
      <c r="O4447" s="12">
        <v>16666.759999999998</v>
      </c>
    </row>
    <row r="4448" spans="1:15">
      <c r="A4448" t="s">
        <v>4622</v>
      </c>
      <c r="B4448" t="s">
        <v>112</v>
      </c>
      <c r="C4448" s="9">
        <v>16437</v>
      </c>
      <c r="D4448">
        <v>81</v>
      </c>
      <c r="E4448" t="s">
        <v>21</v>
      </c>
      <c r="F4448" t="s">
        <v>25</v>
      </c>
      <c r="G4448" s="9">
        <v>44968</v>
      </c>
      <c r="H4448" s="9">
        <v>44960</v>
      </c>
      <c r="I4448">
        <v>15</v>
      </c>
      <c r="J4448" t="s">
        <v>32</v>
      </c>
      <c r="K4448">
        <v>5</v>
      </c>
      <c r="L4448">
        <v>8</v>
      </c>
      <c r="M4448" s="11">
        <v>11882.77</v>
      </c>
      <c r="N4448" s="12">
        <v>6188.16</v>
      </c>
      <c r="O4448" s="12">
        <v>3227.07</v>
      </c>
    </row>
    <row r="4449" spans="1:15">
      <c r="A4449" t="s">
        <v>4623</v>
      </c>
      <c r="B4449" t="s">
        <v>123</v>
      </c>
      <c r="C4449" s="9">
        <v>17168</v>
      </c>
      <c r="D4449">
        <f ca="1">DATEDIF(C4400,TODAY(),"Y")</f>
        <v>82</v>
      </c>
      <c r="E4449" t="s">
        <v>17</v>
      </c>
      <c r="F4449" t="s">
        <v>74</v>
      </c>
      <c r="G4449" s="9">
        <v>45082</v>
      </c>
      <c r="H4449" s="9">
        <v>45826</v>
      </c>
      <c r="I4449">
        <v>31</v>
      </c>
      <c r="J4449" t="s">
        <v>35</v>
      </c>
      <c r="K4449">
        <v>8</v>
      </c>
      <c r="L4449">
        <v>2</v>
      </c>
      <c r="M4449" s="11">
        <v>16723.57</v>
      </c>
      <c r="N4449" s="12">
        <v>11613.35</v>
      </c>
      <c r="O4449" s="12">
        <v>14101.08</v>
      </c>
    </row>
    <row r="4450" spans="1:15">
      <c r="A4450" t="s">
        <v>4624</v>
      </c>
      <c r="B4450" t="s">
        <v>97</v>
      </c>
      <c r="C4450" s="9">
        <v>20090</v>
      </c>
      <c r="D4450">
        <v>71</v>
      </c>
      <c r="E4450" t="s">
        <v>17</v>
      </c>
      <c r="F4450" t="s">
        <v>18</v>
      </c>
      <c r="G4450" s="9">
        <v>45595</v>
      </c>
      <c r="H4450" s="9">
        <v>45315</v>
      </c>
      <c r="I4450">
        <v>26</v>
      </c>
      <c r="J4450" t="s">
        <v>32</v>
      </c>
      <c r="K4450">
        <v>13</v>
      </c>
      <c r="L4450">
        <v>0</v>
      </c>
      <c r="M4450" s="11">
        <v>7331.5</v>
      </c>
      <c r="N4450" s="12">
        <v>9109.07</v>
      </c>
      <c r="O4450" s="12">
        <v>5070.7700000000004</v>
      </c>
    </row>
    <row r="4451" spans="1:15">
      <c r="A4451" t="s">
        <v>4625</v>
      </c>
      <c r="B4451" t="s">
        <v>139</v>
      </c>
      <c r="C4451" s="9">
        <v>42005</v>
      </c>
      <c r="D4451">
        <v>11</v>
      </c>
      <c r="E4451" t="s">
        <v>21</v>
      </c>
      <c r="F4451" t="s">
        <v>18</v>
      </c>
      <c r="G4451" s="9">
        <v>45379</v>
      </c>
      <c r="H4451" s="9">
        <v>45725</v>
      </c>
      <c r="I4451">
        <v>21</v>
      </c>
      <c r="J4451" t="s">
        <v>35</v>
      </c>
      <c r="K4451">
        <v>13</v>
      </c>
      <c r="L4451">
        <v>8</v>
      </c>
      <c r="M4451" s="11">
        <v>9523.9500000000007</v>
      </c>
      <c r="N4451" s="12">
        <v>8391.86</v>
      </c>
      <c r="O4451" s="12">
        <v>3294.93</v>
      </c>
    </row>
    <row r="4452" spans="1:15">
      <c r="A4452" t="s">
        <v>4626</v>
      </c>
      <c r="B4452" t="s">
        <v>211</v>
      </c>
      <c r="C4452" s="9">
        <v>27029</v>
      </c>
      <c r="D4452">
        <v>52</v>
      </c>
      <c r="E4452" t="s">
        <v>17</v>
      </c>
      <c r="F4452" t="s">
        <v>22</v>
      </c>
      <c r="G4452" s="9">
        <v>45545</v>
      </c>
      <c r="H4452" s="9">
        <v>45765</v>
      </c>
      <c r="I4452">
        <v>0</v>
      </c>
      <c r="J4452" t="s">
        <v>32</v>
      </c>
      <c r="K4452">
        <v>13</v>
      </c>
      <c r="L4452">
        <v>0</v>
      </c>
      <c r="M4452" s="11">
        <v>18101.849999999999</v>
      </c>
      <c r="N4452" s="12">
        <v>4844.91</v>
      </c>
      <c r="O4452" s="12">
        <v>11437.04</v>
      </c>
    </row>
    <row r="4453" spans="1:15">
      <c r="A4453" t="s">
        <v>4627</v>
      </c>
      <c r="B4453" t="s">
        <v>112</v>
      </c>
      <c r="C4453" s="9">
        <v>18994</v>
      </c>
      <c r="D4453">
        <v>74</v>
      </c>
      <c r="E4453" t="s">
        <v>21</v>
      </c>
      <c r="F4453" t="s">
        <v>5184</v>
      </c>
      <c r="G4453" s="9">
        <v>45210</v>
      </c>
      <c r="H4453" s="9">
        <v>45488</v>
      </c>
      <c r="I4453">
        <v>12</v>
      </c>
      <c r="J4453" t="s">
        <v>35</v>
      </c>
      <c r="K4453">
        <v>7</v>
      </c>
      <c r="L4453">
        <v>7</v>
      </c>
      <c r="M4453" s="11">
        <v>27208.48</v>
      </c>
      <c r="N4453" s="12">
        <v>8277.69</v>
      </c>
      <c r="O4453" s="12">
        <v>12015.1</v>
      </c>
    </row>
    <row r="4454" spans="1:15">
      <c r="A4454" t="s">
        <v>4628</v>
      </c>
      <c r="B4454" t="s">
        <v>117</v>
      </c>
      <c r="C4454" s="9">
        <v>44561</v>
      </c>
      <c r="D4454">
        <v>4</v>
      </c>
      <c r="E4454" t="s">
        <v>17</v>
      </c>
      <c r="F4454" t="s">
        <v>18</v>
      </c>
      <c r="G4454" s="9">
        <v>45114</v>
      </c>
      <c r="H4454" s="9">
        <v>45725</v>
      </c>
      <c r="I4454">
        <v>0</v>
      </c>
      <c r="J4454" t="s">
        <v>32</v>
      </c>
      <c r="K4454">
        <v>5</v>
      </c>
      <c r="L4454">
        <v>1</v>
      </c>
      <c r="M4454" s="11">
        <v>6673.54</v>
      </c>
      <c r="N4454" s="12">
        <v>9233.86</v>
      </c>
      <c r="O4454" s="12">
        <v>9761.42</v>
      </c>
    </row>
    <row r="4455" spans="1:15">
      <c r="A4455" t="s">
        <v>4629</v>
      </c>
      <c r="B4455" t="s">
        <v>91</v>
      </c>
      <c r="C4455" s="9">
        <v>36526</v>
      </c>
      <c r="D4455">
        <v>26</v>
      </c>
      <c r="E4455" t="s">
        <v>21</v>
      </c>
      <c r="F4455" t="s">
        <v>29</v>
      </c>
      <c r="G4455" s="9">
        <v>45543</v>
      </c>
      <c r="H4455" s="9">
        <v>45383</v>
      </c>
      <c r="I4455">
        <v>28</v>
      </c>
      <c r="J4455" t="s">
        <v>32</v>
      </c>
      <c r="K4455">
        <v>9</v>
      </c>
      <c r="L4455">
        <v>6</v>
      </c>
      <c r="M4455" s="11">
        <v>20162.48</v>
      </c>
      <c r="N4455" s="12">
        <v>2688.07</v>
      </c>
      <c r="O4455" s="12">
        <v>1689.72</v>
      </c>
    </row>
    <row r="4456" spans="1:15">
      <c r="A4456" t="s">
        <v>4630</v>
      </c>
      <c r="B4456" t="s">
        <v>39</v>
      </c>
      <c r="C4456" s="9">
        <v>42005</v>
      </c>
      <c r="D4456">
        <v>11</v>
      </c>
      <c r="E4456" t="s">
        <v>21</v>
      </c>
      <c r="F4456" t="s">
        <v>49</v>
      </c>
      <c r="G4456" s="9">
        <v>45550</v>
      </c>
      <c r="H4456" s="9">
        <v>45521</v>
      </c>
      <c r="I4456">
        <v>7</v>
      </c>
      <c r="J4456" t="s">
        <v>32</v>
      </c>
      <c r="K4456">
        <v>3</v>
      </c>
      <c r="L4456">
        <v>2</v>
      </c>
      <c r="M4456" s="11">
        <v>15478.44</v>
      </c>
      <c r="N4456" s="12">
        <v>11038.02</v>
      </c>
      <c r="O4456" s="12">
        <v>4819.46</v>
      </c>
    </row>
    <row r="4457" spans="1:15">
      <c r="A4457" t="s">
        <v>4631</v>
      </c>
      <c r="B4457" t="s">
        <v>48</v>
      </c>
      <c r="C4457" s="9">
        <v>40178</v>
      </c>
      <c r="D4457">
        <v>16</v>
      </c>
      <c r="E4457" t="s">
        <v>17</v>
      </c>
      <c r="F4457" t="s">
        <v>5184</v>
      </c>
      <c r="G4457" s="9">
        <v>45400</v>
      </c>
      <c r="H4457" s="9">
        <v>45071</v>
      </c>
      <c r="I4457">
        <v>35</v>
      </c>
      <c r="J4457" t="s">
        <v>26</v>
      </c>
      <c r="K4457">
        <v>14</v>
      </c>
      <c r="L4457">
        <v>5</v>
      </c>
      <c r="M4457" s="11">
        <v>2690.58</v>
      </c>
      <c r="N4457" s="12">
        <v>5893.99</v>
      </c>
      <c r="O4457" s="12">
        <v>4632.5600000000004</v>
      </c>
    </row>
    <row r="4458" spans="1:15">
      <c r="A4458" t="s">
        <v>4632</v>
      </c>
      <c r="B4458" t="s">
        <v>292</v>
      </c>
      <c r="C4458" s="9">
        <v>44196</v>
      </c>
      <c r="D4458">
        <v>5</v>
      </c>
      <c r="E4458" t="s">
        <v>21</v>
      </c>
      <c r="F4458" t="s">
        <v>49</v>
      </c>
      <c r="G4458" s="9">
        <v>45433</v>
      </c>
      <c r="H4458" s="9">
        <v>45719</v>
      </c>
      <c r="I4458">
        <v>19</v>
      </c>
      <c r="J4458" t="s">
        <v>32</v>
      </c>
      <c r="K4458">
        <v>2</v>
      </c>
      <c r="L4458">
        <v>5</v>
      </c>
      <c r="M4458" s="11">
        <v>16745.71</v>
      </c>
      <c r="N4458" s="12">
        <v>11134.14</v>
      </c>
      <c r="O4458" s="12">
        <v>6205.41</v>
      </c>
    </row>
    <row r="4459" spans="1:15">
      <c r="A4459" t="s">
        <v>4633</v>
      </c>
      <c r="B4459" t="s">
        <v>55</v>
      </c>
      <c r="C4459" s="9">
        <v>44561</v>
      </c>
      <c r="D4459">
        <v>4</v>
      </c>
      <c r="E4459" t="s">
        <v>21</v>
      </c>
      <c r="F4459" t="s">
        <v>22</v>
      </c>
      <c r="G4459" s="9">
        <v>45059</v>
      </c>
      <c r="H4459" s="9">
        <v>45810</v>
      </c>
      <c r="I4459">
        <v>11</v>
      </c>
      <c r="J4459" t="s">
        <v>26</v>
      </c>
      <c r="K4459">
        <v>9</v>
      </c>
      <c r="L4459">
        <v>3</v>
      </c>
      <c r="M4459" s="11">
        <v>21118.639999999999</v>
      </c>
      <c r="N4459" s="12">
        <v>2665.66</v>
      </c>
      <c r="O4459" s="12">
        <v>12524.11</v>
      </c>
    </row>
    <row r="4460" spans="1:15">
      <c r="A4460" t="s">
        <v>4634</v>
      </c>
      <c r="B4460" t="s">
        <v>338</v>
      </c>
      <c r="C4460" s="9">
        <v>25568</v>
      </c>
      <c r="D4460">
        <v>56</v>
      </c>
      <c r="E4460" t="s">
        <v>21</v>
      </c>
      <c r="F4460" t="s">
        <v>49</v>
      </c>
      <c r="G4460" s="9">
        <v>45197</v>
      </c>
      <c r="H4460" s="9">
        <v>45531</v>
      </c>
      <c r="I4460">
        <v>6</v>
      </c>
      <c r="J4460" t="s">
        <v>32</v>
      </c>
      <c r="K4460">
        <v>12</v>
      </c>
      <c r="L4460">
        <v>7</v>
      </c>
      <c r="M4460" s="11">
        <v>17746.740000000002</v>
      </c>
      <c r="N4460" s="12">
        <v>9847.81</v>
      </c>
      <c r="O4460" s="12">
        <v>8703.5400000000009</v>
      </c>
    </row>
    <row r="4461" spans="1:15">
      <c r="A4461" t="s">
        <v>4635</v>
      </c>
      <c r="B4461" t="s">
        <v>671</v>
      </c>
      <c r="C4461" s="9">
        <v>36161</v>
      </c>
      <c r="D4461">
        <v>27</v>
      </c>
      <c r="E4461" t="s">
        <v>21</v>
      </c>
      <c r="F4461" t="s">
        <v>74</v>
      </c>
      <c r="G4461" s="9">
        <v>45548</v>
      </c>
      <c r="H4461" s="9">
        <v>45151</v>
      </c>
      <c r="I4461">
        <v>15</v>
      </c>
      <c r="J4461" t="s">
        <v>32</v>
      </c>
      <c r="K4461">
        <v>6</v>
      </c>
      <c r="L4461">
        <v>4</v>
      </c>
      <c r="M4461" s="11">
        <v>2684.63</v>
      </c>
      <c r="N4461" s="12">
        <v>403.25</v>
      </c>
      <c r="O4461" s="12">
        <v>19364.54</v>
      </c>
    </row>
    <row r="4462" spans="1:15">
      <c r="A4462" t="s">
        <v>4636</v>
      </c>
      <c r="B4462" t="s">
        <v>211</v>
      </c>
      <c r="C4462" s="9">
        <v>17898</v>
      </c>
      <c r="D4462">
        <v>77</v>
      </c>
      <c r="E4462" t="s">
        <v>17</v>
      </c>
      <c r="F4462" t="s">
        <v>49</v>
      </c>
      <c r="G4462" s="9">
        <v>44999</v>
      </c>
      <c r="H4462" s="9">
        <v>45144</v>
      </c>
      <c r="I4462">
        <v>5</v>
      </c>
      <c r="J4462" t="s">
        <v>32</v>
      </c>
      <c r="K4462">
        <v>4</v>
      </c>
      <c r="L4462">
        <v>6</v>
      </c>
      <c r="M4462" s="11">
        <v>25563.46</v>
      </c>
      <c r="N4462" s="12">
        <v>2384.4899999999998</v>
      </c>
      <c r="O4462" s="12">
        <v>218.47</v>
      </c>
    </row>
    <row r="4463" spans="1:15">
      <c r="A4463" t="s">
        <v>4637</v>
      </c>
      <c r="B4463" t="s">
        <v>232</v>
      </c>
      <c r="C4463" s="9">
        <v>21185</v>
      </c>
      <c r="D4463">
        <v>68</v>
      </c>
      <c r="E4463" t="s">
        <v>17</v>
      </c>
      <c r="F4463" t="s">
        <v>49</v>
      </c>
      <c r="G4463" s="9">
        <v>45362</v>
      </c>
      <c r="H4463" s="9">
        <v>45083</v>
      </c>
      <c r="I4463">
        <v>35</v>
      </c>
      <c r="J4463" t="s">
        <v>35</v>
      </c>
      <c r="K4463">
        <v>11</v>
      </c>
      <c r="L4463">
        <v>4</v>
      </c>
      <c r="M4463" s="11">
        <v>750.61</v>
      </c>
      <c r="N4463" s="12">
        <v>13366.81</v>
      </c>
      <c r="O4463" s="12">
        <v>4239.66</v>
      </c>
    </row>
    <row r="4464" spans="1:15">
      <c r="A4464" t="s">
        <v>4638</v>
      </c>
      <c r="B4464" t="s">
        <v>170</v>
      </c>
      <c r="C4464" s="9">
        <v>24838</v>
      </c>
      <c r="D4464">
        <v>58</v>
      </c>
      <c r="E4464" t="s">
        <v>17</v>
      </c>
      <c r="F4464" t="s">
        <v>5184</v>
      </c>
      <c r="G4464" s="9">
        <v>45219</v>
      </c>
      <c r="H4464" s="9">
        <v>45716</v>
      </c>
      <c r="I4464">
        <v>12</v>
      </c>
      <c r="J4464" t="s">
        <v>32</v>
      </c>
      <c r="K4464">
        <v>14</v>
      </c>
      <c r="L4464">
        <v>3</v>
      </c>
      <c r="M4464" s="11">
        <v>6698.14</v>
      </c>
      <c r="N4464" s="12">
        <v>6922.08</v>
      </c>
      <c r="O4464" s="12">
        <v>11425.49</v>
      </c>
    </row>
    <row r="4465" spans="1:15">
      <c r="A4465" t="s">
        <v>4639</v>
      </c>
      <c r="B4465" t="s">
        <v>84</v>
      </c>
      <c r="C4465" s="9">
        <v>34334</v>
      </c>
      <c r="D4465">
        <v>32</v>
      </c>
      <c r="E4465" t="s">
        <v>17</v>
      </c>
      <c r="F4465" t="s">
        <v>29</v>
      </c>
      <c r="G4465" s="9">
        <v>45581</v>
      </c>
      <c r="H4465" s="9">
        <v>45447</v>
      </c>
      <c r="I4465">
        <v>12</v>
      </c>
      <c r="J4465" t="s">
        <v>35</v>
      </c>
      <c r="K4465">
        <v>3</v>
      </c>
      <c r="L4465">
        <v>5</v>
      </c>
      <c r="M4465" s="11">
        <v>18279.150000000001</v>
      </c>
      <c r="N4465" s="12">
        <v>7617.94</v>
      </c>
      <c r="O4465" s="12">
        <v>17574.72</v>
      </c>
    </row>
    <row r="4466" spans="1:15">
      <c r="A4466" t="s">
        <v>4640</v>
      </c>
      <c r="B4466" t="s">
        <v>292</v>
      </c>
      <c r="C4466" s="9">
        <v>23742</v>
      </c>
      <c r="D4466">
        <v>61</v>
      </c>
      <c r="E4466" t="s">
        <v>21</v>
      </c>
      <c r="F4466" t="s">
        <v>25</v>
      </c>
      <c r="G4466" s="9">
        <v>45363</v>
      </c>
      <c r="H4466" s="9">
        <v>44963</v>
      </c>
      <c r="I4466">
        <v>3</v>
      </c>
      <c r="J4466" t="s">
        <v>35</v>
      </c>
      <c r="K4466">
        <v>5</v>
      </c>
      <c r="L4466">
        <v>2</v>
      </c>
      <c r="M4466" s="11">
        <v>6149.39</v>
      </c>
      <c r="N4466" s="12">
        <v>13613.67</v>
      </c>
      <c r="O4466" s="12">
        <v>581.53</v>
      </c>
    </row>
    <row r="4467" spans="1:15">
      <c r="A4467" t="s">
        <v>4641</v>
      </c>
      <c r="B4467" t="s">
        <v>44</v>
      </c>
      <c r="C4467" s="9">
        <v>28125</v>
      </c>
      <c r="D4467">
        <v>49</v>
      </c>
      <c r="E4467" t="s">
        <v>21</v>
      </c>
      <c r="F4467" t="s">
        <v>18</v>
      </c>
      <c r="G4467" s="9">
        <v>45593</v>
      </c>
      <c r="H4467" s="9">
        <v>45563</v>
      </c>
      <c r="I4467">
        <v>9</v>
      </c>
      <c r="J4467" t="s">
        <v>35</v>
      </c>
      <c r="K4467">
        <v>14</v>
      </c>
      <c r="L4467">
        <v>5</v>
      </c>
      <c r="M4467" s="11">
        <v>2604.86</v>
      </c>
      <c r="N4467" s="12">
        <v>7274</v>
      </c>
      <c r="O4467" s="12">
        <v>17660.580000000002</v>
      </c>
    </row>
    <row r="4468" spans="1:15">
      <c r="A4468" t="s">
        <v>4642</v>
      </c>
      <c r="B4468" t="s">
        <v>546</v>
      </c>
      <c r="C4468" s="9">
        <v>39448</v>
      </c>
      <c r="D4468">
        <v>18</v>
      </c>
      <c r="E4468" t="s">
        <v>17</v>
      </c>
      <c r="F4468" t="s">
        <v>29</v>
      </c>
      <c r="G4468" s="9">
        <v>45587</v>
      </c>
      <c r="H4468" s="9">
        <v>44936</v>
      </c>
      <c r="I4468">
        <v>39</v>
      </c>
      <c r="J4468" t="s">
        <v>35</v>
      </c>
      <c r="K4468">
        <v>9</v>
      </c>
      <c r="L4468">
        <v>5</v>
      </c>
      <c r="M4468" s="11">
        <v>15113.51</v>
      </c>
      <c r="N4468" s="12">
        <v>9818.83</v>
      </c>
      <c r="O4468" s="12">
        <v>10096.200000000001</v>
      </c>
    </row>
    <row r="4469" spans="1:15">
      <c r="A4469" t="s">
        <v>4643</v>
      </c>
      <c r="B4469" t="s">
        <v>67</v>
      </c>
      <c r="C4469" s="9">
        <v>14976</v>
      </c>
      <c r="D4469">
        <v>85</v>
      </c>
      <c r="E4469" t="s">
        <v>17</v>
      </c>
      <c r="F4469" t="s">
        <v>29</v>
      </c>
      <c r="G4469" s="9">
        <v>44986</v>
      </c>
      <c r="H4469" s="9">
        <v>44967</v>
      </c>
      <c r="I4469">
        <v>16</v>
      </c>
      <c r="J4469" t="s">
        <v>26</v>
      </c>
      <c r="K4469">
        <v>1</v>
      </c>
      <c r="L4469">
        <v>5</v>
      </c>
      <c r="M4469" s="11">
        <v>21535.03</v>
      </c>
      <c r="N4469" s="12">
        <v>3329.33</v>
      </c>
      <c r="O4469" s="12">
        <v>15688.22</v>
      </c>
    </row>
    <row r="4470" spans="1:15">
      <c r="A4470" t="s">
        <v>4644</v>
      </c>
      <c r="B4470" t="s">
        <v>91</v>
      </c>
      <c r="C4470" s="9">
        <v>21185</v>
      </c>
      <c r="D4470">
        <v>68</v>
      </c>
      <c r="E4470" t="s">
        <v>21</v>
      </c>
      <c r="F4470" t="s">
        <v>29</v>
      </c>
      <c r="G4470" s="9">
        <v>45524</v>
      </c>
      <c r="H4470" s="9">
        <v>45396</v>
      </c>
      <c r="I4470">
        <v>37</v>
      </c>
      <c r="J4470" t="s">
        <v>32</v>
      </c>
      <c r="K4470">
        <v>7</v>
      </c>
      <c r="L4470">
        <v>2</v>
      </c>
      <c r="M4470" s="11">
        <v>12028.03</v>
      </c>
      <c r="N4470" s="12">
        <v>1223.5999999999999</v>
      </c>
      <c r="O4470" s="12">
        <v>18967.900000000001</v>
      </c>
    </row>
    <row r="4471" spans="1:15">
      <c r="A4471" t="s">
        <v>4645</v>
      </c>
      <c r="B4471" t="s">
        <v>176</v>
      </c>
      <c r="C4471" s="9">
        <v>22281</v>
      </c>
      <c r="D4471">
        <v>65</v>
      </c>
      <c r="E4471" t="s">
        <v>21</v>
      </c>
      <c r="F4471" t="s">
        <v>18</v>
      </c>
      <c r="G4471" s="9">
        <v>45630</v>
      </c>
      <c r="H4471" s="9">
        <v>45106</v>
      </c>
      <c r="I4471">
        <v>2</v>
      </c>
      <c r="J4471" t="s">
        <v>35</v>
      </c>
      <c r="K4471">
        <v>2</v>
      </c>
      <c r="L4471">
        <v>7</v>
      </c>
      <c r="M4471" s="11">
        <v>20803.060000000001</v>
      </c>
      <c r="N4471" s="12">
        <v>5300.28</v>
      </c>
      <c r="O4471" s="12">
        <v>4229.63</v>
      </c>
    </row>
    <row r="4472" spans="1:15">
      <c r="A4472" t="s">
        <v>4646</v>
      </c>
      <c r="B4472" t="s">
        <v>147</v>
      </c>
      <c r="C4472" s="9">
        <v>12054</v>
      </c>
      <c r="D4472">
        <v>93</v>
      </c>
      <c r="E4472" t="s">
        <v>17</v>
      </c>
      <c r="F4472" t="s">
        <v>22</v>
      </c>
      <c r="G4472" s="9">
        <v>45253</v>
      </c>
      <c r="H4472" s="9">
        <v>45568</v>
      </c>
      <c r="I4472">
        <v>24</v>
      </c>
      <c r="J4472" t="s">
        <v>26</v>
      </c>
      <c r="K4472">
        <v>10</v>
      </c>
      <c r="L4472">
        <v>3</v>
      </c>
      <c r="M4472" s="11">
        <v>25749.95</v>
      </c>
      <c r="N4472" s="12">
        <v>11980.19</v>
      </c>
      <c r="O4472" s="12">
        <v>11716.99</v>
      </c>
    </row>
    <row r="4473" spans="1:15">
      <c r="A4473" t="s">
        <v>4647</v>
      </c>
      <c r="B4473" t="s">
        <v>671</v>
      </c>
      <c r="C4473" s="9">
        <v>29221</v>
      </c>
      <c r="D4473">
        <v>46</v>
      </c>
      <c r="E4473" t="s">
        <v>17</v>
      </c>
      <c r="F4473" t="s">
        <v>29</v>
      </c>
      <c r="G4473" s="9">
        <v>45108</v>
      </c>
      <c r="H4473" s="9">
        <v>45428</v>
      </c>
      <c r="I4473">
        <v>7</v>
      </c>
      <c r="J4473" t="s">
        <v>32</v>
      </c>
      <c r="K4473">
        <v>2</v>
      </c>
      <c r="L4473">
        <v>1</v>
      </c>
      <c r="M4473" s="11">
        <v>28743.3</v>
      </c>
      <c r="N4473" s="12">
        <v>6702.56</v>
      </c>
      <c r="O4473" s="12">
        <v>17661.75</v>
      </c>
    </row>
    <row r="4474" spans="1:15">
      <c r="A4474" t="s">
        <v>4648</v>
      </c>
      <c r="B4474" t="s">
        <v>82</v>
      </c>
      <c r="C4474" s="9">
        <v>32143</v>
      </c>
      <c r="D4474">
        <v>38</v>
      </c>
      <c r="E4474" t="s">
        <v>17</v>
      </c>
      <c r="F4474" t="s">
        <v>25</v>
      </c>
      <c r="G4474" s="9">
        <v>45360</v>
      </c>
      <c r="H4474" s="9">
        <v>45300</v>
      </c>
      <c r="I4474">
        <v>11</v>
      </c>
      <c r="J4474" t="s">
        <v>35</v>
      </c>
      <c r="K4474">
        <v>13</v>
      </c>
      <c r="L4474">
        <v>6</v>
      </c>
      <c r="M4474" s="11">
        <v>6614.58</v>
      </c>
      <c r="N4474" s="12">
        <v>2522.2600000000002</v>
      </c>
      <c r="O4474" s="12">
        <v>16872.650000000001</v>
      </c>
    </row>
    <row r="4475" spans="1:15">
      <c r="A4475" t="s">
        <v>4649</v>
      </c>
      <c r="B4475" t="s">
        <v>341</v>
      </c>
      <c r="C4475" s="9">
        <v>21551</v>
      </c>
      <c r="D4475">
        <v>67</v>
      </c>
      <c r="E4475" t="s">
        <v>21</v>
      </c>
      <c r="F4475" t="s">
        <v>22</v>
      </c>
      <c r="G4475" s="9">
        <v>45445</v>
      </c>
      <c r="H4475" s="9">
        <v>44995</v>
      </c>
      <c r="I4475">
        <v>31</v>
      </c>
      <c r="J4475" t="s">
        <v>35</v>
      </c>
      <c r="K4475">
        <v>6</v>
      </c>
      <c r="L4475">
        <v>7</v>
      </c>
      <c r="M4475" s="11">
        <v>17963.509999999998</v>
      </c>
      <c r="N4475" s="12">
        <v>8176.47</v>
      </c>
      <c r="O4475" s="12">
        <v>10371.379999999999</v>
      </c>
    </row>
    <row r="4476" spans="1:15">
      <c r="A4476" t="s">
        <v>4650</v>
      </c>
      <c r="B4476" t="s">
        <v>89</v>
      </c>
      <c r="C4476" s="9">
        <v>34334</v>
      </c>
      <c r="D4476">
        <v>32</v>
      </c>
      <c r="E4476" t="s">
        <v>17</v>
      </c>
      <c r="F4476" t="s">
        <v>49</v>
      </c>
      <c r="G4476" s="9">
        <v>45564</v>
      </c>
      <c r="H4476" s="9">
        <v>45593</v>
      </c>
      <c r="I4476">
        <v>12</v>
      </c>
      <c r="J4476" t="s">
        <v>26</v>
      </c>
      <c r="K4476">
        <v>4</v>
      </c>
      <c r="L4476">
        <v>3</v>
      </c>
      <c r="M4476" s="11">
        <v>7639.66</v>
      </c>
      <c r="N4476" s="12">
        <v>3957.61</v>
      </c>
      <c r="O4476" s="12">
        <v>18984.79</v>
      </c>
    </row>
    <row r="4477" spans="1:15">
      <c r="A4477" t="s">
        <v>4651</v>
      </c>
      <c r="B4477" t="s">
        <v>204</v>
      </c>
      <c r="C4477" s="9">
        <v>41639</v>
      </c>
      <c r="D4477">
        <v>12</v>
      </c>
      <c r="E4477" t="s">
        <v>21</v>
      </c>
      <c r="F4477" t="s">
        <v>25</v>
      </c>
      <c r="G4477" s="9">
        <v>45009</v>
      </c>
      <c r="H4477" s="9">
        <v>45351</v>
      </c>
      <c r="I4477">
        <v>26</v>
      </c>
      <c r="J4477" t="s">
        <v>32</v>
      </c>
      <c r="K4477">
        <v>12</v>
      </c>
      <c r="L4477">
        <v>5</v>
      </c>
      <c r="M4477" s="11">
        <v>26063.01</v>
      </c>
      <c r="N4477" s="12">
        <v>14200.02</v>
      </c>
      <c r="O4477" s="12">
        <v>14139.74</v>
      </c>
    </row>
    <row r="4478" spans="1:15">
      <c r="A4478" t="s">
        <v>4652</v>
      </c>
      <c r="B4478" t="s">
        <v>87</v>
      </c>
      <c r="C4478" s="9">
        <v>15707</v>
      </c>
      <c r="D4478">
        <v>83</v>
      </c>
      <c r="E4478" t="s">
        <v>21</v>
      </c>
      <c r="F4478" t="s">
        <v>5184</v>
      </c>
      <c r="G4478" s="9">
        <v>44954</v>
      </c>
      <c r="H4478" s="9">
        <v>45442</v>
      </c>
      <c r="I4478">
        <v>23</v>
      </c>
      <c r="J4478" t="s">
        <v>32</v>
      </c>
      <c r="K4478">
        <v>9</v>
      </c>
      <c r="L4478">
        <v>7</v>
      </c>
      <c r="M4478" s="11">
        <v>26653.78</v>
      </c>
      <c r="N4478" s="12">
        <v>8661.19</v>
      </c>
      <c r="O4478" s="12">
        <v>10434.700000000001</v>
      </c>
    </row>
    <row r="4479" spans="1:15">
      <c r="A4479" t="s">
        <v>4653</v>
      </c>
      <c r="B4479" t="s">
        <v>338</v>
      </c>
      <c r="C4479" s="9">
        <v>26664</v>
      </c>
      <c r="D4479">
        <v>53</v>
      </c>
      <c r="E4479" t="s">
        <v>17</v>
      </c>
      <c r="F4479" t="s">
        <v>22</v>
      </c>
      <c r="G4479" s="9">
        <v>45192</v>
      </c>
      <c r="H4479" s="9">
        <v>45291</v>
      </c>
      <c r="I4479">
        <v>24</v>
      </c>
      <c r="J4479" t="s">
        <v>26</v>
      </c>
      <c r="K4479">
        <v>1</v>
      </c>
      <c r="L4479">
        <v>4</v>
      </c>
      <c r="M4479" s="11">
        <v>9325.91</v>
      </c>
      <c r="N4479" s="12">
        <v>14744.44</v>
      </c>
      <c r="O4479" s="12">
        <v>1063.8399999999999</v>
      </c>
    </row>
    <row r="4480" spans="1:15">
      <c r="A4480" t="s">
        <v>4654</v>
      </c>
      <c r="B4480" t="s">
        <v>187</v>
      </c>
      <c r="C4480" s="9">
        <v>43831</v>
      </c>
      <c r="D4480">
        <v>6</v>
      </c>
      <c r="E4480" t="s">
        <v>21</v>
      </c>
      <c r="F4480" t="s">
        <v>49</v>
      </c>
      <c r="G4480" s="9">
        <v>45209</v>
      </c>
      <c r="H4480" s="9">
        <v>45817</v>
      </c>
      <c r="I4480">
        <v>0</v>
      </c>
      <c r="J4480" t="s">
        <v>35</v>
      </c>
      <c r="K4480">
        <v>0</v>
      </c>
      <c r="L4480">
        <v>8</v>
      </c>
      <c r="M4480" s="11">
        <v>19182.97</v>
      </c>
      <c r="N4480" s="12">
        <v>646.09</v>
      </c>
      <c r="O4480" s="12">
        <v>9694.85</v>
      </c>
    </row>
    <row r="4481" spans="1:15">
      <c r="A4481" t="s">
        <v>4655</v>
      </c>
      <c r="B4481" t="s">
        <v>189</v>
      </c>
      <c r="C4481" s="9">
        <v>17533</v>
      </c>
      <c r="D4481">
        <v>78</v>
      </c>
      <c r="E4481" t="s">
        <v>21</v>
      </c>
      <c r="F4481" t="s">
        <v>49</v>
      </c>
      <c r="G4481" s="9">
        <v>45323</v>
      </c>
      <c r="H4481" s="9">
        <v>45704</v>
      </c>
      <c r="I4481">
        <v>0</v>
      </c>
      <c r="J4481" t="s">
        <v>32</v>
      </c>
      <c r="K4481">
        <v>7</v>
      </c>
      <c r="L4481">
        <v>5</v>
      </c>
      <c r="M4481" s="11">
        <v>26574.1</v>
      </c>
      <c r="N4481" s="12">
        <v>173.39</v>
      </c>
      <c r="O4481" s="12">
        <v>8380.2000000000007</v>
      </c>
    </row>
    <row r="4482" spans="1:15">
      <c r="A4482" t="s">
        <v>4656</v>
      </c>
      <c r="B4482" t="s">
        <v>387</v>
      </c>
      <c r="C4482" s="9">
        <v>14611</v>
      </c>
      <c r="D4482">
        <v>86</v>
      </c>
      <c r="E4482" t="s">
        <v>5185</v>
      </c>
      <c r="F4482" t="s">
        <v>29</v>
      </c>
      <c r="G4482" s="9">
        <v>45626</v>
      </c>
      <c r="H4482" s="9">
        <v>45378</v>
      </c>
      <c r="I4482">
        <v>32</v>
      </c>
      <c r="J4482" t="s">
        <v>26</v>
      </c>
      <c r="K4482">
        <v>14</v>
      </c>
      <c r="L4482">
        <v>5</v>
      </c>
      <c r="M4482" s="11">
        <v>15005.09</v>
      </c>
      <c r="N4482" s="12">
        <v>7156.43</v>
      </c>
      <c r="O4482" s="12">
        <v>6035.59</v>
      </c>
    </row>
    <row r="4483" spans="1:15">
      <c r="A4483" t="s">
        <v>4657</v>
      </c>
      <c r="B4483" t="s">
        <v>129</v>
      </c>
      <c r="C4483" s="9">
        <f>DATE(2026-D4443,1,1)</f>
        <v>25934</v>
      </c>
      <c r="D4483">
        <v>13</v>
      </c>
      <c r="E4483" t="s">
        <v>17</v>
      </c>
      <c r="F4483" t="s">
        <v>29</v>
      </c>
      <c r="G4483" s="9">
        <v>45309</v>
      </c>
      <c r="H4483" s="9">
        <v>45443</v>
      </c>
      <c r="I4483">
        <v>32</v>
      </c>
      <c r="J4483" t="s">
        <v>32</v>
      </c>
      <c r="K4483">
        <v>4</v>
      </c>
      <c r="L4483">
        <v>1</v>
      </c>
      <c r="M4483" s="11">
        <v>21474.35</v>
      </c>
      <c r="N4483" s="12">
        <v>12929.99</v>
      </c>
      <c r="O4483" s="12">
        <v>18852.12</v>
      </c>
    </row>
    <row r="4484" spans="1:15">
      <c r="A4484" t="s">
        <v>4658</v>
      </c>
      <c r="B4484" t="s">
        <v>392</v>
      </c>
      <c r="C4484" s="9">
        <v>14611</v>
      </c>
      <c r="D4484">
        <v>86</v>
      </c>
      <c r="E4484" t="s">
        <v>17</v>
      </c>
      <c r="F4484" t="s">
        <v>18</v>
      </c>
      <c r="G4484" s="9">
        <v>45507</v>
      </c>
      <c r="H4484" s="9">
        <v>45701</v>
      </c>
      <c r="I4484">
        <v>3</v>
      </c>
      <c r="J4484" t="s">
        <v>35</v>
      </c>
      <c r="K4484">
        <v>5</v>
      </c>
      <c r="L4484">
        <v>6</v>
      </c>
      <c r="M4484" s="11">
        <v>23926.09</v>
      </c>
      <c r="N4484" s="12">
        <v>7866.1</v>
      </c>
      <c r="O4484" s="12">
        <v>18506.57</v>
      </c>
    </row>
    <row r="4485" spans="1:15">
      <c r="A4485" t="s">
        <v>4659</v>
      </c>
      <c r="B4485" t="s">
        <v>51</v>
      </c>
      <c r="C4485" s="9">
        <v>39448</v>
      </c>
      <c r="D4485">
        <f ca="1">DATEDIF(C4436,TODAY(),"Y")</f>
        <v>22</v>
      </c>
      <c r="E4485" t="s">
        <v>21</v>
      </c>
      <c r="F4485" t="s">
        <v>74</v>
      </c>
      <c r="G4485" s="9">
        <v>45245</v>
      </c>
      <c r="H4485" s="9">
        <v>45256</v>
      </c>
      <c r="I4485">
        <v>11</v>
      </c>
      <c r="J4485" t="s">
        <v>35</v>
      </c>
      <c r="K4485">
        <v>9</v>
      </c>
      <c r="L4485">
        <v>8</v>
      </c>
      <c r="M4485" s="11">
        <v>26092.83</v>
      </c>
      <c r="N4485" s="12">
        <v>13142.8</v>
      </c>
      <c r="O4485" s="12">
        <v>6679.42</v>
      </c>
    </row>
    <row r="4486" spans="1:15">
      <c r="A4486" t="s">
        <v>4660</v>
      </c>
      <c r="B4486" t="s">
        <v>412</v>
      </c>
      <c r="C4486" s="9">
        <v>26664</v>
      </c>
      <c r="D4486">
        <v>53</v>
      </c>
      <c r="E4486" t="s">
        <v>21</v>
      </c>
      <c r="F4486" t="s">
        <v>25</v>
      </c>
      <c r="G4486" s="9">
        <v>45537</v>
      </c>
      <c r="H4486" s="9">
        <v>45721</v>
      </c>
      <c r="I4486">
        <v>23</v>
      </c>
      <c r="J4486" t="s">
        <v>32</v>
      </c>
      <c r="K4486">
        <v>7</v>
      </c>
      <c r="L4486">
        <v>4</v>
      </c>
      <c r="M4486" s="11">
        <v>15213.83</v>
      </c>
      <c r="N4486" s="12">
        <v>1958.49</v>
      </c>
      <c r="O4486" s="12">
        <v>8658.83</v>
      </c>
    </row>
    <row r="4487" spans="1:15">
      <c r="A4487" t="s">
        <v>4661</v>
      </c>
      <c r="B4487" t="s">
        <v>65</v>
      </c>
      <c r="C4487" s="9">
        <v>12419</v>
      </c>
      <c r="D4487">
        <v>92</v>
      </c>
      <c r="E4487" t="s">
        <v>17</v>
      </c>
      <c r="F4487" t="s">
        <v>18</v>
      </c>
      <c r="G4487" s="9">
        <v>45119</v>
      </c>
      <c r="H4487" s="9">
        <v>45825</v>
      </c>
      <c r="I4487">
        <v>0</v>
      </c>
      <c r="J4487" t="s">
        <v>35</v>
      </c>
      <c r="K4487">
        <v>1</v>
      </c>
      <c r="L4487">
        <v>4</v>
      </c>
      <c r="M4487" s="11">
        <v>28225.64</v>
      </c>
      <c r="N4487" s="12">
        <v>10489.91</v>
      </c>
      <c r="O4487" s="12">
        <v>15011.57</v>
      </c>
    </row>
    <row r="4488" spans="1:15">
      <c r="A4488" t="s">
        <v>4662</v>
      </c>
      <c r="B4488" t="s">
        <v>198</v>
      </c>
      <c r="C4488" s="9">
        <v>39083</v>
      </c>
      <c r="D4488">
        <v>19</v>
      </c>
      <c r="E4488" t="s">
        <v>17</v>
      </c>
      <c r="F4488" t="s">
        <v>18</v>
      </c>
      <c r="G4488" s="9">
        <v>45153</v>
      </c>
      <c r="H4488" s="9">
        <v>45297</v>
      </c>
      <c r="I4488">
        <v>30</v>
      </c>
      <c r="J4488" t="s">
        <v>32</v>
      </c>
      <c r="K4488">
        <v>3</v>
      </c>
      <c r="L4488">
        <v>4</v>
      </c>
      <c r="M4488" s="11">
        <v>18683.07</v>
      </c>
      <c r="N4488" s="12">
        <v>9898.16</v>
      </c>
      <c r="O4488" s="12">
        <v>16684.650000000001</v>
      </c>
    </row>
    <row r="4489" spans="1:15">
      <c r="A4489" t="s">
        <v>4663</v>
      </c>
      <c r="B4489" t="s">
        <v>84</v>
      </c>
      <c r="C4489" s="9">
        <v>35795</v>
      </c>
      <c r="D4489">
        <v>28</v>
      </c>
      <c r="E4489" t="s">
        <v>17</v>
      </c>
      <c r="F4489" t="s">
        <v>25</v>
      </c>
      <c r="G4489" s="9">
        <v>45377</v>
      </c>
      <c r="H4489" s="9">
        <v>45524</v>
      </c>
      <c r="I4489">
        <v>39</v>
      </c>
      <c r="J4489" t="s">
        <v>32</v>
      </c>
      <c r="K4489">
        <v>3</v>
      </c>
      <c r="L4489">
        <v>0</v>
      </c>
      <c r="M4489" s="11">
        <v>4127.6899999999996</v>
      </c>
      <c r="N4489" s="12">
        <v>8174.46</v>
      </c>
      <c r="O4489" s="12">
        <v>2112.58</v>
      </c>
    </row>
    <row r="4490" spans="1:15">
      <c r="A4490" t="s">
        <v>4664</v>
      </c>
      <c r="B4490" t="s">
        <v>487</v>
      </c>
      <c r="C4490" s="9">
        <v>37622</v>
      </c>
      <c r="D4490">
        <v>23</v>
      </c>
      <c r="E4490" t="s">
        <v>21</v>
      </c>
      <c r="F4490" t="s">
        <v>22</v>
      </c>
      <c r="G4490" s="9">
        <v>45108</v>
      </c>
      <c r="H4490" s="9">
        <v>45781</v>
      </c>
      <c r="I4490">
        <v>10</v>
      </c>
      <c r="J4490" t="s">
        <v>35</v>
      </c>
      <c r="K4490">
        <v>8</v>
      </c>
      <c r="L4490">
        <v>4</v>
      </c>
      <c r="M4490" s="11">
        <v>18179.93</v>
      </c>
      <c r="N4490" s="12">
        <v>6076.57</v>
      </c>
      <c r="O4490" s="12">
        <v>9764.98</v>
      </c>
    </row>
    <row r="4491" spans="1:15">
      <c r="A4491" t="s">
        <v>4665</v>
      </c>
      <c r="B4491" t="s">
        <v>348</v>
      </c>
      <c r="C4491" s="9">
        <v>16437</v>
      </c>
      <c r="D4491">
        <v>81</v>
      </c>
      <c r="E4491" t="s">
        <v>21</v>
      </c>
      <c r="F4491" t="s">
        <v>5184</v>
      </c>
      <c r="G4491" s="9">
        <v>45253</v>
      </c>
      <c r="H4491" s="9">
        <v>45314</v>
      </c>
      <c r="I4491">
        <v>26</v>
      </c>
      <c r="J4491" t="s">
        <v>32</v>
      </c>
      <c r="K4491">
        <v>12</v>
      </c>
      <c r="L4491">
        <v>9</v>
      </c>
      <c r="M4491" s="11">
        <v>8603.4500000000007</v>
      </c>
      <c r="N4491" s="12">
        <v>9706.0300000000007</v>
      </c>
      <c r="O4491" s="12">
        <v>18281.54</v>
      </c>
    </row>
    <row r="4492" spans="1:15">
      <c r="A4492" t="s">
        <v>4666</v>
      </c>
      <c r="B4492" t="s">
        <v>664</v>
      </c>
      <c r="C4492" s="9">
        <v>23377</v>
      </c>
      <c r="D4492">
        <v>62</v>
      </c>
      <c r="E4492" t="s">
        <v>5185</v>
      </c>
      <c r="F4492" t="s">
        <v>25</v>
      </c>
      <c r="G4492" s="9">
        <v>45531</v>
      </c>
      <c r="H4492" s="9">
        <v>45474</v>
      </c>
      <c r="I4492">
        <v>6</v>
      </c>
      <c r="J4492" t="s">
        <v>35</v>
      </c>
      <c r="K4492">
        <v>5</v>
      </c>
      <c r="L4492">
        <v>7</v>
      </c>
      <c r="M4492" s="11">
        <v>10848.6</v>
      </c>
      <c r="N4492" s="12">
        <v>8251.3799999999992</v>
      </c>
      <c r="O4492" s="12">
        <v>13258.22</v>
      </c>
    </row>
    <row r="4493" spans="1:15">
      <c r="A4493" t="s">
        <v>4667</v>
      </c>
      <c r="B4493" t="s">
        <v>196</v>
      </c>
      <c r="C4493" s="9">
        <v>19359</v>
      </c>
      <c r="D4493">
        <v>73</v>
      </c>
      <c r="E4493" t="s">
        <v>17</v>
      </c>
      <c r="F4493" t="s">
        <v>49</v>
      </c>
      <c r="G4493" s="9">
        <v>45581</v>
      </c>
      <c r="H4493" s="9">
        <v>45041</v>
      </c>
      <c r="I4493">
        <v>29</v>
      </c>
      <c r="J4493" t="s">
        <v>32</v>
      </c>
      <c r="K4493">
        <v>11</v>
      </c>
      <c r="L4493">
        <v>2</v>
      </c>
      <c r="M4493" s="11">
        <v>24170.22</v>
      </c>
      <c r="N4493" s="12">
        <v>4089.38</v>
      </c>
      <c r="O4493" s="12">
        <v>10813.62</v>
      </c>
    </row>
    <row r="4494" spans="1:15">
      <c r="A4494" t="s">
        <v>4668</v>
      </c>
      <c r="B4494" t="s">
        <v>46</v>
      </c>
      <c r="C4494" s="9">
        <v>25568</v>
      </c>
      <c r="D4494">
        <v>56</v>
      </c>
      <c r="E4494" t="s">
        <v>21</v>
      </c>
      <c r="F4494" t="s">
        <v>5184</v>
      </c>
      <c r="G4494" s="9">
        <v>45129</v>
      </c>
      <c r="H4494" s="9">
        <v>45498</v>
      </c>
      <c r="I4494">
        <v>19</v>
      </c>
      <c r="J4494" t="s">
        <v>32</v>
      </c>
      <c r="K4494">
        <v>0</v>
      </c>
      <c r="L4494">
        <v>8</v>
      </c>
      <c r="M4494" s="11">
        <v>29187.1</v>
      </c>
      <c r="N4494" s="12">
        <v>1569.23</v>
      </c>
      <c r="O4494" s="12">
        <v>14332.69</v>
      </c>
    </row>
    <row r="4495" spans="1:15">
      <c r="A4495" t="s">
        <v>4669</v>
      </c>
      <c r="B4495" t="s">
        <v>46</v>
      </c>
      <c r="C4495" s="9">
        <v>43466</v>
      </c>
      <c r="D4495">
        <v>7</v>
      </c>
      <c r="E4495" t="s">
        <v>21</v>
      </c>
      <c r="F4495" t="s">
        <v>74</v>
      </c>
      <c r="G4495" s="9">
        <v>45328</v>
      </c>
      <c r="H4495" s="9">
        <v>44965</v>
      </c>
      <c r="I4495">
        <v>19</v>
      </c>
      <c r="J4495" t="s">
        <v>35</v>
      </c>
      <c r="K4495">
        <v>2</v>
      </c>
      <c r="L4495">
        <v>8</v>
      </c>
      <c r="M4495" s="11">
        <v>26030.55</v>
      </c>
      <c r="N4495" s="12">
        <v>5799.73</v>
      </c>
      <c r="O4495" s="12">
        <v>13194.78</v>
      </c>
    </row>
    <row r="4496" spans="1:15">
      <c r="A4496" t="s">
        <v>4670</v>
      </c>
      <c r="B4496" t="s">
        <v>28</v>
      </c>
      <c r="C4496" s="9">
        <v>13515</v>
      </c>
      <c r="D4496">
        <v>89</v>
      </c>
      <c r="E4496" t="s">
        <v>17</v>
      </c>
      <c r="F4496" t="s">
        <v>22</v>
      </c>
      <c r="G4496" s="9">
        <v>45570</v>
      </c>
      <c r="H4496" s="9">
        <v>45472</v>
      </c>
      <c r="I4496">
        <v>31</v>
      </c>
      <c r="J4496" t="s">
        <v>32</v>
      </c>
      <c r="K4496">
        <v>9</v>
      </c>
      <c r="L4496">
        <v>5</v>
      </c>
      <c r="M4496" s="11">
        <v>9437.01</v>
      </c>
      <c r="N4496" s="12">
        <v>7686.54</v>
      </c>
      <c r="O4496" s="12">
        <v>18839.2</v>
      </c>
    </row>
    <row r="4497" spans="1:15">
      <c r="A4497" t="s">
        <v>4671</v>
      </c>
      <c r="B4497" t="s">
        <v>112</v>
      </c>
      <c r="C4497" s="9">
        <v>23742</v>
      </c>
      <c r="D4497">
        <v>61</v>
      </c>
      <c r="E4497" t="s">
        <v>21</v>
      </c>
      <c r="F4497" t="s">
        <v>29</v>
      </c>
      <c r="G4497" s="9">
        <v>45398</v>
      </c>
      <c r="H4497" s="9">
        <v>45304</v>
      </c>
      <c r="I4497">
        <v>7</v>
      </c>
      <c r="J4497" t="s">
        <v>26</v>
      </c>
      <c r="K4497">
        <v>13</v>
      </c>
      <c r="L4497">
        <v>3</v>
      </c>
      <c r="M4497" s="11">
        <v>13336.59</v>
      </c>
      <c r="N4497" s="12">
        <v>7627.73</v>
      </c>
      <c r="O4497" s="12">
        <v>18243.990000000002</v>
      </c>
    </row>
    <row r="4498" spans="1:15">
      <c r="A4498" t="s">
        <v>4672</v>
      </c>
      <c r="B4498" t="s">
        <v>397</v>
      </c>
      <c r="C4498" s="9">
        <v>35795</v>
      </c>
      <c r="D4498">
        <v>28</v>
      </c>
      <c r="E4498" t="s">
        <v>21</v>
      </c>
      <c r="F4498" t="s">
        <v>74</v>
      </c>
      <c r="G4498" s="9">
        <v>45572</v>
      </c>
      <c r="H4498" s="9">
        <v>45326</v>
      </c>
      <c r="I4498">
        <v>22</v>
      </c>
      <c r="J4498" t="s">
        <v>35</v>
      </c>
      <c r="K4498">
        <v>2</v>
      </c>
      <c r="L4498">
        <v>3</v>
      </c>
      <c r="M4498" s="11">
        <v>29496.68</v>
      </c>
      <c r="N4498" s="12">
        <v>6383.74</v>
      </c>
      <c r="O4498" s="12">
        <v>7895.29</v>
      </c>
    </row>
    <row r="4499" spans="1:15">
      <c r="A4499" t="s">
        <v>4673</v>
      </c>
      <c r="B4499" t="s">
        <v>209</v>
      </c>
      <c r="C4499" s="9">
        <v>19359</v>
      </c>
      <c r="D4499">
        <v>73</v>
      </c>
      <c r="E4499" t="s">
        <v>21</v>
      </c>
      <c r="F4499" t="s">
        <v>74</v>
      </c>
      <c r="G4499" s="9">
        <v>45105</v>
      </c>
      <c r="H4499" s="9">
        <v>45130</v>
      </c>
      <c r="I4499">
        <v>9</v>
      </c>
      <c r="J4499" t="s">
        <v>32</v>
      </c>
      <c r="K4499">
        <v>10</v>
      </c>
      <c r="L4499">
        <v>0</v>
      </c>
      <c r="M4499" s="11">
        <v>27667.69</v>
      </c>
      <c r="N4499" s="12">
        <v>4910.33</v>
      </c>
      <c r="O4499" s="12">
        <v>543.59</v>
      </c>
    </row>
    <row r="4500" spans="1:15">
      <c r="A4500" t="s">
        <v>4674</v>
      </c>
      <c r="B4500" t="s">
        <v>387</v>
      </c>
      <c r="C4500" s="9">
        <v>40178</v>
      </c>
      <c r="D4500">
        <v>16</v>
      </c>
      <c r="E4500" t="s">
        <v>17</v>
      </c>
      <c r="F4500" t="s">
        <v>29</v>
      </c>
      <c r="G4500" s="9">
        <v>45624</v>
      </c>
      <c r="H4500" s="9">
        <v>45129</v>
      </c>
      <c r="I4500">
        <v>0</v>
      </c>
      <c r="J4500" t="s">
        <v>26</v>
      </c>
      <c r="K4500">
        <v>6</v>
      </c>
      <c r="L4500">
        <v>9</v>
      </c>
      <c r="M4500" s="11">
        <v>29296.94</v>
      </c>
      <c r="N4500" s="12">
        <v>5257.41</v>
      </c>
      <c r="O4500" s="12">
        <v>6586.8</v>
      </c>
    </row>
    <row r="4501" spans="1:15">
      <c r="A4501" t="s">
        <v>4675</v>
      </c>
      <c r="B4501" t="s">
        <v>367</v>
      </c>
      <c r="C4501" s="9">
        <v>22281</v>
      </c>
      <c r="D4501">
        <v>65</v>
      </c>
      <c r="E4501" t="s">
        <v>21</v>
      </c>
      <c r="F4501" t="s">
        <v>74</v>
      </c>
      <c r="G4501" s="9">
        <v>44944</v>
      </c>
      <c r="H4501" s="9">
        <v>45027</v>
      </c>
      <c r="I4501">
        <v>16</v>
      </c>
      <c r="J4501" t="s">
        <v>32</v>
      </c>
      <c r="K4501">
        <v>8</v>
      </c>
      <c r="L4501">
        <v>4</v>
      </c>
      <c r="M4501" s="11">
        <v>12703.98</v>
      </c>
      <c r="N4501" s="12">
        <v>3987.68</v>
      </c>
      <c r="O4501" s="12">
        <v>3978.09</v>
      </c>
    </row>
    <row r="4502" spans="1:15">
      <c r="A4502" t="s">
        <v>4676</v>
      </c>
      <c r="B4502" t="s">
        <v>427</v>
      </c>
      <c r="C4502" s="9">
        <v>44196</v>
      </c>
      <c r="D4502">
        <v>5</v>
      </c>
      <c r="E4502" t="s">
        <v>5185</v>
      </c>
      <c r="F4502" t="s">
        <v>22</v>
      </c>
      <c r="G4502" s="9">
        <v>45389</v>
      </c>
      <c r="H4502" s="9">
        <v>45325</v>
      </c>
      <c r="I4502">
        <v>30</v>
      </c>
      <c r="J4502" t="s">
        <v>35</v>
      </c>
      <c r="K4502">
        <v>14</v>
      </c>
      <c r="L4502">
        <v>4</v>
      </c>
      <c r="M4502" s="11">
        <v>0</v>
      </c>
      <c r="N4502" s="12">
        <v>8698.6200000000008</v>
      </c>
      <c r="O4502" s="12">
        <v>2544.1999999999998</v>
      </c>
    </row>
    <row r="4503" spans="1:15">
      <c r="A4503" t="s">
        <v>4677</v>
      </c>
      <c r="B4503" t="s">
        <v>67</v>
      </c>
      <c r="C4503" s="9">
        <v>25203</v>
      </c>
      <c r="D4503">
        <f ca="1">DATEDIF(C4454,TODAY(),"Y")</f>
        <v>4</v>
      </c>
      <c r="E4503" t="s">
        <v>21</v>
      </c>
      <c r="F4503" t="s">
        <v>22</v>
      </c>
      <c r="G4503" s="9">
        <v>45535</v>
      </c>
      <c r="H4503" s="9">
        <v>45377</v>
      </c>
      <c r="I4503">
        <v>23</v>
      </c>
      <c r="J4503" t="s">
        <v>32</v>
      </c>
      <c r="K4503">
        <v>1</v>
      </c>
      <c r="L4503">
        <v>4</v>
      </c>
      <c r="M4503" s="11">
        <v>26072.13</v>
      </c>
      <c r="N4503" s="12">
        <v>12748.31</v>
      </c>
      <c r="O4503" s="12">
        <v>17747.669999999998</v>
      </c>
    </row>
    <row r="4504" spans="1:15">
      <c r="A4504" t="s">
        <v>4678</v>
      </c>
      <c r="B4504" t="s">
        <v>252</v>
      </c>
      <c r="C4504" s="9">
        <v>21185</v>
      </c>
      <c r="D4504">
        <v>68</v>
      </c>
      <c r="E4504" t="s">
        <v>17</v>
      </c>
      <c r="F4504" t="s">
        <v>22</v>
      </c>
      <c r="G4504" s="9">
        <v>45472</v>
      </c>
      <c r="H4504" s="9">
        <v>45740</v>
      </c>
      <c r="I4504">
        <v>10</v>
      </c>
      <c r="J4504" t="s">
        <v>32</v>
      </c>
      <c r="K4504">
        <v>0</v>
      </c>
      <c r="L4504">
        <v>0</v>
      </c>
      <c r="M4504" s="11">
        <v>850.03</v>
      </c>
      <c r="N4504" s="12">
        <v>13195.35</v>
      </c>
      <c r="O4504" s="12">
        <v>14169.62</v>
      </c>
    </row>
    <row r="4505" spans="1:15">
      <c r="A4505" t="s">
        <v>4679</v>
      </c>
      <c r="B4505" t="s">
        <v>87</v>
      </c>
      <c r="C4505" s="9">
        <v>36161</v>
      </c>
      <c r="D4505">
        <v>27</v>
      </c>
      <c r="E4505" t="s">
        <v>21</v>
      </c>
      <c r="F4505" t="s">
        <v>18</v>
      </c>
      <c r="G4505" s="9">
        <v>45329</v>
      </c>
      <c r="H4505" s="9">
        <v>45743</v>
      </c>
      <c r="I4505">
        <v>4</v>
      </c>
      <c r="J4505" t="s">
        <v>35</v>
      </c>
      <c r="K4505">
        <v>7</v>
      </c>
      <c r="L4505">
        <v>0</v>
      </c>
      <c r="M4505" s="11">
        <v>7615.68</v>
      </c>
      <c r="N4505" s="12">
        <v>14905.87</v>
      </c>
      <c r="O4505" s="12">
        <v>554.83000000000004</v>
      </c>
    </row>
    <row r="4506" spans="1:15">
      <c r="A4506" t="s">
        <v>4680</v>
      </c>
      <c r="B4506" t="s">
        <v>63</v>
      </c>
      <c r="C4506" s="9">
        <v>23742</v>
      </c>
      <c r="D4506">
        <v>61</v>
      </c>
      <c r="E4506" t="s">
        <v>17</v>
      </c>
      <c r="F4506" t="s">
        <v>18</v>
      </c>
      <c r="G4506" s="9">
        <v>45319</v>
      </c>
      <c r="H4506" s="9">
        <v>45045</v>
      </c>
      <c r="I4506">
        <v>31</v>
      </c>
      <c r="J4506" t="s">
        <v>32</v>
      </c>
      <c r="K4506">
        <v>10</v>
      </c>
      <c r="L4506">
        <v>9</v>
      </c>
      <c r="M4506" s="11">
        <v>26446.26</v>
      </c>
      <c r="N4506" s="12">
        <v>1332.27</v>
      </c>
      <c r="O4506" s="12">
        <v>18387.05</v>
      </c>
    </row>
    <row r="4507" spans="1:15">
      <c r="A4507" t="s">
        <v>4681</v>
      </c>
      <c r="B4507" t="s">
        <v>145</v>
      </c>
      <c r="C4507" s="9">
        <v>31412</v>
      </c>
      <c r="D4507">
        <v>40</v>
      </c>
      <c r="E4507" t="s">
        <v>5185</v>
      </c>
      <c r="F4507" t="s">
        <v>22</v>
      </c>
      <c r="G4507" s="9">
        <v>45226</v>
      </c>
      <c r="H4507" s="9">
        <v>45348</v>
      </c>
      <c r="I4507">
        <v>19</v>
      </c>
      <c r="J4507" t="s">
        <v>26</v>
      </c>
      <c r="K4507">
        <v>9</v>
      </c>
      <c r="L4507">
        <v>1</v>
      </c>
      <c r="M4507" s="11">
        <v>11356.65</v>
      </c>
      <c r="N4507" s="12">
        <v>3213.87</v>
      </c>
      <c r="O4507" s="12">
        <v>18050.490000000002</v>
      </c>
    </row>
    <row r="4508" spans="1:15">
      <c r="A4508" t="s">
        <v>4682</v>
      </c>
      <c r="B4508" t="s">
        <v>1148</v>
      </c>
      <c r="C4508" s="9">
        <v>21185</v>
      </c>
      <c r="D4508">
        <v>68</v>
      </c>
      <c r="E4508" t="s">
        <v>17</v>
      </c>
      <c r="F4508" t="s">
        <v>29</v>
      </c>
      <c r="G4508" s="9">
        <v>45277</v>
      </c>
      <c r="H4508" s="9">
        <v>45170</v>
      </c>
      <c r="I4508">
        <v>17</v>
      </c>
      <c r="J4508" t="s">
        <v>32</v>
      </c>
      <c r="K4508">
        <v>2</v>
      </c>
      <c r="L4508">
        <v>0</v>
      </c>
      <c r="M4508" s="11">
        <v>0</v>
      </c>
      <c r="N4508" s="12">
        <v>10953.1</v>
      </c>
      <c r="O4508" s="12">
        <v>18982.72</v>
      </c>
    </row>
    <row r="4509" spans="1:15">
      <c r="A4509" t="s">
        <v>4683</v>
      </c>
      <c r="B4509" t="s">
        <v>194</v>
      </c>
      <c r="C4509" s="9">
        <v>16437</v>
      </c>
      <c r="D4509">
        <v>81</v>
      </c>
      <c r="E4509" t="s">
        <v>17</v>
      </c>
      <c r="F4509" t="s">
        <v>29</v>
      </c>
      <c r="G4509" s="9">
        <v>45113</v>
      </c>
      <c r="H4509" s="9">
        <v>45468</v>
      </c>
      <c r="I4509">
        <v>20</v>
      </c>
      <c r="J4509" t="s">
        <v>26</v>
      </c>
      <c r="K4509">
        <v>7</v>
      </c>
      <c r="L4509">
        <v>7</v>
      </c>
      <c r="M4509" s="11">
        <v>7817.09</v>
      </c>
      <c r="N4509" s="12">
        <v>9678.61</v>
      </c>
      <c r="O4509" s="12">
        <v>16580.509999999998</v>
      </c>
    </row>
    <row r="4510" spans="1:15">
      <c r="A4510" t="s">
        <v>4684</v>
      </c>
      <c r="B4510" t="s">
        <v>127</v>
      </c>
      <c r="C4510" s="9">
        <v>13515</v>
      </c>
      <c r="D4510">
        <v>89</v>
      </c>
      <c r="E4510" t="s">
        <v>17</v>
      </c>
      <c r="F4510" t="s">
        <v>25</v>
      </c>
      <c r="G4510" s="9">
        <v>45273</v>
      </c>
      <c r="H4510" s="9">
        <v>45154</v>
      </c>
      <c r="I4510">
        <v>11</v>
      </c>
      <c r="J4510" t="s">
        <v>26</v>
      </c>
      <c r="K4510">
        <v>4</v>
      </c>
      <c r="L4510">
        <v>3</v>
      </c>
      <c r="M4510" s="11">
        <v>10949.85</v>
      </c>
      <c r="N4510" s="12">
        <v>2007.99</v>
      </c>
      <c r="O4510" s="12">
        <v>1485.43</v>
      </c>
    </row>
    <row r="4511" spans="1:15">
      <c r="A4511" t="s">
        <v>4685</v>
      </c>
      <c r="B4511" t="s">
        <v>129</v>
      </c>
      <c r="C4511" s="9">
        <v>15707</v>
      </c>
      <c r="D4511">
        <v>83</v>
      </c>
      <c r="E4511" t="s">
        <v>17</v>
      </c>
      <c r="F4511" t="s">
        <v>25</v>
      </c>
      <c r="G4511" s="9">
        <v>45549</v>
      </c>
      <c r="H4511" s="9">
        <v>45428</v>
      </c>
      <c r="I4511">
        <v>27</v>
      </c>
      <c r="J4511" t="s">
        <v>35</v>
      </c>
      <c r="K4511">
        <v>1</v>
      </c>
      <c r="L4511">
        <v>5</v>
      </c>
      <c r="M4511" s="11">
        <v>6940.87</v>
      </c>
      <c r="N4511" s="12">
        <v>9465.27</v>
      </c>
      <c r="O4511" s="12">
        <v>12418.18</v>
      </c>
    </row>
    <row r="4512" spans="1:15">
      <c r="A4512" t="s">
        <v>4686</v>
      </c>
      <c r="B4512" t="s">
        <v>487</v>
      </c>
      <c r="C4512" s="9">
        <v>31412</v>
      </c>
      <c r="D4512">
        <v>40</v>
      </c>
      <c r="E4512" t="s">
        <v>17</v>
      </c>
      <c r="F4512" t="s">
        <v>22</v>
      </c>
      <c r="G4512" s="9">
        <v>45335</v>
      </c>
      <c r="H4512" s="9">
        <v>45779</v>
      </c>
      <c r="I4512">
        <v>20</v>
      </c>
      <c r="J4512" t="s">
        <v>32</v>
      </c>
      <c r="K4512">
        <v>12</v>
      </c>
      <c r="L4512">
        <v>7</v>
      </c>
      <c r="M4512" s="11">
        <v>397.42</v>
      </c>
      <c r="N4512" s="12">
        <v>6096.93</v>
      </c>
      <c r="O4512" s="12">
        <v>1570.07</v>
      </c>
    </row>
    <row r="4513" spans="1:15">
      <c r="A4513" t="s">
        <v>4687</v>
      </c>
      <c r="B4513" t="s">
        <v>664</v>
      </c>
      <c r="C4513" s="9">
        <v>28490</v>
      </c>
      <c r="D4513">
        <v>48</v>
      </c>
      <c r="E4513" t="s">
        <v>5185</v>
      </c>
      <c r="F4513" t="s">
        <v>5184</v>
      </c>
      <c r="G4513" s="9">
        <v>44997</v>
      </c>
      <c r="H4513" s="9">
        <v>45140</v>
      </c>
      <c r="I4513">
        <v>16</v>
      </c>
      <c r="J4513" t="s">
        <v>26</v>
      </c>
      <c r="K4513">
        <v>9</v>
      </c>
      <c r="L4513">
        <v>4</v>
      </c>
      <c r="M4513" s="11">
        <v>4764.1499999999996</v>
      </c>
      <c r="N4513" s="12">
        <v>14352.89</v>
      </c>
      <c r="O4513" s="12">
        <v>14239.27</v>
      </c>
    </row>
    <row r="4514" spans="1:15">
      <c r="A4514" t="s">
        <v>4688</v>
      </c>
      <c r="B4514" t="s">
        <v>139</v>
      </c>
      <c r="C4514" s="9">
        <v>13150</v>
      </c>
      <c r="D4514">
        <v>90</v>
      </c>
      <c r="E4514" t="s">
        <v>21</v>
      </c>
      <c r="F4514" t="s">
        <v>74</v>
      </c>
      <c r="G4514" s="9">
        <v>45253</v>
      </c>
      <c r="H4514" s="9">
        <v>45626</v>
      </c>
      <c r="I4514">
        <v>36</v>
      </c>
      <c r="J4514" t="s">
        <v>32</v>
      </c>
      <c r="K4514">
        <v>1</v>
      </c>
      <c r="L4514">
        <v>5</v>
      </c>
      <c r="M4514" s="11">
        <v>26418.54</v>
      </c>
      <c r="N4514" s="12">
        <v>12828.64</v>
      </c>
      <c r="O4514" s="12">
        <v>3859.88</v>
      </c>
    </row>
    <row r="4515" spans="1:15">
      <c r="A4515" t="s">
        <v>4689</v>
      </c>
      <c r="B4515" t="s">
        <v>59</v>
      </c>
      <c r="C4515" s="9">
        <v>28490</v>
      </c>
      <c r="D4515">
        <v>48</v>
      </c>
      <c r="E4515" t="s">
        <v>5185</v>
      </c>
      <c r="F4515" t="s">
        <v>74</v>
      </c>
      <c r="G4515" s="9">
        <v>45138</v>
      </c>
      <c r="H4515" s="9">
        <v>45040</v>
      </c>
      <c r="I4515">
        <v>38</v>
      </c>
      <c r="J4515" t="s">
        <v>26</v>
      </c>
      <c r="K4515">
        <v>5</v>
      </c>
      <c r="L4515">
        <v>3</v>
      </c>
      <c r="M4515" s="11">
        <v>1807.28</v>
      </c>
      <c r="N4515" s="12">
        <v>1098.6300000000001</v>
      </c>
      <c r="O4515" s="12">
        <v>18709.830000000002</v>
      </c>
    </row>
    <row r="4516" spans="1:15">
      <c r="A4516" t="s">
        <v>4690</v>
      </c>
      <c r="B4516" t="s">
        <v>204</v>
      </c>
      <c r="C4516" s="9">
        <v>18629</v>
      </c>
      <c r="D4516">
        <v>75</v>
      </c>
      <c r="E4516" t="s">
        <v>21</v>
      </c>
      <c r="F4516" t="s">
        <v>29</v>
      </c>
      <c r="G4516" s="9">
        <v>45235</v>
      </c>
      <c r="H4516" s="9">
        <v>45300</v>
      </c>
      <c r="I4516">
        <v>33</v>
      </c>
      <c r="J4516" t="s">
        <v>32</v>
      </c>
      <c r="K4516">
        <v>7</v>
      </c>
      <c r="L4516">
        <v>5</v>
      </c>
      <c r="M4516" s="11">
        <v>12096.56</v>
      </c>
      <c r="N4516" s="12">
        <v>1349.84</v>
      </c>
      <c r="O4516" s="12">
        <v>18676.84</v>
      </c>
    </row>
    <row r="4517" spans="1:15">
      <c r="A4517" t="s">
        <v>4691</v>
      </c>
      <c r="B4517" t="s">
        <v>192</v>
      </c>
      <c r="C4517" s="9">
        <v>20455</v>
      </c>
      <c r="D4517">
        <v>70</v>
      </c>
      <c r="E4517" t="s">
        <v>21</v>
      </c>
      <c r="F4517" t="s">
        <v>5184</v>
      </c>
      <c r="G4517" s="9">
        <v>45034</v>
      </c>
      <c r="H4517" s="9">
        <v>45226</v>
      </c>
      <c r="I4517">
        <v>3</v>
      </c>
      <c r="J4517" t="s">
        <v>35</v>
      </c>
      <c r="K4517">
        <v>6</v>
      </c>
      <c r="L4517">
        <v>5</v>
      </c>
      <c r="M4517" s="11">
        <v>13422.88</v>
      </c>
      <c r="N4517" s="12">
        <v>6255.85</v>
      </c>
      <c r="O4517" s="12">
        <v>11851.51</v>
      </c>
    </row>
    <row r="4518" spans="1:15">
      <c r="A4518" t="s">
        <v>4692</v>
      </c>
      <c r="B4518" t="s">
        <v>252</v>
      </c>
      <c r="C4518" s="9">
        <v>45292</v>
      </c>
      <c r="D4518">
        <v>2</v>
      </c>
      <c r="E4518" t="s">
        <v>21</v>
      </c>
      <c r="F4518" t="s">
        <v>74</v>
      </c>
      <c r="G4518" s="9">
        <v>45103</v>
      </c>
      <c r="H4518" s="9">
        <v>45600</v>
      </c>
      <c r="I4518">
        <v>20</v>
      </c>
      <c r="J4518" t="s">
        <v>35</v>
      </c>
      <c r="K4518">
        <v>10</v>
      </c>
      <c r="L4518">
        <v>2</v>
      </c>
      <c r="M4518" s="11">
        <v>23233.7</v>
      </c>
      <c r="N4518" s="12">
        <v>125.57</v>
      </c>
      <c r="O4518" s="12">
        <v>15028.79</v>
      </c>
    </row>
    <row r="4519" spans="1:15">
      <c r="A4519" t="s">
        <v>4693</v>
      </c>
      <c r="B4519" t="s">
        <v>157</v>
      </c>
      <c r="C4519" s="9">
        <v>42735</v>
      </c>
      <c r="D4519">
        <v>9</v>
      </c>
      <c r="E4519" t="s">
        <v>21</v>
      </c>
      <c r="F4519" t="s">
        <v>49</v>
      </c>
      <c r="G4519" s="9">
        <v>45353</v>
      </c>
      <c r="H4519" s="9">
        <v>44946</v>
      </c>
      <c r="I4519">
        <v>7</v>
      </c>
      <c r="J4519" t="s">
        <v>35</v>
      </c>
      <c r="K4519">
        <v>3</v>
      </c>
      <c r="L4519">
        <v>3</v>
      </c>
      <c r="M4519" s="11">
        <v>7203.99</v>
      </c>
      <c r="N4519" s="12">
        <v>1415.8</v>
      </c>
      <c r="O4519" s="12">
        <v>17148.89</v>
      </c>
    </row>
    <row r="4520" spans="1:15">
      <c r="A4520" t="s">
        <v>4694</v>
      </c>
      <c r="B4520" t="s">
        <v>664</v>
      </c>
      <c r="C4520" s="9">
        <v>13880</v>
      </c>
      <c r="D4520">
        <v>88</v>
      </c>
      <c r="E4520" t="s">
        <v>17</v>
      </c>
      <c r="F4520" t="s">
        <v>18</v>
      </c>
      <c r="G4520" s="9">
        <v>45457</v>
      </c>
      <c r="H4520" s="9">
        <v>45703</v>
      </c>
      <c r="I4520">
        <v>32</v>
      </c>
      <c r="J4520" t="s">
        <v>26</v>
      </c>
      <c r="K4520">
        <v>10</v>
      </c>
      <c r="L4520">
        <v>5</v>
      </c>
      <c r="M4520" s="11">
        <v>8944.07</v>
      </c>
      <c r="N4520" s="12">
        <v>13988.93</v>
      </c>
      <c r="O4520" s="12">
        <v>7721.84</v>
      </c>
    </row>
    <row r="4521" spans="1:15">
      <c r="A4521" t="s">
        <v>4695</v>
      </c>
      <c r="B4521" t="s">
        <v>350</v>
      </c>
      <c r="C4521" s="9">
        <v>33604</v>
      </c>
      <c r="D4521">
        <v>34</v>
      </c>
      <c r="E4521" t="s">
        <v>17</v>
      </c>
      <c r="F4521" t="s">
        <v>74</v>
      </c>
      <c r="G4521" s="9">
        <v>45344</v>
      </c>
      <c r="H4521" s="9">
        <v>45598</v>
      </c>
      <c r="I4521">
        <v>18</v>
      </c>
      <c r="J4521" t="s">
        <v>32</v>
      </c>
      <c r="K4521">
        <v>11</v>
      </c>
      <c r="L4521">
        <v>7</v>
      </c>
      <c r="M4521" s="11">
        <v>64.58</v>
      </c>
      <c r="N4521" s="12">
        <v>11886.48</v>
      </c>
      <c r="O4521" s="12">
        <v>11541.74</v>
      </c>
    </row>
    <row r="4522" spans="1:15">
      <c r="A4522" t="s">
        <v>4696</v>
      </c>
      <c r="B4522" t="s">
        <v>48</v>
      </c>
      <c r="C4522" s="9">
        <v>17168</v>
      </c>
      <c r="D4522">
        <v>79</v>
      </c>
      <c r="E4522" t="s">
        <v>17</v>
      </c>
      <c r="F4522" t="s">
        <v>74</v>
      </c>
      <c r="G4522" s="9">
        <v>45174</v>
      </c>
      <c r="H4522" s="9">
        <v>44938</v>
      </c>
      <c r="I4522">
        <v>29</v>
      </c>
      <c r="J4522" t="s">
        <v>26</v>
      </c>
      <c r="K4522">
        <v>6</v>
      </c>
      <c r="L4522">
        <v>6</v>
      </c>
      <c r="M4522" s="11">
        <v>27036.33</v>
      </c>
      <c r="N4522" s="12">
        <v>10090.629999999999</v>
      </c>
      <c r="O4522" s="12">
        <v>3438.07</v>
      </c>
    </row>
    <row r="4523" spans="1:15">
      <c r="A4523" t="s">
        <v>4697</v>
      </c>
      <c r="B4523" t="s">
        <v>59</v>
      </c>
      <c r="C4523" s="9">
        <v>45657</v>
      </c>
      <c r="D4523">
        <v>1</v>
      </c>
      <c r="E4523" t="s">
        <v>17</v>
      </c>
      <c r="F4523" t="s">
        <v>25</v>
      </c>
      <c r="G4523" s="9">
        <v>45135</v>
      </c>
      <c r="H4523" s="9">
        <v>44935</v>
      </c>
      <c r="I4523">
        <v>27</v>
      </c>
      <c r="J4523" t="s">
        <v>35</v>
      </c>
      <c r="K4523">
        <v>0</v>
      </c>
      <c r="L4523">
        <v>3</v>
      </c>
      <c r="M4523" s="11">
        <v>20409.490000000002</v>
      </c>
      <c r="N4523" s="12">
        <v>12453.56</v>
      </c>
      <c r="O4523" s="12">
        <v>19708.47</v>
      </c>
    </row>
    <row r="4524" spans="1:15">
      <c r="A4524" t="s">
        <v>4698</v>
      </c>
      <c r="B4524" t="s">
        <v>149</v>
      </c>
      <c r="C4524" s="9">
        <v>37622</v>
      </c>
      <c r="D4524">
        <v>23</v>
      </c>
      <c r="E4524" t="s">
        <v>17</v>
      </c>
      <c r="F4524" t="s">
        <v>49</v>
      </c>
      <c r="G4524" s="9">
        <v>45142</v>
      </c>
      <c r="H4524" s="9">
        <v>45080</v>
      </c>
      <c r="I4524">
        <v>30</v>
      </c>
      <c r="J4524" t="s">
        <v>26</v>
      </c>
      <c r="K4524">
        <v>1</v>
      </c>
      <c r="L4524">
        <v>2</v>
      </c>
      <c r="M4524" s="11">
        <v>0</v>
      </c>
      <c r="N4524" s="12">
        <v>3750.82</v>
      </c>
      <c r="O4524" s="12">
        <v>18581.02</v>
      </c>
    </row>
    <row r="4525" spans="1:15">
      <c r="A4525" t="s">
        <v>4699</v>
      </c>
      <c r="B4525" t="s">
        <v>63</v>
      </c>
      <c r="C4525" s="9">
        <v>19359</v>
      </c>
      <c r="D4525">
        <f ca="1">DATEDIF(C4476,TODAY(),"Y")</f>
        <v>32</v>
      </c>
      <c r="E4525" t="s">
        <v>17</v>
      </c>
      <c r="F4525" t="s">
        <v>74</v>
      </c>
      <c r="G4525" s="9">
        <v>45639</v>
      </c>
      <c r="H4525" s="9">
        <v>45552</v>
      </c>
      <c r="I4525">
        <v>3</v>
      </c>
      <c r="J4525" t="s">
        <v>35</v>
      </c>
      <c r="K4525">
        <v>6</v>
      </c>
      <c r="L4525">
        <v>7</v>
      </c>
      <c r="M4525" s="11">
        <v>0</v>
      </c>
      <c r="N4525" s="12">
        <v>10883.5</v>
      </c>
      <c r="O4525" s="12">
        <v>9616.76</v>
      </c>
    </row>
    <row r="4526" spans="1:15">
      <c r="A4526" t="s">
        <v>4700</v>
      </c>
      <c r="B4526" t="s">
        <v>654</v>
      </c>
      <c r="C4526" s="9">
        <v>32508</v>
      </c>
      <c r="D4526">
        <v>37</v>
      </c>
      <c r="E4526" t="s">
        <v>21</v>
      </c>
      <c r="F4526" t="s">
        <v>18</v>
      </c>
      <c r="G4526" s="9">
        <v>45364</v>
      </c>
      <c r="H4526" s="9">
        <v>45587</v>
      </c>
      <c r="I4526">
        <v>2</v>
      </c>
      <c r="J4526" t="s">
        <v>32</v>
      </c>
      <c r="K4526">
        <v>7</v>
      </c>
      <c r="L4526">
        <v>5</v>
      </c>
      <c r="M4526" s="11">
        <v>2140.7399999999998</v>
      </c>
      <c r="N4526" s="12">
        <v>9233.51</v>
      </c>
      <c r="O4526" s="12">
        <v>11022.02</v>
      </c>
    </row>
    <row r="4527" spans="1:15">
      <c r="A4527" t="s">
        <v>4701</v>
      </c>
      <c r="B4527" t="s">
        <v>302</v>
      </c>
      <c r="C4527" s="9">
        <v>38352</v>
      </c>
      <c r="D4527">
        <v>21</v>
      </c>
      <c r="E4527" t="s">
        <v>17</v>
      </c>
      <c r="F4527" t="s">
        <v>74</v>
      </c>
      <c r="G4527" s="9">
        <v>45544</v>
      </c>
      <c r="H4527" s="9">
        <v>45477</v>
      </c>
      <c r="I4527">
        <v>12</v>
      </c>
      <c r="J4527" t="s">
        <v>26</v>
      </c>
      <c r="K4527">
        <v>8</v>
      </c>
      <c r="L4527">
        <v>7</v>
      </c>
      <c r="M4527" s="11">
        <v>10736.07</v>
      </c>
      <c r="N4527" s="12">
        <v>12729.71</v>
      </c>
      <c r="O4527" s="12">
        <v>8677.6200000000008</v>
      </c>
    </row>
    <row r="4528" spans="1:15">
      <c r="A4528" t="s">
        <v>4702</v>
      </c>
      <c r="B4528" t="s">
        <v>681</v>
      </c>
      <c r="C4528" s="9">
        <v>36891</v>
      </c>
      <c r="D4528">
        <v>25</v>
      </c>
      <c r="E4528" t="s">
        <v>17</v>
      </c>
      <c r="F4528" t="s">
        <v>29</v>
      </c>
      <c r="G4528" s="9">
        <v>45237</v>
      </c>
      <c r="H4528" s="9">
        <v>45062</v>
      </c>
      <c r="I4528">
        <v>22</v>
      </c>
      <c r="J4528" t="s">
        <v>32</v>
      </c>
      <c r="K4528">
        <v>6</v>
      </c>
      <c r="L4528">
        <v>8</v>
      </c>
      <c r="M4528" s="11">
        <v>16689.72</v>
      </c>
      <c r="N4528" s="12">
        <v>4240.3100000000004</v>
      </c>
      <c r="O4528" s="12">
        <v>66.569999999999993</v>
      </c>
    </row>
    <row r="4529" spans="1:15">
      <c r="A4529" t="s">
        <v>4703</v>
      </c>
      <c r="B4529" t="s">
        <v>578</v>
      </c>
      <c r="C4529" s="9">
        <v>30682</v>
      </c>
      <c r="D4529">
        <v>42</v>
      </c>
      <c r="E4529" t="s">
        <v>17</v>
      </c>
      <c r="F4529" t="s">
        <v>49</v>
      </c>
      <c r="G4529" s="9">
        <v>45309</v>
      </c>
      <c r="H4529" s="9">
        <v>45300</v>
      </c>
      <c r="I4529">
        <v>10</v>
      </c>
      <c r="J4529" t="s">
        <v>26</v>
      </c>
      <c r="K4529">
        <v>2</v>
      </c>
      <c r="L4529">
        <v>8</v>
      </c>
      <c r="M4529" s="11">
        <v>14918.11</v>
      </c>
      <c r="N4529" s="12">
        <v>11455.74</v>
      </c>
      <c r="O4529" s="12">
        <v>4522.96</v>
      </c>
    </row>
    <row r="4530" spans="1:15">
      <c r="A4530" t="s">
        <v>4704</v>
      </c>
      <c r="B4530" t="s">
        <v>664</v>
      </c>
      <c r="C4530" s="9">
        <v>26299</v>
      </c>
      <c r="D4530">
        <v>54</v>
      </c>
      <c r="E4530" t="s">
        <v>17</v>
      </c>
      <c r="F4530" t="s">
        <v>74</v>
      </c>
      <c r="G4530" s="9">
        <v>45197</v>
      </c>
      <c r="H4530" s="9">
        <v>45388</v>
      </c>
      <c r="I4530">
        <v>3</v>
      </c>
      <c r="J4530" t="s">
        <v>35</v>
      </c>
      <c r="K4530">
        <v>11</v>
      </c>
      <c r="L4530">
        <v>9</v>
      </c>
      <c r="M4530" s="11">
        <v>19474.68</v>
      </c>
      <c r="N4530" s="12">
        <v>12789.77</v>
      </c>
      <c r="O4530" s="12">
        <v>1943.13</v>
      </c>
    </row>
    <row r="4531" spans="1:15">
      <c r="A4531" t="s">
        <v>4705</v>
      </c>
      <c r="B4531" t="s">
        <v>392</v>
      </c>
      <c r="C4531" s="9">
        <v>32143</v>
      </c>
      <c r="D4531">
        <f ca="1">DATEDIF(C4482,TODAY(),"Y")</f>
        <v>86</v>
      </c>
      <c r="E4531" t="s">
        <v>17</v>
      </c>
      <c r="F4531" t="s">
        <v>5184</v>
      </c>
      <c r="G4531" s="9">
        <v>45047</v>
      </c>
      <c r="H4531" s="9">
        <v>45162</v>
      </c>
      <c r="I4531">
        <v>34</v>
      </c>
      <c r="J4531" t="s">
        <v>32</v>
      </c>
      <c r="K4531">
        <v>4</v>
      </c>
      <c r="L4531">
        <v>8</v>
      </c>
      <c r="M4531" s="11">
        <v>8576.65</v>
      </c>
      <c r="N4531" s="12">
        <v>8235.1</v>
      </c>
      <c r="O4531" s="12">
        <v>6390.27</v>
      </c>
    </row>
    <row r="4532" spans="1:15">
      <c r="A4532" t="s">
        <v>4706</v>
      </c>
      <c r="B4532" t="s">
        <v>261</v>
      </c>
      <c r="C4532" s="9">
        <v>13150</v>
      </c>
      <c r="D4532">
        <v>90</v>
      </c>
      <c r="E4532" t="s">
        <v>21</v>
      </c>
      <c r="F4532" t="s">
        <v>49</v>
      </c>
      <c r="G4532" s="9">
        <v>45333</v>
      </c>
      <c r="H4532" s="9">
        <v>45182</v>
      </c>
      <c r="I4532">
        <v>1</v>
      </c>
      <c r="J4532" t="s">
        <v>26</v>
      </c>
      <c r="K4532">
        <v>9</v>
      </c>
      <c r="L4532">
        <v>9</v>
      </c>
      <c r="M4532" s="11">
        <v>22614.16</v>
      </c>
      <c r="N4532" s="12">
        <v>6206.78</v>
      </c>
      <c r="O4532" s="12">
        <v>4648.33</v>
      </c>
    </row>
    <row r="4533" spans="1:15">
      <c r="A4533" t="s">
        <v>4707</v>
      </c>
      <c r="B4533" t="s">
        <v>28</v>
      </c>
      <c r="C4533" s="9">
        <v>35795</v>
      </c>
      <c r="D4533">
        <v>28</v>
      </c>
      <c r="E4533" t="s">
        <v>21</v>
      </c>
      <c r="F4533" t="s">
        <v>74</v>
      </c>
      <c r="G4533" s="9">
        <v>45171</v>
      </c>
      <c r="H4533" s="9">
        <v>45513</v>
      </c>
      <c r="I4533">
        <v>14</v>
      </c>
      <c r="J4533" t="s">
        <v>35</v>
      </c>
      <c r="K4533">
        <v>3</v>
      </c>
      <c r="L4533">
        <v>0</v>
      </c>
      <c r="M4533" s="11">
        <v>11866.11</v>
      </c>
      <c r="N4533" s="12">
        <v>14229.79</v>
      </c>
      <c r="O4533" s="12">
        <v>15209</v>
      </c>
    </row>
    <row r="4534" spans="1:15">
      <c r="A4534" t="s">
        <v>4708</v>
      </c>
      <c r="B4534" t="s">
        <v>268</v>
      </c>
      <c r="C4534" s="9">
        <v>39083</v>
      </c>
      <c r="D4534">
        <v>19</v>
      </c>
      <c r="E4534" t="s">
        <v>17</v>
      </c>
      <c r="F4534" t="s">
        <v>18</v>
      </c>
      <c r="G4534" s="9">
        <v>44992</v>
      </c>
      <c r="H4534" s="9">
        <v>45255</v>
      </c>
      <c r="I4534">
        <v>21</v>
      </c>
      <c r="J4534" t="s">
        <v>26</v>
      </c>
      <c r="K4534">
        <v>10</v>
      </c>
      <c r="L4534">
        <v>2</v>
      </c>
      <c r="M4534" s="11">
        <v>3321.56</v>
      </c>
      <c r="N4534" s="12">
        <v>2534.54</v>
      </c>
      <c r="O4534" s="12">
        <v>10046.42</v>
      </c>
    </row>
    <row r="4535" spans="1:15">
      <c r="A4535" t="s">
        <v>4709</v>
      </c>
      <c r="B4535" t="s">
        <v>546</v>
      </c>
      <c r="C4535" s="9">
        <v>13150</v>
      </c>
      <c r="D4535">
        <v>90</v>
      </c>
      <c r="E4535" t="s">
        <v>17</v>
      </c>
      <c r="F4535" t="s">
        <v>18</v>
      </c>
      <c r="G4535" s="9">
        <v>45154</v>
      </c>
      <c r="H4535" s="9">
        <v>45289</v>
      </c>
      <c r="I4535">
        <v>9</v>
      </c>
      <c r="J4535" t="s">
        <v>32</v>
      </c>
      <c r="K4535">
        <v>13</v>
      </c>
      <c r="L4535">
        <v>8</v>
      </c>
      <c r="M4535" s="11">
        <v>22082.240000000002</v>
      </c>
      <c r="N4535" s="12">
        <v>544.1</v>
      </c>
      <c r="O4535" s="12">
        <v>16321.58</v>
      </c>
    </row>
    <row r="4536" spans="1:15">
      <c r="A4536" t="s">
        <v>4710</v>
      </c>
      <c r="B4536" t="s">
        <v>196</v>
      </c>
      <c r="C4536" s="9">
        <v>31412</v>
      </c>
      <c r="D4536">
        <v>40</v>
      </c>
      <c r="E4536" t="s">
        <v>17</v>
      </c>
      <c r="F4536" t="s">
        <v>49</v>
      </c>
      <c r="G4536" s="9">
        <v>45063</v>
      </c>
      <c r="H4536" s="9">
        <v>45301</v>
      </c>
      <c r="I4536">
        <v>11</v>
      </c>
      <c r="J4536" t="s">
        <v>26</v>
      </c>
      <c r="K4536">
        <v>2</v>
      </c>
      <c r="L4536">
        <v>3</v>
      </c>
      <c r="M4536" s="11">
        <v>27314.26</v>
      </c>
      <c r="N4536" s="12">
        <v>2687.1</v>
      </c>
      <c r="O4536" s="12">
        <v>12677.53</v>
      </c>
    </row>
    <row r="4537" spans="1:15">
      <c r="A4537" t="s">
        <v>4711</v>
      </c>
      <c r="B4537" t="s">
        <v>39</v>
      </c>
      <c r="C4537" s="9">
        <v>26664</v>
      </c>
      <c r="D4537">
        <v>53</v>
      </c>
      <c r="E4537" t="s">
        <v>21</v>
      </c>
      <c r="F4537" t="s">
        <v>22</v>
      </c>
      <c r="G4537" s="9">
        <v>45120</v>
      </c>
      <c r="H4537" s="9">
        <v>45715</v>
      </c>
      <c r="I4537">
        <v>4</v>
      </c>
      <c r="J4537" t="s">
        <v>26</v>
      </c>
      <c r="K4537">
        <v>7</v>
      </c>
      <c r="L4537">
        <v>9</v>
      </c>
      <c r="M4537" s="11">
        <v>10614.95</v>
      </c>
      <c r="N4537" s="12">
        <v>10251.81</v>
      </c>
      <c r="O4537" s="12">
        <v>13090.15</v>
      </c>
    </row>
    <row r="4538" spans="1:15">
      <c r="A4538" t="s">
        <v>4712</v>
      </c>
      <c r="B4538" t="s">
        <v>57</v>
      </c>
      <c r="C4538" s="9">
        <v>39083</v>
      </c>
      <c r="D4538">
        <v>19</v>
      </c>
      <c r="E4538" t="s">
        <v>21</v>
      </c>
      <c r="F4538" t="s">
        <v>25</v>
      </c>
      <c r="G4538" s="9">
        <v>45632</v>
      </c>
      <c r="H4538" s="9">
        <v>45136</v>
      </c>
      <c r="I4538">
        <v>23</v>
      </c>
      <c r="J4538" t="s">
        <v>32</v>
      </c>
      <c r="K4538">
        <v>8</v>
      </c>
      <c r="L4538">
        <v>1</v>
      </c>
      <c r="M4538" s="11">
        <v>17484.41</v>
      </c>
      <c r="N4538" s="12">
        <v>11834.19</v>
      </c>
      <c r="O4538" s="12">
        <v>17512.53</v>
      </c>
    </row>
    <row r="4539" spans="1:15">
      <c r="A4539" t="s">
        <v>4713</v>
      </c>
      <c r="B4539" t="s">
        <v>16</v>
      </c>
      <c r="C4539" s="9">
        <v>39448</v>
      </c>
      <c r="D4539">
        <v>18</v>
      </c>
      <c r="E4539" t="s">
        <v>17</v>
      </c>
      <c r="F4539" t="s">
        <v>25</v>
      </c>
      <c r="G4539" s="9">
        <v>45584</v>
      </c>
      <c r="H4539" s="9">
        <v>45194</v>
      </c>
      <c r="I4539">
        <v>29</v>
      </c>
      <c r="J4539" t="s">
        <v>35</v>
      </c>
      <c r="K4539">
        <v>1</v>
      </c>
      <c r="L4539">
        <v>0</v>
      </c>
      <c r="M4539" s="11">
        <v>20478.650000000001</v>
      </c>
      <c r="N4539" s="12">
        <v>10752.41</v>
      </c>
      <c r="O4539" s="12">
        <v>16928.55</v>
      </c>
    </row>
    <row r="4540" spans="1:15">
      <c r="A4540" t="s">
        <v>4714</v>
      </c>
      <c r="B4540" t="s">
        <v>71</v>
      </c>
      <c r="C4540" s="9">
        <v>15707</v>
      </c>
      <c r="D4540">
        <v>83</v>
      </c>
      <c r="E4540" t="s">
        <v>21</v>
      </c>
      <c r="F4540" t="s">
        <v>29</v>
      </c>
      <c r="G4540" s="9">
        <v>45583</v>
      </c>
      <c r="H4540" s="9">
        <v>45583</v>
      </c>
      <c r="I4540">
        <v>26</v>
      </c>
      <c r="J4540" t="s">
        <v>26</v>
      </c>
      <c r="K4540">
        <v>1</v>
      </c>
      <c r="L4540">
        <v>4</v>
      </c>
      <c r="M4540" s="11">
        <v>24861.47</v>
      </c>
      <c r="N4540" s="12">
        <v>6298</v>
      </c>
      <c r="O4540" s="12">
        <v>1172.26</v>
      </c>
    </row>
    <row r="4541" spans="1:15">
      <c r="A4541" t="s">
        <v>4715</v>
      </c>
      <c r="B4541" t="s">
        <v>397</v>
      </c>
      <c r="C4541" s="9">
        <v>22281</v>
      </c>
      <c r="D4541">
        <f ca="1">DATEDIF(C4492,TODAY(),"Y")</f>
        <v>62</v>
      </c>
      <c r="E4541" t="s">
        <v>17</v>
      </c>
      <c r="F4541" t="s">
        <v>22</v>
      </c>
      <c r="G4541" s="9">
        <v>45415</v>
      </c>
      <c r="H4541" s="9">
        <v>45481</v>
      </c>
      <c r="I4541">
        <v>36</v>
      </c>
      <c r="J4541" t="s">
        <v>26</v>
      </c>
      <c r="K4541">
        <v>11</v>
      </c>
      <c r="L4541">
        <v>3</v>
      </c>
      <c r="M4541" s="11">
        <v>5538.8</v>
      </c>
      <c r="N4541" s="12">
        <v>14513.6</v>
      </c>
      <c r="O4541" s="12">
        <v>11524.81</v>
      </c>
    </row>
    <row r="4542" spans="1:15">
      <c r="A4542" t="s">
        <v>4716</v>
      </c>
      <c r="B4542" t="s">
        <v>479</v>
      </c>
      <c r="C4542" s="9">
        <v>35430</v>
      </c>
      <c r="D4542">
        <v>29</v>
      </c>
      <c r="E4542" t="s">
        <v>21</v>
      </c>
      <c r="F4542" t="s">
        <v>25</v>
      </c>
      <c r="G4542" s="9">
        <v>45510</v>
      </c>
      <c r="H4542" s="9">
        <v>45663</v>
      </c>
      <c r="I4542">
        <v>6</v>
      </c>
      <c r="J4542" t="s">
        <v>32</v>
      </c>
      <c r="K4542">
        <v>5</v>
      </c>
      <c r="L4542">
        <v>4</v>
      </c>
      <c r="M4542" s="11">
        <v>16884.34</v>
      </c>
      <c r="N4542" s="12">
        <v>6664.53</v>
      </c>
      <c r="O4542" s="12">
        <v>8203.11</v>
      </c>
    </row>
    <row r="4543" spans="1:15">
      <c r="A4543" t="s">
        <v>4717</v>
      </c>
      <c r="B4543" t="s">
        <v>502</v>
      </c>
      <c r="C4543" s="9">
        <v>27029</v>
      </c>
      <c r="D4543">
        <v>52</v>
      </c>
      <c r="E4543" t="s">
        <v>21</v>
      </c>
      <c r="F4543" t="s">
        <v>49</v>
      </c>
      <c r="G4543" s="9">
        <v>45280</v>
      </c>
      <c r="H4543" s="9">
        <v>45785</v>
      </c>
      <c r="I4543">
        <v>11</v>
      </c>
      <c r="J4543" t="s">
        <v>32</v>
      </c>
      <c r="K4543">
        <v>8</v>
      </c>
      <c r="L4543">
        <v>4</v>
      </c>
      <c r="M4543" s="11">
        <v>22081.08</v>
      </c>
      <c r="N4543" s="12">
        <v>14719.57</v>
      </c>
      <c r="O4543" s="12">
        <v>11952.71</v>
      </c>
    </row>
    <row r="4544" spans="1:15">
      <c r="A4544" t="s">
        <v>4718</v>
      </c>
      <c r="B4544" t="s">
        <v>422</v>
      </c>
      <c r="C4544" s="9">
        <f>DATE(2026-D4504,1,1)</f>
        <v>21186</v>
      </c>
      <c r="D4544">
        <v>33</v>
      </c>
      <c r="E4544" t="s">
        <v>17</v>
      </c>
      <c r="F4544" t="s">
        <v>25</v>
      </c>
      <c r="G4544" s="9">
        <v>45630</v>
      </c>
      <c r="H4544" s="9">
        <v>45433</v>
      </c>
      <c r="I4544">
        <v>14</v>
      </c>
      <c r="J4544" t="s">
        <v>35</v>
      </c>
      <c r="K4544">
        <v>6</v>
      </c>
      <c r="L4544">
        <v>7</v>
      </c>
      <c r="M4544" s="11">
        <v>5573.35</v>
      </c>
      <c r="N4544" s="12">
        <v>13771.75</v>
      </c>
      <c r="O4544" s="12">
        <v>17239.05</v>
      </c>
    </row>
    <row r="4545" spans="1:15">
      <c r="A4545" t="s">
        <v>4719</v>
      </c>
      <c r="B4545" t="s">
        <v>211</v>
      </c>
      <c r="C4545" s="9">
        <v>38352</v>
      </c>
      <c r="D4545">
        <v>21</v>
      </c>
      <c r="E4545" t="s">
        <v>21</v>
      </c>
      <c r="F4545" t="s">
        <v>29</v>
      </c>
      <c r="G4545" s="9">
        <v>45482</v>
      </c>
      <c r="H4545" s="9">
        <v>45491</v>
      </c>
      <c r="I4545">
        <v>22</v>
      </c>
      <c r="J4545" t="s">
        <v>32</v>
      </c>
      <c r="K4545">
        <v>9</v>
      </c>
      <c r="L4545">
        <v>5</v>
      </c>
      <c r="M4545" s="11">
        <v>13910.68</v>
      </c>
      <c r="N4545" s="12">
        <v>6107.17</v>
      </c>
      <c r="O4545" s="12">
        <v>142.13999999999999</v>
      </c>
    </row>
    <row r="4546" spans="1:15">
      <c r="A4546" t="s">
        <v>4720</v>
      </c>
      <c r="B4546" t="s">
        <v>268</v>
      </c>
      <c r="C4546" s="9">
        <v>21916</v>
      </c>
      <c r="D4546">
        <v>66</v>
      </c>
      <c r="E4546" t="s">
        <v>17</v>
      </c>
      <c r="F4546" t="s">
        <v>74</v>
      </c>
      <c r="G4546" s="9">
        <v>45083</v>
      </c>
      <c r="H4546" s="9">
        <v>45348</v>
      </c>
      <c r="I4546">
        <v>27</v>
      </c>
      <c r="J4546" t="s">
        <v>35</v>
      </c>
      <c r="K4546">
        <v>11</v>
      </c>
      <c r="L4546">
        <v>2</v>
      </c>
      <c r="M4546" s="11">
        <v>13663.04</v>
      </c>
      <c r="N4546" s="12">
        <v>2415.13</v>
      </c>
      <c r="O4546" s="12">
        <v>120.46</v>
      </c>
    </row>
    <row r="4547" spans="1:15">
      <c r="A4547" t="s">
        <v>4721</v>
      </c>
      <c r="B4547" t="s">
        <v>387</v>
      </c>
      <c r="C4547" s="9">
        <v>44196</v>
      </c>
      <c r="D4547">
        <v>5</v>
      </c>
      <c r="E4547" t="s">
        <v>17</v>
      </c>
      <c r="F4547" t="s">
        <v>25</v>
      </c>
      <c r="G4547" s="9">
        <v>45402</v>
      </c>
      <c r="H4547" s="9">
        <v>45235</v>
      </c>
      <c r="I4547">
        <v>26</v>
      </c>
      <c r="J4547" t="s">
        <v>35</v>
      </c>
      <c r="K4547">
        <v>1</v>
      </c>
      <c r="L4547">
        <v>8</v>
      </c>
      <c r="M4547" s="11">
        <v>25100.03</v>
      </c>
      <c r="N4547" s="12">
        <v>1347.56</v>
      </c>
      <c r="O4547" s="12">
        <v>1157.3499999999999</v>
      </c>
    </row>
    <row r="4548" spans="1:15">
      <c r="A4548" t="s">
        <v>4722</v>
      </c>
      <c r="B4548" t="s">
        <v>67</v>
      </c>
      <c r="C4548" s="9">
        <v>17533</v>
      </c>
      <c r="D4548">
        <v>78</v>
      </c>
      <c r="E4548" t="s">
        <v>21</v>
      </c>
      <c r="F4548" t="s">
        <v>49</v>
      </c>
      <c r="G4548" s="9">
        <v>44942</v>
      </c>
      <c r="H4548" s="9">
        <v>45064</v>
      </c>
      <c r="I4548">
        <v>26</v>
      </c>
      <c r="J4548" t="s">
        <v>35</v>
      </c>
      <c r="K4548">
        <v>1</v>
      </c>
      <c r="L4548">
        <v>7</v>
      </c>
      <c r="M4548" s="11">
        <v>23207.85</v>
      </c>
      <c r="N4548" s="12">
        <v>7972.12</v>
      </c>
      <c r="O4548" s="12">
        <v>17485.189999999999</v>
      </c>
    </row>
    <row r="4549" spans="1:15">
      <c r="A4549" t="s">
        <v>4723</v>
      </c>
      <c r="B4549" t="s">
        <v>332</v>
      </c>
      <c r="C4549" s="9">
        <v>36526</v>
      </c>
      <c r="D4549">
        <f ca="1">DATEDIF(C4500,TODAY(),"Y")</f>
        <v>16</v>
      </c>
      <c r="E4549" t="s">
        <v>17</v>
      </c>
      <c r="F4549" t="s">
        <v>49</v>
      </c>
      <c r="G4549" s="9">
        <v>45004</v>
      </c>
      <c r="H4549" s="9">
        <v>45346</v>
      </c>
      <c r="I4549">
        <v>15</v>
      </c>
      <c r="J4549" t="s">
        <v>26</v>
      </c>
      <c r="K4549">
        <v>12</v>
      </c>
      <c r="L4549">
        <v>8</v>
      </c>
      <c r="M4549" s="11">
        <v>6573.76</v>
      </c>
      <c r="N4549" s="12">
        <v>11448.12</v>
      </c>
      <c r="O4549" s="12">
        <v>7004.99</v>
      </c>
    </row>
    <row r="4550" spans="1:15">
      <c r="A4550" t="s">
        <v>4724</v>
      </c>
      <c r="B4550" t="s">
        <v>184</v>
      </c>
      <c r="C4550" s="9">
        <v>42735</v>
      </c>
      <c r="D4550">
        <v>9</v>
      </c>
      <c r="E4550" t="s">
        <v>17</v>
      </c>
      <c r="F4550" t="s">
        <v>29</v>
      </c>
      <c r="G4550" s="9">
        <v>44978</v>
      </c>
      <c r="H4550" s="9">
        <v>45122</v>
      </c>
      <c r="I4550">
        <v>28</v>
      </c>
      <c r="J4550" t="s">
        <v>26</v>
      </c>
      <c r="K4550">
        <v>4</v>
      </c>
      <c r="L4550">
        <v>3</v>
      </c>
      <c r="M4550" s="11">
        <v>6605.06</v>
      </c>
      <c r="N4550" s="12">
        <v>2640.72</v>
      </c>
      <c r="O4550" s="12">
        <v>7361.73</v>
      </c>
    </row>
    <row r="4551" spans="1:15">
      <c r="A4551" t="s">
        <v>4725</v>
      </c>
      <c r="B4551" t="s">
        <v>20</v>
      </c>
      <c r="C4551" s="9">
        <v>19724</v>
      </c>
      <c r="D4551">
        <v>72</v>
      </c>
      <c r="E4551" t="s">
        <v>21</v>
      </c>
      <c r="F4551" t="s">
        <v>5184</v>
      </c>
      <c r="G4551" s="9">
        <v>45440</v>
      </c>
      <c r="H4551" s="9">
        <v>45022</v>
      </c>
      <c r="I4551">
        <v>16</v>
      </c>
      <c r="J4551" t="s">
        <v>35</v>
      </c>
      <c r="K4551">
        <v>14</v>
      </c>
      <c r="L4551">
        <v>7</v>
      </c>
      <c r="M4551" s="11">
        <v>21562.3</v>
      </c>
      <c r="N4551" s="12">
        <v>4773.16</v>
      </c>
      <c r="O4551" s="12">
        <v>6842.6</v>
      </c>
    </row>
    <row r="4552" spans="1:15">
      <c r="A4552" t="s">
        <v>4726</v>
      </c>
      <c r="B4552" t="s">
        <v>524</v>
      </c>
      <c r="C4552" s="9">
        <v>28856</v>
      </c>
      <c r="D4552">
        <v>47</v>
      </c>
      <c r="E4552" t="s">
        <v>21</v>
      </c>
      <c r="F4552" t="s">
        <v>29</v>
      </c>
      <c r="G4552" s="9">
        <v>45430</v>
      </c>
      <c r="H4552" s="9">
        <v>45417</v>
      </c>
      <c r="I4552">
        <v>14</v>
      </c>
      <c r="J4552" t="s">
        <v>35</v>
      </c>
      <c r="K4552">
        <v>13</v>
      </c>
      <c r="L4552">
        <v>2</v>
      </c>
      <c r="M4552" s="11">
        <v>22058.18</v>
      </c>
      <c r="N4552" s="12">
        <v>9457.9699999999993</v>
      </c>
      <c r="O4552" s="12">
        <v>4542.3500000000004</v>
      </c>
    </row>
    <row r="4553" spans="1:15">
      <c r="A4553" t="s">
        <v>4727</v>
      </c>
      <c r="B4553" t="s">
        <v>289</v>
      </c>
      <c r="C4553" s="9">
        <v>20820</v>
      </c>
      <c r="D4553">
        <v>69</v>
      </c>
      <c r="E4553" t="s">
        <v>21</v>
      </c>
      <c r="F4553" t="s">
        <v>5184</v>
      </c>
      <c r="G4553" s="9">
        <v>44987</v>
      </c>
      <c r="H4553" s="9">
        <v>45185</v>
      </c>
      <c r="I4553">
        <v>3</v>
      </c>
      <c r="J4553" t="s">
        <v>32</v>
      </c>
      <c r="K4553">
        <v>0</v>
      </c>
      <c r="L4553">
        <v>4</v>
      </c>
      <c r="M4553" s="11">
        <v>4956.45</v>
      </c>
      <c r="N4553" s="12">
        <v>6913.02</v>
      </c>
      <c r="O4553" s="12">
        <v>681.14</v>
      </c>
    </row>
    <row r="4554" spans="1:15">
      <c r="A4554" t="s">
        <v>4728</v>
      </c>
      <c r="B4554" t="s">
        <v>286</v>
      </c>
      <c r="C4554" s="9">
        <v>24838</v>
      </c>
      <c r="D4554">
        <f ca="1">DATEDIF(C4505,TODAY(),"Y")</f>
        <v>27</v>
      </c>
      <c r="E4554" t="s">
        <v>17</v>
      </c>
      <c r="F4554" t="s">
        <v>18</v>
      </c>
      <c r="G4554" s="9">
        <v>45058</v>
      </c>
      <c r="H4554" s="9">
        <v>44952</v>
      </c>
      <c r="I4554">
        <v>9</v>
      </c>
      <c r="J4554" t="s">
        <v>32</v>
      </c>
      <c r="K4554">
        <v>4</v>
      </c>
      <c r="L4554">
        <v>6</v>
      </c>
      <c r="M4554" s="11">
        <v>12041</v>
      </c>
      <c r="N4554" s="12">
        <v>9058.02</v>
      </c>
      <c r="O4554" s="12">
        <v>18120.919999999998</v>
      </c>
    </row>
    <row r="4555" spans="1:15">
      <c r="A4555" t="s">
        <v>4729</v>
      </c>
      <c r="B4555" t="s">
        <v>123</v>
      </c>
      <c r="C4555" s="9">
        <v>24838</v>
      </c>
      <c r="D4555">
        <v>58</v>
      </c>
      <c r="E4555" t="s">
        <v>17</v>
      </c>
      <c r="F4555" t="s">
        <v>18</v>
      </c>
      <c r="G4555" s="9">
        <v>45308</v>
      </c>
      <c r="H4555" s="9">
        <v>45159</v>
      </c>
      <c r="I4555">
        <v>35</v>
      </c>
      <c r="J4555" t="s">
        <v>35</v>
      </c>
      <c r="K4555">
        <v>3</v>
      </c>
      <c r="L4555">
        <v>0</v>
      </c>
      <c r="M4555" s="11">
        <v>24686.01</v>
      </c>
      <c r="N4555" s="12">
        <v>10145.51</v>
      </c>
      <c r="O4555" s="12">
        <v>4580.7700000000004</v>
      </c>
    </row>
    <row r="4556" spans="1:15">
      <c r="A4556" t="s">
        <v>4730</v>
      </c>
      <c r="B4556" t="s">
        <v>147</v>
      </c>
      <c r="C4556" s="9">
        <v>45657</v>
      </c>
      <c r="D4556">
        <v>1</v>
      </c>
      <c r="E4556" t="s">
        <v>17</v>
      </c>
      <c r="F4556" t="s">
        <v>18</v>
      </c>
      <c r="G4556" s="9">
        <v>45490</v>
      </c>
      <c r="H4556" s="9">
        <v>45259</v>
      </c>
      <c r="I4556">
        <v>0</v>
      </c>
      <c r="J4556" t="s">
        <v>32</v>
      </c>
      <c r="K4556">
        <v>12</v>
      </c>
      <c r="L4556">
        <v>0</v>
      </c>
      <c r="M4556" s="11">
        <v>1922.33</v>
      </c>
      <c r="N4556" s="12">
        <v>5710.43</v>
      </c>
      <c r="O4556" s="12">
        <v>17868.2</v>
      </c>
    </row>
    <row r="4557" spans="1:15">
      <c r="A4557" t="s">
        <v>4731</v>
      </c>
      <c r="B4557" t="s">
        <v>119</v>
      </c>
      <c r="C4557" s="9">
        <v>35795</v>
      </c>
      <c r="D4557">
        <v>28</v>
      </c>
      <c r="E4557" t="s">
        <v>17</v>
      </c>
      <c r="F4557" t="s">
        <v>5184</v>
      </c>
      <c r="G4557" s="9">
        <v>45618</v>
      </c>
      <c r="H4557" s="9">
        <v>45533</v>
      </c>
      <c r="I4557">
        <v>32</v>
      </c>
      <c r="J4557" t="s">
        <v>35</v>
      </c>
      <c r="K4557">
        <v>5</v>
      </c>
      <c r="L4557">
        <v>2</v>
      </c>
      <c r="M4557" s="11">
        <v>10903.78</v>
      </c>
      <c r="N4557" s="12">
        <v>11789.49</v>
      </c>
      <c r="O4557" s="12">
        <v>19109.8</v>
      </c>
    </row>
    <row r="4558" spans="1:15">
      <c r="A4558" t="s">
        <v>4732</v>
      </c>
      <c r="B4558" t="s">
        <v>117</v>
      </c>
      <c r="C4558" s="9">
        <v>21551</v>
      </c>
      <c r="D4558">
        <v>67</v>
      </c>
      <c r="E4558" t="s">
        <v>17</v>
      </c>
      <c r="F4558" t="s">
        <v>74</v>
      </c>
      <c r="G4558" s="9">
        <v>45469</v>
      </c>
      <c r="H4558" s="9">
        <v>45789</v>
      </c>
      <c r="I4558">
        <v>30</v>
      </c>
      <c r="J4558" t="s">
        <v>32</v>
      </c>
      <c r="K4558">
        <v>13</v>
      </c>
      <c r="L4558">
        <v>3</v>
      </c>
      <c r="M4558" s="11">
        <v>19158.5</v>
      </c>
      <c r="N4558" s="12">
        <v>10542.98</v>
      </c>
      <c r="O4558" s="12">
        <v>11490.7</v>
      </c>
    </row>
    <row r="4559" spans="1:15">
      <c r="A4559" t="s">
        <v>4733</v>
      </c>
      <c r="B4559" t="s">
        <v>39</v>
      </c>
      <c r="C4559" s="9">
        <v>22646</v>
      </c>
      <c r="D4559">
        <f ca="1">DATEDIF(C4510,TODAY(),"Y")</f>
        <v>89</v>
      </c>
      <c r="E4559" t="s">
        <v>17</v>
      </c>
      <c r="F4559" t="s">
        <v>49</v>
      </c>
      <c r="G4559" s="9">
        <v>45336</v>
      </c>
      <c r="H4559" s="9">
        <v>45148</v>
      </c>
      <c r="I4559">
        <v>26</v>
      </c>
      <c r="J4559" t="s">
        <v>35</v>
      </c>
      <c r="K4559">
        <v>7</v>
      </c>
      <c r="L4559">
        <v>0</v>
      </c>
      <c r="M4559" s="11">
        <v>23018.15</v>
      </c>
      <c r="N4559" s="12">
        <v>10313.299999999999</v>
      </c>
      <c r="O4559" s="12">
        <v>7382.7</v>
      </c>
    </row>
    <row r="4560" spans="1:15">
      <c r="A4560" t="s">
        <v>4734</v>
      </c>
      <c r="B4560" t="s">
        <v>289</v>
      </c>
      <c r="C4560" s="9">
        <v>16072</v>
      </c>
      <c r="D4560">
        <v>82</v>
      </c>
      <c r="E4560" t="s">
        <v>17</v>
      </c>
      <c r="F4560" t="s">
        <v>18</v>
      </c>
      <c r="G4560" s="9">
        <v>45081</v>
      </c>
      <c r="H4560" s="9">
        <v>45224</v>
      </c>
      <c r="I4560">
        <v>0</v>
      </c>
      <c r="J4560" t="s">
        <v>32</v>
      </c>
      <c r="K4560">
        <v>7</v>
      </c>
      <c r="L4560">
        <v>7</v>
      </c>
      <c r="M4560" s="11">
        <v>19406.07</v>
      </c>
      <c r="N4560" s="12">
        <v>2242.25</v>
      </c>
      <c r="O4560" s="12">
        <v>15292.53</v>
      </c>
    </row>
    <row r="4561" spans="1:15">
      <c r="A4561" t="s">
        <v>4735</v>
      </c>
      <c r="B4561" t="s">
        <v>95</v>
      </c>
      <c r="C4561" s="9">
        <v>36891</v>
      </c>
      <c r="D4561">
        <v>25</v>
      </c>
      <c r="E4561" t="s">
        <v>21</v>
      </c>
      <c r="F4561" t="s">
        <v>49</v>
      </c>
      <c r="G4561" s="9">
        <v>45559</v>
      </c>
      <c r="H4561" s="9">
        <v>45130</v>
      </c>
      <c r="I4561">
        <v>2</v>
      </c>
      <c r="J4561" t="s">
        <v>26</v>
      </c>
      <c r="K4561">
        <v>1</v>
      </c>
      <c r="L4561">
        <v>1</v>
      </c>
      <c r="M4561" s="11">
        <v>11624.38</v>
      </c>
      <c r="N4561" s="12">
        <v>7113.53</v>
      </c>
      <c r="O4561" s="12">
        <v>410.2</v>
      </c>
    </row>
    <row r="4562" spans="1:15">
      <c r="A4562" t="s">
        <v>4736</v>
      </c>
      <c r="B4562" t="s">
        <v>490</v>
      </c>
      <c r="C4562" s="9">
        <v>13880</v>
      </c>
      <c r="D4562">
        <v>88</v>
      </c>
      <c r="E4562" t="s">
        <v>17</v>
      </c>
      <c r="F4562" t="s">
        <v>29</v>
      </c>
      <c r="G4562" s="9">
        <v>44977</v>
      </c>
      <c r="H4562" s="9">
        <v>45270</v>
      </c>
      <c r="I4562">
        <v>11</v>
      </c>
      <c r="J4562" t="s">
        <v>32</v>
      </c>
      <c r="K4562">
        <v>5</v>
      </c>
      <c r="L4562">
        <v>4</v>
      </c>
      <c r="M4562" s="11">
        <v>29754.51</v>
      </c>
      <c r="N4562" s="12">
        <v>8657.59</v>
      </c>
      <c r="O4562" s="12">
        <v>18570.22</v>
      </c>
    </row>
    <row r="4563" spans="1:15">
      <c r="A4563" t="s">
        <v>4737</v>
      </c>
      <c r="B4563" t="s">
        <v>446</v>
      </c>
      <c r="C4563" s="9">
        <v>42735</v>
      </c>
      <c r="D4563">
        <v>9</v>
      </c>
      <c r="E4563" t="s">
        <v>17</v>
      </c>
      <c r="F4563" t="s">
        <v>74</v>
      </c>
      <c r="G4563" s="9">
        <v>45021</v>
      </c>
      <c r="H4563" s="9">
        <v>45520</v>
      </c>
      <c r="I4563">
        <v>33</v>
      </c>
      <c r="J4563" t="s">
        <v>35</v>
      </c>
      <c r="K4563">
        <v>1</v>
      </c>
      <c r="L4563">
        <v>5</v>
      </c>
      <c r="M4563" s="11">
        <v>766.74</v>
      </c>
      <c r="N4563" s="12">
        <v>3395.79</v>
      </c>
      <c r="O4563" s="12">
        <v>8099.12</v>
      </c>
    </row>
    <row r="4564" spans="1:15">
      <c r="A4564" t="s">
        <v>4738</v>
      </c>
      <c r="B4564" t="s">
        <v>187</v>
      </c>
      <c r="C4564" s="9">
        <v>27029</v>
      </c>
      <c r="D4564">
        <f ca="1">DATEDIF(C4515,TODAY(),"Y")</f>
        <v>48</v>
      </c>
      <c r="E4564" t="s">
        <v>17</v>
      </c>
      <c r="F4564" t="s">
        <v>29</v>
      </c>
      <c r="G4564" s="9">
        <v>45614</v>
      </c>
      <c r="H4564" s="9">
        <v>45132</v>
      </c>
      <c r="I4564">
        <v>25</v>
      </c>
      <c r="J4564" t="s">
        <v>32</v>
      </c>
      <c r="K4564">
        <v>2</v>
      </c>
      <c r="L4564">
        <v>5</v>
      </c>
      <c r="M4564" s="11">
        <v>14590.05</v>
      </c>
      <c r="N4564" s="12">
        <v>11378.51</v>
      </c>
      <c r="O4564" s="12">
        <v>6102.9</v>
      </c>
    </row>
    <row r="4565" spans="1:15">
      <c r="A4565" t="s">
        <v>4739</v>
      </c>
      <c r="B4565" t="s">
        <v>44</v>
      </c>
      <c r="C4565" s="9">
        <v>17533</v>
      </c>
      <c r="D4565">
        <v>78</v>
      </c>
      <c r="E4565" t="s">
        <v>17</v>
      </c>
      <c r="F4565" t="s">
        <v>49</v>
      </c>
      <c r="G4565" s="9">
        <v>45449</v>
      </c>
      <c r="H4565" s="9">
        <v>45819</v>
      </c>
      <c r="I4565">
        <v>38</v>
      </c>
      <c r="J4565" t="s">
        <v>26</v>
      </c>
      <c r="K4565">
        <v>0</v>
      </c>
      <c r="L4565">
        <v>5</v>
      </c>
      <c r="M4565" s="11">
        <v>15056.68</v>
      </c>
      <c r="N4565" s="12">
        <v>1816.21</v>
      </c>
      <c r="O4565" s="12">
        <v>2451.39</v>
      </c>
    </row>
    <row r="4566" spans="1:15">
      <c r="A4566" t="s">
        <v>4740</v>
      </c>
      <c r="B4566" t="s">
        <v>487</v>
      </c>
      <c r="C4566" s="9">
        <v>24838</v>
      </c>
      <c r="D4566">
        <v>58</v>
      </c>
      <c r="E4566" t="s">
        <v>21</v>
      </c>
      <c r="F4566" t="s">
        <v>22</v>
      </c>
      <c r="G4566" s="9">
        <v>45450</v>
      </c>
      <c r="H4566" s="9">
        <v>45004</v>
      </c>
      <c r="I4566">
        <v>29</v>
      </c>
      <c r="J4566" t="s">
        <v>32</v>
      </c>
      <c r="K4566">
        <v>1</v>
      </c>
      <c r="L4566">
        <v>0</v>
      </c>
      <c r="M4566" s="11">
        <v>6813.63</v>
      </c>
      <c r="N4566" s="12">
        <v>2247.86</v>
      </c>
      <c r="O4566" s="12">
        <v>19098.919999999998</v>
      </c>
    </row>
    <row r="4567" spans="1:15">
      <c r="A4567" t="s">
        <v>4741</v>
      </c>
      <c r="B4567" t="s">
        <v>41</v>
      </c>
      <c r="C4567" s="9">
        <v>38352</v>
      </c>
      <c r="D4567">
        <v>21</v>
      </c>
      <c r="E4567" t="s">
        <v>17</v>
      </c>
      <c r="F4567" t="s">
        <v>5184</v>
      </c>
      <c r="G4567" s="9">
        <v>45281</v>
      </c>
      <c r="H4567" s="9">
        <v>45477</v>
      </c>
      <c r="I4567">
        <v>15</v>
      </c>
      <c r="J4567" t="s">
        <v>35</v>
      </c>
      <c r="K4567">
        <v>8</v>
      </c>
      <c r="L4567">
        <v>2</v>
      </c>
      <c r="M4567" s="11">
        <v>16540.580000000002</v>
      </c>
      <c r="N4567" s="12">
        <v>6199.79</v>
      </c>
      <c r="O4567" s="12">
        <v>16201.7</v>
      </c>
    </row>
    <row r="4568" spans="1:15">
      <c r="A4568" t="s">
        <v>4742</v>
      </c>
      <c r="B4568" t="s">
        <v>108</v>
      </c>
      <c r="C4568" s="9">
        <v>27760</v>
      </c>
      <c r="D4568">
        <v>50</v>
      </c>
      <c r="E4568" t="s">
        <v>21</v>
      </c>
      <c r="F4568" t="s">
        <v>22</v>
      </c>
      <c r="G4568" s="9">
        <v>44971</v>
      </c>
      <c r="H4568" s="9">
        <v>45634</v>
      </c>
      <c r="I4568">
        <v>39</v>
      </c>
      <c r="J4568" t="s">
        <v>26</v>
      </c>
      <c r="K4568">
        <v>12</v>
      </c>
      <c r="L4568">
        <v>2</v>
      </c>
      <c r="M4568" s="11">
        <v>6211.75</v>
      </c>
      <c r="N4568" s="12">
        <v>2030.17</v>
      </c>
      <c r="O4568" s="12">
        <v>14451.2</v>
      </c>
    </row>
    <row r="4569" spans="1:15">
      <c r="A4569" t="s">
        <v>4743</v>
      </c>
      <c r="B4569" t="s">
        <v>67</v>
      </c>
      <c r="C4569" s="9">
        <v>28856</v>
      </c>
      <c r="D4569">
        <v>47</v>
      </c>
      <c r="E4569" t="s">
        <v>17</v>
      </c>
      <c r="F4569" t="s">
        <v>18</v>
      </c>
      <c r="G4569" s="9">
        <v>45131</v>
      </c>
      <c r="H4569" s="9">
        <v>44969</v>
      </c>
      <c r="I4569">
        <v>37</v>
      </c>
      <c r="J4569" t="s">
        <v>32</v>
      </c>
      <c r="K4569">
        <v>14</v>
      </c>
      <c r="L4569">
        <v>7</v>
      </c>
      <c r="M4569" s="11">
        <v>13024.07</v>
      </c>
      <c r="N4569" s="12">
        <v>174.66</v>
      </c>
      <c r="O4569" s="12">
        <v>18612.39</v>
      </c>
    </row>
    <row r="4570" spans="1:15">
      <c r="A4570" t="s">
        <v>4744</v>
      </c>
      <c r="B4570" t="s">
        <v>392</v>
      </c>
      <c r="C4570" s="9">
        <v>38717</v>
      </c>
      <c r="D4570">
        <v>20</v>
      </c>
      <c r="E4570" t="s">
        <v>21</v>
      </c>
      <c r="F4570" t="s">
        <v>22</v>
      </c>
      <c r="G4570" s="9">
        <v>45357</v>
      </c>
      <c r="H4570" s="9">
        <v>45382</v>
      </c>
      <c r="I4570">
        <v>10</v>
      </c>
      <c r="J4570" t="s">
        <v>35</v>
      </c>
      <c r="K4570">
        <v>1</v>
      </c>
      <c r="L4570">
        <v>5</v>
      </c>
      <c r="M4570" s="11">
        <v>12664.85</v>
      </c>
      <c r="N4570" s="12">
        <v>6171.03</v>
      </c>
      <c r="O4570" s="12">
        <v>19192.61</v>
      </c>
    </row>
    <row r="4571" spans="1:15">
      <c r="A4571" t="s">
        <v>4745</v>
      </c>
      <c r="B4571" t="s">
        <v>157</v>
      </c>
      <c r="C4571" s="9">
        <v>38352</v>
      </c>
      <c r="D4571">
        <v>21</v>
      </c>
      <c r="E4571" t="s">
        <v>17</v>
      </c>
      <c r="F4571" t="s">
        <v>29</v>
      </c>
      <c r="G4571" s="9">
        <v>45182</v>
      </c>
      <c r="H4571" s="9">
        <v>45109</v>
      </c>
      <c r="I4571">
        <v>1</v>
      </c>
      <c r="J4571" t="s">
        <v>32</v>
      </c>
      <c r="K4571">
        <v>8</v>
      </c>
      <c r="L4571">
        <v>1</v>
      </c>
      <c r="M4571" s="11">
        <v>23080.23</v>
      </c>
      <c r="N4571" s="12">
        <v>9728.2800000000007</v>
      </c>
      <c r="O4571" s="12">
        <v>5295.78</v>
      </c>
    </row>
    <row r="4572" spans="1:15">
      <c r="A4572" t="s">
        <v>4746</v>
      </c>
      <c r="B4572" t="s">
        <v>487</v>
      </c>
      <c r="C4572" s="9">
        <v>35430</v>
      </c>
      <c r="D4572">
        <f ca="1">DATEDIF(C4523,TODAY(),"Y")</f>
        <v>1</v>
      </c>
      <c r="E4572" t="s">
        <v>17</v>
      </c>
      <c r="F4572" t="s">
        <v>5184</v>
      </c>
      <c r="G4572" s="9">
        <v>45174</v>
      </c>
      <c r="H4572" s="9">
        <v>45684</v>
      </c>
      <c r="I4572">
        <v>22</v>
      </c>
      <c r="J4572" t="s">
        <v>32</v>
      </c>
      <c r="K4572">
        <v>7</v>
      </c>
      <c r="L4572">
        <v>0</v>
      </c>
      <c r="M4572" s="11">
        <v>28249.05</v>
      </c>
      <c r="N4572" s="12">
        <v>7427.07</v>
      </c>
      <c r="O4572" s="12">
        <v>15709.15</v>
      </c>
    </row>
    <row r="4573" spans="1:15">
      <c r="A4573" t="s">
        <v>4747</v>
      </c>
      <c r="B4573" t="s">
        <v>192</v>
      </c>
      <c r="C4573" s="9">
        <f>DATE(2026-D4533,1,1)</f>
        <v>35796</v>
      </c>
      <c r="D4573">
        <v>24</v>
      </c>
      <c r="E4573" t="s">
        <v>17</v>
      </c>
      <c r="F4573" t="s">
        <v>22</v>
      </c>
      <c r="G4573" s="9">
        <v>45459</v>
      </c>
      <c r="H4573" s="9">
        <v>45122</v>
      </c>
      <c r="I4573">
        <v>17</v>
      </c>
      <c r="J4573" t="s">
        <v>32</v>
      </c>
      <c r="K4573">
        <v>1</v>
      </c>
      <c r="L4573">
        <v>3</v>
      </c>
      <c r="M4573" s="11">
        <v>5686.72</v>
      </c>
      <c r="N4573" s="12">
        <v>782.7</v>
      </c>
      <c r="O4573" s="12">
        <v>15316.32</v>
      </c>
    </row>
    <row r="4574" spans="1:15">
      <c r="A4574" t="s">
        <v>4748</v>
      </c>
      <c r="B4574" t="s">
        <v>671</v>
      </c>
      <c r="C4574" s="9">
        <v>36161</v>
      </c>
      <c r="D4574">
        <v>27</v>
      </c>
      <c r="E4574" t="s">
        <v>21</v>
      </c>
      <c r="F4574" t="s">
        <v>25</v>
      </c>
      <c r="G4574" s="9">
        <v>44967</v>
      </c>
      <c r="H4574" s="9">
        <v>45517</v>
      </c>
      <c r="I4574">
        <v>4</v>
      </c>
      <c r="J4574" t="s">
        <v>35</v>
      </c>
      <c r="K4574">
        <v>13</v>
      </c>
      <c r="L4574">
        <v>0</v>
      </c>
      <c r="M4574" s="11">
        <v>29741.279999999999</v>
      </c>
      <c r="N4574" s="12">
        <v>3486.98</v>
      </c>
      <c r="O4574" s="12">
        <v>11102.06</v>
      </c>
    </row>
    <row r="4575" spans="1:15">
      <c r="A4575" t="s">
        <v>4749</v>
      </c>
      <c r="B4575" t="s">
        <v>166</v>
      </c>
      <c r="C4575" s="9">
        <v>22646</v>
      </c>
      <c r="D4575">
        <v>64</v>
      </c>
      <c r="E4575" t="s">
        <v>5185</v>
      </c>
      <c r="F4575" t="s">
        <v>74</v>
      </c>
      <c r="G4575" s="9">
        <v>45385</v>
      </c>
      <c r="H4575" s="9">
        <v>45759</v>
      </c>
      <c r="I4575">
        <v>8</v>
      </c>
      <c r="J4575" t="s">
        <v>32</v>
      </c>
      <c r="K4575">
        <v>1</v>
      </c>
      <c r="L4575">
        <v>4</v>
      </c>
      <c r="M4575" s="11">
        <v>0</v>
      </c>
      <c r="N4575" s="12">
        <v>7865.23</v>
      </c>
      <c r="O4575" s="12">
        <v>2923.55</v>
      </c>
    </row>
    <row r="4576" spans="1:15">
      <c r="A4576" t="s">
        <v>4750</v>
      </c>
      <c r="B4576" t="s">
        <v>226</v>
      </c>
      <c r="C4576" s="9">
        <v>29951</v>
      </c>
      <c r="D4576">
        <v>44</v>
      </c>
      <c r="E4576" t="s">
        <v>17</v>
      </c>
      <c r="F4576" t="s">
        <v>49</v>
      </c>
      <c r="G4576" s="9">
        <v>45203</v>
      </c>
      <c r="H4576" s="9">
        <v>45315</v>
      </c>
      <c r="I4576">
        <v>2</v>
      </c>
      <c r="J4576" t="s">
        <v>35</v>
      </c>
      <c r="K4576">
        <v>9</v>
      </c>
      <c r="L4576">
        <v>7</v>
      </c>
      <c r="M4576" s="11">
        <v>2935.92</v>
      </c>
      <c r="N4576" s="12">
        <v>11071.39</v>
      </c>
      <c r="O4576" s="12">
        <v>18800.939999999999</v>
      </c>
    </row>
    <row r="4577" spans="1:15">
      <c r="A4577" t="s">
        <v>4751</v>
      </c>
      <c r="B4577" t="s">
        <v>108</v>
      </c>
      <c r="C4577" s="9">
        <v>21551</v>
      </c>
      <c r="D4577">
        <v>67</v>
      </c>
      <c r="E4577" t="s">
        <v>17</v>
      </c>
      <c r="F4577" t="s">
        <v>5184</v>
      </c>
      <c r="G4577" s="9">
        <v>45121</v>
      </c>
      <c r="H4577" s="9">
        <v>45564</v>
      </c>
      <c r="I4577">
        <v>26</v>
      </c>
      <c r="J4577" t="s">
        <v>32</v>
      </c>
      <c r="K4577">
        <v>3</v>
      </c>
      <c r="L4577">
        <v>9</v>
      </c>
      <c r="M4577" s="11">
        <v>27327.16</v>
      </c>
      <c r="N4577" s="12">
        <v>11908.75</v>
      </c>
      <c r="O4577" s="12">
        <v>6239.18</v>
      </c>
    </row>
    <row r="4578" spans="1:15">
      <c r="A4578" t="s">
        <v>4752</v>
      </c>
      <c r="B4578" t="s">
        <v>215</v>
      </c>
      <c r="C4578" s="9">
        <v>43831</v>
      </c>
      <c r="D4578">
        <v>6</v>
      </c>
      <c r="E4578" t="s">
        <v>21</v>
      </c>
      <c r="F4578" t="s">
        <v>18</v>
      </c>
      <c r="G4578" s="9">
        <v>44997</v>
      </c>
      <c r="H4578" s="9">
        <v>45068</v>
      </c>
      <c r="I4578">
        <v>15</v>
      </c>
      <c r="J4578" t="s">
        <v>26</v>
      </c>
      <c r="K4578">
        <v>1</v>
      </c>
      <c r="L4578">
        <v>1</v>
      </c>
      <c r="M4578" s="11">
        <v>16719.63</v>
      </c>
      <c r="N4578" s="12">
        <v>7790.53</v>
      </c>
      <c r="O4578" s="12">
        <v>11535.48</v>
      </c>
    </row>
    <row r="4579" spans="1:15">
      <c r="A4579" t="s">
        <v>4753</v>
      </c>
      <c r="B4579" t="s">
        <v>115</v>
      </c>
      <c r="C4579" s="9">
        <v>28490</v>
      </c>
      <c r="D4579">
        <v>48</v>
      </c>
      <c r="E4579" t="s">
        <v>17</v>
      </c>
      <c r="F4579" t="s">
        <v>29</v>
      </c>
      <c r="G4579" s="9">
        <v>45196</v>
      </c>
      <c r="H4579" s="9">
        <v>44954</v>
      </c>
      <c r="I4579">
        <v>5</v>
      </c>
      <c r="J4579" t="s">
        <v>35</v>
      </c>
      <c r="K4579">
        <v>2</v>
      </c>
      <c r="L4579">
        <v>7</v>
      </c>
      <c r="M4579" s="11">
        <v>26308.17</v>
      </c>
      <c r="N4579" s="12">
        <v>9691.91</v>
      </c>
      <c r="O4579" s="12">
        <v>289.54000000000002</v>
      </c>
    </row>
    <row r="4580" spans="1:15">
      <c r="A4580" t="s">
        <v>4754</v>
      </c>
      <c r="B4580" t="s">
        <v>244</v>
      </c>
      <c r="C4580" s="9">
        <v>43100</v>
      </c>
      <c r="D4580">
        <v>8</v>
      </c>
      <c r="E4580" t="s">
        <v>21</v>
      </c>
      <c r="F4580" t="s">
        <v>74</v>
      </c>
      <c r="G4580" s="9">
        <v>45261</v>
      </c>
      <c r="H4580" s="9">
        <v>45242</v>
      </c>
      <c r="I4580">
        <v>24</v>
      </c>
      <c r="J4580" t="s">
        <v>35</v>
      </c>
      <c r="K4580">
        <v>2</v>
      </c>
      <c r="L4580">
        <v>7</v>
      </c>
      <c r="M4580" s="11">
        <v>28341.87</v>
      </c>
      <c r="N4580" s="12">
        <v>13551.26</v>
      </c>
      <c r="O4580" s="12">
        <v>8525.81</v>
      </c>
    </row>
    <row r="4581" spans="1:15">
      <c r="A4581" t="s">
        <v>4755</v>
      </c>
      <c r="B4581" t="s">
        <v>192</v>
      </c>
      <c r="C4581" s="9">
        <v>33239</v>
      </c>
      <c r="D4581">
        <v>35</v>
      </c>
      <c r="E4581" t="s">
        <v>17</v>
      </c>
      <c r="F4581" t="s">
        <v>18</v>
      </c>
      <c r="G4581" s="9">
        <v>45511</v>
      </c>
      <c r="H4581" s="9">
        <v>45248</v>
      </c>
      <c r="I4581">
        <v>39</v>
      </c>
      <c r="J4581" t="s">
        <v>32</v>
      </c>
      <c r="K4581">
        <v>1</v>
      </c>
      <c r="L4581">
        <v>5</v>
      </c>
      <c r="M4581" s="11">
        <v>25696.67</v>
      </c>
      <c r="N4581" s="12">
        <v>977.98</v>
      </c>
      <c r="O4581" s="12">
        <v>12299.57</v>
      </c>
    </row>
    <row r="4582" spans="1:15">
      <c r="A4582" t="s">
        <v>4756</v>
      </c>
      <c r="B4582" t="s">
        <v>619</v>
      </c>
      <c r="C4582" s="9">
        <v>16072</v>
      </c>
      <c r="D4582">
        <v>82</v>
      </c>
      <c r="E4582" t="s">
        <v>21</v>
      </c>
      <c r="F4582" t="s">
        <v>29</v>
      </c>
      <c r="G4582" s="9">
        <v>45234</v>
      </c>
      <c r="H4582" s="9">
        <v>45375</v>
      </c>
      <c r="I4582">
        <v>1</v>
      </c>
      <c r="J4582" t="s">
        <v>35</v>
      </c>
      <c r="K4582">
        <v>14</v>
      </c>
      <c r="L4582">
        <v>7</v>
      </c>
      <c r="M4582" s="11">
        <v>11787.77</v>
      </c>
      <c r="N4582" s="12">
        <v>1487.59</v>
      </c>
      <c r="O4582" s="12">
        <v>7557.29</v>
      </c>
    </row>
    <row r="4583" spans="1:15">
      <c r="A4583" t="s">
        <v>4757</v>
      </c>
      <c r="B4583" t="s">
        <v>302</v>
      </c>
      <c r="C4583" s="9">
        <v>46022</v>
      </c>
      <c r="D4583">
        <v>0</v>
      </c>
      <c r="E4583" t="s">
        <v>17</v>
      </c>
      <c r="F4583" t="s">
        <v>22</v>
      </c>
      <c r="G4583" s="9">
        <v>45353</v>
      </c>
      <c r="H4583" s="9">
        <v>45720</v>
      </c>
      <c r="I4583">
        <v>32</v>
      </c>
      <c r="J4583" t="s">
        <v>26</v>
      </c>
      <c r="K4583">
        <v>4</v>
      </c>
      <c r="L4583">
        <v>1</v>
      </c>
      <c r="M4583" s="11">
        <v>18921.16</v>
      </c>
      <c r="N4583" s="12">
        <v>6867.9</v>
      </c>
      <c r="O4583" s="12">
        <v>9489.84</v>
      </c>
    </row>
    <row r="4584" spans="1:15">
      <c r="A4584" t="s">
        <v>4758</v>
      </c>
      <c r="B4584" t="s">
        <v>91</v>
      </c>
      <c r="C4584" s="9">
        <v>42735</v>
      </c>
      <c r="D4584">
        <v>9</v>
      </c>
      <c r="E4584" t="s">
        <v>17</v>
      </c>
      <c r="F4584" t="s">
        <v>5184</v>
      </c>
      <c r="G4584" s="9">
        <v>45125</v>
      </c>
      <c r="H4584" s="9">
        <v>45220</v>
      </c>
      <c r="I4584">
        <v>23</v>
      </c>
      <c r="J4584" t="s">
        <v>32</v>
      </c>
      <c r="K4584">
        <v>9</v>
      </c>
      <c r="L4584">
        <v>6</v>
      </c>
      <c r="M4584" s="11">
        <v>13675.49</v>
      </c>
      <c r="N4584" s="12">
        <v>9146.02</v>
      </c>
      <c r="O4584" s="12">
        <v>3759.71</v>
      </c>
    </row>
    <row r="4585" spans="1:15">
      <c r="A4585" t="s">
        <v>4759</v>
      </c>
      <c r="B4585" t="s">
        <v>469</v>
      </c>
      <c r="C4585" s="9">
        <v>33239</v>
      </c>
      <c r="D4585">
        <v>35</v>
      </c>
      <c r="E4585" t="s">
        <v>21</v>
      </c>
      <c r="F4585" t="s">
        <v>49</v>
      </c>
      <c r="G4585" s="9">
        <v>45002</v>
      </c>
      <c r="H4585" s="9">
        <v>45681</v>
      </c>
      <c r="I4585">
        <v>20</v>
      </c>
      <c r="J4585" t="s">
        <v>32</v>
      </c>
      <c r="K4585">
        <v>10</v>
      </c>
      <c r="L4585">
        <v>7</v>
      </c>
      <c r="M4585" s="11">
        <v>10676.66</v>
      </c>
      <c r="N4585" s="12">
        <v>69.510000000000005</v>
      </c>
      <c r="O4585" s="12">
        <v>6939.46</v>
      </c>
    </row>
    <row r="4586" spans="1:15">
      <c r="A4586" t="s">
        <v>4760</v>
      </c>
      <c r="B4586" t="s">
        <v>397</v>
      </c>
      <c r="C4586" s="9">
        <v>19724</v>
      </c>
      <c r="D4586">
        <f ca="1">DATEDIF(C4537,TODAY(),"Y")</f>
        <v>53</v>
      </c>
      <c r="E4586" t="s">
        <v>17</v>
      </c>
      <c r="F4586" t="s">
        <v>5184</v>
      </c>
      <c r="G4586" s="9">
        <v>45584</v>
      </c>
      <c r="H4586" s="9">
        <v>45163</v>
      </c>
      <c r="I4586">
        <v>2</v>
      </c>
      <c r="J4586" t="s">
        <v>32</v>
      </c>
      <c r="K4586">
        <v>5</v>
      </c>
      <c r="L4586">
        <v>3</v>
      </c>
      <c r="M4586" s="11">
        <v>7146.65</v>
      </c>
      <c r="N4586" s="12">
        <v>6788.22</v>
      </c>
      <c r="O4586" s="12">
        <v>14439.62</v>
      </c>
    </row>
    <row r="4587" spans="1:15">
      <c r="A4587" t="s">
        <v>4761</v>
      </c>
      <c r="B4587" t="s">
        <v>619</v>
      </c>
      <c r="C4587" s="9">
        <v>29586</v>
      </c>
      <c r="D4587">
        <v>45</v>
      </c>
      <c r="E4587" t="s">
        <v>17</v>
      </c>
      <c r="F4587" t="s">
        <v>25</v>
      </c>
      <c r="G4587" s="9">
        <v>45451</v>
      </c>
      <c r="H4587" s="9">
        <v>45642</v>
      </c>
      <c r="I4587">
        <v>13</v>
      </c>
      <c r="J4587" t="s">
        <v>26</v>
      </c>
      <c r="K4587">
        <v>10</v>
      </c>
      <c r="L4587">
        <v>8</v>
      </c>
      <c r="M4587" s="11">
        <v>12965.99</v>
      </c>
      <c r="N4587" s="12">
        <v>2591.41</v>
      </c>
      <c r="O4587" s="12">
        <v>19391.21</v>
      </c>
    </row>
    <row r="4588" spans="1:15">
      <c r="A4588" t="s">
        <v>4762</v>
      </c>
      <c r="B4588" t="s">
        <v>82</v>
      </c>
      <c r="C4588" s="9">
        <v>34700</v>
      </c>
      <c r="D4588">
        <v>31</v>
      </c>
      <c r="E4588" t="s">
        <v>21</v>
      </c>
      <c r="F4588" t="s">
        <v>25</v>
      </c>
      <c r="G4588" s="9">
        <v>45567</v>
      </c>
      <c r="H4588" s="9">
        <v>45384</v>
      </c>
      <c r="I4588">
        <v>39</v>
      </c>
      <c r="J4588" t="s">
        <v>26</v>
      </c>
      <c r="K4588">
        <v>5</v>
      </c>
      <c r="L4588">
        <v>5</v>
      </c>
      <c r="M4588" s="11">
        <v>24082.14</v>
      </c>
      <c r="N4588" s="12">
        <v>9676.57</v>
      </c>
      <c r="O4588" s="12">
        <v>9322.61</v>
      </c>
    </row>
    <row r="4589" spans="1:15">
      <c r="A4589" t="s">
        <v>4763</v>
      </c>
      <c r="B4589" t="s">
        <v>427</v>
      </c>
      <c r="C4589" s="9">
        <f ca="1">DATE(2026-D4549,1,1)</f>
        <v>40179</v>
      </c>
      <c r="D4589">
        <v>31</v>
      </c>
      <c r="E4589" t="s">
        <v>17</v>
      </c>
      <c r="F4589" t="s">
        <v>5184</v>
      </c>
      <c r="G4589" s="9">
        <v>45156</v>
      </c>
      <c r="H4589" s="9">
        <v>45819</v>
      </c>
      <c r="I4589">
        <v>8</v>
      </c>
      <c r="J4589" t="s">
        <v>35</v>
      </c>
      <c r="K4589">
        <v>11</v>
      </c>
      <c r="L4589">
        <v>2</v>
      </c>
      <c r="M4589" s="11">
        <v>25242.69</v>
      </c>
      <c r="N4589" s="12">
        <v>4016.03</v>
      </c>
      <c r="O4589" s="12">
        <v>13689.54</v>
      </c>
    </row>
    <row r="4590" spans="1:15">
      <c r="A4590" t="s">
        <v>4764</v>
      </c>
      <c r="B4590" t="s">
        <v>123</v>
      </c>
      <c r="C4590" s="9">
        <v>44196</v>
      </c>
      <c r="D4590">
        <v>5</v>
      </c>
      <c r="E4590" t="s">
        <v>21</v>
      </c>
      <c r="F4590" t="s">
        <v>22</v>
      </c>
      <c r="G4590" s="9">
        <v>45011</v>
      </c>
      <c r="H4590" s="9">
        <v>45766</v>
      </c>
      <c r="I4590">
        <v>16</v>
      </c>
      <c r="J4590" t="s">
        <v>32</v>
      </c>
      <c r="K4590">
        <v>4</v>
      </c>
      <c r="L4590">
        <v>3</v>
      </c>
      <c r="M4590" s="11">
        <v>0</v>
      </c>
      <c r="N4590" s="12">
        <v>13529.07</v>
      </c>
      <c r="O4590" s="12">
        <v>19521.38</v>
      </c>
    </row>
    <row r="4591" spans="1:15">
      <c r="A4591" t="s">
        <v>4765</v>
      </c>
      <c r="B4591" t="s">
        <v>176</v>
      </c>
      <c r="C4591" s="9">
        <v>28856</v>
      </c>
      <c r="D4591">
        <v>47</v>
      </c>
      <c r="E4591" t="s">
        <v>21</v>
      </c>
      <c r="F4591" t="s">
        <v>49</v>
      </c>
      <c r="G4591" s="9">
        <v>45088</v>
      </c>
      <c r="H4591" s="9">
        <v>45581</v>
      </c>
      <c r="I4591">
        <v>13</v>
      </c>
      <c r="J4591" t="s">
        <v>26</v>
      </c>
      <c r="K4591">
        <v>5</v>
      </c>
      <c r="L4591">
        <v>3</v>
      </c>
      <c r="M4591" s="11">
        <v>8363.81</v>
      </c>
      <c r="N4591" s="12">
        <v>957.71</v>
      </c>
      <c r="O4591" s="12">
        <v>15473.32</v>
      </c>
    </row>
    <row r="4592" spans="1:15">
      <c r="A4592" t="s">
        <v>4766</v>
      </c>
      <c r="B4592" t="s">
        <v>237</v>
      </c>
      <c r="C4592" s="9">
        <v>32508</v>
      </c>
      <c r="D4592">
        <v>37</v>
      </c>
      <c r="E4592" t="s">
        <v>21</v>
      </c>
      <c r="F4592" t="s">
        <v>74</v>
      </c>
      <c r="G4592" s="9">
        <v>45323</v>
      </c>
      <c r="H4592" s="9">
        <v>45533</v>
      </c>
      <c r="I4592">
        <v>29</v>
      </c>
      <c r="J4592" t="s">
        <v>32</v>
      </c>
      <c r="K4592">
        <v>12</v>
      </c>
      <c r="L4592">
        <v>0</v>
      </c>
      <c r="M4592" s="11">
        <v>19337.12</v>
      </c>
      <c r="N4592" s="12">
        <v>12138.09</v>
      </c>
      <c r="O4592" s="12">
        <v>103.63</v>
      </c>
    </row>
    <row r="4593" spans="1:15">
      <c r="A4593" t="s">
        <v>4767</v>
      </c>
      <c r="B4593" t="s">
        <v>163</v>
      </c>
      <c r="C4593" s="9">
        <v>40178</v>
      </c>
      <c r="D4593">
        <v>16</v>
      </c>
      <c r="E4593" t="s">
        <v>17</v>
      </c>
      <c r="F4593" t="s">
        <v>49</v>
      </c>
      <c r="G4593" s="9">
        <v>45297</v>
      </c>
      <c r="H4593" s="9">
        <v>45591</v>
      </c>
      <c r="I4593">
        <v>9</v>
      </c>
      <c r="J4593" t="s">
        <v>35</v>
      </c>
      <c r="K4593">
        <v>1</v>
      </c>
      <c r="L4593">
        <v>9</v>
      </c>
      <c r="M4593" s="11">
        <v>20660.259999999998</v>
      </c>
      <c r="N4593" s="12">
        <v>5884.91</v>
      </c>
      <c r="O4593" s="12">
        <v>18704.37</v>
      </c>
    </row>
    <row r="4594" spans="1:15">
      <c r="A4594" t="s">
        <v>4768</v>
      </c>
      <c r="B4594" t="s">
        <v>133</v>
      </c>
      <c r="C4594" s="9">
        <v>19359</v>
      </c>
      <c r="D4594">
        <v>73</v>
      </c>
      <c r="E4594" t="s">
        <v>21</v>
      </c>
      <c r="F4594" t="s">
        <v>22</v>
      </c>
      <c r="G4594" s="9">
        <v>45489</v>
      </c>
      <c r="H4594" s="9">
        <v>45692</v>
      </c>
      <c r="I4594">
        <v>1</v>
      </c>
      <c r="J4594" t="s">
        <v>26</v>
      </c>
      <c r="K4594">
        <v>3</v>
      </c>
      <c r="L4594">
        <v>0</v>
      </c>
      <c r="M4594" s="11">
        <v>5335.64</v>
      </c>
      <c r="N4594" s="12">
        <v>12857.41</v>
      </c>
      <c r="O4594" s="12">
        <v>17317.990000000002</v>
      </c>
    </row>
    <row r="4595" spans="1:15">
      <c r="A4595" t="s">
        <v>4769</v>
      </c>
      <c r="B4595" t="s">
        <v>379</v>
      </c>
      <c r="C4595" s="9">
        <v>36526</v>
      </c>
      <c r="D4595">
        <v>26</v>
      </c>
      <c r="E4595" t="s">
        <v>17</v>
      </c>
      <c r="F4595" t="s">
        <v>29</v>
      </c>
      <c r="G4595" s="9">
        <v>45141</v>
      </c>
      <c r="H4595" s="9">
        <v>44994</v>
      </c>
      <c r="I4595">
        <v>19</v>
      </c>
      <c r="J4595" t="s">
        <v>26</v>
      </c>
      <c r="K4595">
        <v>12</v>
      </c>
      <c r="L4595">
        <v>0</v>
      </c>
      <c r="M4595" s="11">
        <v>10689.9</v>
      </c>
      <c r="N4595" s="12">
        <v>12226.84</v>
      </c>
      <c r="O4595" s="12">
        <v>5349.37</v>
      </c>
    </row>
    <row r="4596" spans="1:15">
      <c r="A4596" t="s">
        <v>4770</v>
      </c>
      <c r="B4596" t="s">
        <v>55</v>
      </c>
      <c r="C4596" s="9">
        <v>26664</v>
      </c>
      <c r="D4596">
        <v>53</v>
      </c>
      <c r="E4596" t="s">
        <v>17</v>
      </c>
      <c r="F4596" t="s">
        <v>5184</v>
      </c>
      <c r="G4596" s="9">
        <v>44927</v>
      </c>
      <c r="H4596" s="9">
        <v>45103</v>
      </c>
      <c r="I4596">
        <v>23</v>
      </c>
      <c r="J4596" t="s">
        <v>26</v>
      </c>
      <c r="K4596">
        <v>14</v>
      </c>
      <c r="L4596">
        <v>3</v>
      </c>
      <c r="M4596" s="11">
        <v>9938.83</v>
      </c>
      <c r="N4596" s="12">
        <v>3589.39</v>
      </c>
      <c r="O4596" s="12">
        <v>3549.18</v>
      </c>
    </row>
    <row r="4597" spans="1:15">
      <c r="A4597" t="s">
        <v>4771</v>
      </c>
      <c r="B4597" t="s">
        <v>159</v>
      </c>
      <c r="C4597" s="9">
        <v>28125</v>
      </c>
      <c r="D4597">
        <v>49</v>
      </c>
      <c r="E4597" t="s">
        <v>21</v>
      </c>
      <c r="F4597" t="s">
        <v>5184</v>
      </c>
      <c r="G4597" s="9">
        <v>45303</v>
      </c>
      <c r="H4597" s="9">
        <v>45437</v>
      </c>
      <c r="I4597">
        <v>30</v>
      </c>
      <c r="J4597" t="s">
        <v>35</v>
      </c>
      <c r="K4597">
        <v>12</v>
      </c>
      <c r="L4597">
        <v>0</v>
      </c>
      <c r="M4597" s="11">
        <v>29570.25</v>
      </c>
      <c r="N4597" s="12">
        <v>758.52</v>
      </c>
      <c r="O4597" s="12">
        <v>17974.41</v>
      </c>
    </row>
    <row r="4598" spans="1:15">
      <c r="A4598" t="s">
        <v>4772</v>
      </c>
      <c r="B4598" t="s">
        <v>309</v>
      </c>
      <c r="C4598" s="9">
        <v>33604</v>
      </c>
      <c r="D4598">
        <v>34</v>
      </c>
      <c r="E4598" t="s">
        <v>17</v>
      </c>
      <c r="F4598" t="s">
        <v>5184</v>
      </c>
      <c r="G4598" s="9">
        <v>45338</v>
      </c>
      <c r="H4598" s="9">
        <v>45542</v>
      </c>
      <c r="I4598">
        <v>21</v>
      </c>
      <c r="J4598" t="s">
        <v>26</v>
      </c>
      <c r="K4598">
        <v>5</v>
      </c>
      <c r="L4598">
        <v>5</v>
      </c>
      <c r="M4598" s="11">
        <v>0</v>
      </c>
      <c r="N4598" s="12">
        <v>10432.82</v>
      </c>
      <c r="O4598" s="12">
        <v>13742.69</v>
      </c>
    </row>
    <row r="4599" spans="1:15">
      <c r="A4599" t="s">
        <v>4773</v>
      </c>
      <c r="B4599" t="s">
        <v>615</v>
      </c>
      <c r="C4599" s="9">
        <v>15341</v>
      </c>
      <c r="D4599">
        <v>84</v>
      </c>
      <c r="E4599" t="s">
        <v>21</v>
      </c>
      <c r="F4599" t="s">
        <v>5184</v>
      </c>
      <c r="G4599" s="9">
        <v>45561</v>
      </c>
      <c r="H4599" s="9">
        <v>45018</v>
      </c>
      <c r="I4599">
        <v>2</v>
      </c>
      <c r="J4599" t="s">
        <v>26</v>
      </c>
      <c r="K4599">
        <v>8</v>
      </c>
      <c r="L4599">
        <v>1</v>
      </c>
      <c r="M4599" s="11">
        <v>24563.919999999998</v>
      </c>
      <c r="N4599" s="12">
        <v>3065.92</v>
      </c>
      <c r="O4599" s="12">
        <v>4663.5200000000004</v>
      </c>
    </row>
    <row r="4600" spans="1:15">
      <c r="A4600" t="s">
        <v>4774</v>
      </c>
      <c r="B4600" t="s">
        <v>1148</v>
      </c>
      <c r="C4600" s="9">
        <v>37256</v>
      </c>
      <c r="D4600">
        <v>24</v>
      </c>
      <c r="E4600" t="s">
        <v>17</v>
      </c>
      <c r="F4600" t="s">
        <v>74</v>
      </c>
      <c r="G4600" s="9">
        <v>45126</v>
      </c>
      <c r="H4600" s="9">
        <v>45632</v>
      </c>
      <c r="I4600">
        <v>18</v>
      </c>
      <c r="J4600" t="s">
        <v>32</v>
      </c>
      <c r="K4600">
        <v>3</v>
      </c>
      <c r="L4600">
        <v>0</v>
      </c>
      <c r="M4600" s="11">
        <v>13921.5</v>
      </c>
      <c r="N4600" s="12">
        <v>13957.61</v>
      </c>
      <c r="O4600" s="12">
        <v>14249.02</v>
      </c>
    </row>
    <row r="4601" spans="1:15">
      <c r="A4601" t="s">
        <v>4775</v>
      </c>
      <c r="B4601" t="s">
        <v>226</v>
      </c>
      <c r="C4601" s="9">
        <v>36161</v>
      </c>
      <c r="D4601">
        <v>27</v>
      </c>
      <c r="E4601" t="s">
        <v>21</v>
      </c>
      <c r="F4601" t="s">
        <v>25</v>
      </c>
      <c r="G4601" s="9">
        <v>45109</v>
      </c>
      <c r="H4601" s="9">
        <v>45093</v>
      </c>
      <c r="I4601">
        <v>15</v>
      </c>
      <c r="J4601" t="s">
        <v>32</v>
      </c>
      <c r="K4601">
        <v>12</v>
      </c>
      <c r="L4601">
        <v>6</v>
      </c>
      <c r="M4601" s="11">
        <v>7554.19</v>
      </c>
      <c r="N4601" s="12">
        <v>1008.46</v>
      </c>
      <c r="O4601" s="12">
        <v>11964.52</v>
      </c>
    </row>
    <row r="4602" spans="1:15">
      <c r="A4602" t="s">
        <v>4776</v>
      </c>
      <c r="B4602" t="s">
        <v>524</v>
      </c>
      <c r="C4602" s="9">
        <v>40909</v>
      </c>
      <c r="D4602">
        <v>14</v>
      </c>
      <c r="E4602" t="s">
        <v>21</v>
      </c>
      <c r="F4602" t="s">
        <v>22</v>
      </c>
      <c r="G4602" s="9">
        <v>45336</v>
      </c>
      <c r="H4602" s="9">
        <v>45529</v>
      </c>
      <c r="I4602">
        <v>36</v>
      </c>
      <c r="J4602" t="s">
        <v>32</v>
      </c>
      <c r="K4602">
        <v>8</v>
      </c>
      <c r="L4602">
        <v>5</v>
      </c>
      <c r="M4602" s="11">
        <v>27436.91</v>
      </c>
      <c r="N4602" s="12">
        <v>4859.7</v>
      </c>
      <c r="O4602" s="12">
        <v>6115.22</v>
      </c>
    </row>
    <row r="4603" spans="1:15">
      <c r="A4603" t="s">
        <v>4777</v>
      </c>
      <c r="B4603" t="s">
        <v>57</v>
      </c>
      <c r="C4603" s="9">
        <v>44927</v>
      </c>
      <c r="D4603">
        <v>3</v>
      </c>
      <c r="E4603" t="s">
        <v>17</v>
      </c>
      <c r="F4603" t="s">
        <v>29</v>
      </c>
      <c r="G4603" s="9">
        <v>45324</v>
      </c>
      <c r="H4603" s="9">
        <v>45765</v>
      </c>
      <c r="I4603">
        <v>2</v>
      </c>
      <c r="J4603" t="s">
        <v>26</v>
      </c>
      <c r="K4603">
        <v>0</v>
      </c>
      <c r="L4603">
        <v>0</v>
      </c>
      <c r="M4603" s="11">
        <v>7675.33</v>
      </c>
      <c r="N4603" s="12">
        <v>189.74</v>
      </c>
      <c r="O4603" s="12">
        <v>11091.13</v>
      </c>
    </row>
    <row r="4604" spans="1:15">
      <c r="A4604" t="s">
        <v>4778</v>
      </c>
      <c r="B4604" t="s">
        <v>105</v>
      </c>
      <c r="C4604" s="9">
        <v>12419</v>
      </c>
      <c r="D4604">
        <v>92</v>
      </c>
      <c r="E4604" t="s">
        <v>17</v>
      </c>
      <c r="F4604" t="s">
        <v>22</v>
      </c>
      <c r="G4604" s="9">
        <v>45142</v>
      </c>
      <c r="H4604" s="9">
        <v>45754</v>
      </c>
      <c r="I4604">
        <v>5</v>
      </c>
      <c r="J4604" t="s">
        <v>32</v>
      </c>
      <c r="K4604">
        <v>14</v>
      </c>
      <c r="L4604">
        <v>9</v>
      </c>
      <c r="M4604" s="11">
        <v>0</v>
      </c>
      <c r="N4604" s="12">
        <v>4755.29</v>
      </c>
      <c r="O4604" s="12">
        <v>10498.08</v>
      </c>
    </row>
    <row r="4605" spans="1:15">
      <c r="A4605" t="s">
        <v>4779</v>
      </c>
      <c r="B4605" t="s">
        <v>615</v>
      </c>
      <c r="C4605" s="9">
        <v>19724</v>
      </c>
      <c r="D4605">
        <v>72</v>
      </c>
      <c r="E4605" t="s">
        <v>21</v>
      </c>
      <c r="F4605" t="s">
        <v>18</v>
      </c>
      <c r="G4605" s="9">
        <v>45275</v>
      </c>
      <c r="H4605" s="9">
        <v>45707</v>
      </c>
      <c r="I4605">
        <v>18</v>
      </c>
      <c r="J4605" t="s">
        <v>32</v>
      </c>
      <c r="K4605">
        <v>4</v>
      </c>
      <c r="L4605">
        <v>8</v>
      </c>
      <c r="M4605" s="11">
        <v>6974.71</v>
      </c>
      <c r="N4605" s="12">
        <v>8118.88</v>
      </c>
      <c r="O4605" s="12">
        <v>10146.459999999999</v>
      </c>
    </row>
    <row r="4606" spans="1:15">
      <c r="A4606" t="s">
        <v>4780</v>
      </c>
      <c r="B4606" t="s">
        <v>112</v>
      </c>
      <c r="C4606" s="9">
        <v>36526</v>
      </c>
      <c r="D4606">
        <v>26</v>
      </c>
      <c r="E4606" t="s">
        <v>17</v>
      </c>
      <c r="F4606" t="s">
        <v>18</v>
      </c>
      <c r="G4606" s="9">
        <v>45506</v>
      </c>
      <c r="H4606" s="9">
        <v>45365</v>
      </c>
      <c r="I4606">
        <v>2</v>
      </c>
      <c r="J4606" t="s">
        <v>32</v>
      </c>
      <c r="K4606">
        <v>5</v>
      </c>
      <c r="L4606">
        <v>5</v>
      </c>
      <c r="M4606" s="11">
        <v>29123.37</v>
      </c>
      <c r="N4606" s="12">
        <v>9822.94</v>
      </c>
      <c r="O4606" s="12">
        <v>10299.07</v>
      </c>
    </row>
    <row r="4607" spans="1:15">
      <c r="A4607" t="s">
        <v>4781</v>
      </c>
      <c r="B4607" t="s">
        <v>309</v>
      </c>
      <c r="C4607" s="9">
        <v>36891</v>
      </c>
      <c r="D4607">
        <v>25</v>
      </c>
      <c r="E4607" t="s">
        <v>21</v>
      </c>
      <c r="F4607" t="s">
        <v>18</v>
      </c>
      <c r="G4607" s="9">
        <v>45520</v>
      </c>
      <c r="H4607" s="9">
        <v>44978</v>
      </c>
      <c r="I4607">
        <v>10</v>
      </c>
      <c r="J4607" t="s">
        <v>32</v>
      </c>
      <c r="K4607">
        <v>9</v>
      </c>
      <c r="L4607">
        <v>1</v>
      </c>
      <c r="M4607" s="11">
        <v>773.73</v>
      </c>
      <c r="N4607" s="12">
        <v>10896.51</v>
      </c>
      <c r="O4607" s="12">
        <v>91.85</v>
      </c>
    </row>
    <row r="4608" spans="1:15">
      <c r="A4608" t="s">
        <v>4782</v>
      </c>
      <c r="B4608" t="s">
        <v>57</v>
      </c>
      <c r="C4608" s="9">
        <v>39448</v>
      </c>
      <c r="D4608">
        <v>18</v>
      </c>
      <c r="E4608" t="s">
        <v>17</v>
      </c>
      <c r="F4608" t="s">
        <v>25</v>
      </c>
      <c r="G4608" s="9">
        <v>45580</v>
      </c>
      <c r="H4608" s="9">
        <v>45605</v>
      </c>
      <c r="I4608">
        <v>16</v>
      </c>
      <c r="J4608" t="s">
        <v>26</v>
      </c>
      <c r="K4608">
        <v>0</v>
      </c>
      <c r="L4608">
        <v>6</v>
      </c>
      <c r="M4608" s="11">
        <v>4817.67</v>
      </c>
      <c r="N4608" s="12">
        <v>12501.75</v>
      </c>
      <c r="O4608" s="12">
        <v>5299.53</v>
      </c>
    </row>
    <row r="4609" spans="1:15">
      <c r="A4609" t="s">
        <v>4783</v>
      </c>
      <c r="B4609" t="s">
        <v>95</v>
      </c>
      <c r="C4609" s="9">
        <v>12785</v>
      </c>
      <c r="D4609">
        <v>91</v>
      </c>
      <c r="E4609" t="s">
        <v>17</v>
      </c>
      <c r="F4609" t="s">
        <v>49</v>
      </c>
      <c r="G4609" s="9">
        <v>44967</v>
      </c>
      <c r="H4609" s="9">
        <v>45613</v>
      </c>
      <c r="I4609">
        <v>26</v>
      </c>
      <c r="J4609" t="s">
        <v>32</v>
      </c>
      <c r="K4609">
        <v>8</v>
      </c>
      <c r="L4609">
        <v>2</v>
      </c>
      <c r="M4609" s="11">
        <v>22834</v>
      </c>
      <c r="N4609" s="12">
        <v>1661.76</v>
      </c>
      <c r="O4609" s="12">
        <v>8560.43</v>
      </c>
    </row>
    <row r="4610" spans="1:15">
      <c r="A4610" t="s">
        <v>4784</v>
      </c>
      <c r="B4610" t="s">
        <v>147</v>
      </c>
      <c r="C4610" s="9">
        <v>40178</v>
      </c>
      <c r="D4610">
        <f ca="1">DATEDIF(C4561,TODAY(),"Y")</f>
        <v>25</v>
      </c>
      <c r="E4610" t="s">
        <v>21</v>
      </c>
      <c r="F4610" t="s">
        <v>74</v>
      </c>
      <c r="G4610" s="9">
        <v>44929</v>
      </c>
      <c r="H4610" s="9">
        <v>45666</v>
      </c>
      <c r="I4610">
        <v>1</v>
      </c>
      <c r="J4610" t="s">
        <v>32</v>
      </c>
      <c r="K4610">
        <v>6</v>
      </c>
      <c r="L4610">
        <v>6</v>
      </c>
      <c r="M4610" s="11">
        <v>4119.08</v>
      </c>
      <c r="N4610" s="12">
        <v>11428.09</v>
      </c>
      <c r="O4610" s="12">
        <v>2457.79</v>
      </c>
    </row>
    <row r="4611" spans="1:15">
      <c r="A4611" t="s">
        <v>4785</v>
      </c>
      <c r="B4611" t="s">
        <v>80</v>
      </c>
      <c r="C4611" s="9">
        <v>30682</v>
      </c>
      <c r="D4611">
        <v>42</v>
      </c>
      <c r="E4611" t="s">
        <v>21</v>
      </c>
      <c r="F4611" t="s">
        <v>5184</v>
      </c>
      <c r="G4611" s="9">
        <v>45020</v>
      </c>
      <c r="H4611" s="9">
        <v>45193</v>
      </c>
      <c r="I4611">
        <v>34</v>
      </c>
      <c r="J4611" t="s">
        <v>26</v>
      </c>
      <c r="K4611">
        <v>3</v>
      </c>
      <c r="L4611">
        <v>8</v>
      </c>
      <c r="M4611" s="11">
        <v>29370.16</v>
      </c>
      <c r="N4611" s="12">
        <v>4175.53</v>
      </c>
      <c r="O4611" s="12">
        <v>14958.21</v>
      </c>
    </row>
    <row r="4612" spans="1:15">
      <c r="A4612" t="s">
        <v>4786</v>
      </c>
      <c r="B4612" t="s">
        <v>37</v>
      </c>
      <c r="C4612" s="9">
        <v>31412</v>
      </c>
      <c r="D4612">
        <v>40</v>
      </c>
      <c r="E4612" t="s">
        <v>21</v>
      </c>
      <c r="F4612" t="s">
        <v>25</v>
      </c>
      <c r="G4612" s="9">
        <v>44985</v>
      </c>
      <c r="H4612" s="9">
        <v>45448</v>
      </c>
      <c r="I4612">
        <v>23</v>
      </c>
      <c r="J4612" t="s">
        <v>32</v>
      </c>
      <c r="K4612">
        <v>9</v>
      </c>
      <c r="L4612">
        <v>4</v>
      </c>
      <c r="M4612" s="11">
        <v>9301.25</v>
      </c>
      <c r="N4612" s="12">
        <v>2073.6999999999998</v>
      </c>
      <c r="O4612" s="12">
        <v>16922.43</v>
      </c>
    </row>
    <row r="4613" spans="1:15">
      <c r="A4613" t="s">
        <v>4787</v>
      </c>
      <c r="B4613" t="s">
        <v>237</v>
      </c>
      <c r="C4613" s="9">
        <f>DATE(2026-D4573,1,1)</f>
        <v>37257</v>
      </c>
      <c r="D4613">
        <f t="shared" ref="D4613:D4614" ca="1" si="25">DATEDIF(C4564,TODAY(),"Y")</f>
        <v>52</v>
      </c>
      <c r="E4613" t="s">
        <v>21</v>
      </c>
      <c r="F4613" t="s">
        <v>29</v>
      </c>
      <c r="G4613" s="9">
        <v>45333</v>
      </c>
      <c r="H4613" s="9">
        <v>45014</v>
      </c>
      <c r="I4613">
        <v>26</v>
      </c>
      <c r="J4613" t="s">
        <v>32</v>
      </c>
      <c r="K4613">
        <v>6</v>
      </c>
      <c r="L4613">
        <v>0</v>
      </c>
      <c r="M4613" s="11">
        <v>27518.71</v>
      </c>
      <c r="N4613" s="12">
        <v>3984.83</v>
      </c>
      <c r="O4613" s="12">
        <v>16337.22</v>
      </c>
    </row>
    <row r="4614" spans="1:15">
      <c r="A4614" t="s">
        <v>4788</v>
      </c>
      <c r="B4614" t="s">
        <v>80</v>
      </c>
      <c r="C4614" s="9">
        <v>28125</v>
      </c>
      <c r="D4614">
        <f t="shared" ca="1" si="25"/>
        <v>78</v>
      </c>
      <c r="E4614" t="s">
        <v>21</v>
      </c>
      <c r="F4614" t="s">
        <v>29</v>
      </c>
      <c r="G4614" s="9">
        <v>44944</v>
      </c>
      <c r="H4614" s="9">
        <v>45533</v>
      </c>
      <c r="I4614">
        <v>2</v>
      </c>
      <c r="J4614" t="s">
        <v>26</v>
      </c>
      <c r="K4614">
        <v>13</v>
      </c>
      <c r="L4614">
        <v>4</v>
      </c>
      <c r="M4614" s="11">
        <v>19699.490000000002</v>
      </c>
      <c r="N4614" s="12">
        <v>12869.9</v>
      </c>
      <c r="O4614" s="12">
        <v>9138.7000000000007</v>
      </c>
    </row>
    <row r="4615" spans="1:15">
      <c r="A4615" t="s">
        <v>4789</v>
      </c>
      <c r="B4615" t="s">
        <v>615</v>
      </c>
      <c r="C4615" s="9">
        <v>15707</v>
      </c>
      <c r="D4615">
        <v>83</v>
      </c>
      <c r="E4615" t="s">
        <v>17</v>
      </c>
      <c r="F4615" t="s">
        <v>18</v>
      </c>
      <c r="G4615" s="9">
        <v>45420</v>
      </c>
      <c r="H4615" s="9">
        <v>44979</v>
      </c>
      <c r="I4615">
        <v>29</v>
      </c>
      <c r="J4615" t="s">
        <v>32</v>
      </c>
      <c r="K4615">
        <v>1</v>
      </c>
      <c r="L4615">
        <v>7</v>
      </c>
      <c r="M4615" s="11">
        <v>18840.580000000002</v>
      </c>
      <c r="N4615" s="12">
        <v>9410.8799999999992</v>
      </c>
      <c r="O4615" s="12">
        <v>13783.11</v>
      </c>
    </row>
    <row r="4616" spans="1:15">
      <c r="A4616" t="s">
        <v>4790</v>
      </c>
      <c r="B4616" t="s">
        <v>412</v>
      </c>
      <c r="C4616" s="9">
        <v>31778</v>
      </c>
      <c r="D4616">
        <v>39</v>
      </c>
      <c r="E4616" t="s">
        <v>5185</v>
      </c>
      <c r="F4616" t="s">
        <v>74</v>
      </c>
      <c r="G4616" s="9">
        <v>45434</v>
      </c>
      <c r="H4616" s="9">
        <v>45106</v>
      </c>
      <c r="I4616">
        <v>35</v>
      </c>
      <c r="J4616" t="s">
        <v>32</v>
      </c>
      <c r="K4616">
        <v>0</v>
      </c>
      <c r="L4616">
        <v>7</v>
      </c>
      <c r="M4616" s="11">
        <v>27418.86</v>
      </c>
      <c r="N4616" s="12">
        <v>8960.7199999999993</v>
      </c>
      <c r="O4616" s="12">
        <v>1445.41</v>
      </c>
    </row>
    <row r="4617" spans="1:15">
      <c r="A4617" t="s">
        <v>4791</v>
      </c>
      <c r="B4617" t="s">
        <v>338</v>
      </c>
      <c r="C4617" s="9">
        <v>32143</v>
      </c>
      <c r="D4617">
        <v>38</v>
      </c>
      <c r="E4617" t="s">
        <v>21</v>
      </c>
      <c r="F4617" t="s">
        <v>18</v>
      </c>
      <c r="G4617" s="9">
        <v>45512</v>
      </c>
      <c r="H4617" s="9">
        <v>45205</v>
      </c>
      <c r="I4617">
        <v>1</v>
      </c>
      <c r="J4617" t="s">
        <v>32</v>
      </c>
      <c r="K4617">
        <v>5</v>
      </c>
      <c r="L4617">
        <v>2</v>
      </c>
      <c r="M4617" s="11">
        <v>15155.02</v>
      </c>
      <c r="N4617" s="12">
        <v>8769.5499999999993</v>
      </c>
      <c r="O4617" s="12">
        <v>3907.87</v>
      </c>
    </row>
    <row r="4618" spans="1:15">
      <c r="A4618" t="s">
        <v>4792</v>
      </c>
      <c r="B4618" t="s">
        <v>278</v>
      </c>
      <c r="C4618" s="9">
        <v>37987</v>
      </c>
      <c r="D4618">
        <v>22</v>
      </c>
      <c r="E4618" t="s">
        <v>17</v>
      </c>
      <c r="F4618" t="s">
        <v>29</v>
      </c>
      <c r="G4618" s="9">
        <v>45258</v>
      </c>
      <c r="H4618" s="9">
        <v>45166</v>
      </c>
      <c r="I4618">
        <v>2</v>
      </c>
      <c r="J4618" t="s">
        <v>32</v>
      </c>
      <c r="K4618">
        <v>3</v>
      </c>
      <c r="L4618">
        <v>3</v>
      </c>
      <c r="M4618" s="11">
        <v>11723.73</v>
      </c>
      <c r="N4618" s="12">
        <v>6129.41</v>
      </c>
      <c r="O4618" s="12">
        <v>843.48</v>
      </c>
    </row>
    <row r="4619" spans="1:15">
      <c r="A4619" t="s">
        <v>4793</v>
      </c>
      <c r="B4619" t="s">
        <v>654</v>
      </c>
      <c r="C4619" s="9">
        <v>27395</v>
      </c>
      <c r="D4619">
        <v>51</v>
      </c>
      <c r="E4619" t="s">
        <v>17</v>
      </c>
      <c r="F4619" t="s">
        <v>29</v>
      </c>
      <c r="G4619" s="9">
        <v>45095</v>
      </c>
      <c r="H4619" s="9">
        <v>45512</v>
      </c>
      <c r="I4619">
        <v>30</v>
      </c>
      <c r="J4619" t="s">
        <v>26</v>
      </c>
      <c r="K4619">
        <v>3</v>
      </c>
      <c r="L4619">
        <v>7</v>
      </c>
      <c r="M4619" s="11">
        <v>6137.49</v>
      </c>
      <c r="N4619" s="12">
        <v>6255.07</v>
      </c>
      <c r="O4619" s="12">
        <v>19305.349999999999</v>
      </c>
    </row>
    <row r="4620" spans="1:15">
      <c r="A4620" t="s">
        <v>4794</v>
      </c>
      <c r="B4620" t="s">
        <v>143</v>
      </c>
      <c r="C4620" s="9">
        <v>29221</v>
      </c>
      <c r="D4620">
        <v>46</v>
      </c>
      <c r="E4620" t="s">
        <v>17</v>
      </c>
      <c r="F4620" t="s">
        <v>5184</v>
      </c>
      <c r="G4620" s="9">
        <v>45598</v>
      </c>
      <c r="H4620" s="9">
        <v>45266</v>
      </c>
      <c r="I4620">
        <v>32</v>
      </c>
      <c r="J4620" t="s">
        <v>35</v>
      </c>
      <c r="K4620">
        <v>11</v>
      </c>
      <c r="L4620">
        <v>7</v>
      </c>
      <c r="M4620" s="11">
        <v>3908.35</v>
      </c>
      <c r="N4620" s="12">
        <v>2224.87</v>
      </c>
      <c r="O4620" s="12">
        <v>11443.68</v>
      </c>
    </row>
    <row r="4621" spans="1:15">
      <c r="A4621" t="s">
        <v>4795</v>
      </c>
      <c r="B4621" t="s">
        <v>131</v>
      </c>
      <c r="C4621" s="9">
        <v>23377</v>
      </c>
      <c r="D4621">
        <v>62</v>
      </c>
      <c r="E4621" t="s">
        <v>17</v>
      </c>
      <c r="F4621" t="s">
        <v>49</v>
      </c>
      <c r="G4621" s="9">
        <v>45607</v>
      </c>
      <c r="H4621" s="9">
        <v>44999</v>
      </c>
      <c r="I4621">
        <v>16</v>
      </c>
      <c r="J4621" t="s">
        <v>32</v>
      </c>
      <c r="K4621">
        <v>6</v>
      </c>
      <c r="L4621">
        <v>6</v>
      </c>
      <c r="M4621" s="11">
        <v>23648.95</v>
      </c>
      <c r="N4621" s="12">
        <v>4989.1899999999996</v>
      </c>
      <c r="O4621" s="12">
        <v>3422.32</v>
      </c>
    </row>
    <row r="4622" spans="1:15">
      <c r="A4622" t="s">
        <v>4796</v>
      </c>
      <c r="B4622" t="s">
        <v>31</v>
      </c>
      <c r="C4622" s="9">
        <v>21185</v>
      </c>
      <c r="D4622">
        <v>68</v>
      </c>
      <c r="E4622" t="s">
        <v>17</v>
      </c>
      <c r="F4622" t="s">
        <v>5184</v>
      </c>
      <c r="G4622" s="9">
        <v>45132</v>
      </c>
      <c r="H4622" s="9">
        <v>45301</v>
      </c>
      <c r="I4622">
        <v>12</v>
      </c>
      <c r="J4622" t="s">
        <v>32</v>
      </c>
      <c r="K4622">
        <v>11</v>
      </c>
      <c r="L4622">
        <v>5</v>
      </c>
      <c r="M4622" s="11">
        <v>3402.12</v>
      </c>
      <c r="N4622" s="12">
        <v>7680.48</v>
      </c>
      <c r="O4622" s="12">
        <v>14121.66</v>
      </c>
    </row>
    <row r="4623" spans="1:15">
      <c r="A4623" t="s">
        <v>4797</v>
      </c>
      <c r="B4623" t="s">
        <v>166</v>
      </c>
      <c r="C4623" s="9">
        <v>30682</v>
      </c>
      <c r="D4623">
        <v>42</v>
      </c>
      <c r="E4623" t="s">
        <v>21</v>
      </c>
      <c r="F4623" t="s">
        <v>49</v>
      </c>
      <c r="G4623" s="9">
        <v>45447</v>
      </c>
      <c r="H4623" s="9">
        <v>45507</v>
      </c>
      <c r="I4623">
        <v>32</v>
      </c>
      <c r="J4623" t="s">
        <v>32</v>
      </c>
      <c r="K4623">
        <v>7</v>
      </c>
      <c r="L4623">
        <v>3</v>
      </c>
      <c r="M4623" s="11">
        <v>11517.54</v>
      </c>
      <c r="N4623" s="12">
        <v>9090.27</v>
      </c>
      <c r="O4623" s="12">
        <v>9731.49</v>
      </c>
    </row>
    <row r="4624" spans="1:15">
      <c r="A4624" t="s">
        <v>4798</v>
      </c>
      <c r="B4624" t="s">
        <v>110</v>
      </c>
      <c r="C4624" s="9">
        <v>28856</v>
      </c>
      <c r="D4624">
        <v>47</v>
      </c>
      <c r="E4624" t="s">
        <v>21</v>
      </c>
      <c r="F4624" t="s">
        <v>5184</v>
      </c>
      <c r="G4624" s="9">
        <v>45431</v>
      </c>
      <c r="H4624" s="9">
        <v>45444</v>
      </c>
      <c r="I4624">
        <v>5</v>
      </c>
      <c r="J4624" t="s">
        <v>32</v>
      </c>
      <c r="K4624">
        <v>13</v>
      </c>
      <c r="L4624">
        <v>9</v>
      </c>
      <c r="M4624" s="11">
        <v>11981.11</v>
      </c>
      <c r="N4624" s="12">
        <v>1074.58</v>
      </c>
      <c r="O4624" s="12">
        <v>8628.58</v>
      </c>
    </row>
    <row r="4625" spans="1:15">
      <c r="A4625" t="s">
        <v>4799</v>
      </c>
      <c r="B4625" t="s">
        <v>48</v>
      </c>
      <c r="C4625" s="9">
        <v>33969</v>
      </c>
      <c r="D4625">
        <v>33</v>
      </c>
      <c r="E4625" t="s">
        <v>21</v>
      </c>
      <c r="F4625" t="s">
        <v>49</v>
      </c>
      <c r="G4625" s="9">
        <v>45272</v>
      </c>
      <c r="H4625" s="9">
        <v>45778</v>
      </c>
      <c r="I4625">
        <v>2</v>
      </c>
      <c r="J4625" t="s">
        <v>32</v>
      </c>
      <c r="K4625">
        <v>14</v>
      </c>
      <c r="L4625">
        <v>8</v>
      </c>
      <c r="M4625" s="11">
        <v>19767.23</v>
      </c>
      <c r="N4625" s="12">
        <v>5007.1499999999996</v>
      </c>
      <c r="O4625" s="12">
        <v>18260.41</v>
      </c>
    </row>
    <row r="4626" spans="1:15">
      <c r="A4626" t="s">
        <v>4800</v>
      </c>
      <c r="B4626" t="s">
        <v>89</v>
      </c>
      <c r="C4626" s="9">
        <v>31778</v>
      </c>
      <c r="D4626">
        <v>39</v>
      </c>
      <c r="E4626" t="s">
        <v>21</v>
      </c>
      <c r="F4626" t="s">
        <v>18</v>
      </c>
      <c r="G4626" s="9">
        <v>45230</v>
      </c>
      <c r="H4626" s="9">
        <v>45165</v>
      </c>
      <c r="I4626">
        <v>35</v>
      </c>
      <c r="J4626" t="s">
        <v>35</v>
      </c>
      <c r="K4626">
        <v>12</v>
      </c>
      <c r="L4626">
        <v>1</v>
      </c>
      <c r="M4626" s="11">
        <v>0</v>
      </c>
      <c r="N4626" s="12">
        <v>5091.3100000000004</v>
      </c>
      <c r="O4626" s="12">
        <v>14134.94</v>
      </c>
    </row>
    <row r="4627" spans="1:15">
      <c r="A4627" t="s">
        <v>4801</v>
      </c>
      <c r="B4627" t="s">
        <v>550</v>
      </c>
      <c r="C4627" s="9">
        <v>18994</v>
      </c>
      <c r="D4627">
        <v>74</v>
      </c>
      <c r="E4627" t="s">
        <v>21</v>
      </c>
      <c r="F4627" t="s">
        <v>22</v>
      </c>
      <c r="G4627" s="9">
        <v>45041</v>
      </c>
      <c r="H4627" s="9">
        <v>45393</v>
      </c>
      <c r="I4627">
        <v>19</v>
      </c>
      <c r="J4627" t="s">
        <v>26</v>
      </c>
      <c r="K4627">
        <v>6</v>
      </c>
      <c r="L4627">
        <v>1</v>
      </c>
      <c r="M4627" s="11">
        <v>25065.98</v>
      </c>
      <c r="N4627" s="12">
        <v>7726.05</v>
      </c>
      <c r="O4627" s="12">
        <v>13782.24</v>
      </c>
    </row>
    <row r="4628" spans="1:15">
      <c r="A4628" t="s">
        <v>4802</v>
      </c>
      <c r="B4628" t="s">
        <v>119</v>
      </c>
      <c r="C4628" s="9">
        <v>24107</v>
      </c>
      <c r="D4628">
        <v>60</v>
      </c>
      <c r="E4628" t="s">
        <v>17</v>
      </c>
      <c r="F4628" t="s">
        <v>74</v>
      </c>
      <c r="G4628" s="9">
        <v>45590</v>
      </c>
      <c r="H4628" s="9">
        <v>45048</v>
      </c>
      <c r="I4628">
        <v>14</v>
      </c>
      <c r="J4628" t="s">
        <v>35</v>
      </c>
      <c r="K4628">
        <v>14</v>
      </c>
      <c r="L4628">
        <v>0</v>
      </c>
      <c r="M4628" s="11">
        <v>5828.27</v>
      </c>
      <c r="N4628" s="12">
        <v>10650.52</v>
      </c>
      <c r="O4628" s="12">
        <v>1855.9</v>
      </c>
    </row>
    <row r="4629" spans="1:15">
      <c r="A4629" t="s">
        <v>4803</v>
      </c>
      <c r="B4629" t="s">
        <v>487</v>
      </c>
      <c r="C4629" s="9">
        <f>DATE(2026-D4589,1,1)</f>
        <v>34700</v>
      </c>
      <c r="D4629">
        <v>49</v>
      </c>
      <c r="E4629" t="s">
        <v>21</v>
      </c>
      <c r="F4629" t="s">
        <v>49</v>
      </c>
      <c r="G4629" s="9">
        <v>45013</v>
      </c>
      <c r="H4629" s="9">
        <v>45340</v>
      </c>
      <c r="I4629">
        <v>13</v>
      </c>
      <c r="J4629" t="s">
        <v>26</v>
      </c>
      <c r="K4629">
        <v>8</v>
      </c>
      <c r="L4629">
        <v>2</v>
      </c>
      <c r="M4629" s="11">
        <v>23569.03</v>
      </c>
      <c r="N4629" s="12">
        <v>9528.49</v>
      </c>
      <c r="O4629" s="12">
        <v>1749.78</v>
      </c>
    </row>
    <row r="4630" spans="1:15">
      <c r="A4630" t="s">
        <v>4804</v>
      </c>
      <c r="B4630" t="s">
        <v>328</v>
      </c>
      <c r="C4630" s="9">
        <v>21916</v>
      </c>
      <c r="D4630">
        <v>66</v>
      </c>
      <c r="E4630" t="s">
        <v>17</v>
      </c>
      <c r="F4630" t="s">
        <v>25</v>
      </c>
      <c r="G4630" s="9">
        <v>45021</v>
      </c>
      <c r="H4630" s="9">
        <v>45650</v>
      </c>
      <c r="I4630">
        <v>2</v>
      </c>
      <c r="J4630" t="s">
        <v>35</v>
      </c>
      <c r="K4630">
        <v>0</v>
      </c>
      <c r="L4630">
        <v>2</v>
      </c>
      <c r="M4630" s="11">
        <v>25417.65</v>
      </c>
      <c r="N4630" s="12">
        <v>8563.2800000000007</v>
      </c>
      <c r="O4630" s="12">
        <v>13255.11</v>
      </c>
    </row>
    <row r="4631" spans="1:15">
      <c r="A4631" t="s">
        <v>4805</v>
      </c>
      <c r="B4631" t="s">
        <v>615</v>
      </c>
      <c r="C4631" s="9">
        <v>23742</v>
      </c>
      <c r="D4631">
        <v>61</v>
      </c>
      <c r="E4631" t="s">
        <v>21</v>
      </c>
      <c r="F4631" t="s">
        <v>49</v>
      </c>
      <c r="G4631" s="9">
        <v>45354</v>
      </c>
      <c r="H4631" s="9">
        <v>45701</v>
      </c>
      <c r="I4631">
        <v>0</v>
      </c>
      <c r="J4631" t="s">
        <v>26</v>
      </c>
      <c r="K4631">
        <v>8</v>
      </c>
      <c r="L4631">
        <v>3</v>
      </c>
      <c r="M4631" s="11">
        <v>5392.01</v>
      </c>
      <c r="N4631" s="12">
        <v>4371.28</v>
      </c>
      <c r="O4631" s="12">
        <v>3045.46</v>
      </c>
    </row>
    <row r="4632" spans="1:15">
      <c r="A4632" t="s">
        <v>4806</v>
      </c>
      <c r="B4632" t="s">
        <v>226</v>
      </c>
      <c r="C4632" s="9">
        <v>25203</v>
      </c>
      <c r="D4632">
        <v>57</v>
      </c>
      <c r="E4632" t="s">
        <v>17</v>
      </c>
      <c r="F4632" t="s">
        <v>18</v>
      </c>
      <c r="G4632" s="9">
        <v>45624</v>
      </c>
      <c r="H4632" s="9">
        <v>45764</v>
      </c>
      <c r="I4632">
        <v>3</v>
      </c>
      <c r="J4632" t="s">
        <v>32</v>
      </c>
      <c r="K4632">
        <v>9</v>
      </c>
      <c r="L4632">
        <v>2</v>
      </c>
      <c r="M4632" s="11">
        <v>24187.18</v>
      </c>
      <c r="N4632" s="12">
        <v>12585.85</v>
      </c>
      <c r="O4632" s="12">
        <v>9010.39</v>
      </c>
    </row>
    <row r="4633" spans="1:15">
      <c r="A4633" t="s">
        <v>4807</v>
      </c>
      <c r="B4633" t="s">
        <v>284</v>
      </c>
      <c r="C4633" s="9">
        <v>34334</v>
      </c>
      <c r="D4633">
        <v>32</v>
      </c>
      <c r="E4633" t="s">
        <v>17</v>
      </c>
      <c r="F4633" t="s">
        <v>74</v>
      </c>
      <c r="G4633" s="9">
        <v>45376</v>
      </c>
      <c r="H4633" s="9">
        <v>45497</v>
      </c>
      <c r="I4633">
        <v>0</v>
      </c>
      <c r="J4633" t="s">
        <v>32</v>
      </c>
      <c r="K4633">
        <v>5</v>
      </c>
      <c r="L4633">
        <v>9</v>
      </c>
      <c r="M4633" s="11">
        <v>21269.07</v>
      </c>
      <c r="N4633" s="12">
        <v>11779.39</v>
      </c>
      <c r="O4633" s="12">
        <v>11353.08</v>
      </c>
    </row>
    <row r="4634" spans="1:15">
      <c r="A4634" t="s">
        <v>4808</v>
      </c>
      <c r="B4634" t="s">
        <v>82</v>
      </c>
      <c r="C4634" s="9">
        <v>18994</v>
      </c>
      <c r="D4634">
        <v>74</v>
      </c>
      <c r="E4634" t="s">
        <v>21</v>
      </c>
      <c r="F4634" t="s">
        <v>49</v>
      </c>
      <c r="G4634" s="9">
        <v>45552</v>
      </c>
      <c r="H4634" s="9">
        <v>44970</v>
      </c>
      <c r="I4634">
        <v>27</v>
      </c>
      <c r="J4634" t="s">
        <v>26</v>
      </c>
      <c r="K4634">
        <v>9</v>
      </c>
      <c r="L4634">
        <v>5</v>
      </c>
      <c r="M4634" s="11">
        <v>26168.53</v>
      </c>
      <c r="N4634" s="12">
        <v>2754.19</v>
      </c>
      <c r="O4634" s="12">
        <v>7700.62</v>
      </c>
    </row>
    <row r="4635" spans="1:15">
      <c r="A4635" t="s">
        <v>4809</v>
      </c>
      <c r="B4635" t="s">
        <v>53</v>
      </c>
      <c r="C4635" s="9">
        <v>40544</v>
      </c>
      <c r="D4635">
        <v>15</v>
      </c>
      <c r="E4635" t="s">
        <v>21</v>
      </c>
      <c r="F4635" t="s">
        <v>5184</v>
      </c>
      <c r="G4635" s="9">
        <v>45467</v>
      </c>
      <c r="H4635" s="9">
        <v>45431</v>
      </c>
      <c r="I4635">
        <v>8</v>
      </c>
      <c r="J4635" t="s">
        <v>26</v>
      </c>
      <c r="K4635">
        <v>3</v>
      </c>
      <c r="L4635">
        <v>8</v>
      </c>
      <c r="M4635" s="11">
        <v>15054.03</v>
      </c>
      <c r="N4635" s="12">
        <v>9826.9699999999993</v>
      </c>
      <c r="O4635" s="12">
        <v>1611.61</v>
      </c>
    </row>
    <row r="4636" spans="1:15">
      <c r="A4636" t="s">
        <v>4810</v>
      </c>
      <c r="B4636" t="s">
        <v>204</v>
      </c>
      <c r="C4636" s="9">
        <v>16437</v>
      </c>
      <c r="D4636">
        <f ca="1">DATEDIF(C4587,TODAY(),"Y")</f>
        <v>45</v>
      </c>
      <c r="E4636" t="s">
        <v>17</v>
      </c>
      <c r="F4636" t="s">
        <v>74</v>
      </c>
      <c r="G4636" s="9">
        <v>45641</v>
      </c>
      <c r="H4636" s="9">
        <v>45124</v>
      </c>
      <c r="I4636">
        <v>24</v>
      </c>
      <c r="J4636" t="s">
        <v>32</v>
      </c>
      <c r="K4636">
        <v>12</v>
      </c>
      <c r="L4636">
        <v>7</v>
      </c>
      <c r="M4636" s="11">
        <v>6632.62</v>
      </c>
      <c r="N4636" s="12">
        <v>13599.82</v>
      </c>
      <c r="O4636" s="12">
        <v>14841.35</v>
      </c>
    </row>
    <row r="4637" spans="1:15">
      <c r="A4637" t="s">
        <v>4811</v>
      </c>
      <c r="B4637" t="s">
        <v>252</v>
      </c>
      <c r="C4637" s="9">
        <v>12054</v>
      </c>
      <c r="D4637">
        <v>93</v>
      </c>
      <c r="E4637" t="s">
        <v>21</v>
      </c>
      <c r="F4637" t="s">
        <v>25</v>
      </c>
      <c r="G4637" s="9">
        <v>44928</v>
      </c>
      <c r="H4637" s="9">
        <v>44999</v>
      </c>
      <c r="I4637">
        <v>19</v>
      </c>
      <c r="J4637" t="s">
        <v>32</v>
      </c>
      <c r="K4637">
        <v>5</v>
      </c>
      <c r="L4637">
        <v>5</v>
      </c>
      <c r="M4637" s="11">
        <v>27317.21</v>
      </c>
      <c r="N4637" s="12">
        <v>6534.02</v>
      </c>
      <c r="O4637" s="12">
        <v>17689.14</v>
      </c>
    </row>
    <row r="4638" spans="1:15">
      <c r="A4638" t="s">
        <v>4812</v>
      </c>
      <c r="B4638" t="s">
        <v>1148</v>
      </c>
      <c r="C4638" s="9">
        <v>28856</v>
      </c>
      <c r="D4638">
        <v>47</v>
      </c>
      <c r="E4638" t="s">
        <v>21</v>
      </c>
      <c r="F4638" t="s">
        <v>29</v>
      </c>
      <c r="G4638" s="9">
        <v>45004</v>
      </c>
      <c r="H4638" s="9">
        <v>45018</v>
      </c>
      <c r="I4638">
        <v>3</v>
      </c>
      <c r="J4638" t="s">
        <v>32</v>
      </c>
      <c r="K4638">
        <v>1</v>
      </c>
      <c r="L4638">
        <v>7</v>
      </c>
      <c r="M4638" s="11">
        <v>23596.33</v>
      </c>
      <c r="N4638" s="12">
        <v>13871.54</v>
      </c>
      <c r="O4638" s="12">
        <v>3149.83</v>
      </c>
    </row>
    <row r="4639" spans="1:15">
      <c r="A4639" t="s">
        <v>4813</v>
      </c>
      <c r="B4639" t="s">
        <v>93</v>
      </c>
      <c r="C4639" s="9">
        <v>42735</v>
      </c>
      <c r="D4639">
        <v>9</v>
      </c>
      <c r="E4639" t="s">
        <v>21</v>
      </c>
      <c r="F4639" t="s">
        <v>5184</v>
      </c>
      <c r="G4639" s="9">
        <v>45250</v>
      </c>
      <c r="H4639" s="9">
        <v>45476</v>
      </c>
      <c r="I4639">
        <v>35</v>
      </c>
      <c r="J4639" t="s">
        <v>26</v>
      </c>
      <c r="K4639">
        <v>2</v>
      </c>
      <c r="L4639">
        <v>7</v>
      </c>
      <c r="M4639" s="11">
        <v>140.05000000000001</v>
      </c>
      <c r="N4639" s="12">
        <v>329.46</v>
      </c>
      <c r="O4639" s="12">
        <v>17067.48</v>
      </c>
    </row>
    <row r="4640" spans="1:15">
      <c r="A4640" t="s">
        <v>4814</v>
      </c>
      <c r="B4640" t="s">
        <v>261</v>
      </c>
      <c r="C4640" s="9">
        <v>16437</v>
      </c>
      <c r="D4640">
        <v>81</v>
      </c>
      <c r="E4640" t="s">
        <v>17</v>
      </c>
      <c r="F4640" t="s">
        <v>74</v>
      </c>
      <c r="G4640" s="9">
        <v>45024</v>
      </c>
      <c r="H4640" s="9">
        <v>45418</v>
      </c>
      <c r="I4640">
        <v>38</v>
      </c>
      <c r="J4640" t="s">
        <v>26</v>
      </c>
      <c r="K4640">
        <v>5</v>
      </c>
      <c r="L4640">
        <v>9</v>
      </c>
      <c r="M4640" s="11">
        <v>28152.11</v>
      </c>
      <c r="N4640" s="12">
        <v>7743.6</v>
      </c>
      <c r="O4640" s="12">
        <v>15752.79</v>
      </c>
    </row>
    <row r="4641" spans="1:15">
      <c r="A4641" t="s">
        <v>4815</v>
      </c>
      <c r="B4641" t="s">
        <v>244</v>
      </c>
      <c r="C4641" s="9">
        <v>32508</v>
      </c>
      <c r="D4641">
        <v>37</v>
      </c>
      <c r="E4641" t="s">
        <v>17</v>
      </c>
      <c r="F4641" t="s">
        <v>22</v>
      </c>
      <c r="G4641" s="9">
        <v>45555</v>
      </c>
      <c r="H4641" s="9">
        <v>45753</v>
      </c>
      <c r="I4641">
        <v>28</v>
      </c>
      <c r="J4641" t="s">
        <v>32</v>
      </c>
      <c r="K4641">
        <v>0</v>
      </c>
      <c r="L4641">
        <v>5</v>
      </c>
      <c r="M4641" s="11">
        <v>28430.02</v>
      </c>
      <c r="N4641" s="12">
        <v>3844.05</v>
      </c>
      <c r="O4641" s="12">
        <v>11233.59</v>
      </c>
    </row>
    <row r="4642" spans="1:15">
      <c r="A4642" t="s">
        <v>4816</v>
      </c>
      <c r="B4642" t="s">
        <v>57</v>
      </c>
      <c r="C4642" s="9">
        <v>39448</v>
      </c>
      <c r="D4642">
        <v>18</v>
      </c>
      <c r="E4642" t="s">
        <v>17</v>
      </c>
      <c r="F4642" t="s">
        <v>49</v>
      </c>
      <c r="G4642" s="9">
        <v>45036</v>
      </c>
      <c r="H4642" s="9">
        <v>45676</v>
      </c>
      <c r="I4642">
        <v>3</v>
      </c>
      <c r="J4642" t="s">
        <v>35</v>
      </c>
      <c r="K4642">
        <v>0</v>
      </c>
      <c r="L4642">
        <v>1</v>
      </c>
      <c r="M4642" s="11">
        <v>10336.780000000001</v>
      </c>
      <c r="N4642" s="12">
        <v>3932.36</v>
      </c>
      <c r="O4642" s="12">
        <v>11881.62</v>
      </c>
    </row>
    <row r="4643" spans="1:15">
      <c r="A4643" t="s">
        <v>4817</v>
      </c>
      <c r="B4643" t="s">
        <v>170</v>
      </c>
      <c r="C4643" s="9">
        <v>33239</v>
      </c>
      <c r="D4643">
        <v>35</v>
      </c>
      <c r="E4643" t="s">
        <v>17</v>
      </c>
      <c r="F4643" t="s">
        <v>5184</v>
      </c>
      <c r="G4643" s="9">
        <v>45605</v>
      </c>
      <c r="H4643" s="9">
        <v>45310</v>
      </c>
      <c r="I4643">
        <v>17</v>
      </c>
      <c r="J4643" t="s">
        <v>32</v>
      </c>
      <c r="K4643">
        <v>1</v>
      </c>
      <c r="L4643">
        <v>4</v>
      </c>
      <c r="M4643" s="11">
        <v>194.44</v>
      </c>
      <c r="N4643" s="12">
        <v>13163.21</v>
      </c>
      <c r="O4643" s="12">
        <v>12996.52</v>
      </c>
    </row>
    <row r="4644" spans="1:15">
      <c r="A4644" t="s">
        <v>4818</v>
      </c>
      <c r="B4644" t="s">
        <v>196</v>
      </c>
      <c r="C4644" s="9">
        <v>24838</v>
      </c>
      <c r="D4644">
        <v>58</v>
      </c>
      <c r="E4644" t="s">
        <v>17</v>
      </c>
      <c r="F4644" t="s">
        <v>18</v>
      </c>
      <c r="G4644" s="9">
        <v>45383</v>
      </c>
      <c r="H4644" s="9">
        <v>45732</v>
      </c>
      <c r="I4644">
        <v>38</v>
      </c>
      <c r="J4644" t="s">
        <v>26</v>
      </c>
      <c r="K4644">
        <v>1</v>
      </c>
      <c r="L4644">
        <v>3</v>
      </c>
      <c r="M4644" s="11">
        <v>16352.39</v>
      </c>
      <c r="N4644" s="12">
        <v>4672.49</v>
      </c>
      <c r="O4644" s="12">
        <v>10447.709999999999</v>
      </c>
    </row>
    <row r="4645" spans="1:15">
      <c r="A4645" t="s">
        <v>4819</v>
      </c>
      <c r="B4645" t="s">
        <v>302</v>
      </c>
      <c r="C4645" s="9">
        <f>DATE(2026-D4605,1,1)</f>
        <v>19725</v>
      </c>
      <c r="D4645">
        <v>62</v>
      </c>
      <c r="E4645" t="s">
        <v>17</v>
      </c>
      <c r="F4645" t="s">
        <v>22</v>
      </c>
      <c r="G4645" s="9">
        <v>45414</v>
      </c>
      <c r="H4645" s="9">
        <v>45393</v>
      </c>
      <c r="I4645">
        <v>8</v>
      </c>
      <c r="J4645" t="s">
        <v>26</v>
      </c>
      <c r="K4645">
        <v>10</v>
      </c>
      <c r="L4645">
        <v>5</v>
      </c>
      <c r="M4645" s="11">
        <v>27367.11</v>
      </c>
      <c r="N4645" s="12">
        <v>349.97</v>
      </c>
      <c r="O4645" s="12">
        <v>16871.29</v>
      </c>
    </row>
    <row r="4646" spans="1:15">
      <c r="A4646" t="s">
        <v>4820</v>
      </c>
      <c r="B4646" t="s">
        <v>80</v>
      </c>
      <c r="C4646" s="9">
        <v>18263</v>
      </c>
      <c r="D4646">
        <v>76</v>
      </c>
      <c r="E4646" t="s">
        <v>5185</v>
      </c>
      <c r="F4646" t="s">
        <v>22</v>
      </c>
      <c r="G4646" s="9">
        <v>45297</v>
      </c>
      <c r="H4646" s="9">
        <v>45081</v>
      </c>
      <c r="I4646">
        <v>1</v>
      </c>
      <c r="J4646" t="s">
        <v>26</v>
      </c>
      <c r="K4646">
        <v>1</v>
      </c>
      <c r="L4646">
        <v>1</v>
      </c>
      <c r="M4646" s="11">
        <v>3295.43</v>
      </c>
      <c r="N4646" s="12">
        <v>8095.33</v>
      </c>
      <c r="O4646" s="12">
        <v>9429.3799999999992</v>
      </c>
    </row>
    <row r="4647" spans="1:15">
      <c r="A4647" t="s">
        <v>4821</v>
      </c>
      <c r="B4647" t="s">
        <v>446</v>
      </c>
      <c r="C4647" s="9">
        <v>29586</v>
      </c>
      <c r="D4647">
        <v>45</v>
      </c>
      <c r="E4647" t="s">
        <v>21</v>
      </c>
      <c r="F4647" t="s">
        <v>18</v>
      </c>
      <c r="G4647" s="9">
        <v>45263</v>
      </c>
      <c r="H4647" s="9">
        <v>45097</v>
      </c>
      <c r="I4647">
        <v>28</v>
      </c>
      <c r="J4647" t="s">
        <v>32</v>
      </c>
      <c r="K4647">
        <v>4</v>
      </c>
      <c r="L4647">
        <v>3</v>
      </c>
      <c r="M4647" s="11">
        <v>17510.55</v>
      </c>
      <c r="N4647" s="12">
        <v>14562.95</v>
      </c>
      <c r="O4647" s="12">
        <v>10895.76</v>
      </c>
    </row>
    <row r="4648" spans="1:15">
      <c r="A4648" t="s">
        <v>4822</v>
      </c>
      <c r="B4648" t="s">
        <v>97</v>
      </c>
      <c r="C4648" s="9">
        <v>45292</v>
      </c>
      <c r="D4648">
        <v>2</v>
      </c>
      <c r="E4648" t="s">
        <v>21</v>
      </c>
      <c r="F4648" t="s">
        <v>18</v>
      </c>
      <c r="G4648" s="9">
        <v>45525</v>
      </c>
      <c r="H4648" s="9">
        <v>45199</v>
      </c>
      <c r="I4648">
        <v>35</v>
      </c>
      <c r="J4648" t="s">
        <v>32</v>
      </c>
      <c r="K4648">
        <v>11</v>
      </c>
      <c r="L4648">
        <v>7</v>
      </c>
      <c r="M4648" s="11">
        <v>21818.959999999999</v>
      </c>
      <c r="N4648" s="12">
        <v>1186.43</v>
      </c>
      <c r="O4648" s="12">
        <v>638.98</v>
      </c>
    </row>
    <row r="4649" spans="1:15">
      <c r="A4649" t="s">
        <v>4823</v>
      </c>
      <c r="B4649" t="s">
        <v>51</v>
      </c>
      <c r="C4649" s="9">
        <v>19359</v>
      </c>
      <c r="D4649">
        <v>73</v>
      </c>
      <c r="E4649" t="s">
        <v>17</v>
      </c>
      <c r="F4649" t="s">
        <v>18</v>
      </c>
      <c r="G4649" s="9">
        <v>44948</v>
      </c>
      <c r="H4649" s="9">
        <v>45037</v>
      </c>
      <c r="I4649">
        <v>23</v>
      </c>
      <c r="J4649" t="s">
        <v>32</v>
      </c>
      <c r="K4649">
        <v>3</v>
      </c>
      <c r="L4649">
        <v>0</v>
      </c>
      <c r="M4649" s="11">
        <v>3608.04</v>
      </c>
      <c r="N4649" s="12">
        <v>4294.5</v>
      </c>
      <c r="O4649" s="12">
        <v>3519.4</v>
      </c>
    </row>
    <row r="4650" spans="1:15">
      <c r="A4650" t="s">
        <v>4824</v>
      </c>
      <c r="B4650" t="s">
        <v>123</v>
      </c>
      <c r="C4650" s="9">
        <v>22646</v>
      </c>
      <c r="D4650">
        <v>64</v>
      </c>
      <c r="E4650" t="s">
        <v>17</v>
      </c>
      <c r="F4650" t="s">
        <v>22</v>
      </c>
      <c r="G4650" s="9">
        <v>45648</v>
      </c>
      <c r="H4650" s="9">
        <v>45078</v>
      </c>
      <c r="I4650">
        <v>24</v>
      </c>
      <c r="J4650" t="s">
        <v>32</v>
      </c>
      <c r="K4650">
        <v>13</v>
      </c>
      <c r="L4650">
        <v>2</v>
      </c>
      <c r="M4650" s="11">
        <v>15154.84</v>
      </c>
      <c r="N4650" s="12">
        <v>7042.55</v>
      </c>
      <c r="O4650" s="12">
        <v>18065.939999999999</v>
      </c>
    </row>
    <row r="4651" spans="1:15">
      <c r="A4651" t="s">
        <v>4825</v>
      </c>
      <c r="B4651" t="s">
        <v>201</v>
      </c>
      <c r="C4651" s="9">
        <v>13150</v>
      </c>
      <c r="D4651">
        <v>90</v>
      </c>
      <c r="E4651" t="s">
        <v>21</v>
      </c>
      <c r="F4651" t="s">
        <v>74</v>
      </c>
      <c r="G4651" s="9">
        <v>45231</v>
      </c>
      <c r="H4651" s="9">
        <v>45358</v>
      </c>
      <c r="I4651">
        <v>28</v>
      </c>
      <c r="J4651" t="s">
        <v>32</v>
      </c>
      <c r="K4651">
        <v>8</v>
      </c>
      <c r="L4651">
        <v>3</v>
      </c>
      <c r="M4651" s="11">
        <v>2208.5300000000002</v>
      </c>
      <c r="N4651" s="12">
        <v>12457.2</v>
      </c>
      <c r="O4651" s="12">
        <v>2343.6</v>
      </c>
    </row>
    <row r="4652" spans="1:15">
      <c r="A4652" t="s">
        <v>4826</v>
      </c>
      <c r="B4652" t="s">
        <v>654</v>
      </c>
      <c r="C4652" s="9">
        <v>43466</v>
      </c>
      <c r="D4652">
        <v>7</v>
      </c>
      <c r="E4652" t="s">
        <v>21</v>
      </c>
      <c r="F4652" t="s">
        <v>18</v>
      </c>
      <c r="G4652" s="9">
        <v>45198</v>
      </c>
      <c r="H4652" s="9">
        <v>45378</v>
      </c>
      <c r="I4652">
        <v>21</v>
      </c>
      <c r="J4652" t="s">
        <v>35</v>
      </c>
      <c r="K4652">
        <v>6</v>
      </c>
      <c r="L4652">
        <v>1</v>
      </c>
      <c r="M4652" s="11">
        <v>16522.849999999999</v>
      </c>
      <c r="N4652" s="12">
        <v>4033.43</v>
      </c>
      <c r="O4652" s="12">
        <v>18071.39</v>
      </c>
    </row>
    <row r="4653" spans="1:15">
      <c r="A4653" t="s">
        <v>4827</v>
      </c>
      <c r="B4653" t="s">
        <v>65</v>
      </c>
      <c r="C4653" s="9">
        <v>27760</v>
      </c>
      <c r="D4653">
        <v>50</v>
      </c>
      <c r="E4653" t="s">
        <v>17</v>
      </c>
      <c r="F4653" t="s">
        <v>29</v>
      </c>
      <c r="G4653" s="9">
        <v>45416</v>
      </c>
      <c r="H4653" s="9">
        <v>45570</v>
      </c>
      <c r="I4653">
        <v>10</v>
      </c>
      <c r="J4653" t="s">
        <v>26</v>
      </c>
      <c r="K4653">
        <v>3</v>
      </c>
      <c r="L4653">
        <v>1</v>
      </c>
      <c r="M4653" s="11">
        <v>12984.53</v>
      </c>
      <c r="N4653" s="12">
        <v>5155.28</v>
      </c>
      <c r="O4653" s="12">
        <v>12682.08</v>
      </c>
    </row>
    <row r="4654" spans="1:15">
      <c r="A4654" t="s">
        <v>4828</v>
      </c>
      <c r="B4654" t="s">
        <v>73</v>
      </c>
      <c r="C4654" s="9">
        <v>16802</v>
      </c>
      <c r="D4654">
        <v>80</v>
      </c>
      <c r="E4654" t="s">
        <v>17</v>
      </c>
      <c r="F4654" t="s">
        <v>22</v>
      </c>
      <c r="G4654" s="9">
        <v>45372</v>
      </c>
      <c r="H4654" s="9">
        <v>45707</v>
      </c>
      <c r="I4654">
        <v>22</v>
      </c>
      <c r="J4654" t="s">
        <v>26</v>
      </c>
      <c r="K4654">
        <v>1</v>
      </c>
      <c r="L4654">
        <v>5</v>
      </c>
      <c r="M4654" s="11">
        <v>7573.29</v>
      </c>
      <c r="N4654" s="12">
        <v>5767.42</v>
      </c>
      <c r="O4654" s="12">
        <v>18394.490000000002</v>
      </c>
    </row>
    <row r="4655" spans="1:15">
      <c r="A4655" t="s">
        <v>4829</v>
      </c>
      <c r="B4655" t="s">
        <v>392</v>
      </c>
      <c r="C4655" s="9">
        <v>19724</v>
      </c>
      <c r="D4655">
        <v>72</v>
      </c>
      <c r="E4655" t="s">
        <v>21</v>
      </c>
      <c r="F4655" t="s">
        <v>22</v>
      </c>
      <c r="G4655" s="9">
        <v>45204</v>
      </c>
      <c r="H4655" s="9">
        <v>44950</v>
      </c>
      <c r="I4655">
        <v>34</v>
      </c>
      <c r="J4655" t="s">
        <v>32</v>
      </c>
      <c r="K4655">
        <v>10</v>
      </c>
      <c r="L4655">
        <v>5</v>
      </c>
      <c r="M4655" s="11">
        <v>0</v>
      </c>
      <c r="N4655" s="12">
        <v>5694.51</v>
      </c>
      <c r="O4655" s="12">
        <v>16267.55</v>
      </c>
    </row>
    <row r="4656" spans="1:15">
      <c r="A4656" t="s">
        <v>4830</v>
      </c>
      <c r="B4656" t="s">
        <v>170</v>
      </c>
      <c r="C4656" s="9">
        <v>44196</v>
      </c>
      <c r="D4656">
        <v>5</v>
      </c>
      <c r="E4656" t="s">
        <v>17</v>
      </c>
      <c r="F4656" t="s">
        <v>22</v>
      </c>
      <c r="G4656" s="9">
        <v>45577</v>
      </c>
      <c r="H4656" s="9">
        <v>45294</v>
      </c>
      <c r="I4656">
        <v>38</v>
      </c>
      <c r="J4656" t="s">
        <v>26</v>
      </c>
      <c r="K4656">
        <v>6</v>
      </c>
      <c r="L4656">
        <v>2</v>
      </c>
      <c r="M4656" s="11">
        <v>11144.58</v>
      </c>
      <c r="N4656" s="12">
        <v>3005.18</v>
      </c>
      <c r="O4656" s="12">
        <v>17292.2</v>
      </c>
    </row>
    <row r="4657" spans="1:15">
      <c r="A4657" t="s">
        <v>4831</v>
      </c>
      <c r="B4657" t="s">
        <v>41</v>
      </c>
      <c r="C4657" s="9">
        <v>13880</v>
      </c>
      <c r="D4657">
        <v>88</v>
      </c>
      <c r="E4657" t="s">
        <v>17</v>
      </c>
      <c r="F4657" t="s">
        <v>25</v>
      </c>
      <c r="G4657" s="9">
        <v>45303</v>
      </c>
      <c r="H4657" s="9">
        <v>45578</v>
      </c>
      <c r="I4657">
        <v>22</v>
      </c>
      <c r="J4657" t="s">
        <v>32</v>
      </c>
      <c r="K4657">
        <v>4</v>
      </c>
      <c r="L4657">
        <v>7</v>
      </c>
      <c r="M4657" s="11">
        <v>20844.419999999998</v>
      </c>
      <c r="N4657" s="12">
        <v>13734.99</v>
      </c>
      <c r="O4657" s="12">
        <v>10440.1</v>
      </c>
    </row>
    <row r="4658" spans="1:15">
      <c r="A4658" t="s">
        <v>4832</v>
      </c>
      <c r="B4658" t="s">
        <v>55</v>
      </c>
      <c r="C4658" s="9">
        <v>32143</v>
      </c>
      <c r="D4658">
        <v>38</v>
      </c>
      <c r="E4658" t="s">
        <v>17</v>
      </c>
      <c r="F4658" t="s">
        <v>74</v>
      </c>
      <c r="G4658" s="9">
        <v>45158</v>
      </c>
      <c r="H4658" s="9">
        <v>45747</v>
      </c>
      <c r="I4658">
        <v>26</v>
      </c>
      <c r="J4658" t="s">
        <v>35</v>
      </c>
      <c r="K4658">
        <v>6</v>
      </c>
      <c r="L4658">
        <v>2</v>
      </c>
      <c r="M4658" s="11">
        <v>23615.82</v>
      </c>
      <c r="N4658" s="12">
        <v>11893.65</v>
      </c>
      <c r="O4658" s="12">
        <v>16488.5</v>
      </c>
    </row>
    <row r="4659" spans="1:15">
      <c r="A4659" t="s">
        <v>4833</v>
      </c>
      <c r="B4659" t="s">
        <v>117</v>
      </c>
      <c r="C4659" s="9">
        <v>24473</v>
      </c>
      <c r="D4659">
        <v>59</v>
      </c>
      <c r="E4659" t="s">
        <v>21</v>
      </c>
      <c r="F4659" t="s">
        <v>74</v>
      </c>
      <c r="G4659" s="9">
        <v>45518</v>
      </c>
      <c r="H4659" s="9">
        <v>45166</v>
      </c>
      <c r="I4659">
        <v>28</v>
      </c>
      <c r="J4659" t="s">
        <v>32</v>
      </c>
      <c r="K4659">
        <v>11</v>
      </c>
      <c r="L4659">
        <v>1</v>
      </c>
      <c r="M4659" s="11">
        <v>4948.1499999999996</v>
      </c>
      <c r="N4659" s="12">
        <v>14634.64</v>
      </c>
      <c r="O4659" s="12">
        <v>9156.61</v>
      </c>
    </row>
    <row r="4660" spans="1:15">
      <c r="A4660" t="s">
        <v>4834</v>
      </c>
      <c r="B4660" t="s">
        <v>300</v>
      </c>
      <c r="C4660" s="9">
        <v>36161</v>
      </c>
      <c r="D4660">
        <v>27</v>
      </c>
      <c r="E4660" t="s">
        <v>21</v>
      </c>
      <c r="F4660" t="s">
        <v>18</v>
      </c>
      <c r="G4660" s="9">
        <v>45352</v>
      </c>
      <c r="H4660" s="9">
        <v>45361</v>
      </c>
      <c r="I4660">
        <v>36</v>
      </c>
      <c r="J4660" t="s">
        <v>32</v>
      </c>
      <c r="K4660">
        <v>0</v>
      </c>
      <c r="L4660">
        <v>4</v>
      </c>
      <c r="M4660" s="11">
        <v>3132.96</v>
      </c>
      <c r="N4660" s="12">
        <v>5564.91</v>
      </c>
      <c r="O4660" s="12">
        <v>787.88</v>
      </c>
    </row>
    <row r="4661" spans="1:15">
      <c r="A4661" t="s">
        <v>4835</v>
      </c>
      <c r="B4661" t="s">
        <v>372</v>
      </c>
      <c r="C4661" s="9">
        <v>26664</v>
      </c>
      <c r="D4661">
        <v>53</v>
      </c>
      <c r="E4661" t="s">
        <v>21</v>
      </c>
      <c r="F4661" t="s">
        <v>22</v>
      </c>
      <c r="G4661" s="9">
        <v>44981</v>
      </c>
      <c r="H4661" s="9">
        <v>45631</v>
      </c>
      <c r="I4661">
        <v>1</v>
      </c>
      <c r="J4661" t="s">
        <v>32</v>
      </c>
      <c r="K4661">
        <v>8</v>
      </c>
      <c r="L4661">
        <v>6</v>
      </c>
      <c r="M4661" s="11">
        <v>261.02999999999997</v>
      </c>
      <c r="N4661" s="12">
        <v>679.43</v>
      </c>
      <c r="O4661" s="12">
        <v>12992.3</v>
      </c>
    </row>
    <row r="4662" spans="1:15">
      <c r="A4662" t="s">
        <v>4836</v>
      </c>
      <c r="B4662" t="s">
        <v>237</v>
      </c>
      <c r="C4662" s="9">
        <v>32873</v>
      </c>
      <c r="D4662">
        <v>36</v>
      </c>
      <c r="E4662" t="s">
        <v>21</v>
      </c>
      <c r="F4662" t="s">
        <v>5184</v>
      </c>
      <c r="G4662" s="9">
        <v>45367</v>
      </c>
      <c r="H4662" s="9">
        <v>45054</v>
      </c>
      <c r="I4662">
        <v>9</v>
      </c>
      <c r="J4662" t="s">
        <v>26</v>
      </c>
      <c r="K4662">
        <v>6</v>
      </c>
      <c r="L4662">
        <v>0</v>
      </c>
      <c r="M4662" s="11">
        <v>8827.14</v>
      </c>
      <c r="N4662" s="12">
        <v>1732.52</v>
      </c>
      <c r="O4662" s="12">
        <v>14541.91</v>
      </c>
    </row>
    <row r="4663" spans="1:15">
      <c r="A4663" t="s">
        <v>4837</v>
      </c>
      <c r="B4663" t="s">
        <v>155</v>
      </c>
      <c r="C4663" s="9">
        <v>43100</v>
      </c>
      <c r="D4663">
        <v>8</v>
      </c>
      <c r="E4663" t="s">
        <v>17</v>
      </c>
      <c r="F4663" t="s">
        <v>22</v>
      </c>
      <c r="G4663" s="9">
        <v>44960</v>
      </c>
      <c r="H4663" s="9">
        <v>45468</v>
      </c>
      <c r="I4663">
        <v>2</v>
      </c>
      <c r="J4663" t="s">
        <v>32</v>
      </c>
      <c r="K4663">
        <v>4</v>
      </c>
      <c r="L4663">
        <v>1</v>
      </c>
      <c r="M4663" s="11">
        <v>24386.65</v>
      </c>
      <c r="N4663" s="12">
        <v>5362.25</v>
      </c>
      <c r="O4663" s="12">
        <v>1941.13</v>
      </c>
    </row>
    <row r="4664" spans="1:15">
      <c r="A4664" t="s">
        <v>4838</v>
      </c>
      <c r="B4664" t="s">
        <v>254</v>
      </c>
      <c r="C4664" s="9">
        <v>16437</v>
      </c>
      <c r="D4664">
        <v>81</v>
      </c>
      <c r="E4664" t="s">
        <v>21</v>
      </c>
      <c r="F4664" t="s">
        <v>18</v>
      </c>
      <c r="G4664" s="9">
        <v>45255</v>
      </c>
      <c r="H4664" s="9">
        <v>45560</v>
      </c>
      <c r="I4664">
        <v>24</v>
      </c>
      <c r="J4664" t="s">
        <v>32</v>
      </c>
      <c r="K4664">
        <v>1</v>
      </c>
      <c r="L4664">
        <v>1</v>
      </c>
      <c r="M4664" s="11">
        <v>23069.360000000001</v>
      </c>
      <c r="N4664" s="12">
        <v>13665.96</v>
      </c>
      <c r="O4664" s="12">
        <v>16299.73</v>
      </c>
    </row>
    <row r="4665" spans="1:15">
      <c r="A4665" t="s">
        <v>4839</v>
      </c>
      <c r="B4665" t="s">
        <v>48</v>
      </c>
      <c r="C4665" s="9">
        <v>25934</v>
      </c>
      <c r="D4665">
        <v>55</v>
      </c>
      <c r="E4665" t="s">
        <v>5185</v>
      </c>
      <c r="F4665" t="s">
        <v>74</v>
      </c>
      <c r="G4665" s="9">
        <v>45380</v>
      </c>
      <c r="H4665" s="9">
        <v>45125</v>
      </c>
      <c r="I4665">
        <v>31</v>
      </c>
      <c r="J4665" t="s">
        <v>32</v>
      </c>
      <c r="K4665">
        <v>11</v>
      </c>
      <c r="L4665">
        <v>7</v>
      </c>
      <c r="M4665" s="11">
        <v>26090.080000000002</v>
      </c>
      <c r="N4665" s="12">
        <v>14716.27</v>
      </c>
      <c r="O4665" s="12">
        <v>1410.99</v>
      </c>
    </row>
    <row r="4666" spans="1:15">
      <c r="A4666" t="s">
        <v>4840</v>
      </c>
      <c r="B4666" t="s">
        <v>137</v>
      </c>
      <c r="C4666" s="9">
        <v>24838</v>
      </c>
      <c r="D4666">
        <v>58</v>
      </c>
      <c r="E4666" t="s">
        <v>21</v>
      </c>
      <c r="F4666" t="s">
        <v>18</v>
      </c>
      <c r="G4666" s="9">
        <v>45314</v>
      </c>
      <c r="H4666" s="9">
        <v>45613</v>
      </c>
      <c r="I4666">
        <v>11</v>
      </c>
      <c r="J4666" t="s">
        <v>32</v>
      </c>
      <c r="K4666">
        <v>1</v>
      </c>
      <c r="L4666">
        <v>9</v>
      </c>
      <c r="M4666" s="11">
        <v>22698.31</v>
      </c>
      <c r="N4666" s="12">
        <v>12329.96</v>
      </c>
      <c r="O4666" s="12">
        <v>8776.44</v>
      </c>
    </row>
    <row r="4667" spans="1:15">
      <c r="A4667" t="s">
        <v>4841</v>
      </c>
      <c r="B4667" t="s">
        <v>157</v>
      </c>
      <c r="C4667" s="9">
        <v>15341</v>
      </c>
      <c r="D4667">
        <v>84</v>
      </c>
      <c r="E4667" t="s">
        <v>21</v>
      </c>
      <c r="F4667" t="s">
        <v>18</v>
      </c>
      <c r="G4667" s="9">
        <v>45356</v>
      </c>
      <c r="H4667" s="9">
        <v>45583</v>
      </c>
      <c r="I4667">
        <v>4</v>
      </c>
      <c r="J4667" t="s">
        <v>32</v>
      </c>
      <c r="K4667">
        <v>8</v>
      </c>
      <c r="L4667">
        <v>5</v>
      </c>
      <c r="M4667" s="11">
        <v>231.74</v>
      </c>
      <c r="N4667" s="12">
        <v>3576.38</v>
      </c>
      <c r="O4667" s="12">
        <v>9707.27</v>
      </c>
    </row>
    <row r="4668" spans="1:15">
      <c r="A4668" t="s">
        <v>4842</v>
      </c>
      <c r="B4668" t="s">
        <v>194</v>
      </c>
      <c r="C4668" s="9">
        <f>DATE(2026-D4628,1,1)</f>
        <v>24108</v>
      </c>
      <c r="D4668">
        <v>1</v>
      </c>
      <c r="E4668" t="s">
        <v>17</v>
      </c>
      <c r="F4668" t="s">
        <v>18</v>
      </c>
      <c r="G4668" s="9">
        <v>45402</v>
      </c>
      <c r="H4668" s="9">
        <v>45409</v>
      </c>
      <c r="I4668">
        <v>34</v>
      </c>
      <c r="J4668" t="s">
        <v>32</v>
      </c>
      <c r="K4668">
        <v>10</v>
      </c>
      <c r="L4668">
        <v>3</v>
      </c>
      <c r="M4668" s="11">
        <v>11258.29</v>
      </c>
      <c r="N4668" s="12">
        <v>9895.49</v>
      </c>
      <c r="O4668" s="12">
        <v>638.80999999999995</v>
      </c>
    </row>
    <row r="4669" spans="1:15">
      <c r="A4669" t="s">
        <v>4843</v>
      </c>
      <c r="B4669" t="s">
        <v>119</v>
      </c>
      <c r="C4669" s="9">
        <v>24107</v>
      </c>
      <c r="D4669">
        <v>60</v>
      </c>
      <c r="E4669" t="s">
        <v>17</v>
      </c>
      <c r="F4669" t="s">
        <v>18</v>
      </c>
      <c r="G4669" s="9">
        <v>45051</v>
      </c>
      <c r="H4669" s="9">
        <v>45106</v>
      </c>
      <c r="I4669">
        <v>33</v>
      </c>
      <c r="J4669" t="s">
        <v>35</v>
      </c>
      <c r="K4669">
        <v>3</v>
      </c>
      <c r="L4669">
        <v>3</v>
      </c>
      <c r="M4669" s="11">
        <v>319.22000000000003</v>
      </c>
      <c r="N4669" s="12">
        <v>8949.11</v>
      </c>
      <c r="O4669" s="12">
        <v>1222.67</v>
      </c>
    </row>
    <row r="4670" spans="1:15">
      <c r="A4670" t="s">
        <v>4844</v>
      </c>
      <c r="B4670" t="s">
        <v>196</v>
      </c>
      <c r="C4670" s="9">
        <v>25203</v>
      </c>
      <c r="D4670">
        <v>57</v>
      </c>
      <c r="E4670" t="s">
        <v>21</v>
      </c>
      <c r="F4670" t="s">
        <v>18</v>
      </c>
      <c r="G4670" s="9">
        <v>45449</v>
      </c>
      <c r="H4670" s="9">
        <v>45796</v>
      </c>
      <c r="I4670">
        <v>7</v>
      </c>
      <c r="J4670" t="s">
        <v>32</v>
      </c>
      <c r="K4670">
        <v>5</v>
      </c>
      <c r="L4670">
        <v>4</v>
      </c>
      <c r="M4670" s="11">
        <v>599.55999999999995</v>
      </c>
      <c r="N4670" s="12">
        <v>12348.79</v>
      </c>
      <c r="O4670" s="12">
        <v>8957.9500000000007</v>
      </c>
    </row>
    <row r="4671" spans="1:15">
      <c r="A4671" t="s">
        <v>4845</v>
      </c>
      <c r="B4671" t="s">
        <v>341</v>
      </c>
      <c r="C4671" s="9">
        <v>24473</v>
      </c>
      <c r="D4671">
        <v>59</v>
      </c>
      <c r="E4671" t="s">
        <v>17</v>
      </c>
      <c r="F4671" t="s">
        <v>49</v>
      </c>
      <c r="G4671" s="9">
        <v>45408</v>
      </c>
      <c r="H4671" s="9">
        <v>45450</v>
      </c>
      <c r="I4671">
        <v>26</v>
      </c>
      <c r="J4671" t="s">
        <v>32</v>
      </c>
      <c r="K4671">
        <v>2</v>
      </c>
      <c r="L4671">
        <v>2</v>
      </c>
      <c r="M4671" s="11">
        <v>14096.04</v>
      </c>
      <c r="N4671" s="12">
        <v>7646.24</v>
      </c>
      <c r="O4671" s="12">
        <v>6156.28</v>
      </c>
    </row>
    <row r="4672" spans="1:15">
      <c r="A4672" t="s">
        <v>4846</v>
      </c>
      <c r="B4672" t="s">
        <v>147</v>
      </c>
      <c r="C4672" s="9">
        <v>31778</v>
      </c>
      <c r="D4672">
        <f ca="1">DATEDIF(C4623,TODAY(),"Y")</f>
        <v>42</v>
      </c>
      <c r="E4672" t="s">
        <v>17</v>
      </c>
      <c r="F4672" t="s">
        <v>49</v>
      </c>
      <c r="G4672" s="9">
        <v>45243</v>
      </c>
      <c r="H4672" s="9">
        <v>45578</v>
      </c>
      <c r="I4672">
        <v>13</v>
      </c>
      <c r="J4672" t="s">
        <v>32</v>
      </c>
      <c r="K4672">
        <v>12</v>
      </c>
      <c r="L4672">
        <v>3</v>
      </c>
      <c r="M4672" s="11">
        <v>10480.17</v>
      </c>
      <c r="N4672" s="12">
        <v>4771.95</v>
      </c>
      <c r="O4672" s="12">
        <v>16299.75</v>
      </c>
    </row>
    <row r="4673" spans="1:15">
      <c r="A4673" t="s">
        <v>4847</v>
      </c>
      <c r="B4673" t="s">
        <v>336</v>
      </c>
      <c r="C4673" s="9">
        <v>33239</v>
      </c>
      <c r="D4673">
        <v>35</v>
      </c>
      <c r="E4673" t="s">
        <v>17</v>
      </c>
      <c r="F4673" t="s">
        <v>22</v>
      </c>
      <c r="G4673" s="9">
        <v>45048</v>
      </c>
      <c r="H4673" s="9">
        <v>45364</v>
      </c>
      <c r="I4673">
        <v>35</v>
      </c>
      <c r="J4673" t="s">
        <v>26</v>
      </c>
      <c r="K4673">
        <v>11</v>
      </c>
      <c r="L4673">
        <v>3</v>
      </c>
      <c r="M4673" s="11">
        <v>16534.97</v>
      </c>
      <c r="N4673" s="12">
        <v>289.16000000000003</v>
      </c>
      <c r="O4673" s="12">
        <v>8218.48</v>
      </c>
    </row>
    <row r="4674" spans="1:15">
      <c r="A4674" t="s">
        <v>4848</v>
      </c>
      <c r="B4674" t="s">
        <v>196</v>
      </c>
      <c r="C4674" s="9">
        <v>32873</v>
      </c>
      <c r="D4674">
        <v>36</v>
      </c>
      <c r="E4674" t="s">
        <v>17</v>
      </c>
      <c r="F4674" t="s">
        <v>22</v>
      </c>
      <c r="G4674" s="9">
        <v>45473</v>
      </c>
      <c r="H4674" s="9">
        <v>45692</v>
      </c>
      <c r="I4674">
        <v>18</v>
      </c>
      <c r="J4674" t="s">
        <v>35</v>
      </c>
      <c r="K4674">
        <v>8</v>
      </c>
      <c r="L4674">
        <v>6</v>
      </c>
      <c r="M4674" s="11">
        <v>1517.91</v>
      </c>
      <c r="N4674" s="12">
        <v>11925.39</v>
      </c>
      <c r="O4674" s="12">
        <v>2021.09</v>
      </c>
    </row>
    <row r="4675" spans="1:15">
      <c r="A4675" t="s">
        <v>4849</v>
      </c>
      <c r="B4675" t="s">
        <v>137</v>
      </c>
      <c r="C4675" s="9">
        <v>17533</v>
      </c>
      <c r="D4675">
        <v>78</v>
      </c>
      <c r="E4675" t="s">
        <v>21</v>
      </c>
      <c r="F4675" t="s">
        <v>5184</v>
      </c>
      <c r="G4675" s="9">
        <v>45507</v>
      </c>
      <c r="H4675" s="9">
        <v>45784</v>
      </c>
      <c r="I4675">
        <v>35</v>
      </c>
      <c r="J4675" t="s">
        <v>32</v>
      </c>
      <c r="K4675">
        <v>3</v>
      </c>
      <c r="L4675">
        <v>6</v>
      </c>
      <c r="M4675" s="11">
        <v>17443.150000000001</v>
      </c>
      <c r="N4675" s="12">
        <v>7953.72</v>
      </c>
      <c r="O4675" s="12">
        <v>3073.36</v>
      </c>
    </row>
    <row r="4676" spans="1:15">
      <c r="A4676" t="s">
        <v>4850</v>
      </c>
      <c r="B4676" t="s">
        <v>63</v>
      </c>
      <c r="C4676" s="9">
        <v>12785</v>
      </c>
      <c r="D4676">
        <v>91</v>
      </c>
      <c r="E4676" t="s">
        <v>17</v>
      </c>
      <c r="F4676" t="s">
        <v>5184</v>
      </c>
      <c r="G4676" s="9">
        <v>45239</v>
      </c>
      <c r="H4676" s="9">
        <v>45241</v>
      </c>
      <c r="I4676">
        <v>38</v>
      </c>
      <c r="J4676" t="s">
        <v>26</v>
      </c>
      <c r="K4676">
        <v>8</v>
      </c>
      <c r="L4676">
        <v>0</v>
      </c>
      <c r="M4676" s="11">
        <v>1482.57</v>
      </c>
      <c r="N4676" s="12">
        <v>8012.81</v>
      </c>
      <c r="O4676" s="12">
        <v>13436.81</v>
      </c>
    </row>
    <row r="4677" spans="1:15">
      <c r="A4677" t="s">
        <v>4851</v>
      </c>
      <c r="B4677" t="s">
        <v>105</v>
      </c>
      <c r="C4677" s="9">
        <v>39813</v>
      </c>
      <c r="D4677">
        <v>17</v>
      </c>
      <c r="E4677" t="s">
        <v>17</v>
      </c>
      <c r="F4677" t="s">
        <v>49</v>
      </c>
      <c r="G4677" s="9">
        <v>45413</v>
      </c>
      <c r="H4677" s="9">
        <v>44946</v>
      </c>
      <c r="I4677">
        <v>30</v>
      </c>
      <c r="J4677" t="s">
        <v>32</v>
      </c>
      <c r="K4677">
        <v>1</v>
      </c>
      <c r="L4677">
        <v>2</v>
      </c>
      <c r="M4677" s="11">
        <v>12422.37</v>
      </c>
      <c r="N4677" s="12">
        <v>14355.93</v>
      </c>
      <c r="O4677" s="12">
        <v>18996.310000000001</v>
      </c>
    </row>
    <row r="4678" spans="1:15">
      <c r="A4678" t="s">
        <v>4852</v>
      </c>
      <c r="B4678" t="s">
        <v>211</v>
      </c>
      <c r="C4678" s="9">
        <v>23377</v>
      </c>
      <c r="D4678">
        <v>62</v>
      </c>
      <c r="E4678" t="s">
        <v>21</v>
      </c>
      <c r="F4678" t="s">
        <v>74</v>
      </c>
      <c r="G4678" s="9">
        <v>45577</v>
      </c>
      <c r="H4678" s="9">
        <v>45087</v>
      </c>
      <c r="I4678">
        <v>26</v>
      </c>
      <c r="J4678" t="s">
        <v>32</v>
      </c>
      <c r="K4678">
        <v>0</v>
      </c>
      <c r="L4678">
        <v>8</v>
      </c>
      <c r="M4678" s="11">
        <v>10246.91</v>
      </c>
      <c r="N4678" s="12">
        <v>7293.41</v>
      </c>
      <c r="O4678" s="12">
        <v>17378.91</v>
      </c>
    </row>
    <row r="4679" spans="1:15">
      <c r="A4679" t="s">
        <v>4853</v>
      </c>
      <c r="B4679" t="s">
        <v>84</v>
      </c>
      <c r="C4679" s="9">
        <v>38352</v>
      </c>
      <c r="D4679">
        <v>21</v>
      </c>
      <c r="E4679" t="s">
        <v>21</v>
      </c>
      <c r="F4679" t="s">
        <v>25</v>
      </c>
      <c r="G4679" s="9">
        <v>44938</v>
      </c>
      <c r="H4679" s="9">
        <v>45745</v>
      </c>
      <c r="I4679">
        <v>14</v>
      </c>
      <c r="J4679" t="s">
        <v>35</v>
      </c>
      <c r="K4679">
        <v>0</v>
      </c>
      <c r="L4679">
        <v>5</v>
      </c>
      <c r="M4679" s="11">
        <v>6330.41</v>
      </c>
      <c r="N4679" s="12">
        <v>4737.0200000000004</v>
      </c>
      <c r="O4679" s="12">
        <v>2502.84</v>
      </c>
    </row>
    <row r="4680" spans="1:15">
      <c r="A4680" t="s">
        <v>4854</v>
      </c>
      <c r="B4680" t="s">
        <v>196</v>
      </c>
      <c r="C4680" s="9">
        <v>42370</v>
      </c>
      <c r="D4680">
        <v>10</v>
      </c>
      <c r="E4680" t="s">
        <v>17</v>
      </c>
      <c r="F4680" t="s">
        <v>74</v>
      </c>
      <c r="G4680" s="9">
        <v>45051</v>
      </c>
      <c r="H4680" s="9">
        <v>45049</v>
      </c>
      <c r="I4680">
        <v>10</v>
      </c>
      <c r="J4680" t="s">
        <v>35</v>
      </c>
      <c r="K4680">
        <v>12</v>
      </c>
      <c r="L4680">
        <v>5</v>
      </c>
      <c r="M4680" s="11">
        <v>9015.1200000000008</v>
      </c>
      <c r="N4680" s="12">
        <v>5097.57</v>
      </c>
      <c r="O4680" s="12">
        <v>229</v>
      </c>
    </row>
    <row r="4681" spans="1:15">
      <c r="A4681" t="s">
        <v>4855</v>
      </c>
      <c r="B4681" t="s">
        <v>300</v>
      </c>
      <c r="C4681" s="9">
        <v>25203</v>
      </c>
      <c r="D4681">
        <v>57</v>
      </c>
      <c r="E4681" t="s">
        <v>21</v>
      </c>
      <c r="F4681" t="s">
        <v>5184</v>
      </c>
      <c r="G4681" s="9">
        <v>45585</v>
      </c>
      <c r="H4681" s="9">
        <v>44999</v>
      </c>
      <c r="I4681">
        <v>3</v>
      </c>
      <c r="J4681" t="s">
        <v>35</v>
      </c>
      <c r="K4681">
        <v>3</v>
      </c>
      <c r="L4681">
        <v>3</v>
      </c>
      <c r="M4681" s="11">
        <v>484.01</v>
      </c>
      <c r="N4681" s="12">
        <v>176.2</v>
      </c>
      <c r="O4681" s="12">
        <v>431.42</v>
      </c>
    </row>
    <row r="4682" spans="1:15">
      <c r="A4682" t="s">
        <v>4856</v>
      </c>
      <c r="B4682" t="s">
        <v>209</v>
      </c>
      <c r="C4682" s="9">
        <v>25568</v>
      </c>
      <c r="D4682">
        <v>56</v>
      </c>
      <c r="E4682" t="s">
        <v>21</v>
      </c>
      <c r="F4682" t="s">
        <v>22</v>
      </c>
      <c r="G4682" s="9">
        <v>45003</v>
      </c>
      <c r="H4682" s="9">
        <v>44982</v>
      </c>
      <c r="I4682">
        <v>1</v>
      </c>
      <c r="J4682" t="s">
        <v>35</v>
      </c>
      <c r="K4682">
        <v>2</v>
      </c>
      <c r="L4682">
        <v>9</v>
      </c>
      <c r="M4682" s="11">
        <v>0</v>
      </c>
      <c r="N4682" s="12">
        <v>1835.27</v>
      </c>
      <c r="O4682" s="12">
        <v>11052.45</v>
      </c>
    </row>
    <row r="4683" spans="1:15">
      <c r="A4683" t="s">
        <v>4857</v>
      </c>
      <c r="B4683" t="s">
        <v>215</v>
      </c>
      <c r="C4683" s="9">
        <f>DATE(2026-D4643,1,1)</f>
        <v>33239</v>
      </c>
      <c r="D4683">
        <v>76</v>
      </c>
      <c r="E4683" t="s">
        <v>5185</v>
      </c>
      <c r="F4683" t="s">
        <v>49</v>
      </c>
      <c r="G4683" s="9">
        <v>45506</v>
      </c>
      <c r="H4683" s="9">
        <v>45387</v>
      </c>
      <c r="I4683">
        <v>5</v>
      </c>
      <c r="J4683" t="s">
        <v>26</v>
      </c>
      <c r="K4683">
        <v>0</v>
      </c>
      <c r="L4683">
        <v>8</v>
      </c>
      <c r="M4683" s="11">
        <v>1891.45</v>
      </c>
      <c r="N4683" s="12">
        <v>657.13</v>
      </c>
      <c r="O4683" s="12">
        <v>9666.5400000000009</v>
      </c>
    </row>
    <row r="4684" spans="1:15">
      <c r="A4684" t="s">
        <v>4858</v>
      </c>
      <c r="B4684" t="s">
        <v>309</v>
      </c>
      <c r="C4684" s="9">
        <v>44927</v>
      </c>
      <c r="D4684">
        <v>3</v>
      </c>
      <c r="E4684" t="s">
        <v>21</v>
      </c>
      <c r="F4684" t="s">
        <v>74</v>
      </c>
      <c r="G4684" s="9">
        <v>45644</v>
      </c>
      <c r="H4684" s="9">
        <v>45096</v>
      </c>
      <c r="I4684">
        <v>29</v>
      </c>
      <c r="J4684" t="s">
        <v>32</v>
      </c>
      <c r="K4684">
        <v>14</v>
      </c>
      <c r="L4684">
        <v>2</v>
      </c>
      <c r="M4684" s="11">
        <v>27599.72</v>
      </c>
      <c r="N4684" s="12">
        <v>3648.9</v>
      </c>
      <c r="O4684" s="12">
        <v>169.27</v>
      </c>
    </row>
    <row r="4685" spans="1:15">
      <c r="A4685" t="s">
        <v>4859</v>
      </c>
      <c r="B4685" t="s">
        <v>774</v>
      </c>
      <c r="C4685" s="9">
        <v>14976</v>
      </c>
      <c r="D4685">
        <v>85</v>
      </c>
      <c r="E4685" t="s">
        <v>21</v>
      </c>
      <c r="F4685" t="s">
        <v>25</v>
      </c>
      <c r="G4685" s="9">
        <v>45162</v>
      </c>
      <c r="H4685" s="9">
        <v>45538</v>
      </c>
      <c r="I4685">
        <v>33</v>
      </c>
      <c r="J4685" t="s">
        <v>32</v>
      </c>
      <c r="K4685">
        <v>3</v>
      </c>
      <c r="L4685">
        <v>7</v>
      </c>
      <c r="M4685" s="11">
        <v>1767.15</v>
      </c>
      <c r="N4685" s="12">
        <v>969.78</v>
      </c>
      <c r="O4685" s="12">
        <v>1048.17</v>
      </c>
    </row>
    <row r="4686" spans="1:15">
      <c r="A4686" t="s">
        <v>4860</v>
      </c>
      <c r="B4686" t="s">
        <v>189</v>
      </c>
      <c r="C4686" s="9">
        <v>43831</v>
      </c>
      <c r="D4686">
        <v>6</v>
      </c>
      <c r="E4686" t="s">
        <v>17</v>
      </c>
      <c r="F4686" t="s">
        <v>18</v>
      </c>
      <c r="G4686" s="9">
        <v>45497</v>
      </c>
      <c r="H4686" s="9">
        <v>45509</v>
      </c>
      <c r="I4686">
        <v>6</v>
      </c>
      <c r="J4686" t="s">
        <v>35</v>
      </c>
      <c r="K4686">
        <v>8</v>
      </c>
      <c r="L4686">
        <v>5</v>
      </c>
      <c r="M4686" s="11">
        <v>28569.73</v>
      </c>
      <c r="N4686" s="12">
        <v>4966.74</v>
      </c>
      <c r="O4686" s="12">
        <v>19995.060000000001</v>
      </c>
    </row>
    <row r="4687" spans="1:15">
      <c r="A4687" t="s">
        <v>4861</v>
      </c>
      <c r="B4687" t="s">
        <v>490</v>
      </c>
      <c r="C4687" s="9">
        <v>24107</v>
      </c>
      <c r="D4687">
        <v>60</v>
      </c>
      <c r="E4687" t="s">
        <v>17</v>
      </c>
      <c r="F4687" t="s">
        <v>29</v>
      </c>
      <c r="G4687" s="9">
        <v>45180</v>
      </c>
      <c r="H4687" s="9">
        <v>45076</v>
      </c>
      <c r="I4687">
        <v>20</v>
      </c>
      <c r="J4687" t="s">
        <v>32</v>
      </c>
      <c r="K4687">
        <v>7</v>
      </c>
      <c r="L4687">
        <v>1</v>
      </c>
      <c r="M4687" s="11">
        <v>14488.5</v>
      </c>
      <c r="N4687" s="12">
        <v>1891.94</v>
      </c>
      <c r="O4687" s="12">
        <v>19295.32</v>
      </c>
    </row>
    <row r="4688" spans="1:15">
      <c r="A4688" t="s">
        <v>4862</v>
      </c>
      <c r="B4688" t="s">
        <v>615</v>
      </c>
      <c r="C4688" s="9">
        <v>26664</v>
      </c>
      <c r="D4688">
        <v>53</v>
      </c>
      <c r="E4688" t="s">
        <v>21</v>
      </c>
      <c r="F4688" t="s">
        <v>49</v>
      </c>
      <c r="G4688" s="9">
        <v>45332</v>
      </c>
      <c r="H4688" s="9">
        <v>45556</v>
      </c>
      <c r="I4688">
        <v>4</v>
      </c>
      <c r="J4688" t="s">
        <v>26</v>
      </c>
      <c r="K4688">
        <v>6</v>
      </c>
      <c r="L4688">
        <v>2</v>
      </c>
      <c r="M4688" s="11">
        <v>15151.78</v>
      </c>
      <c r="N4688" s="12">
        <v>13768.79</v>
      </c>
      <c r="O4688" s="12">
        <v>2447.17</v>
      </c>
    </row>
    <row r="4689" spans="1:15">
      <c r="A4689" t="s">
        <v>4863</v>
      </c>
      <c r="B4689" t="s">
        <v>275</v>
      </c>
      <c r="C4689" s="9">
        <v>14246</v>
      </c>
      <c r="D4689">
        <v>87</v>
      </c>
      <c r="E4689" t="s">
        <v>17</v>
      </c>
      <c r="F4689" t="s">
        <v>49</v>
      </c>
      <c r="G4689" s="9">
        <v>45169</v>
      </c>
      <c r="H4689" s="9">
        <v>44953</v>
      </c>
      <c r="I4689">
        <v>28</v>
      </c>
      <c r="J4689" t="s">
        <v>35</v>
      </c>
      <c r="K4689">
        <v>7</v>
      </c>
      <c r="L4689">
        <v>0</v>
      </c>
      <c r="M4689" s="11">
        <v>23537.84</v>
      </c>
      <c r="N4689" s="12">
        <v>14075.76</v>
      </c>
      <c r="O4689" s="12">
        <v>3198.41</v>
      </c>
    </row>
    <row r="4690" spans="1:15">
      <c r="A4690" t="s">
        <v>4864</v>
      </c>
      <c r="B4690" t="s">
        <v>139</v>
      </c>
      <c r="C4690" s="9">
        <v>21551</v>
      </c>
      <c r="D4690">
        <v>67</v>
      </c>
      <c r="E4690" t="s">
        <v>17</v>
      </c>
      <c r="F4690" t="s">
        <v>25</v>
      </c>
      <c r="G4690" s="9">
        <v>45387</v>
      </c>
      <c r="H4690" s="9">
        <v>45175</v>
      </c>
      <c r="I4690">
        <v>18</v>
      </c>
      <c r="J4690" t="s">
        <v>32</v>
      </c>
      <c r="K4690">
        <v>7</v>
      </c>
      <c r="L4690">
        <v>2</v>
      </c>
      <c r="M4690" s="11">
        <v>20709.080000000002</v>
      </c>
      <c r="N4690" s="12">
        <v>9051.85</v>
      </c>
      <c r="O4690" s="12">
        <v>17993.27</v>
      </c>
    </row>
    <row r="4691" spans="1:15">
      <c r="A4691" t="s">
        <v>4865</v>
      </c>
      <c r="B4691" t="s">
        <v>619</v>
      </c>
      <c r="C4691" s="9">
        <v>12785</v>
      </c>
      <c r="D4691">
        <v>91</v>
      </c>
      <c r="E4691" t="s">
        <v>17</v>
      </c>
      <c r="F4691" t="s">
        <v>18</v>
      </c>
      <c r="G4691" s="9">
        <v>45203</v>
      </c>
      <c r="H4691" s="9">
        <v>45824</v>
      </c>
      <c r="I4691">
        <v>2</v>
      </c>
      <c r="J4691" t="s">
        <v>32</v>
      </c>
      <c r="K4691">
        <v>6</v>
      </c>
      <c r="L4691">
        <v>3</v>
      </c>
      <c r="M4691" s="11">
        <v>6730.36</v>
      </c>
      <c r="N4691" s="12">
        <v>12082.32</v>
      </c>
      <c r="O4691" s="12">
        <v>10099.530000000001</v>
      </c>
    </row>
    <row r="4692" spans="1:15">
      <c r="A4692" t="s">
        <v>4866</v>
      </c>
      <c r="B4692" t="s">
        <v>73</v>
      </c>
      <c r="C4692" s="9">
        <v>17533</v>
      </c>
      <c r="D4692">
        <v>78</v>
      </c>
      <c r="E4692" t="s">
        <v>21</v>
      </c>
      <c r="F4692" t="s">
        <v>18</v>
      </c>
      <c r="G4692" s="9">
        <v>45395</v>
      </c>
      <c r="H4692" s="9">
        <v>45648</v>
      </c>
      <c r="I4692">
        <v>1</v>
      </c>
      <c r="J4692" t="s">
        <v>35</v>
      </c>
      <c r="K4692">
        <v>7</v>
      </c>
      <c r="L4692">
        <v>5</v>
      </c>
      <c r="M4692" s="11">
        <v>276.72000000000003</v>
      </c>
      <c r="N4692" s="12">
        <v>10158.17</v>
      </c>
      <c r="O4692" s="12">
        <v>19155.32</v>
      </c>
    </row>
    <row r="4693" spans="1:15">
      <c r="A4693" t="s">
        <v>4867</v>
      </c>
      <c r="B4693" t="s">
        <v>619</v>
      </c>
      <c r="C4693" s="9">
        <v>46022</v>
      </c>
      <c r="D4693">
        <v>0</v>
      </c>
      <c r="E4693" t="s">
        <v>21</v>
      </c>
      <c r="F4693" t="s">
        <v>29</v>
      </c>
      <c r="G4693" s="9">
        <v>45146</v>
      </c>
      <c r="H4693" s="9">
        <v>45154</v>
      </c>
      <c r="I4693">
        <v>37</v>
      </c>
      <c r="J4693" t="s">
        <v>32</v>
      </c>
      <c r="K4693">
        <v>2</v>
      </c>
      <c r="L4693">
        <v>9</v>
      </c>
      <c r="M4693" s="11">
        <v>23242.7</v>
      </c>
      <c r="N4693" s="12">
        <v>12166.63</v>
      </c>
      <c r="O4693" s="12">
        <v>10358.83</v>
      </c>
    </row>
    <row r="4694" spans="1:15">
      <c r="A4694" t="s">
        <v>4868</v>
      </c>
      <c r="B4694" t="s">
        <v>89</v>
      </c>
      <c r="C4694" s="9">
        <v>26299</v>
      </c>
      <c r="D4694">
        <v>54</v>
      </c>
      <c r="E4694" t="s">
        <v>21</v>
      </c>
      <c r="F4694" t="s">
        <v>18</v>
      </c>
      <c r="G4694" s="9">
        <v>45151</v>
      </c>
      <c r="H4694" s="9">
        <v>45553</v>
      </c>
      <c r="I4694">
        <v>8</v>
      </c>
      <c r="J4694" t="s">
        <v>32</v>
      </c>
      <c r="K4694">
        <v>6</v>
      </c>
      <c r="L4694">
        <v>6</v>
      </c>
      <c r="M4694" s="11">
        <v>3457.16</v>
      </c>
      <c r="N4694" s="12">
        <v>9597.11</v>
      </c>
      <c r="O4694" s="12">
        <v>11502.2</v>
      </c>
    </row>
    <row r="4695" spans="1:15">
      <c r="A4695" t="s">
        <v>4869</v>
      </c>
      <c r="B4695" t="s">
        <v>39</v>
      </c>
      <c r="C4695" s="9">
        <v>45292</v>
      </c>
      <c r="D4695">
        <v>2</v>
      </c>
      <c r="E4695" t="s">
        <v>17</v>
      </c>
      <c r="F4695" t="s">
        <v>25</v>
      </c>
      <c r="G4695" s="9">
        <v>45027</v>
      </c>
      <c r="H4695" s="9">
        <v>45633</v>
      </c>
      <c r="I4695">
        <v>34</v>
      </c>
      <c r="J4695" t="s">
        <v>32</v>
      </c>
      <c r="K4695">
        <v>12</v>
      </c>
      <c r="L4695">
        <v>2</v>
      </c>
      <c r="M4695" s="11">
        <v>17750.259999999998</v>
      </c>
      <c r="N4695" s="12">
        <v>6452.91</v>
      </c>
      <c r="O4695" s="12">
        <v>4324.7299999999996</v>
      </c>
    </row>
    <row r="4696" spans="1:15">
      <c r="A4696" t="s">
        <v>4870</v>
      </c>
      <c r="B4696" t="s">
        <v>168</v>
      </c>
      <c r="C4696" s="9">
        <v>17898</v>
      </c>
      <c r="D4696">
        <v>77</v>
      </c>
      <c r="E4696" t="s">
        <v>17</v>
      </c>
      <c r="F4696" t="s">
        <v>22</v>
      </c>
      <c r="G4696" s="9">
        <v>45560</v>
      </c>
      <c r="H4696" s="9">
        <v>45411</v>
      </c>
      <c r="I4696">
        <v>15</v>
      </c>
      <c r="J4696" t="s">
        <v>26</v>
      </c>
      <c r="K4696">
        <v>0</v>
      </c>
      <c r="L4696">
        <v>6</v>
      </c>
      <c r="M4696" s="11">
        <v>28250.27</v>
      </c>
      <c r="N4696" s="12">
        <v>13106.32</v>
      </c>
      <c r="O4696" s="12">
        <v>17509.13</v>
      </c>
    </row>
    <row r="4697" spans="1:15">
      <c r="A4697" t="s">
        <v>4871</v>
      </c>
      <c r="B4697" t="s">
        <v>204</v>
      </c>
      <c r="C4697" s="9">
        <v>32508</v>
      </c>
      <c r="D4697">
        <v>37</v>
      </c>
      <c r="E4697" t="s">
        <v>17</v>
      </c>
      <c r="F4697" t="s">
        <v>18</v>
      </c>
      <c r="G4697" s="9">
        <v>45656</v>
      </c>
      <c r="H4697" s="9">
        <v>45760</v>
      </c>
      <c r="I4697">
        <v>21</v>
      </c>
      <c r="J4697" t="s">
        <v>35</v>
      </c>
      <c r="K4697">
        <v>7</v>
      </c>
      <c r="L4697">
        <v>3</v>
      </c>
      <c r="M4697" s="11">
        <v>16258.03</v>
      </c>
      <c r="N4697" s="12">
        <v>6571</v>
      </c>
      <c r="O4697" s="12">
        <v>16482.55</v>
      </c>
    </row>
    <row r="4698" spans="1:15">
      <c r="A4698" t="s">
        <v>4872</v>
      </c>
      <c r="B4698" t="s">
        <v>145</v>
      </c>
      <c r="C4698" s="9">
        <v>46022</v>
      </c>
      <c r="D4698">
        <v>0</v>
      </c>
      <c r="E4698" t="s">
        <v>17</v>
      </c>
      <c r="F4698" t="s">
        <v>22</v>
      </c>
      <c r="G4698" s="9">
        <v>45433</v>
      </c>
      <c r="H4698" s="9">
        <v>44937</v>
      </c>
      <c r="I4698">
        <v>16</v>
      </c>
      <c r="J4698" t="s">
        <v>35</v>
      </c>
      <c r="K4698">
        <v>11</v>
      </c>
      <c r="L4698">
        <v>0</v>
      </c>
      <c r="M4698" s="11">
        <v>8209.98</v>
      </c>
      <c r="N4698" s="12">
        <v>5943.19</v>
      </c>
      <c r="O4698" s="12">
        <v>6682.2</v>
      </c>
    </row>
    <row r="4699" spans="1:15">
      <c r="A4699" t="s">
        <v>4873</v>
      </c>
      <c r="B4699" t="s">
        <v>187</v>
      </c>
      <c r="C4699" s="9">
        <v>32508</v>
      </c>
      <c r="D4699">
        <v>37</v>
      </c>
      <c r="E4699" t="s">
        <v>17</v>
      </c>
      <c r="F4699" t="s">
        <v>5184</v>
      </c>
      <c r="G4699" s="9">
        <v>45513</v>
      </c>
      <c r="H4699" s="9">
        <v>45022</v>
      </c>
      <c r="I4699">
        <v>2</v>
      </c>
      <c r="J4699" t="s">
        <v>32</v>
      </c>
      <c r="K4699">
        <v>7</v>
      </c>
      <c r="L4699">
        <v>0</v>
      </c>
      <c r="M4699" s="11">
        <v>4953.46</v>
      </c>
      <c r="N4699" s="12">
        <v>9365.75</v>
      </c>
      <c r="O4699" s="12">
        <v>12208.7</v>
      </c>
    </row>
    <row r="4700" spans="1:15">
      <c r="A4700" t="s">
        <v>4874</v>
      </c>
      <c r="B4700" t="s">
        <v>275</v>
      </c>
      <c r="C4700" s="9">
        <v>15341</v>
      </c>
      <c r="D4700">
        <v>84</v>
      </c>
      <c r="E4700" t="s">
        <v>21</v>
      </c>
      <c r="F4700" t="s">
        <v>5184</v>
      </c>
      <c r="G4700" s="9">
        <v>45257</v>
      </c>
      <c r="H4700" s="9">
        <v>45048</v>
      </c>
      <c r="I4700">
        <v>26</v>
      </c>
      <c r="J4700" t="s">
        <v>32</v>
      </c>
      <c r="K4700">
        <v>9</v>
      </c>
      <c r="L4700">
        <v>7</v>
      </c>
      <c r="M4700" s="11">
        <v>321.97000000000003</v>
      </c>
      <c r="N4700" s="12">
        <v>14068.98</v>
      </c>
      <c r="O4700" s="12">
        <v>6762.99</v>
      </c>
    </row>
    <row r="4701" spans="1:15">
      <c r="A4701" t="s">
        <v>4875</v>
      </c>
      <c r="B4701" t="s">
        <v>343</v>
      </c>
      <c r="C4701" s="9">
        <v>35795</v>
      </c>
      <c r="D4701">
        <v>28</v>
      </c>
      <c r="E4701" t="s">
        <v>17</v>
      </c>
      <c r="F4701" t="s">
        <v>22</v>
      </c>
      <c r="G4701" s="9">
        <v>45163</v>
      </c>
      <c r="H4701" s="9">
        <v>45053</v>
      </c>
      <c r="I4701">
        <v>36</v>
      </c>
      <c r="J4701" t="s">
        <v>35</v>
      </c>
      <c r="K4701">
        <v>1</v>
      </c>
      <c r="L4701">
        <v>9</v>
      </c>
      <c r="M4701" s="11">
        <v>18508.97</v>
      </c>
      <c r="N4701" s="12">
        <v>6633.04</v>
      </c>
      <c r="O4701" s="12">
        <v>9225.76</v>
      </c>
    </row>
    <row r="4702" spans="1:15">
      <c r="A4702" t="s">
        <v>4876</v>
      </c>
      <c r="B4702" t="s">
        <v>192</v>
      </c>
      <c r="C4702" s="9">
        <v>44561</v>
      </c>
      <c r="D4702">
        <f ca="1">DATEDIF(C4653,TODAY(),"Y")</f>
        <v>50</v>
      </c>
      <c r="E4702" t="s">
        <v>17</v>
      </c>
      <c r="F4702" t="s">
        <v>25</v>
      </c>
      <c r="G4702" s="9">
        <v>45265</v>
      </c>
      <c r="H4702" s="9">
        <v>45476</v>
      </c>
      <c r="I4702">
        <v>1</v>
      </c>
      <c r="J4702" t="s">
        <v>32</v>
      </c>
      <c r="K4702">
        <v>4</v>
      </c>
      <c r="L4702">
        <v>6</v>
      </c>
      <c r="M4702" s="11">
        <v>16518.97</v>
      </c>
      <c r="N4702" s="12">
        <v>8624.17</v>
      </c>
      <c r="O4702" s="12">
        <v>17056.38</v>
      </c>
    </row>
    <row r="4703" spans="1:15">
      <c r="A4703" t="s">
        <v>4877</v>
      </c>
      <c r="B4703" t="s">
        <v>292</v>
      </c>
      <c r="C4703" s="9">
        <v>19359</v>
      </c>
      <c r="D4703">
        <v>73</v>
      </c>
      <c r="E4703" t="s">
        <v>17</v>
      </c>
      <c r="F4703" t="s">
        <v>49</v>
      </c>
      <c r="G4703" s="9">
        <v>45432</v>
      </c>
      <c r="H4703" s="9">
        <v>44996</v>
      </c>
      <c r="I4703">
        <v>14</v>
      </c>
      <c r="J4703" t="s">
        <v>26</v>
      </c>
      <c r="K4703">
        <v>10</v>
      </c>
      <c r="L4703">
        <v>3</v>
      </c>
      <c r="M4703" s="11">
        <v>13582.64</v>
      </c>
      <c r="N4703" s="12">
        <v>7384.99</v>
      </c>
      <c r="O4703" s="12">
        <v>8249.98</v>
      </c>
    </row>
    <row r="4704" spans="1:15">
      <c r="A4704" t="s">
        <v>4878</v>
      </c>
      <c r="B4704" t="s">
        <v>578</v>
      </c>
      <c r="C4704" s="9">
        <v>12785</v>
      </c>
      <c r="D4704">
        <f ca="1">DATEDIF(C4655,TODAY(),"Y")</f>
        <v>72</v>
      </c>
      <c r="E4704" t="s">
        <v>21</v>
      </c>
      <c r="F4704" t="s">
        <v>49</v>
      </c>
      <c r="G4704" s="9">
        <v>45091</v>
      </c>
      <c r="H4704" s="9">
        <v>45224</v>
      </c>
      <c r="I4704">
        <v>8</v>
      </c>
      <c r="J4704" t="s">
        <v>35</v>
      </c>
      <c r="K4704">
        <v>5</v>
      </c>
      <c r="L4704">
        <v>0</v>
      </c>
      <c r="M4704" s="11">
        <v>5410.03</v>
      </c>
      <c r="N4704" s="12">
        <v>13645.99</v>
      </c>
      <c r="O4704" s="12">
        <v>16795.37</v>
      </c>
    </row>
    <row r="4705" spans="1:15">
      <c r="A4705" t="s">
        <v>4879</v>
      </c>
      <c r="B4705" t="s">
        <v>254</v>
      </c>
      <c r="C4705" s="9">
        <v>38717</v>
      </c>
      <c r="D4705">
        <v>20</v>
      </c>
      <c r="E4705" t="s">
        <v>17</v>
      </c>
      <c r="F4705" t="s">
        <v>49</v>
      </c>
      <c r="G4705" s="9">
        <v>45595</v>
      </c>
      <c r="H4705" s="9">
        <v>45613</v>
      </c>
      <c r="I4705">
        <v>34</v>
      </c>
      <c r="J4705" t="s">
        <v>32</v>
      </c>
      <c r="K4705">
        <v>1</v>
      </c>
      <c r="L4705">
        <v>5</v>
      </c>
      <c r="M4705" s="11">
        <v>6717.27</v>
      </c>
      <c r="N4705" s="12">
        <v>10151.18</v>
      </c>
      <c r="O4705" s="12">
        <v>19198.52</v>
      </c>
    </row>
    <row r="4706" spans="1:15">
      <c r="A4706" t="s">
        <v>4880</v>
      </c>
      <c r="B4706" t="s">
        <v>112</v>
      </c>
      <c r="C4706" s="9">
        <f>DATE(2026-D4666,1,1)</f>
        <v>24838</v>
      </c>
      <c r="D4706">
        <v>70</v>
      </c>
      <c r="E4706" t="s">
        <v>21</v>
      </c>
      <c r="F4706" t="s">
        <v>74</v>
      </c>
      <c r="G4706" s="9">
        <v>45649</v>
      </c>
      <c r="H4706" s="9">
        <v>45428</v>
      </c>
      <c r="I4706">
        <v>10</v>
      </c>
      <c r="J4706" t="s">
        <v>32</v>
      </c>
      <c r="K4706">
        <v>14</v>
      </c>
      <c r="L4706">
        <v>9</v>
      </c>
      <c r="M4706" s="11">
        <v>28735.13</v>
      </c>
      <c r="N4706" s="12">
        <v>6293.84</v>
      </c>
      <c r="O4706" s="12">
        <v>8268.52</v>
      </c>
    </row>
    <row r="4707" spans="1:15">
      <c r="A4707" t="s">
        <v>4881</v>
      </c>
      <c r="B4707" t="s">
        <v>57</v>
      </c>
      <c r="C4707" s="9">
        <v>21916</v>
      </c>
      <c r="D4707">
        <v>66</v>
      </c>
      <c r="E4707" t="s">
        <v>21</v>
      </c>
      <c r="F4707" t="s">
        <v>49</v>
      </c>
      <c r="G4707" s="9">
        <v>45654</v>
      </c>
      <c r="H4707" s="9">
        <v>44972</v>
      </c>
      <c r="I4707">
        <v>26</v>
      </c>
      <c r="J4707" t="s">
        <v>35</v>
      </c>
      <c r="K4707">
        <v>3</v>
      </c>
      <c r="L4707">
        <v>6</v>
      </c>
      <c r="M4707" s="11">
        <v>122.32</v>
      </c>
      <c r="N4707" s="12">
        <v>9103.5400000000009</v>
      </c>
      <c r="O4707" s="12">
        <v>17538.39</v>
      </c>
    </row>
    <row r="4708" spans="1:15">
      <c r="A4708" t="s">
        <v>4882</v>
      </c>
      <c r="B4708" t="s">
        <v>65</v>
      </c>
      <c r="C4708" s="9">
        <v>29221</v>
      </c>
      <c r="D4708">
        <v>46</v>
      </c>
      <c r="E4708" t="s">
        <v>17</v>
      </c>
      <c r="F4708" t="s">
        <v>25</v>
      </c>
      <c r="G4708" s="9">
        <v>45144</v>
      </c>
      <c r="H4708" s="9">
        <v>45562</v>
      </c>
      <c r="I4708">
        <v>29</v>
      </c>
      <c r="J4708" t="s">
        <v>35</v>
      </c>
      <c r="K4708">
        <v>1</v>
      </c>
      <c r="L4708">
        <v>5</v>
      </c>
      <c r="M4708" s="11">
        <v>10584.76</v>
      </c>
      <c r="N4708" s="12">
        <v>2340.89</v>
      </c>
      <c r="O4708" s="12">
        <v>6010.07</v>
      </c>
    </row>
    <row r="4709" spans="1:15">
      <c r="A4709" t="s">
        <v>4883</v>
      </c>
      <c r="B4709" t="s">
        <v>143</v>
      </c>
      <c r="C4709" s="9">
        <v>15707</v>
      </c>
      <c r="D4709">
        <v>83</v>
      </c>
      <c r="E4709" t="s">
        <v>17</v>
      </c>
      <c r="F4709" t="s">
        <v>29</v>
      </c>
      <c r="G4709" s="9">
        <v>45302</v>
      </c>
      <c r="H4709" s="9">
        <v>45309</v>
      </c>
      <c r="I4709">
        <v>37</v>
      </c>
      <c r="J4709" t="s">
        <v>26</v>
      </c>
      <c r="K4709">
        <v>9</v>
      </c>
      <c r="L4709">
        <v>5</v>
      </c>
      <c r="M4709" s="11">
        <v>683.78</v>
      </c>
      <c r="N4709" s="12">
        <v>5129.16</v>
      </c>
      <c r="O4709" s="12">
        <v>42.43</v>
      </c>
    </row>
    <row r="4710" spans="1:15">
      <c r="A4710" t="s">
        <v>4884</v>
      </c>
      <c r="B4710" t="s">
        <v>338</v>
      </c>
      <c r="C4710" s="9">
        <v>16072</v>
      </c>
      <c r="D4710">
        <v>82</v>
      </c>
      <c r="E4710" t="s">
        <v>21</v>
      </c>
      <c r="F4710" t="s">
        <v>5184</v>
      </c>
      <c r="G4710" s="9">
        <v>44938</v>
      </c>
      <c r="H4710" s="9">
        <v>44954</v>
      </c>
      <c r="I4710">
        <v>5</v>
      </c>
      <c r="J4710" t="s">
        <v>32</v>
      </c>
      <c r="K4710">
        <v>1</v>
      </c>
      <c r="L4710">
        <v>7</v>
      </c>
      <c r="M4710" s="11">
        <v>5342.86</v>
      </c>
      <c r="N4710" s="12">
        <v>11042.72</v>
      </c>
      <c r="O4710" s="12">
        <v>1598.28</v>
      </c>
    </row>
    <row r="4711" spans="1:15">
      <c r="A4711" t="s">
        <v>4885</v>
      </c>
      <c r="B4711" t="s">
        <v>300</v>
      </c>
      <c r="C4711" s="9">
        <v>33604</v>
      </c>
      <c r="D4711">
        <v>34</v>
      </c>
      <c r="E4711" t="s">
        <v>17</v>
      </c>
      <c r="F4711" t="s">
        <v>18</v>
      </c>
      <c r="G4711" s="9">
        <v>45358</v>
      </c>
      <c r="H4711" s="9">
        <v>45632</v>
      </c>
      <c r="I4711">
        <v>7</v>
      </c>
      <c r="J4711" t="s">
        <v>32</v>
      </c>
      <c r="K4711">
        <v>10</v>
      </c>
      <c r="L4711">
        <v>5</v>
      </c>
      <c r="M4711" s="11">
        <v>27960.66</v>
      </c>
      <c r="N4711" s="12">
        <v>8435.91</v>
      </c>
      <c r="O4711" s="12">
        <v>14715.74</v>
      </c>
    </row>
    <row r="4712" spans="1:15">
      <c r="A4712" t="s">
        <v>4886</v>
      </c>
      <c r="B4712" t="s">
        <v>155</v>
      </c>
      <c r="C4712" s="9">
        <v>21551</v>
      </c>
      <c r="D4712">
        <v>67</v>
      </c>
      <c r="E4712" t="s">
        <v>21</v>
      </c>
      <c r="F4712" t="s">
        <v>49</v>
      </c>
      <c r="G4712" s="9">
        <v>45009</v>
      </c>
      <c r="H4712" s="9">
        <v>45424</v>
      </c>
      <c r="I4712">
        <v>22</v>
      </c>
      <c r="J4712" t="s">
        <v>26</v>
      </c>
      <c r="K4712">
        <v>6</v>
      </c>
      <c r="L4712">
        <v>1</v>
      </c>
      <c r="M4712" s="11">
        <v>4061.66</v>
      </c>
      <c r="N4712" s="12">
        <v>4714.09</v>
      </c>
      <c r="O4712" s="12">
        <v>1913.65</v>
      </c>
    </row>
    <row r="4713" spans="1:15">
      <c r="A4713" t="s">
        <v>4887</v>
      </c>
      <c r="B4713" t="s">
        <v>174</v>
      </c>
      <c r="C4713" s="9">
        <v>21185</v>
      </c>
      <c r="D4713">
        <v>68</v>
      </c>
      <c r="E4713" t="s">
        <v>21</v>
      </c>
      <c r="F4713" t="s">
        <v>74</v>
      </c>
      <c r="G4713" s="9">
        <v>45357</v>
      </c>
      <c r="H4713" s="9">
        <v>45779</v>
      </c>
      <c r="I4713">
        <v>8</v>
      </c>
      <c r="J4713" t="s">
        <v>26</v>
      </c>
      <c r="K4713">
        <v>1</v>
      </c>
      <c r="L4713">
        <v>6</v>
      </c>
      <c r="M4713" s="11">
        <v>17823.95</v>
      </c>
      <c r="N4713" s="12">
        <v>5434.47</v>
      </c>
      <c r="O4713" s="12">
        <v>18777.11</v>
      </c>
    </row>
    <row r="4714" spans="1:15">
      <c r="A4714" t="s">
        <v>4888</v>
      </c>
      <c r="B4714" t="s">
        <v>133</v>
      </c>
      <c r="C4714" s="9">
        <v>46022</v>
      </c>
      <c r="D4714">
        <v>0</v>
      </c>
      <c r="E4714" t="s">
        <v>21</v>
      </c>
      <c r="F4714" t="s">
        <v>5184</v>
      </c>
      <c r="G4714" s="9">
        <v>45551</v>
      </c>
      <c r="H4714" s="9">
        <v>45063</v>
      </c>
      <c r="I4714">
        <v>25</v>
      </c>
      <c r="J4714" t="s">
        <v>26</v>
      </c>
      <c r="K4714">
        <v>6</v>
      </c>
      <c r="L4714">
        <v>9</v>
      </c>
      <c r="M4714" s="11">
        <v>10081.82</v>
      </c>
      <c r="N4714" s="12">
        <v>12146.74</v>
      </c>
      <c r="O4714" s="12">
        <v>17318.25</v>
      </c>
    </row>
    <row r="4715" spans="1:15">
      <c r="A4715" t="s">
        <v>4889</v>
      </c>
      <c r="B4715" t="s">
        <v>57</v>
      </c>
      <c r="C4715" s="9">
        <v>21551</v>
      </c>
      <c r="D4715">
        <v>67</v>
      </c>
      <c r="E4715" t="s">
        <v>17</v>
      </c>
      <c r="F4715" t="s">
        <v>5184</v>
      </c>
      <c r="G4715" s="9">
        <v>45404</v>
      </c>
      <c r="H4715" s="9">
        <v>45634</v>
      </c>
      <c r="I4715">
        <v>30</v>
      </c>
      <c r="J4715" t="s">
        <v>32</v>
      </c>
      <c r="K4715">
        <v>7</v>
      </c>
      <c r="L4715">
        <v>3</v>
      </c>
      <c r="M4715" s="11">
        <v>0</v>
      </c>
      <c r="N4715" s="12">
        <v>8113.25</v>
      </c>
      <c r="O4715" s="12">
        <v>10248.51</v>
      </c>
    </row>
    <row r="4716" spans="1:15">
      <c r="A4716" t="s">
        <v>4890</v>
      </c>
      <c r="B4716" t="s">
        <v>103</v>
      </c>
      <c r="C4716" s="9">
        <v>42005</v>
      </c>
      <c r="D4716">
        <v>11</v>
      </c>
      <c r="E4716" t="s">
        <v>5185</v>
      </c>
      <c r="F4716" t="s">
        <v>22</v>
      </c>
      <c r="G4716" s="9">
        <v>45633</v>
      </c>
      <c r="H4716" s="9">
        <v>44976</v>
      </c>
      <c r="I4716">
        <v>36</v>
      </c>
      <c r="J4716" t="s">
        <v>32</v>
      </c>
      <c r="K4716">
        <v>4</v>
      </c>
      <c r="L4716">
        <v>2</v>
      </c>
      <c r="M4716" s="11">
        <v>25490.36</v>
      </c>
      <c r="N4716" s="12">
        <v>3581.34</v>
      </c>
      <c r="O4716" s="12">
        <v>11588.35</v>
      </c>
    </row>
    <row r="4717" spans="1:15">
      <c r="A4717" t="s">
        <v>4891</v>
      </c>
      <c r="B4717" t="s">
        <v>174</v>
      </c>
      <c r="C4717" s="9">
        <v>24473</v>
      </c>
      <c r="D4717">
        <v>59</v>
      </c>
      <c r="E4717" t="s">
        <v>17</v>
      </c>
      <c r="F4717" t="s">
        <v>74</v>
      </c>
      <c r="G4717" s="9">
        <v>45295</v>
      </c>
      <c r="H4717" s="9">
        <v>45535</v>
      </c>
      <c r="I4717">
        <v>23</v>
      </c>
      <c r="J4717" t="s">
        <v>35</v>
      </c>
      <c r="K4717">
        <v>5</v>
      </c>
      <c r="L4717">
        <v>7</v>
      </c>
      <c r="M4717" s="11">
        <v>8239.6</v>
      </c>
      <c r="N4717" s="12">
        <v>4452.1899999999996</v>
      </c>
      <c r="O4717" s="12">
        <v>13856.4</v>
      </c>
    </row>
    <row r="4718" spans="1:15">
      <c r="A4718" t="s">
        <v>4892</v>
      </c>
      <c r="B4718" t="s">
        <v>53</v>
      </c>
      <c r="C4718" s="9">
        <v>36526</v>
      </c>
      <c r="D4718">
        <v>26</v>
      </c>
      <c r="E4718" t="s">
        <v>17</v>
      </c>
      <c r="F4718" t="s">
        <v>25</v>
      </c>
      <c r="G4718" s="9">
        <v>45579</v>
      </c>
      <c r="H4718" s="9">
        <v>45434</v>
      </c>
      <c r="I4718">
        <v>5</v>
      </c>
      <c r="J4718" t="s">
        <v>32</v>
      </c>
      <c r="K4718">
        <v>4</v>
      </c>
      <c r="L4718">
        <v>9</v>
      </c>
      <c r="M4718" s="11">
        <v>1898.01</v>
      </c>
      <c r="N4718" s="12">
        <v>7018.25</v>
      </c>
      <c r="O4718" s="12">
        <v>14603.27</v>
      </c>
    </row>
    <row r="4719" spans="1:15">
      <c r="A4719" t="s">
        <v>4893</v>
      </c>
      <c r="B4719" t="s">
        <v>348</v>
      </c>
      <c r="C4719" s="9">
        <v>25934</v>
      </c>
      <c r="D4719">
        <v>55</v>
      </c>
      <c r="E4719" t="s">
        <v>21</v>
      </c>
      <c r="F4719" t="s">
        <v>29</v>
      </c>
      <c r="G4719" s="9">
        <v>45562</v>
      </c>
      <c r="H4719" s="9">
        <v>45048</v>
      </c>
      <c r="I4719">
        <v>35</v>
      </c>
      <c r="J4719" t="s">
        <v>26</v>
      </c>
      <c r="K4719">
        <v>6</v>
      </c>
      <c r="L4719">
        <v>4</v>
      </c>
      <c r="M4719" s="11">
        <v>5727.49</v>
      </c>
      <c r="N4719" s="12">
        <v>11442.56</v>
      </c>
      <c r="O4719" s="12">
        <v>9773.25</v>
      </c>
    </row>
    <row r="4720" spans="1:15">
      <c r="A4720" t="s">
        <v>4894</v>
      </c>
      <c r="B4720" t="s">
        <v>615</v>
      </c>
      <c r="C4720" s="9">
        <v>37987</v>
      </c>
      <c r="D4720">
        <v>22</v>
      </c>
      <c r="E4720" t="s">
        <v>21</v>
      </c>
      <c r="F4720" t="s">
        <v>49</v>
      </c>
      <c r="G4720" s="9">
        <v>45067</v>
      </c>
      <c r="H4720" s="9">
        <v>45688</v>
      </c>
      <c r="I4720">
        <v>23</v>
      </c>
      <c r="J4720" t="s">
        <v>32</v>
      </c>
      <c r="K4720">
        <v>12</v>
      </c>
      <c r="L4720">
        <v>3</v>
      </c>
      <c r="M4720" s="11">
        <v>12892.25</v>
      </c>
      <c r="N4720" s="12">
        <v>14961.61</v>
      </c>
      <c r="O4720" s="12">
        <v>6199.34</v>
      </c>
    </row>
    <row r="4721" spans="1:15">
      <c r="A4721" t="s">
        <v>4895</v>
      </c>
      <c r="B4721" t="s">
        <v>249</v>
      </c>
      <c r="C4721" s="9">
        <v>37256</v>
      </c>
      <c r="D4721">
        <v>24</v>
      </c>
      <c r="E4721" t="s">
        <v>17</v>
      </c>
      <c r="F4721" t="s">
        <v>49</v>
      </c>
      <c r="G4721" s="9">
        <v>45646</v>
      </c>
      <c r="H4721" s="9">
        <v>45144</v>
      </c>
      <c r="I4721">
        <v>29</v>
      </c>
      <c r="J4721" t="s">
        <v>32</v>
      </c>
      <c r="K4721">
        <v>5</v>
      </c>
      <c r="L4721">
        <v>3</v>
      </c>
      <c r="M4721" s="11">
        <v>15209.45</v>
      </c>
      <c r="N4721" s="12">
        <v>2786.41</v>
      </c>
      <c r="O4721" s="12">
        <v>18195.82</v>
      </c>
    </row>
    <row r="4722" spans="1:15">
      <c r="A4722" t="s">
        <v>4896</v>
      </c>
      <c r="B4722" t="s">
        <v>46</v>
      </c>
      <c r="C4722" s="9">
        <v>38717</v>
      </c>
      <c r="D4722">
        <v>20</v>
      </c>
      <c r="E4722" t="s">
        <v>21</v>
      </c>
      <c r="F4722" t="s">
        <v>74</v>
      </c>
      <c r="G4722" s="9">
        <v>45553</v>
      </c>
      <c r="H4722" s="9">
        <v>45553</v>
      </c>
      <c r="I4722">
        <v>25</v>
      </c>
      <c r="J4722" t="s">
        <v>35</v>
      </c>
      <c r="K4722">
        <v>14</v>
      </c>
      <c r="L4722">
        <v>4</v>
      </c>
      <c r="M4722" s="11">
        <v>28227.81</v>
      </c>
      <c r="N4722" s="12">
        <v>11323.94</v>
      </c>
      <c r="O4722" s="12">
        <v>836.03</v>
      </c>
    </row>
    <row r="4723" spans="1:15">
      <c r="A4723" t="s">
        <v>4897</v>
      </c>
      <c r="B4723" t="s">
        <v>487</v>
      </c>
      <c r="C4723" s="9">
        <v>24107</v>
      </c>
      <c r="D4723">
        <v>60</v>
      </c>
      <c r="E4723" t="s">
        <v>17</v>
      </c>
      <c r="F4723" t="s">
        <v>25</v>
      </c>
      <c r="G4723" s="9">
        <v>45644</v>
      </c>
      <c r="H4723" s="9">
        <v>45453</v>
      </c>
      <c r="I4723">
        <v>4</v>
      </c>
      <c r="J4723" t="s">
        <v>26</v>
      </c>
      <c r="K4723">
        <v>8</v>
      </c>
      <c r="L4723">
        <v>3</v>
      </c>
      <c r="M4723" s="11">
        <v>8.89</v>
      </c>
      <c r="N4723" s="12">
        <v>9258.2900000000009</v>
      </c>
      <c r="O4723" s="12">
        <v>7057.29</v>
      </c>
    </row>
    <row r="4724" spans="1:15">
      <c r="A4724" t="s">
        <v>4898</v>
      </c>
      <c r="B4724" t="s">
        <v>211</v>
      </c>
      <c r="C4724" s="9">
        <f>DATE(2026-D4684,1,1)</f>
        <v>44927</v>
      </c>
      <c r="D4724">
        <v>62</v>
      </c>
      <c r="E4724" t="s">
        <v>17</v>
      </c>
      <c r="F4724" t="s">
        <v>74</v>
      </c>
      <c r="G4724" s="9">
        <v>45382</v>
      </c>
      <c r="H4724" s="9">
        <v>45501</v>
      </c>
      <c r="I4724">
        <v>32</v>
      </c>
      <c r="J4724" t="s">
        <v>35</v>
      </c>
      <c r="K4724">
        <v>1</v>
      </c>
      <c r="L4724">
        <v>2</v>
      </c>
      <c r="M4724" s="11">
        <v>22607.63</v>
      </c>
      <c r="N4724" s="12">
        <v>7967.9</v>
      </c>
      <c r="O4724" s="12">
        <v>13296.77</v>
      </c>
    </row>
    <row r="4725" spans="1:15">
      <c r="A4725" t="s">
        <v>4899</v>
      </c>
      <c r="B4725" t="s">
        <v>143</v>
      </c>
      <c r="C4725" s="9">
        <v>27395</v>
      </c>
      <c r="D4725">
        <v>51</v>
      </c>
      <c r="E4725" t="s">
        <v>5185</v>
      </c>
      <c r="F4725" t="s">
        <v>74</v>
      </c>
      <c r="G4725" s="9">
        <v>45428</v>
      </c>
      <c r="H4725" s="9">
        <v>44970</v>
      </c>
      <c r="I4725">
        <v>1</v>
      </c>
      <c r="J4725" t="s">
        <v>32</v>
      </c>
      <c r="K4725">
        <v>1</v>
      </c>
      <c r="L4725">
        <v>3</v>
      </c>
      <c r="M4725" s="11">
        <v>1711.55</v>
      </c>
      <c r="N4725" s="12">
        <v>14496.86</v>
      </c>
      <c r="O4725" s="12">
        <v>17810.54</v>
      </c>
    </row>
    <row r="4726" spans="1:15">
      <c r="A4726" t="s">
        <v>4900</v>
      </c>
      <c r="B4726" t="s">
        <v>446</v>
      </c>
      <c r="C4726" s="9">
        <v>14246</v>
      </c>
      <c r="D4726">
        <v>87</v>
      </c>
      <c r="E4726" t="s">
        <v>21</v>
      </c>
      <c r="F4726" t="s">
        <v>29</v>
      </c>
      <c r="G4726" s="9">
        <v>45329</v>
      </c>
      <c r="H4726" s="9">
        <v>45679</v>
      </c>
      <c r="I4726">
        <v>19</v>
      </c>
      <c r="J4726" t="s">
        <v>35</v>
      </c>
      <c r="K4726">
        <v>1</v>
      </c>
      <c r="L4726">
        <v>9</v>
      </c>
      <c r="M4726" s="11">
        <v>1876.62</v>
      </c>
      <c r="N4726" s="12">
        <v>4841.3</v>
      </c>
      <c r="O4726" s="12">
        <v>1391.91</v>
      </c>
    </row>
    <row r="4727" spans="1:15">
      <c r="A4727" t="s">
        <v>4901</v>
      </c>
      <c r="B4727" t="s">
        <v>372</v>
      </c>
      <c r="C4727" s="9">
        <v>37256</v>
      </c>
      <c r="D4727">
        <v>24</v>
      </c>
      <c r="E4727" t="s">
        <v>17</v>
      </c>
      <c r="F4727" t="s">
        <v>25</v>
      </c>
      <c r="G4727" s="9">
        <v>45214</v>
      </c>
      <c r="H4727" s="9">
        <v>45023</v>
      </c>
      <c r="I4727">
        <v>19</v>
      </c>
      <c r="J4727" t="s">
        <v>35</v>
      </c>
      <c r="K4727">
        <v>13</v>
      </c>
      <c r="L4727">
        <v>4</v>
      </c>
      <c r="M4727" s="11">
        <v>19451.03</v>
      </c>
      <c r="N4727" s="12">
        <v>2654.67</v>
      </c>
      <c r="O4727" s="12">
        <v>13144.98</v>
      </c>
    </row>
    <row r="4728" spans="1:15">
      <c r="A4728" t="s">
        <v>4902</v>
      </c>
      <c r="B4728" t="s">
        <v>82</v>
      </c>
      <c r="C4728" s="9">
        <v>26299</v>
      </c>
      <c r="D4728">
        <v>54</v>
      </c>
      <c r="E4728" t="s">
        <v>17</v>
      </c>
      <c r="F4728" t="s">
        <v>29</v>
      </c>
      <c r="G4728" s="9">
        <v>45281</v>
      </c>
      <c r="H4728" s="9">
        <v>44954</v>
      </c>
      <c r="I4728">
        <v>0</v>
      </c>
      <c r="J4728" t="s">
        <v>32</v>
      </c>
      <c r="K4728">
        <v>1</v>
      </c>
      <c r="L4728">
        <v>1</v>
      </c>
      <c r="M4728" s="11">
        <v>27222.44</v>
      </c>
      <c r="N4728" s="12">
        <v>13163.96</v>
      </c>
      <c r="O4728" s="12">
        <v>9690.25</v>
      </c>
    </row>
    <row r="4729" spans="1:15">
      <c r="A4729" t="s">
        <v>4903</v>
      </c>
      <c r="B4729" t="s">
        <v>343</v>
      </c>
      <c r="C4729" s="9">
        <v>29586</v>
      </c>
      <c r="D4729">
        <v>45</v>
      </c>
      <c r="E4729" t="s">
        <v>21</v>
      </c>
      <c r="F4729" t="s">
        <v>25</v>
      </c>
      <c r="G4729" s="9">
        <v>45269</v>
      </c>
      <c r="H4729" s="9">
        <v>45763</v>
      </c>
      <c r="I4729">
        <v>5</v>
      </c>
      <c r="J4729" t="s">
        <v>35</v>
      </c>
      <c r="K4729">
        <v>2</v>
      </c>
      <c r="L4729">
        <v>6</v>
      </c>
      <c r="M4729" s="11">
        <v>0</v>
      </c>
      <c r="N4729" s="12">
        <v>1030.33</v>
      </c>
      <c r="O4729" s="12">
        <v>13698.43</v>
      </c>
    </row>
    <row r="4730" spans="1:15">
      <c r="A4730" t="s">
        <v>4904</v>
      </c>
      <c r="B4730" t="s">
        <v>596</v>
      </c>
      <c r="C4730" s="9">
        <v>34700</v>
      </c>
      <c r="D4730">
        <v>31</v>
      </c>
      <c r="E4730" t="s">
        <v>17</v>
      </c>
      <c r="F4730" t="s">
        <v>49</v>
      </c>
      <c r="G4730" s="9">
        <v>45075</v>
      </c>
      <c r="H4730" s="9">
        <v>45822</v>
      </c>
      <c r="I4730">
        <v>1</v>
      </c>
      <c r="J4730" t="s">
        <v>32</v>
      </c>
      <c r="K4730">
        <v>11</v>
      </c>
      <c r="L4730">
        <v>4</v>
      </c>
      <c r="M4730" s="11">
        <v>7713.84</v>
      </c>
      <c r="N4730" s="12">
        <v>12256.8</v>
      </c>
      <c r="O4730" s="12">
        <v>6275.77</v>
      </c>
    </row>
    <row r="4731" spans="1:15">
      <c r="A4731" t="s">
        <v>4905</v>
      </c>
      <c r="B4731" t="s">
        <v>539</v>
      </c>
      <c r="C4731" s="9">
        <v>26299</v>
      </c>
      <c r="D4731">
        <v>54</v>
      </c>
      <c r="E4731" t="s">
        <v>21</v>
      </c>
      <c r="F4731" t="s">
        <v>18</v>
      </c>
      <c r="G4731" s="9">
        <v>45136</v>
      </c>
      <c r="H4731" s="9">
        <v>45169</v>
      </c>
      <c r="I4731">
        <v>12</v>
      </c>
      <c r="J4731" t="s">
        <v>26</v>
      </c>
      <c r="K4731">
        <v>1</v>
      </c>
      <c r="L4731">
        <v>8</v>
      </c>
      <c r="M4731" s="11">
        <v>18340.21</v>
      </c>
      <c r="N4731" s="12">
        <v>8838.5400000000009</v>
      </c>
      <c r="O4731" s="12">
        <v>14185.1</v>
      </c>
    </row>
    <row r="4732" spans="1:15">
      <c r="A4732" t="s">
        <v>4906</v>
      </c>
      <c r="B4732" t="s">
        <v>289</v>
      </c>
      <c r="C4732" s="9">
        <v>44561</v>
      </c>
      <c r="D4732">
        <v>4</v>
      </c>
      <c r="E4732" t="s">
        <v>21</v>
      </c>
      <c r="F4732" t="s">
        <v>22</v>
      </c>
      <c r="G4732" s="9">
        <v>45038</v>
      </c>
      <c r="H4732" s="9">
        <v>45414</v>
      </c>
      <c r="I4732">
        <v>36</v>
      </c>
      <c r="J4732" t="s">
        <v>35</v>
      </c>
      <c r="K4732">
        <v>12</v>
      </c>
      <c r="L4732">
        <v>5</v>
      </c>
      <c r="M4732" s="11">
        <v>23176.57</v>
      </c>
      <c r="N4732" s="12">
        <v>2460.06</v>
      </c>
      <c r="O4732" s="12">
        <v>3523.26</v>
      </c>
    </row>
    <row r="4733" spans="1:15">
      <c r="A4733" t="s">
        <v>4907</v>
      </c>
      <c r="B4733" t="s">
        <v>163</v>
      </c>
      <c r="C4733" s="9">
        <v>33239</v>
      </c>
      <c r="D4733">
        <v>35</v>
      </c>
      <c r="E4733" t="s">
        <v>21</v>
      </c>
      <c r="F4733" t="s">
        <v>18</v>
      </c>
      <c r="G4733" s="9">
        <v>45580</v>
      </c>
      <c r="H4733" s="9">
        <v>45167</v>
      </c>
      <c r="I4733">
        <v>9</v>
      </c>
      <c r="J4733" t="s">
        <v>32</v>
      </c>
      <c r="K4733">
        <v>9</v>
      </c>
      <c r="L4733">
        <v>0</v>
      </c>
      <c r="M4733" s="11">
        <v>26003.25</v>
      </c>
      <c r="N4733" s="12">
        <v>3410.43</v>
      </c>
      <c r="O4733" s="12">
        <v>15485.53</v>
      </c>
    </row>
    <row r="4734" spans="1:15">
      <c r="A4734" t="s">
        <v>4908</v>
      </c>
      <c r="B4734" t="s">
        <v>284</v>
      </c>
      <c r="C4734" s="9">
        <v>28490</v>
      </c>
      <c r="D4734">
        <v>48</v>
      </c>
      <c r="E4734" t="s">
        <v>21</v>
      </c>
      <c r="F4734" t="s">
        <v>5184</v>
      </c>
      <c r="G4734" s="9">
        <v>45462</v>
      </c>
      <c r="H4734" s="9">
        <v>45231</v>
      </c>
      <c r="I4734">
        <v>26</v>
      </c>
      <c r="J4734" t="s">
        <v>32</v>
      </c>
      <c r="K4734">
        <v>13</v>
      </c>
      <c r="L4734">
        <v>8</v>
      </c>
      <c r="M4734" s="11">
        <v>7116.04</v>
      </c>
      <c r="N4734" s="12">
        <v>2337.61</v>
      </c>
      <c r="O4734" s="12">
        <v>14961.92</v>
      </c>
    </row>
    <row r="4735" spans="1:15">
      <c r="A4735" t="s">
        <v>4909</v>
      </c>
      <c r="B4735" t="s">
        <v>131</v>
      </c>
      <c r="C4735" s="9">
        <v>25203</v>
      </c>
      <c r="D4735">
        <v>57</v>
      </c>
      <c r="E4735" t="s">
        <v>17</v>
      </c>
      <c r="F4735" t="s">
        <v>25</v>
      </c>
      <c r="G4735" s="9">
        <v>44975</v>
      </c>
      <c r="H4735" s="9">
        <v>44994</v>
      </c>
      <c r="I4735">
        <v>6</v>
      </c>
      <c r="J4735" t="s">
        <v>26</v>
      </c>
      <c r="K4735">
        <v>0</v>
      </c>
      <c r="L4735">
        <v>4</v>
      </c>
      <c r="M4735" s="11">
        <v>22076.07</v>
      </c>
      <c r="N4735" s="12">
        <v>10775.08</v>
      </c>
      <c r="O4735" s="12">
        <v>18930.41</v>
      </c>
    </row>
    <row r="4736" spans="1:15">
      <c r="A4736" t="s">
        <v>4910</v>
      </c>
      <c r="B4736" t="s">
        <v>600</v>
      </c>
      <c r="C4736" s="9">
        <v>32143</v>
      </c>
      <c r="D4736">
        <v>38</v>
      </c>
      <c r="E4736" t="s">
        <v>21</v>
      </c>
      <c r="F4736" t="s">
        <v>18</v>
      </c>
      <c r="G4736" s="9">
        <v>45257</v>
      </c>
      <c r="H4736" s="9">
        <v>45208</v>
      </c>
      <c r="I4736">
        <v>39</v>
      </c>
      <c r="J4736" t="s">
        <v>32</v>
      </c>
      <c r="K4736">
        <v>10</v>
      </c>
      <c r="L4736">
        <v>8</v>
      </c>
      <c r="M4736" s="11">
        <v>8869.9699999999993</v>
      </c>
      <c r="N4736" s="12">
        <v>2209.67</v>
      </c>
      <c r="O4736" s="12">
        <v>3381.8</v>
      </c>
    </row>
    <row r="4737" spans="1:15">
      <c r="A4737" t="s">
        <v>4911</v>
      </c>
      <c r="B4737" t="s">
        <v>292</v>
      </c>
      <c r="C4737" s="9">
        <v>17168</v>
      </c>
      <c r="D4737">
        <v>79</v>
      </c>
      <c r="E4737" t="s">
        <v>21</v>
      </c>
      <c r="F4737" t="s">
        <v>74</v>
      </c>
      <c r="G4737" s="9">
        <v>45291</v>
      </c>
      <c r="H4737" s="9">
        <v>45119</v>
      </c>
      <c r="I4737">
        <v>37</v>
      </c>
      <c r="J4737" t="s">
        <v>32</v>
      </c>
      <c r="K4737">
        <v>3</v>
      </c>
      <c r="L4737">
        <v>0</v>
      </c>
      <c r="M4737" s="11">
        <v>16116.76</v>
      </c>
      <c r="N4737" s="12">
        <v>10220.56</v>
      </c>
      <c r="O4737" s="12">
        <v>14412.17</v>
      </c>
    </row>
    <row r="4738" spans="1:15">
      <c r="A4738" t="s">
        <v>4912</v>
      </c>
      <c r="B4738" t="s">
        <v>105</v>
      </c>
      <c r="C4738" s="9">
        <v>15341</v>
      </c>
      <c r="D4738">
        <v>84</v>
      </c>
      <c r="E4738" t="s">
        <v>21</v>
      </c>
      <c r="F4738" t="s">
        <v>49</v>
      </c>
      <c r="G4738" s="9">
        <v>44937</v>
      </c>
      <c r="H4738" s="9">
        <v>45046</v>
      </c>
      <c r="I4738">
        <v>17</v>
      </c>
      <c r="J4738" t="s">
        <v>35</v>
      </c>
      <c r="K4738">
        <v>9</v>
      </c>
      <c r="L4738">
        <v>1</v>
      </c>
      <c r="M4738" s="11">
        <v>5321</v>
      </c>
      <c r="N4738" s="12">
        <v>1922.25</v>
      </c>
      <c r="O4738" s="12">
        <v>6385.27</v>
      </c>
    </row>
    <row r="4739" spans="1:15">
      <c r="A4739" t="s">
        <v>4913</v>
      </c>
      <c r="B4739" t="s">
        <v>278</v>
      </c>
      <c r="C4739" s="9">
        <v>24107</v>
      </c>
      <c r="D4739">
        <v>60</v>
      </c>
      <c r="E4739" t="s">
        <v>21</v>
      </c>
      <c r="F4739" t="s">
        <v>22</v>
      </c>
      <c r="G4739" s="9">
        <v>45114</v>
      </c>
      <c r="H4739" s="9">
        <v>45079</v>
      </c>
      <c r="I4739">
        <v>31</v>
      </c>
      <c r="J4739" t="s">
        <v>35</v>
      </c>
      <c r="K4739">
        <v>4</v>
      </c>
      <c r="L4739">
        <v>2</v>
      </c>
      <c r="M4739" s="11">
        <v>3953.06</v>
      </c>
      <c r="N4739" s="12">
        <v>12034</v>
      </c>
      <c r="O4739" s="12">
        <v>5565.32</v>
      </c>
    </row>
    <row r="4740" spans="1:15">
      <c r="A4740" t="s">
        <v>4914</v>
      </c>
      <c r="B4740" t="s">
        <v>204</v>
      </c>
      <c r="C4740" s="9">
        <v>43100</v>
      </c>
      <c r="D4740">
        <v>8</v>
      </c>
      <c r="E4740" t="s">
        <v>21</v>
      </c>
      <c r="F4740" t="s">
        <v>22</v>
      </c>
      <c r="G4740" s="9">
        <v>45435</v>
      </c>
      <c r="H4740" s="9">
        <v>45704</v>
      </c>
      <c r="I4740">
        <v>23</v>
      </c>
      <c r="J4740" t="s">
        <v>32</v>
      </c>
      <c r="K4740">
        <v>7</v>
      </c>
      <c r="L4740">
        <v>4</v>
      </c>
      <c r="M4740" s="11">
        <v>28026.76</v>
      </c>
      <c r="N4740" s="12">
        <v>13792.36</v>
      </c>
      <c r="O4740" s="12">
        <v>7972.07</v>
      </c>
    </row>
    <row r="4741" spans="1:15">
      <c r="A4741" t="s">
        <v>4915</v>
      </c>
      <c r="B4741" t="s">
        <v>71</v>
      </c>
      <c r="C4741" s="9">
        <v>44196</v>
      </c>
      <c r="D4741">
        <v>5</v>
      </c>
      <c r="E4741" t="s">
        <v>21</v>
      </c>
      <c r="F4741" t="s">
        <v>5184</v>
      </c>
      <c r="G4741" s="9">
        <v>45506</v>
      </c>
      <c r="H4741" s="9">
        <v>45319</v>
      </c>
      <c r="I4741">
        <v>18</v>
      </c>
      <c r="J4741" t="s">
        <v>32</v>
      </c>
      <c r="K4741">
        <v>0</v>
      </c>
      <c r="L4741">
        <v>5</v>
      </c>
      <c r="M4741" s="11">
        <v>16189.58</v>
      </c>
      <c r="N4741" s="12">
        <v>8389.68</v>
      </c>
      <c r="O4741" s="12">
        <v>5632.55</v>
      </c>
    </row>
    <row r="4742" spans="1:15">
      <c r="A4742" t="s">
        <v>4916</v>
      </c>
      <c r="B4742" t="s">
        <v>268</v>
      </c>
      <c r="C4742" s="9">
        <v>33604</v>
      </c>
      <c r="D4742">
        <v>34</v>
      </c>
      <c r="E4742" t="s">
        <v>17</v>
      </c>
      <c r="F4742" t="s">
        <v>22</v>
      </c>
      <c r="G4742" s="9">
        <v>45371</v>
      </c>
      <c r="H4742" s="9">
        <v>45158</v>
      </c>
      <c r="I4742">
        <v>20</v>
      </c>
      <c r="J4742" t="s">
        <v>32</v>
      </c>
      <c r="K4742">
        <v>12</v>
      </c>
      <c r="L4742">
        <v>4</v>
      </c>
      <c r="M4742" s="11">
        <v>360.02</v>
      </c>
      <c r="N4742" s="12">
        <v>14492.76</v>
      </c>
      <c r="O4742" s="12">
        <v>4888.6899999999996</v>
      </c>
    </row>
    <row r="4743" spans="1:15">
      <c r="A4743" t="s">
        <v>4917</v>
      </c>
      <c r="B4743" t="s">
        <v>273</v>
      </c>
      <c r="C4743" s="9">
        <v>32143</v>
      </c>
      <c r="D4743">
        <f ca="1">DATEDIF(C4694,TODAY(),"Y")</f>
        <v>54</v>
      </c>
      <c r="E4743" t="s">
        <v>17</v>
      </c>
      <c r="F4743" t="s">
        <v>49</v>
      </c>
      <c r="G4743" s="9">
        <v>45016</v>
      </c>
      <c r="H4743" s="9">
        <v>45278</v>
      </c>
      <c r="I4743">
        <v>15</v>
      </c>
      <c r="J4743" t="s">
        <v>32</v>
      </c>
      <c r="K4743">
        <v>10</v>
      </c>
      <c r="L4743">
        <v>0</v>
      </c>
      <c r="M4743" s="11">
        <v>23699.81</v>
      </c>
      <c r="N4743" s="12">
        <v>5855.7</v>
      </c>
      <c r="O4743" s="12">
        <v>15344.54</v>
      </c>
    </row>
    <row r="4744" spans="1:15">
      <c r="A4744" t="s">
        <v>4918</v>
      </c>
      <c r="B4744" t="s">
        <v>151</v>
      </c>
      <c r="C4744" s="9">
        <v>38352</v>
      </c>
      <c r="D4744">
        <v>21</v>
      </c>
      <c r="E4744" t="s">
        <v>17</v>
      </c>
      <c r="F4744" t="s">
        <v>18</v>
      </c>
      <c r="G4744" s="9">
        <v>45548</v>
      </c>
      <c r="H4744" s="9">
        <v>45688</v>
      </c>
      <c r="I4744">
        <v>21</v>
      </c>
      <c r="J4744" t="s">
        <v>32</v>
      </c>
      <c r="K4744">
        <v>7</v>
      </c>
      <c r="L4744">
        <v>3</v>
      </c>
      <c r="M4744" s="11">
        <v>20571.54</v>
      </c>
      <c r="N4744" s="12">
        <v>3669.04</v>
      </c>
      <c r="O4744" s="12">
        <v>13960.02</v>
      </c>
    </row>
    <row r="4745" spans="1:15">
      <c r="A4745" t="s">
        <v>4919</v>
      </c>
      <c r="B4745" t="s">
        <v>326</v>
      </c>
      <c r="C4745" s="9">
        <v>31412</v>
      </c>
      <c r="D4745">
        <v>40</v>
      </c>
      <c r="E4745" t="s">
        <v>17</v>
      </c>
      <c r="F4745" t="s">
        <v>22</v>
      </c>
      <c r="G4745" s="9">
        <v>45602</v>
      </c>
      <c r="H4745" s="9">
        <v>45498</v>
      </c>
      <c r="I4745">
        <v>39</v>
      </c>
      <c r="J4745" t="s">
        <v>26</v>
      </c>
      <c r="K4745">
        <v>5</v>
      </c>
      <c r="L4745">
        <v>5</v>
      </c>
      <c r="M4745" s="11">
        <v>9439.43</v>
      </c>
      <c r="N4745" s="12">
        <v>2659.45</v>
      </c>
      <c r="O4745" s="12">
        <v>2098.11</v>
      </c>
    </row>
    <row r="4746" spans="1:15">
      <c r="A4746" t="s">
        <v>4920</v>
      </c>
      <c r="B4746" t="s">
        <v>226</v>
      </c>
      <c r="C4746" s="9">
        <f>DATE(2026-D4706,1,1)</f>
        <v>20455</v>
      </c>
      <c r="D4746">
        <v>4</v>
      </c>
      <c r="E4746" t="s">
        <v>21</v>
      </c>
      <c r="F4746" t="s">
        <v>22</v>
      </c>
      <c r="G4746" s="9">
        <v>45374</v>
      </c>
      <c r="H4746" s="9">
        <v>45456</v>
      </c>
      <c r="I4746">
        <v>26</v>
      </c>
      <c r="J4746" t="s">
        <v>26</v>
      </c>
      <c r="K4746">
        <v>7</v>
      </c>
      <c r="L4746">
        <v>3</v>
      </c>
      <c r="M4746" s="11">
        <v>13650.91</v>
      </c>
      <c r="N4746" s="12">
        <v>7184.45</v>
      </c>
      <c r="O4746" s="12">
        <v>11159.65</v>
      </c>
    </row>
    <row r="4747" spans="1:15">
      <c r="A4747" t="s">
        <v>4921</v>
      </c>
      <c r="B4747" t="s">
        <v>46</v>
      </c>
      <c r="C4747" s="9">
        <v>31047</v>
      </c>
      <c r="D4747">
        <v>41</v>
      </c>
      <c r="E4747" t="s">
        <v>17</v>
      </c>
      <c r="F4747" t="s">
        <v>25</v>
      </c>
      <c r="G4747" s="9">
        <v>45644</v>
      </c>
      <c r="H4747" s="9">
        <v>45098</v>
      </c>
      <c r="I4747">
        <v>35</v>
      </c>
      <c r="J4747" t="s">
        <v>32</v>
      </c>
      <c r="K4747">
        <v>2</v>
      </c>
      <c r="L4747">
        <v>3</v>
      </c>
      <c r="M4747" s="11">
        <v>13221.32</v>
      </c>
      <c r="N4747" s="12">
        <v>1961.2</v>
      </c>
      <c r="O4747" s="12">
        <v>6553.15</v>
      </c>
    </row>
    <row r="4748" spans="1:15">
      <c r="A4748" t="s">
        <v>4922</v>
      </c>
      <c r="B4748" t="s">
        <v>103</v>
      </c>
      <c r="C4748" s="9">
        <v>14611</v>
      </c>
      <c r="D4748">
        <v>86</v>
      </c>
      <c r="E4748" t="s">
        <v>17</v>
      </c>
      <c r="F4748" t="s">
        <v>74</v>
      </c>
      <c r="G4748" s="9">
        <v>44958</v>
      </c>
      <c r="H4748" s="9">
        <v>45790</v>
      </c>
      <c r="I4748">
        <v>35</v>
      </c>
      <c r="J4748" t="s">
        <v>35</v>
      </c>
      <c r="K4748">
        <v>5</v>
      </c>
      <c r="L4748">
        <v>4</v>
      </c>
      <c r="M4748" s="11">
        <v>7880.48</v>
      </c>
      <c r="N4748" s="12">
        <v>13136.86</v>
      </c>
      <c r="O4748" s="12">
        <v>19417.8</v>
      </c>
    </row>
    <row r="4749" spans="1:15">
      <c r="A4749" t="s">
        <v>4923</v>
      </c>
      <c r="B4749" t="s">
        <v>207</v>
      </c>
      <c r="C4749" s="9">
        <v>16802</v>
      </c>
      <c r="D4749">
        <v>80</v>
      </c>
      <c r="E4749" t="s">
        <v>21</v>
      </c>
      <c r="F4749" t="s">
        <v>25</v>
      </c>
      <c r="G4749" s="9">
        <v>45253</v>
      </c>
      <c r="H4749" s="9">
        <v>45059</v>
      </c>
      <c r="I4749">
        <v>10</v>
      </c>
      <c r="J4749" t="s">
        <v>32</v>
      </c>
      <c r="K4749">
        <v>1</v>
      </c>
      <c r="L4749">
        <v>7</v>
      </c>
      <c r="M4749" s="11">
        <v>29406.99</v>
      </c>
      <c r="N4749" s="12">
        <v>11771.48</v>
      </c>
      <c r="O4749" s="12">
        <v>8443.36</v>
      </c>
    </row>
    <row r="4750" spans="1:15">
      <c r="A4750" t="s">
        <v>4924</v>
      </c>
      <c r="B4750" t="s">
        <v>254</v>
      </c>
      <c r="C4750" s="9">
        <v>18629</v>
      </c>
      <c r="D4750">
        <v>75</v>
      </c>
      <c r="E4750" t="s">
        <v>17</v>
      </c>
      <c r="F4750" t="s">
        <v>18</v>
      </c>
      <c r="G4750" s="9">
        <v>45000</v>
      </c>
      <c r="H4750" s="9">
        <v>45284</v>
      </c>
      <c r="I4750">
        <v>29</v>
      </c>
      <c r="J4750" t="s">
        <v>32</v>
      </c>
      <c r="K4750">
        <v>6</v>
      </c>
      <c r="L4750">
        <v>4</v>
      </c>
      <c r="M4750" s="11">
        <v>16088.5</v>
      </c>
      <c r="N4750" s="12">
        <v>8431.7800000000007</v>
      </c>
      <c r="O4750" s="12">
        <v>715.53</v>
      </c>
    </row>
    <row r="4751" spans="1:15">
      <c r="A4751" t="s">
        <v>4925</v>
      </c>
      <c r="B4751" t="s">
        <v>300</v>
      </c>
      <c r="C4751" s="9">
        <v>14611</v>
      </c>
      <c r="D4751">
        <v>86</v>
      </c>
      <c r="E4751" t="s">
        <v>21</v>
      </c>
      <c r="F4751" t="s">
        <v>49</v>
      </c>
      <c r="G4751" s="9">
        <v>45177</v>
      </c>
      <c r="H4751" s="9">
        <v>45575</v>
      </c>
      <c r="I4751">
        <v>16</v>
      </c>
      <c r="J4751" t="s">
        <v>32</v>
      </c>
      <c r="K4751">
        <v>5</v>
      </c>
      <c r="L4751">
        <v>6</v>
      </c>
      <c r="M4751" s="11">
        <v>26867.02</v>
      </c>
      <c r="N4751" s="12">
        <v>10821.94</v>
      </c>
      <c r="O4751" s="12">
        <v>6567.49</v>
      </c>
    </row>
    <row r="4752" spans="1:15">
      <c r="A4752" t="s">
        <v>4926</v>
      </c>
      <c r="B4752" t="s">
        <v>110</v>
      </c>
      <c r="C4752" s="9">
        <v>17168</v>
      </c>
      <c r="D4752">
        <v>79</v>
      </c>
      <c r="E4752" t="s">
        <v>21</v>
      </c>
      <c r="F4752" t="s">
        <v>49</v>
      </c>
      <c r="G4752" s="9">
        <v>45376</v>
      </c>
      <c r="H4752" s="9">
        <v>44969</v>
      </c>
      <c r="I4752">
        <v>14</v>
      </c>
      <c r="J4752" t="s">
        <v>35</v>
      </c>
      <c r="K4752">
        <v>5</v>
      </c>
      <c r="L4752">
        <v>7</v>
      </c>
      <c r="M4752" s="11">
        <v>17353.34</v>
      </c>
      <c r="N4752" s="12">
        <v>749.85</v>
      </c>
      <c r="O4752" s="12">
        <v>6185.43</v>
      </c>
    </row>
    <row r="4753" spans="1:15">
      <c r="A4753" t="s">
        <v>4927</v>
      </c>
      <c r="B4753" t="s">
        <v>292</v>
      </c>
      <c r="C4753" s="9">
        <v>21916</v>
      </c>
      <c r="D4753">
        <v>66</v>
      </c>
      <c r="E4753" t="s">
        <v>17</v>
      </c>
      <c r="F4753" t="s">
        <v>25</v>
      </c>
      <c r="G4753" s="9">
        <v>45281</v>
      </c>
      <c r="H4753" s="9">
        <v>45232</v>
      </c>
      <c r="I4753">
        <v>1</v>
      </c>
      <c r="J4753" t="s">
        <v>32</v>
      </c>
      <c r="K4753">
        <v>0</v>
      </c>
      <c r="L4753">
        <v>5</v>
      </c>
      <c r="M4753" s="11">
        <v>20550.59</v>
      </c>
      <c r="N4753" s="12">
        <v>3052.77</v>
      </c>
      <c r="O4753" s="12">
        <v>13.26</v>
      </c>
    </row>
    <row r="4754" spans="1:15">
      <c r="A4754" t="s">
        <v>4928</v>
      </c>
      <c r="B4754" t="s">
        <v>172</v>
      </c>
      <c r="C4754" s="9">
        <v>35430</v>
      </c>
      <c r="D4754">
        <v>29</v>
      </c>
      <c r="E4754" t="s">
        <v>21</v>
      </c>
      <c r="F4754" t="s">
        <v>29</v>
      </c>
      <c r="G4754" s="9">
        <v>45459</v>
      </c>
      <c r="H4754" s="9">
        <v>44933</v>
      </c>
      <c r="I4754">
        <v>15</v>
      </c>
      <c r="J4754" t="s">
        <v>35</v>
      </c>
      <c r="K4754">
        <v>8</v>
      </c>
      <c r="L4754">
        <v>5</v>
      </c>
      <c r="M4754" s="11">
        <v>401.04</v>
      </c>
      <c r="N4754" s="12">
        <v>9318.18</v>
      </c>
      <c r="O4754" s="12">
        <v>9704.42</v>
      </c>
    </row>
    <row r="4755" spans="1:15">
      <c r="A4755" t="s">
        <v>4929</v>
      </c>
      <c r="B4755" t="s">
        <v>479</v>
      </c>
      <c r="C4755" s="9">
        <v>25568</v>
      </c>
      <c r="D4755">
        <v>56</v>
      </c>
      <c r="E4755" t="s">
        <v>21</v>
      </c>
      <c r="F4755" t="s">
        <v>25</v>
      </c>
      <c r="G4755" s="9">
        <v>45222</v>
      </c>
      <c r="H4755" s="9">
        <v>45256</v>
      </c>
      <c r="I4755">
        <v>36</v>
      </c>
      <c r="J4755" t="s">
        <v>32</v>
      </c>
      <c r="K4755">
        <v>14</v>
      </c>
      <c r="L4755">
        <v>1</v>
      </c>
      <c r="M4755" s="11">
        <v>15110.47</v>
      </c>
      <c r="N4755" s="12">
        <v>7162.04</v>
      </c>
      <c r="O4755" s="12">
        <v>18106.5</v>
      </c>
    </row>
    <row r="4756" spans="1:15">
      <c r="A4756" t="s">
        <v>4930</v>
      </c>
      <c r="B4756" t="s">
        <v>654</v>
      </c>
      <c r="C4756" s="9">
        <v>14976</v>
      </c>
      <c r="D4756">
        <v>85</v>
      </c>
      <c r="E4756" t="s">
        <v>21</v>
      </c>
      <c r="F4756" t="s">
        <v>29</v>
      </c>
      <c r="G4756" s="9">
        <v>45224</v>
      </c>
      <c r="H4756" s="9">
        <v>45097</v>
      </c>
      <c r="I4756">
        <v>24</v>
      </c>
      <c r="J4756" t="s">
        <v>35</v>
      </c>
      <c r="K4756">
        <v>13</v>
      </c>
      <c r="L4756">
        <v>9</v>
      </c>
      <c r="M4756" s="11">
        <v>21498.94</v>
      </c>
      <c r="N4756" s="12">
        <v>9069.34</v>
      </c>
      <c r="O4756" s="12">
        <v>16026.5</v>
      </c>
    </row>
    <row r="4757" spans="1:15">
      <c r="A4757" t="s">
        <v>4931</v>
      </c>
      <c r="B4757" t="s">
        <v>246</v>
      </c>
      <c r="C4757" s="9">
        <v>19724</v>
      </c>
      <c r="D4757">
        <v>72</v>
      </c>
      <c r="E4757" t="s">
        <v>21</v>
      </c>
      <c r="F4757" t="s">
        <v>5184</v>
      </c>
      <c r="G4757" s="9">
        <v>45254</v>
      </c>
      <c r="H4757" s="9">
        <v>45727</v>
      </c>
      <c r="I4757">
        <v>11</v>
      </c>
      <c r="J4757" t="s">
        <v>35</v>
      </c>
      <c r="K4757">
        <v>7</v>
      </c>
      <c r="L4757">
        <v>4</v>
      </c>
      <c r="M4757" s="11">
        <v>3216.82</v>
      </c>
      <c r="N4757" s="12">
        <v>1334.54</v>
      </c>
      <c r="O4757" s="12">
        <v>13661.53</v>
      </c>
    </row>
    <row r="4758" spans="1:15">
      <c r="A4758" t="s">
        <v>4932</v>
      </c>
      <c r="B4758" t="s">
        <v>246</v>
      </c>
      <c r="C4758" s="9">
        <v>35795</v>
      </c>
      <c r="D4758">
        <v>28</v>
      </c>
      <c r="E4758" t="s">
        <v>21</v>
      </c>
      <c r="F4758" t="s">
        <v>25</v>
      </c>
      <c r="G4758" s="9">
        <v>45228</v>
      </c>
      <c r="H4758" s="9">
        <v>45265</v>
      </c>
      <c r="I4758">
        <v>12</v>
      </c>
      <c r="J4758" t="s">
        <v>35</v>
      </c>
      <c r="K4758">
        <v>9</v>
      </c>
      <c r="L4758">
        <v>0</v>
      </c>
      <c r="M4758" s="11">
        <v>20188.91</v>
      </c>
      <c r="N4758" s="12">
        <v>9786.34</v>
      </c>
      <c r="O4758" s="12">
        <v>6805.05</v>
      </c>
    </row>
    <row r="4759" spans="1:15">
      <c r="A4759" t="s">
        <v>4933</v>
      </c>
      <c r="B4759" t="s">
        <v>115</v>
      </c>
      <c r="C4759" s="9">
        <v>32873</v>
      </c>
      <c r="D4759">
        <v>36</v>
      </c>
      <c r="E4759" t="s">
        <v>17</v>
      </c>
      <c r="F4759" t="s">
        <v>29</v>
      </c>
      <c r="G4759" s="9">
        <v>45438</v>
      </c>
      <c r="H4759" s="9">
        <v>45654</v>
      </c>
      <c r="I4759">
        <v>5</v>
      </c>
      <c r="J4759" t="s">
        <v>35</v>
      </c>
      <c r="K4759">
        <v>6</v>
      </c>
      <c r="L4759">
        <v>8</v>
      </c>
      <c r="M4759" s="11">
        <v>2070.3000000000002</v>
      </c>
      <c r="N4759" s="12">
        <v>12054.24</v>
      </c>
      <c r="O4759" s="12">
        <v>4562.47</v>
      </c>
    </row>
    <row r="4760" spans="1:15">
      <c r="A4760" t="s">
        <v>4934</v>
      </c>
      <c r="B4760" t="s">
        <v>149</v>
      </c>
      <c r="C4760" s="9">
        <v>14611</v>
      </c>
      <c r="D4760">
        <v>86</v>
      </c>
      <c r="E4760" t="s">
        <v>17</v>
      </c>
      <c r="F4760" t="s">
        <v>29</v>
      </c>
      <c r="G4760" s="9">
        <v>45264</v>
      </c>
      <c r="H4760" s="9">
        <v>44996</v>
      </c>
      <c r="I4760">
        <v>6</v>
      </c>
      <c r="J4760" t="s">
        <v>35</v>
      </c>
      <c r="K4760">
        <v>1</v>
      </c>
      <c r="L4760">
        <v>6</v>
      </c>
      <c r="M4760" s="11">
        <v>24114.2</v>
      </c>
      <c r="N4760" s="12">
        <v>8194.1299999999992</v>
      </c>
      <c r="O4760" s="12">
        <v>6786.59</v>
      </c>
    </row>
    <row r="4761" spans="1:15">
      <c r="A4761" t="s">
        <v>4935</v>
      </c>
      <c r="B4761" t="s">
        <v>16</v>
      </c>
      <c r="C4761" s="9">
        <v>41639</v>
      </c>
      <c r="D4761">
        <v>12</v>
      </c>
      <c r="E4761" t="s">
        <v>17</v>
      </c>
      <c r="F4761" t="s">
        <v>22</v>
      </c>
      <c r="G4761" s="9">
        <v>45511</v>
      </c>
      <c r="H4761" s="9">
        <v>45809</v>
      </c>
      <c r="I4761">
        <v>18</v>
      </c>
      <c r="J4761" t="s">
        <v>26</v>
      </c>
      <c r="K4761">
        <v>9</v>
      </c>
      <c r="L4761">
        <v>1</v>
      </c>
      <c r="M4761" s="11">
        <v>29322.41</v>
      </c>
      <c r="N4761" s="12">
        <v>5361.11</v>
      </c>
      <c r="O4761" s="12">
        <v>2373.4899999999998</v>
      </c>
    </row>
    <row r="4762" spans="1:15">
      <c r="A4762" t="s">
        <v>4936</v>
      </c>
      <c r="B4762" t="s">
        <v>664</v>
      </c>
      <c r="C4762" s="9">
        <v>34700</v>
      </c>
      <c r="D4762">
        <v>31</v>
      </c>
      <c r="E4762" t="s">
        <v>21</v>
      </c>
      <c r="F4762" t="s">
        <v>5184</v>
      </c>
      <c r="G4762" s="9">
        <v>45300</v>
      </c>
      <c r="H4762" s="9">
        <v>45466</v>
      </c>
      <c r="I4762">
        <v>32</v>
      </c>
      <c r="J4762" t="s">
        <v>32</v>
      </c>
      <c r="K4762">
        <v>1</v>
      </c>
      <c r="L4762">
        <v>5</v>
      </c>
      <c r="M4762" s="11">
        <v>18615.41</v>
      </c>
      <c r="N4762" s="12">
        <v>2619.7199999999998</v>
      </c>
      <c r="O4762" s="12">
        <v>1899.72</v>
      </c>
    </row>
    <row r="4763" spans="1:15">
      <c r="A4763" t="s">
        <v>4937</v>
      </c>
      <c r="B4763" t="s">
        <v>397</v>
      </c>
      <c r="C4763" s="9">
        <v>29586</v>
      </c>
      <c r="D4763">
        <v>45</v>
      </c>
      <c r="E4763" t="s">
        <v>5185</v>
      </c>
      <c r="F4763" t="s">
        <v>22</v>
      </c>
      <c r="G4763" s="9">
        <v>45479</v>
      </c>
      <c r="H4763" s="9">
        <v>45664</v>
      </c>
      <c r="I4763">
        <v>11</v>
      </c>
      <c r="J4763" t="s">
        <v>32</v>
      </c>
      <c r="K4763">
        <v>12</v>
      </c>
      <c r="L4763">
        <v>9</v>
      </c>
      <c r="M4763" s="11">
        <v>1850.88</v>
      </c>
      <c r="N4763" s="12">
        <v>3980.33</v>
      </c>
      <c r="O4763" s="12">
        <v>11448.11</v>
      </c>
    </row>
    <row r="4764" spans="1:15">
      <c r="A4764" t="s">
        <v>4938</v>
      </c>
      <c r="B4764" t="s">
        <v>249</v>
      </c>
      <c r="C4764" s="9">
        <v>37987</v>
      </c>
      <c r="D4764">
        <v>22</v>
      </c>
      <c r="E4764" t="s">
        <v>17</v>
      </c>
      <c r="F4764" t="s">
        <v>29</v>
      </c>
      <c r="G4764" s="9">
        <v>45020</v>
      </c>
      <c r="H4764" s="9">
        <v>45761</v>
      </c>
      <c r="I4764">
        <v>24</v>
      </c>
      <c r="J4764" t="s">
        <v>35</v>
      </c>
      <c r="K4764">
        <v>3</v>
      </c>
      <c r="L4764">
        <v>8</v>
      </c>
      <c r="M4764" s="11">
        <v>17395.98</v>
      </c>
      <c r="N4764" s="12">
        <v>7837.99</v>
      </c>
      <c r="O4764" s="12">
        <v>16261.28</v>
      </c>
    </row>
    <row r="4765" spans="1:15">
      <c r="A4765" t="s">
        <v>4939</v>
      </c>
      <c r="B4765" t="s">
        <v>681</v>
      </c>
      <c r="C4765" s="9">
        <v>29951</v>
      </c>
      <c r="D4765">
        <v>44</v>
      </c>
      <c r="E4765" t="s">
        <v>21</v>
      </c>
      <c r="F4765" t="s">
        <v>29</v>
      </c>
      <c r="G4765" s="9">
        <v>45058</v>
      </c>
      <c r="H4765" s="9">
        <v>45434</v>
      </c>
      <c r="I4765">
        <v>5</v>
      </c>
      <c r="J4765" t="s">
        <v>32</v>
      </c>
      <c r="K4765">
        <v>0</v>
      </c>
      <c r="L4765">
        <v>4</v>
      </c>
      <c r="M4765" s="11">
        <v>22096.32</v>
      </c>
      <c r="N4765" s="12">
        <v>3832.77</v>
      </c>
      <c r="O4765" s="12">
        <v>1897.75</v>
      </c>
    </row>
    <row r="4766" spans="1:15">
      <c r="A4766" t="s">
        <v>4940</v>
      </c>
      <c r="B4766" t="s">
        <v>654</v>
      </c>
      <c r="C4766" s="9">
        <v>40178</v>
      </c>
      <c r="D4766">
        <v>16</v>
      </c>
      <c r="E4766" t="s">
        <v>17</v>
      </c>
      <c r="F4766" t="s">
        <v>74</v>
      </c>
      <c r="G4766" s="9">
        <v>45537</v>
      </c>
      <c r="H4766" s="9">
        <v>45673</v>
      </c>
      <c r="I4766">
        <v>32</v>
      </c>
      <c r="J4766" t="s">
        <v>35</v>
      </c>
      <c r="K4766">
        <v>1</v>
      </c>
      <c r="L4766">
        <v>2</v>
      </c>
      <c r="M4766" s="11">
        <v>27959.43</v>
      </c>
      <c r="N4766" s="12">
        <v>11669.18</v>
      </c>
      <c r="O4766" s="12">
        <v>6637.26</v>
      </c>
    </row>
    <row r="4767" spans="1:15">
      <c r="A4767" t="s">
        <v>4941</v>
      </c>
      <c r="B4767" t="s">
        <v>149</v>
      </c>
      <c r="C4767" s="9">
        <v>15341</v>
      </c>
      <c r="D4767">
        <v>84</v>
      </c>
      <c r="E4767" t="s">
        <v>17</v>
      </c>
      <c r="F4767" t="s">
        <v>29</v>
      </c>
      <c r="G4767" s="9">
        <v>44979</v>
      </c>
      <c r="H4767" s="9">
        <v>45413</v>
      </c>
      <c r="I4767">
        <v>15</v>
      </c>
      <c r="J4767" t="s">
        <v>32</v>
      </c>
      <c r="K4767">
        <v>8</v>
      </c>
      <c r="L4767">
        <v>9</v>
      </c>
      <c r="M4767" s="11">
        <v>886.49</v>
      </c>
      <c r="N4767" s="12">
        <v>1976.12</v>
      </c>
      <c r="O4767" s="12">
        <v>2367.36</v>
      </c>
    </row>
    <row r="4768" spans="1:15">
      <c r="A4768" t="s">
        <v>4942</v>
      </c>
      <c r="B4768" t="s">
        <v>240</v>
      </c>
      <c r="C4768" s="9">
        <v>22281</v>
      </c>
      <c r="D4768">
        <f ca="1">DATEDIF(C4719,TODAY(),"Y")</f>
        <v>55</v>
      </c>
      <c r="E4768" t="s">
        <v>17</v>
      </c>
      <c r="F4768" t="s">
        <v>22</v>
      </c>
      <c r="G4768" s="9">
        <v>45422</v>
      </c>
      <c r="H4768" s="9">
        <v>45370</v>
      </c>
      <c r="I4768">
        <v>11</v>
      </c>
      <c r="J4768" t="s">
        <v>26</v>
      </c>
      <c r="K4768">
        <v>10</v>
      </c>
      <c r="L4768">
        <v>3</v>
      </c>
      <c r="M4768" s="11">
        <v>23138.79</v>
      </c>
      <c r="N4768" s="12">
        <v>7746.36</v>
      </c>
      <c r="O4768" s="12">
        <v>6140.66</v>
      </c>
    </row>
    <row r="4769" spans="1:15">
      <c r="A4769" t="s">
        <v>4943</v>
      </c>
      <c r="B4769" t="s">
        <v>229</v>
      </c>
      <c r="C4769" s="9">
        <v>44196</v>
      </c>
      <c r="D4769">
        <v>5</v>
      </c>
      <c r="E4769" t="s">
        <v>21</v>
      </c>
      <c r="F4769" t="s">
        <v>29</v>
      </c>
      <c r="G4769" s="9">
        <v>45155</v>
      </c>
      <c r="H4769" s="9">
        <v>44978</v>
      </c>
      <c r="I4769">
        <v>5</v>
      </c>
      <c r="J4769" t="s">
        <v>32</v>
      </c>
      <c r="K4769">
        <v>11</v>
      </c>
      <c r="L4769">
        <v>2</v>
      </c>
      <c r="M4769" s="11">
        <v>3543.74</v>
      </c>
      <c r="N4769" s="12">
        <v>7439.49</v>
      </c>
      <c r="O4769" s="12">
        <v>16588.29</v>
      </c>
    </row>
    <row r="4770" spans="1:15">
      <c r="A4770" t="s">
        <v>4944</v>
      </c>
      <c r="B4770" t="s">
        <v>51</v>
      </c>
      <c r="C4770" s="9">
        <v>39813</v>
      </c>
      <c r="D4770">
        <f ca="1">DATEDIF(C4721,TODAY(),"Y")</f>
        <v>24</v>
      </c>
      <c r="E4770" t="s">
        <v>21</v>
      </c>
      <c r="F4770" t="s">
        <v>49</v>
      </c>
      <c r="G4770" s="9">
        <v>45566</v>
      </c>
      <c r="H4770" s="9">
        <v>45076</v>
      </c>
      <c r="I4770">
        <v>5</v>
      </c>
      <c r="J4770" t="s">
        <v>32</v>
      </c>
      <c r="K4770">
        <v>9</v>
      </c>
      <c r="L4770">
        <v>0</v>
      </c>
      <c r="M4770" s="11">
        <v>23612.880000000001</v>
      </c>
      <c r="N4770" s="12">
        <v>2083.38</v>
      </c>
      <c r="O4770" s="12">
        <v>600.41999999999996</v>
      </c>
    </row>
    <row r="4771" spans="1:15">
      <c r="A4771" t="s">
        <v>4945</v>
      </c>
      <c r="B4771" t="s">
        <v>123</v>
      </c>
      <c r="C4771" s="9">
        <v>12054</v>
      </c>
      <c r="D4771">
        <v>93</v>
      </c>
      <c r="E4771" t="s">
        <v>17</v>
      </c>
      <c r="F4771" t="s">
        <v>74</v>
      </c>
      <c r="G4771" s="9">
        <v>45138</v>
      </c>
      <c r="H4771" s="9">
        <v>45514</v>
      </c>
      <c r="I4771">
        <v>34</v>
      </c>
      <c r="J4771" t="s">
        <v>35</v>
      </c>
      <c r="K4771">
        <v>6</v>
      </c>
      <c r="L4771">
        <v>9</v>
      </c>
      <c r="M4771" s="11">
        <v>26605.66</v>
      </c>
      <c r="N4771" s="12">
        <v>14924.81</v>
      </c>
      <c r="O4771" s="12">
        <v>12908.99</v>
      </c>
    </row>
    <row r="4772" spans="1:15">
      <c r="A4772" t="s">
        <v>4946</v>
      </c>
      <c r="B4772" t="s">
        <v>600</v>
      </c>
      <c r="C4772" s="9">
        <v>38352</v>
      </c>
      <c r="D4772">
        <v>21</v>
      </c>
      <c r="E4772" t="s">
        <v>17</v>
      </c>
      <c r="F4772" t="s">
        <v>29</v>
      </c>
      <c r="G4772" s="9">
        <v>45430</v>
      </c>
      <c r="H4772" s="9">
        <v>45745</v>
      </c>
      <c r="I4772">
        <v>1</v>
      </c>
      <c r="J4772" t="s">
        <v>32</v>
      </c>
      <c r="K4772">
        <v>10</v>
      </c>
      <c r="L4772">
        <v>6</v>
      </c>
      <c r="M4772" s="11">
        <v>25767.91</v>
      </c>
      <c r="N4772" s="12">
        <v>12347.03</v>
      </c>
      <c r="O4772" s="12">
        <v>1102.72</v>
      </c>
    </row>
    <row r="4773" spans="1:15">
      <c r="A4773" t="s">
        <v>4947</v>
      </c>
      <c r="B4773" t="s">
        <v>34</v>
      </c>
      <c r="C4773" s="9">
        <v>34334</v>
      </c>
      <c r="D4773">
        <v>32</v>
      </c>
      <c r="E4773" t="s">
        <v>17</v>
      </c>
      <c r="F4773" t="s">
        <v>22</v>
      </c>
      <c r="G4773" s="9">
        <v>45421</v>
      </c>
      <c r="H4773" s="9">
        <v>45019</v>
      </c>
      <c r="I4773">
        <v>14</v>
      </c>
      <c r="J4773" t="s">
        <v>26</v>
      </c>
      <c r="K4773">
        <v>11</v>
      </c>
      <c r="L4773">
        <v>7</v>
      </c>
      <c r="M4773" s="11">
        <v>19412.63</v>
      </c>
      <c r="N4773" s="12">
        <v>5797.99</v>
      </c>
      <c r="O4773" s="12">
        <v>8473.57</v>
      </c>
    </row>
    <row r="4774" spans="1:15">
      <c r="A4774" t="s">
        <v>4948</v>
      </c>
      <c r="B4774" t="s">
        <v>326</v>
      </c>
      <c r="C4774" s="9">
        <v>35430</v>
      </c>
      <c r="D4774">
        <v>29</v>
      </c>
      <c r="E4774" t="s">
        <v>17</v>
      </c>
      <c r="F4774" t="s">
        <v>22</v>
      </c>
      <c r="G4774" s="9">
        <v>45597</v>
      </c>
      <c r="H4774" s="9">
        <v>45295</v>
      </c>
      <c r="I4774">
        <v>10</v>
      </c>
      <c r="J4774" t="s">
        <v>32</v>
      </c>
      <c r="K4774">
        <v>2</v>
      </c>
      <c r="L4774">
        <v>1</v>
      </c>
      <c r="M4774" s="11">
        <v>0</v>
      </c>
      <c r="N4774" s="12">
        <v>10273.6</v>
      </c>
      <c r="O4774" s="12">
        <v>9428.4599999999991</v>
      </c>
    </row>
    <row r="4775" spans="1:15">
      <c r="A4775" t="s">
        <v>4949</v>
      </c>
      <c r="B4775" t="s">
        <v>309</v>
      </c>
      <c r="C4775" s="9">
        <v>16802</v>
      </c>
      <c r="D4775">
        <v>80</v>
      </c>
      <c r="E4775" t="s">
        <v>17</v>
      </c>
      <c r="F4775" t="s">
        <v>18</v>
      </c>
      <c r="G4775" s="9">
        <v>45159</v>
      </c>
      <c r="H4775" s="9">
        <v>45507</v>
      </c>
      <c r="I4775">
        <v>11</v>
      </c>
      <c r="J4775" t="s">
        <v>26</v>
      </c>
      <c r="K4775">
        <v>0</v>
      </c>
      <c r="L4775">
        <v>7</v>
      </c>
      <c r="M4775" s="11">
        <v>26174.89</v>
      </c>
      <c r="N4775" s="12">
        <v>10748.72</v>
      </c>
      <c r="O4775" s="12">
        <v>7970.35</v>
      </c>
    </row>
    <row r="4776" spans="1:15">
      <c r="A4776" t="s">
        <v>4950</v>
      </c>
      <c r="B4776" t="s">
        <v>252</v>
      </c>
      <c r="C4776" s="9">
        <v>34700</v>
      </c>
      <c r="D4776">
        <v>31</v>
      </c>
      <c r="E4776" t="s">
        <v>21</v>
      </c>
      <c r="F4776" t="s">
        <v>22</v>
      </c>
      <c r="G4776" s="9">
        <v>44997</v>
      </c>
      <c r="H4776" s="9">
        <v>45674</v>
      </c>
      <c r="I4776">
        <v>38</v>
      </c>
      <c r="J4776" t="s">
        <v>26</v>
      </c>
      <c r="K4776">
        <v>12</v>
      </c>
      <c r="L4776">
        <v>8</v>
      </c>
      <c r="M4776" s="11">
        <v>15331.67</v>
      </c>
      <c r="N4776" s="12">
        <v>9767.23</v>
      </c>
      <c r="O4776" s="12">
        <v>12711.45</v>
      </c>
    </row>
    <row r="4777" spans="1:15">
      <c r="A4777" t="s">
        <v>4951</v>
      </c>
      <c r="B4777" t="s">
        <v>108</v>
      </c>
      <c r="C4777" s="9">
        <v>31047</v>
      </c>
      <c r="D4777">
        <v>41</v>
      </c>
      <c r="E4777" t="s">
        <v>17</v>
      </c>
      <c r="F4777" t="s">
        <v>74</v>
      </c>
      <c r="G4777" s="9">
        <v>45643</v>
      </c>
      <c r="H4777" s="9">
        <v>45801</v>
      </c>
      <c r="I4777">
        <v>38</v>
      </c>
      <c r="J4777" t="s">
        <v>35</v>
      </c>
      <c r="K4777">
        <v>3</v>
      </c>
      <c r="L4777">
        <v>6</v>
      </c>
      <c r="M4777" s="11">
        <v>0</v>
      </c>
      <c r="N4777" s="12">
        <v>6487.26</v>
      </c>
      <c r="O4777" s="12">
        <v>19470.63</v>
      </c>
    </row>
    <row r="4778" spans="1:15">
      <c r="A4778" t="s">
        <v>4952</v>
      </c>
      <c r="B4778" t="s">
        <v>343</v>
      </c>
      <c r="C4778" s="9">
        <v>17898</v>
      </c>
      <c r="D4778">
        <v>77</v>
      </c>
      <c r="E4778" t="s">
        <v>21</v>
      </c>
      <c r="F4778" t="s">
        <v>22</v>
      </c>
      <c r="G4778" s="9">
        <v>45115</v>
      </c>
      <c r="H4778" s="9">
        <v>45583</v>
      </c>
      <c r="I4778">
        <v>6</v>
      </c>
      <c r="J4778" t="s">
        <v>26</v>
      </c>
      <c r="K4778">
        <v>10</v>
      </c>
      <c r="L4778">
        <v>0</v>
      </c>
      <c r="M4778" s="11">
        <v>28256.41</v>
      </c>
      <c r="N4778" s="12">
        <v>13276.67</v>
      </c>
      <c r="O4778" s="12">
        <v>5272.73</v>
      </c>
    </row>
    <row r="4779" spans="1:15">
      <c r="A4779" t="s">
        <v>4953</v>
      </c>
      <c r="B4779" t="s">
        <v>184</v>
      </c>
      <c r="C4779" s="9">
        <v>42735</v>
      </c>
      <c r="D4779">
        <v>9</v>
      </c>
      <c r="E4779" t="s">
        <v>17</v>
      </c>
      <c r="F4779" t="s">
        <v>49</v>
      </c>
      <c r="G4779" s="9">
        <v>45589</v>
      </c>
      <c r="H4779" s="9">
        <v>45003</v>
      </c>
      <c r="I4779">
        <v>24</v>
      </c>
      <c r="J4779" t="s">
        <v>32</v>
      </c>
      <c r="K4779">
        <v>9</v>
      </c>
      <c r="L4779">
        <v>3</v>
      </c>
      <c r="M4779" s="11">
        <v>10885.37</v>
      </c>
      <c r="N4779" s="12">
        <v>11573.27</v>
      </c>
      <c r="O4779" s="12">
        <v>12156.36</v>
      </c>
    </row>
    <row r="4780" spans="1:15">
      <c r="A4780" t="s">
        <v>4954</v>
      </c>
      <c r="B4780" t="s">
        <v>149</v>
      </c>
      <c r="C4780" s="9">
        <v>33239</v>
      </c>
      <c r="D4780">
        <v>35</v>
      </c>
      <c r="E4780" t="s">
        <v>17</v>
      </c>
      <c r="F4780" t="s">
        <v>25</v>
      </c>
      <c r="G4780" s="9">
        <v>44934</v>
      </c>
      <c r="H4780" s="9">
        <v>45013</v>
      </c>
      <c r="I4780">
        <v>17</v>
      </c>
      <c r="J4780" t="s">
        <v>35</v>
      </c>
      <c r="K4780">
        <v>11</v>
      </c>
      <c r="L4780">
        <v>6</v>
      </c>
      <c r="M4780" s="11">
        <v>18542.650000000001</v>
      </c>
      <c r="N4780" s="12">
        <v>8130.3</v>
      </c>
      <c r="O4780" s="12">
        <v>7035.07</v>
      </c>
    </row>
    <row r="4781" spans="1:15">
      <c r="A4781" t="s">
        <v>4955</v>
      </c>
      <c r="B4781" t="s">
        <v>242</v>
      </c>
      <c r="C4781" s="9">
        <v>33969</v>
      </c>
      <c r="D4781">
        <v>33</v>
      </c>
      <c r="E4781" t="s">
        <v>21</v>
      </c>
      <c r="F4781" t="s">
        <v>49</v>
      </c>
      <c r="G4781" s="9">
        <v>45258</v>
      </c>
      <c r="H4781" s="9">
        <v>45154</v>
      </c>
      <c r="I4781">
        <v>35</v>
      </c>
      <c r="J4781" t="s">
        <v>26</v>
      </c>
      <c r="K4781">
        <v>11</v>
      </c>
      <c r="L4781">
        <v>5</v>
      </c>
      <c r="M4781" s="11">
        <v>5573.95</v>
      </c>
      <c r="N4781" s="12">
        <v>38.44</v>
      </c>
      <c r="O4781" s="12">
        <v>19989.96</v>
      </c>
    </row>
    <row r="4782" spans="1:15">
      <c r="A4782" t="s">
        <v>4956</v>
      </c>
      <c r="B4782" t="s">
        <v>306</v>
      </c>
      <c r="C4782" s="9">
        <v>19724</v>
      </c>
      <c r="D4782">
        <v>72</v>
      </c>
      <c r="E4782" t="s">
        <v>17</v>
      </c>
      <c r="F4782" t="s">
        <v>5184</v>
      </c>
      <c r="G4782" s="9">
        <v>45538</v>
      </c>
      <c r="H4782" s="9">
        <v>45290</v>
      </c>
      <c r="I4782">
        <v>9</v>
      </c>
      <c r="J4782" t="s">
        <v>26</v>
      </c>
      <c r="K4782">
        <v>10</v>
      </c>
      <c r="L4782">
        <v>7</v>
      </c>
      <c r="M4782" s="11">
        <v>0</v>
      </c>
      <c r="N4782" s="12">
        <v>3350.61</v>
      </c>
      <c r="O4782" s="12">
        <v>19015.04</v>
      </c>
    </row>
    <row r="4783" spans="1:15">
      <c r="A4783" t="s">
        <v>4957</v>
      </c>
      <c r="B4783" t="s">
        <v>145</v>
      </c>
      <c r="C4783" s="9">
        <v>36161</v>
      </c>
      <c r="D4783">
        <v>27</v>
      </c>
      <c r="E4783" t="s">
        <v>21</v>
      </c>
      <c r="F4783" t="s">
        <v>49</v>
      </c>
      <c r="G4783" s="9">
        <v>44942</v>
      </c>
      <c r="H4783" s="9">
        <v>45495</v>
      </c>
      <c r="I4783">
        <v>39</v>
      </c>
      <c r="J4783" t="s">
        <v>32</v>
      </c>
      <c r="K4783">
        <v>4</v>
      </c>
      <c r="L4783">
        <v>5</v>
      </c>
      <c r="M4783" s="11">
        <v>0</v>
      </c>
      <c r="N4783" s="12">
        <v>7632.39</v>
      </c>
      <c r="O4783" s="12">
        <v>1777.4</v>
      </c>
    </row>
    <row r="4784" spans="1:15">
      <c r="A4784" t="s">
        <v>4958</v>
      </c>
      <c r="B4784" t="s">
        <v>252</v>
      </c>
      <c r="C4784" s="9">
        <v>42370</v>
      </c>
      <c r="D4784">
        <v>10</v>
      </c>
      <c r="E4784" t="s">
        <v>21</v>
      </c>
      <c r="F4784" t="s">
        <v>74</v>
      </c>
      <c r="G4784" s="9">
        <v>45592</v>
      </c>
      <c r="H4784" s="9">
        <v>45519</v>
      </c>
      <c r="I4784">
        <v>19</v>
      </c>
      <c r="J4784" t="s">
        <v>35</v>
      </c>
      <c r="K4784">
        <v>6</v>
      </c>
      <c r="L4784">
        <v>9</v>
      </c>
      <c r="M4784" s="11">
        <v>16415.13</v>
      </c>
      <c r="N4784" s="12">
        <v>13483.94</v>
      </c>
      <c r="O4784" s="12">
        <v>19469.28</v>
      </c>
    </row>
    <row r="4785" spans="1:15">
      <c r="A4785" t="s">
        <v>4959</v>
      </c>
      <c r="B4785" t="s">
        <v>192</v>
      </c>
      <c r="C4785" s="9">
        <v>17898</v>
      </c>
      <c r="D4785">
        <v>77</v>
      </c>
      <c r="E4785" t="s">
        <v>21</v>
      </c>
      <c r="F4785" t="s">
        <v>74</v>
      </c>
      <c r="G4785" s="9">
        <v>45595</v>
      </c>
      <c r="H4785" s="9">
        <v>44951</v>
      </c>
      <c r="I4785">
        <v>34</v>
      </c>
      <c r="J4785" t="s">
        <v>32</v>
      </c>
      <c r="K4785">
        <v>13</v>
      </c>
      <c r="L4785">
        <v>5</v>
      </c>
      <c r="M4785" s="11">
        <v>10777.14</v>
      </c>
      <c r="N4785" s="12">
        <v>9429.31</v>
      </c>
      <c r="O4785" s="12">
        <v>14739.25</v>
      </c>
    </row>
    <row r="4786" spans="1:15">
      <c r="A4786" t="s">
        <v>4960</v>
      </c>
      <c r="B4786" t="s">
        <v>490</v>
      </c>
      <c r="C4786" s="9">
        <v>32143</v>
      </c>
      <c r="D4786">
        <v>38</v>
      </c>
      <c r="E4786" t="s">
        <v>21</v>
      </c>
      <c r="F4786" t="s">
        <v>18</v>
      </c>
      <c r="G4786" s="9">
        <v>45019</v>
      </c>
      <c r="H4786" s="9">
        <v>45666</v>
      </c>
      <c r="I4786">
        <v>36</v>
      </c>
      <c r="J4786" t="s">
        <v>26</v>
      </c>
      <c r="K4786">
        <v>13</v>
      </c>
      <c r="L4786">
        <v>9</v>
      </c>
      <c r="M4786" s="11">
        <v>9008.0300000000007</v>
      </c>
      <c r="N4786" s="12">
        <v>6267.93</v>
      </c>
      <c r="O4786" s="12">
        <v>19846.13</v>
      </c>
    </row>
    <row r="4787" spans="1:15">
      <c r="A4787" t="s">
        <v>4961</v>
      </c>
      <c r="B4787" t="s">
        <v>326</v>
      </c>
      <c r="C4787" s="9">
        <v>29221</v>
      </c>
      <c r="D4787">
        <v>46</v>
      </c>
      <c r="E4787" t="s">
        <v>21</v>
      </c>
      <c r="F4787" t="s">
        <v>22</v>
      </c>
      <c r="G4787" s="9">
        <v>45188</v>
      </c>
      <c r="H4787" s="9">
        <v>44955</v>
      </c>
      <c r="I4787">
        <v>28</v>
      </c>
      <c r="J4787" t="s">
        <v>32</v>
      </c>
      <c r="K4787">
        <v>5</v>
      </c>
      <c r="L4787">
        <v>5</v>
      </c>
      <c r="M4787" s="11">
        <v>10912.29</v>
      </c>
      <c r="N4787" s="12">
        <v>718.68</v>
      </c>
      <c r="O4787" s="12">
        <v>15396.11</v>
      </c>
    </row>
    <row r="4788" spans="1:15">
      <c r="A4788" t="s">
        <v>4962</v>
      </c>
      <c r="B4788" t="s">
        <v>372</v>
      </c>
      <c r="C4788" s="9">
        <v>39448</v>
      </c>
      <c r="D4788">
        <v>18</v>
      </c>
      <c r="E4788" t="s">
        <v>21</v>
      </c>
      <c r="F4788" t="s">
        <v>18</v>
      </c>
      <c r="G4788" s="9">
        <v>45475</v>
      </c>
      <c r="H4788" s="9">
        <v>45048</v>
      </c>
      <c r="I4788">
        <v>10</v>
      </c>
      <c r="J4788" t="s">
        <v>32</v>
      </c>
      <c r="K4788">
        <v>5</v>
      </c>
      <c r="L4788">
        <v>6</v>
      </c>
      <c r="M4788" s="11">
        <v>23751.94</v>
      </c>
      <c r="N4788" s="12">
        <v>8959.2000000000007</v>
      </c>
      <c r="O4788" s="12">
        <v>2491.56</v>
      </c>
    </row>
    <row r="4789" spans="1:15">
      <c r="A4789" t="s">
        <v>4963</v>
      </c>
      <c r="B4789" t="s">
        <v>28</v>
      </c>
      <c r="C4789" s="9">
        <v>40909</v>
      </c>
      <c r="D4789">
        <v>14</v>
      </c>
      <c r="E4789" t="s">
        <v>17</v>
      </c>
      <c r="F4789" t="s">
        <v>74</v>
      </c>
      <c r="G4789" s="9">
        <v>45087</v>
      </c>
      <c r="H4789" s="9">
        <v>45417</v>
      </c>
      <c r="I4789">
        <v>2</v>
      </c>
      <c r="J4789" t="s">
        <v>32</v>
      </c>
      <c r="K4789">
        <v>1</v>
      </c>
      <c r="L4789">
        <v>4</v>
      </c>
      <c r="M4789" s="11">
        <v>10410.91</v>
      </c>
      <c r="N4789" s="12">
        <v>5261.28</v>
      </c>
      <c r="O4789" s="12">
        <v>14984.42</v>
      </c>
    </row>
    <row r="4790" spans="1:15">
      <c r="A4790" t="s">
        <v>4964</v>
      </c>
      <c r="B4790" t="s">
        <v>469</v>
      </c>
      <c r="C4790" s="9">
        <v>36161</v>
      </c>
      <c r="D4790">
        <v>27</v>
      </c>
      <c r="E4790" t="s">
        <v>17</v>
      </c>
      <c r="F4790" t="s">
        <v>22</v>
      </c>
      <c r="G4790" s="9">
        <v>45277</v>
      </c>
      <c r="H4790" s="9">
        <v>45532</v>
      </c>
      <c r="I4790">
        <v>35</v>
      </c>
      <c r="J4790" t="s">
        <v>26</v>
      </c>
      <c r="K4790">
        <v>1</v>
      </c>
      <c r="L4790">
        <v>8</v>
      </c>
      <c r="M4790" s="11">
        <v>27601.87</v>
      </c>
      <c r="N4790" s="12">
        <v>8060.65</v>
      </c>
      <c r="O4790" s="12">
        <v>14505.22</v>
      </c>
    </row>
    <row r="4791" spans="1:15">
      <c r="A4791" t="s">
        <v>4965</v>
      </c>
      <c r="B4791" t="s">
        <v>273</v>
      </c>
      <c r="C4791" s="9">
        <v>37622</v>
      </c>
      <c r="D4791">
        <v>23</v>
      </c>
      <c r="E4791" t="s">
        <v>17</v>
      </c>
      <c r="F4791" t="s">
        <v>74</v>
      </c>
      <c r="G4791" s="9">
        <v>45100</v>
      </c>
      <c r="H4791" s="9">
        <v>45780</v>
      </c>
      <c r="I4791">
        <v>37</v>
      </c>
      <c r="J4791" t="s">
        <v>32</v>
      </c>
      <c r="K4791">
        <v>1</v>
      </c>
      <c r="L4791">
        <v>6</v>
      </c>
      <c r="M4791" s="11">
        <v>2945.36</v>
      </c>
      <c r="N4791" s="12">
        <v>11496.63</v>
      </c>
      <c r="O4791" s="12">
        <v>3251.39</v>
      </c>
    </row>
    <row r="4792" spans="1:15">
      <c r="A4792" t="s">
        <v>4966</v>
      </c>
      <c r="B4792" t="s">
        <v>145</v>
      </c>
      <c r="C4792" s="9">
        <v>20090</v>
      </c>
      <c r="D4792">
        <v>71</v>
      </c>
      <c r="E4792" t="s">
        <v>21</v>
      </c>
      <c r="F4792" t="s">
        <v>74</v>
      </c>
      <c r="G4792" s="9">
        <v>45243</v>
      </c>
      <c r="H4792" s="9">
        <v>45551</v>
      </c>
      <c r="I4792">
        <v>6</v>
      </c>
      <c r="J4792" t="s">
        <v>32</v>
      </c>
      <c r="K4792">
        <v>5</v>
      </c>
      <c r="L4792">
        <v>0</v>
      </c>
      <c r="M4792" s="11">
        <v>0</v>
      </c>
      <c r="N4792" s="12">
        <v>12056.11</v>
      </c>
      <c r="O4792" s="12">
        <v>15038.77</v>
      </c>
    </row>
    <row r="4793" spans="1:15">
      <c r="A4793" t="s">
        <v>4967</v>
      </c>
      <c r="B4793" t="s">
        <v>469</v>
      </c>
      <c r="C4793" s="9">
        <v>43100</v>
      </c>
      <c r="D4793">
        <v>8</v>
      </c>
      <c r="E4793" t="s">
        <v>17</v>
      </c>
      <c r="F4793" t="s">
        <v>25</v>
      </c>
      <c r="G4793" s="9">
        <v>44944</v>
      </c>
      <c r="H4793" s="9">
        <v>45817</v>
      </c>
      <c r="I4793">
        <v>36</v>
      </c>
      <c r="J4793" t="s">
        <v>35</v>
      </c>
      <c r="K4793">
        <v>10</v>
      </c>
      <c r="L4793">
        <v>8</v>
      </c>
      <c r="M4793" s="11">
        <v>20531.21</v>
      </c>
      <c r="N4793" s="12">
        <v>12964.17</v>
      </c>
      <c r="O4793" s="12">
        <v>13462.93</v>
      </c>
    </row>
    <row r="4794" spans="1:15">
      <c r="A4794" t="s">
        <v>4968</v>
      </c>
      <c r="B4794" t="s">
        <v>343</v>
      </c>
      <c r="C4794" s="9">
        <v>29221</v>
      </c>
      <c r="D4794">
        <v>46</v>
      </c>
      <c r="E4794" t="s">
        <v>17</v>
      </c>
      <c r="F4794" t="s">
        <v>49</v>
      </c>
      <c r="G4794" s="9">
        <v>45412</v>
      </c>
      <c r="H4794" s="9">
        <v>45272</v>
      </c>
      <c r="I4794">
        <v>7</v>
      </c>
      <c r="J4794" t="s">
        <v>32</v>
      </c>
      <c r="K4794">
        <v>12</v>
      </c>
      <c r="L4794">
        <v>5</v>
      </c>
      <c r="M4794" s="11">
        <v>10002.700000000001</v>
      </c>
      <c r="N4794" s="12">
        <v>9540.7000000000007</v>
      </c>
      <c r="O4794" s="12">
        <v>19888.32</v>
      </c>
    </row>
    <row r="4795" spans="1:15">
      <c r="A4795" t="s">
        <v>4969</v>
      </c>
      <c r="B4795" t="s">
        <v>300</v>
      </c>
      <c r="C4795" s="9">
        <v>34334</v>
      </c>
      <c r="D4795">
        <v>32</v>
      </c>
      <c r="E4795" t="s">
        <v>21</v>
      </c>
      <c r="F4795" t="s">
        <v>18</v>
      </c>
      <c r="G4795" s="9">
        <v>45293</v>
      </c>
      <c r="H4795" s="9">
        <v>44958</v>
      </c>
      <c r="I4795">
        <v>26</v>
      </c>
      <c r="J4795" t="s">
        <v>32</v>
      </c>
      <c r="K4795">
        <v>0</v>
      </c>
      <c r="L4795">
        <v>7</v>
      </c>
      <c r="M4795" s="11">
        <v>290.92</v>
      </c>
      <c r="N4795" s="12">
        <v>13584.27</v>
      </c>
      <c r="O4795" s="12">
        <v>12336.67</v>
      </c>
    </row>
    <row r="4796" spans="1:15">
      <c r="A4796" t="s">
        <v>4970</v>
      </c>
      <c r="B4796" t="s">
        <v>176</v>
      </c>
      <c r="C4796" s="9">
        <v>23742</v>
      </c>
      <c r="D4796">
        <v>61</v>
      </c>
      <c r="E4796" t="s">
        <v>17</v>
      </c>
      <c r="F4796" t="s">
        <v>18</v>
      </c>
      <c r="G4796" s="9">
        <v>45277</v>
      </c>
      <c r="H4796" s="9">
        <v>45582</v>
      </c>
      <c r="I4796">
        <v>37</v>
      </c>
      <c r="J4796" t="s">
        <v>35</v>
      </c>
      <c r="K4796">
        <v>8</v>
      </c>
      <c r="L4796">
        <v>8</v>
      </c>
      <c r="M4796" s="11">
        <v>0</v>
      </c>
      <c r="N4796" s="12">
        <v>10359.42</v>
      </c>
      <c r="O4796" s="12">
        <v>8233.65</v>
      </c>
    </row>
    <row r="4797" spans="1:15">
      <c r="A4797" t="s">
        <v>4971</v>
      </c>
      <c r="B4797" t="s">
        <v>309</v>
      </c>
      <c r="C4797" s="9">
        <v>39448</v>
      </c>
      <c r="D4797">
        <v>18</v>
      </c>
      <c r="E4797" t="s">
        <v>21</v>
      </c>
      <c r="F4797" t="s">
        <v>29</v>
      </c>
      <c r="G4797" s="9">
        <v>45454</v>
      </c>
      <c r="H4797" s="9">
        <v>45806</v>
      </c>
      <c r="I4797">
        <v>27</v>
      </c>
      <c r="J4797" t="s">
        <v>32</v>
      </c>
      <c r="K4797">
        <v>5</v>
      </c>
      <c r="L4797">
        <v>1</v>
      </c>
      <c r="M4797" s="11">
        <v>29064.49</v>
      </c>
      <c r="N4797" s="12">
        <v>11758.71</v>
      </c>
      <c r="O4797" s="12">
        <v>19073.689999999999</v>
      </c>
    </row>
    <row r="4798" spans="1:15">
      <c r="A4798" t="s">
        <v>4972</v>
      </c>
      <c r="B4798" t="s">
        <v>264</v>
      </c>
      <c r="C4798" s="9">
        <v>21916</v>
      </c>
      <c r="D4798">
        <v>66</v>
      </c>
      <c r="E4798" t="s">
        <v>17</v>
      </c>
      <c r="F4798" t="s">
        <v>5184</v>
      </c>
      <c r="G4798" s="9">
        <v>45361</v>
      </c>
      <c r="H4798" s="9">
        <v>45737</v>
      </c>
      <c r="I4798">
        <v>1</v>
      </c>
      <c r="J4798" t="s">
        <v>32</v>
      </c>
      <c r="K4798">
        <v>14</v>
      </c>
      <c r="L4798">
        <v>1</v>
      </c>
      <c r="M4798" s="11">
        <v>29464.400000000001</v>
      </c>
      <c r="N4798" s="12">
        <v>10282.23</v>
      </c>
      <c r="O4798" s="12">
        <v>12519.61</v>
      </c>
    </row>
    <row r="4799" spans="1:15">
      <c r="A4799" t="s">
        <v>4973</v>
      </c>
      <c r="B4799" t="s">
        <v>168</v>
      </c>
      <c r="C4799" s="9">
        <v>19359</v>
      </c>
      <c r="D4799">
        <v>73</v>
      </c>
      <c r="E4799" t="s">
        <v>21</v>
      </c>
      <c r="F4799" t="s">
        <v>25</v>
      </c>
      <c r="G4799" s="9">
        <v>45196</v>
      </c>
      <c r="H4799" s="9">
        <v>45154</v>
      </c>
      <c r="I4799">
        <v>15</v>
      </c>
      <c r="J4799" t="s">
        <v>32</v>
      </c>
      <c r="K4799">
        <v>7</v>
      </c>
      <c r="L4799">
        <v>4</v>
      </c>
      <c r="M4799" s="11">
        <v>12413.86</v>
      </c>
      <c r="N4799" s="12">
        <v>13077.96</v>
      </c>
      <c r="O4799" s="12">
        <v>6907.51</v>
      </c>
    </row>
    <row r="4800" spans="1:15">
      <c r="A4800" t="s">
        <v>4974</v>
      </c>
      <c r="B4800" t="s">
        <v>44</v>
      </c>
      <c r="C4800" s="9">
        <v>31778</v>
      </c>
      <c r="D4800">
        <v>39</v>
      </c>
      <c r="E4800" t="s">
        <v>21</v>
      </c>
      <c r="F4800" t="s">
        <v>74</v>
      </c>
      <c r="G4800" s="9">
        <v>44994</v>
      </c>
      <c r="H4800" s="9">
        <v>45797</v>
      </c>
      <c r="I4800">
        <v>25</v>
      </c>
      <c r="J4800" t="s">
        <v>32</v>
      </c>
      <c r="K4800">
        <v>14</v>
      </c>
      <c r="L4800">
        <v>4</v>
      </c>
      <c r="M4800" s="11">
        <v>1650.38</v>
      </c>
      <c r="N4800" s="12">
        <v>3343.35</v>
      </c>
      <c r="O4800" s="12">
        <v>323.02</v>
      </c>
    </row>
    <row r="4801" spans="1:15">
      <c r="A4801" t="s">
        <v>4975</v>
      </c>
      <c r="B4801" t="s">
        <v>211</v>
      </c>
      <c r="C4801" s="9">
        <v>29221</v>
      </c>
      <c r="D4801">
        <v>46</v>
      </c>
      <c r="E4801" t="s">
        <v>17</v>
      </c>
      <c r="F4801" t="s">
        <v>74</v>
      </c>
      <c r="G4801" s="9">
        <v>44956</v>
      </c>
      <c r="H4801" s="9">
        <v>45177</v>
      </c>
      <c r="I4801">
        <v>29</v>
      </c>
      <c r="J4801" t="s">
        <v>35</v>
      </c>
      <c r="K4801">
        <v>1</v>
      </c>
      <c r="L4801">
        <v>9</v>
      </c>
      <c r="M4801" s="11">
        <v>9069.49</v>
      </c>
      <c r="N4801" s="12">
        <v>11398.31</v>
      </c>
      <c r="O4801" s="12">
        <v>15108.46</v>
      </c>
    </row>
    <row r="4802" spans="1:15">
      <c r="A4802" t="s">
        <v>4976</v>
      </c>
      <c r="B4802" t="s">
        <v>196</v>
      </c>
      <c r="C4802" s="9">
        <v>22646</v>
      </c>
      <c r="D4802">
        <v>64</v>
      </c>
      <c r="E4802" t="s">
        <v>21</v>
      </c>
      <c r="F4802" t="s">
        <v>25</v>
      </c>
      <c r="G4802" s="9">
        <v>45242</v>
      </c>
      <c r="H4802" s="9">
        <v>44977</v>
      </c>
      <c r="I4802">
        <v>21</v>
      </c>
      <c r="J4802" t="s">
        <v>26</v>
      </c>
      <c r="K4802">
        <v>10</v>
      </c>
      <c r="L4802">
        <v>9</v>
      </c>
      <c r="M4802" s="11">
        <v>8947.08</v>
      </c>
      <c r="N4802" s="12">
        <v>1757.35</v>
      </c>
      <c r="O4802" s="12">
        <v>2302.48</v>
      </c>
    </row>
    <row r="4803" spans="1:15">
      <c r="A4803" t="s">
        <v>4977</v>
      </c>
      <c r="B4803" t="s">
        <v>125</v>
      </c>
      <c r="C4803" s="9">
        <v>35795</v>
      </c>
      <c r="D4803">
        <v>28</v>
      </c>
      <c r="E4803" t="s">
        <v>21</v>
      </c>
      <c r="F4803" t="s">
        <v>22</v>
      </c>
      <c r="G4803" s="9">
        <v>45090</v>
      </c>
      <c r="H4803" s="9">
        <v>45653</v>
      </c>
      <c r="I4803">
        <v>35</v>
      </c>
      <c r="J4803" t="s">
        <v>26</v>
      </c>
      <c r="K4803">
        <v>12</v>
      </c>
      <c r="L4803">
        <v>1</v>
      </c>
      <c r="M4803" s="11">
        <v>2622.63</v>
      </c>
      <c r="N4803" s="12">
        <v>1379.91</v>
      </c>
      <c r="O4803" s="12">
        <v>18465.75</v>
      </c>
    </row>
    <row r="4804" spans="1:15">
      <c r="A4804" t="s">
        <v>4978</v>
      </c>
      <c r="B4804" t="s">
        <v>412</v>
      </c>
      <c r="C4804" s="9">
        <v>28125</v>
      </c>
      <c r="D4804">
        <v>49</v>
      </c>
      <c r="E4804" t="s">
        <v>17</v>
      </c>
      <c r="F4804" t="s">
        <v>18</v>
      </c>
      <c r="G4804" s="9">
        <v>45246</v>
      </c>
      <c r="H4804" s="9">
        <v>45819</v>
      </c>
      <c r="I4804">
        <v>11</v>
      </c>
      <c r="J4804" t="s">
        <v>26</v>
      </c>
      <c r="K4804">
        <v>0</v>
      </c>
      <c r="L4804">
        <v>9</v>
      </c>
      <c r="M4804" s="11">
        <v>15503.86</v>
      </c>
      <c r="N4804" s="12">
        <v>7374.34</v>
      </c>
      <c r="O4804" s="12">
        <v>19223.97</v>
      </c>
    </row>
    <row r="4805" spans="1:15">
      <c r="A4805" t="s">
        <v>4979</v>
      </c>
      <c r="B4805" t="s">
        <v>261</v>
      </c>
      <c r="C4805" s="9">
        <v>41639</v>
      </c>
      <c r="D4805">
        <v>12</v>
      </c>
      <c r="E4805" t="s">
        <v>17</v>
      </c>
      <c r="F4805" t="s">
        <v>74</v>
      </c>
      <c r="G4805" s="9">
        <v>44940</v>
      </c>
      <c r="H4805" s="9">
        <v>45316</v>
      </c>
      <c r="I4805">
        <v>22</v>
      </c>
      <c r="J4805" t="s">
        <v>26</v>
      </c>
      <c r="K4805">
        <v>9</v>
      </c>
      <c r="L4805">
        <v>3</v>
      </c>
      <c r="M4805" s="11">
        <v>17939.64</v>
      </c>
      <c r="N4805" s="12">
        <v>4503.5600000000004</v>
      </c>
      <c r="O4805" s="12">
        <v>4652.07</v>
      </c>
    </row>
    <row r="4806" spans="1:15">
      <c r="A4806" t="s">
        <v>4980</v>
      </c>
      <c r="B4806" t="s">
        <v>261</v>
      </c>
      <c r="C4806" s="9">
        <v>46022</v>
      </c>
      <c r="D4806">
        <v>0</v>
      </c>
      <c r="E4806" t="s">
        <v>17</v>
      </c>
      <c r="F4806" t="s">
        <v>5184</v>
      </c>
      <c r="G4806" s="9">
        <v>45205</v>
      </c>
      <c r="H4806" s="9">
        <v>45708</v>
      </c>
      <c r="I4806">
        <v>22</v>
      </c>
      <c r="J4806" t="s">
        <v>32</v>
      </c>
      <c r="K4806">
        <v>4</v>
      </c>
      <c r="L4806">
        <v>8</v>
      </c>
      <c r="M4806" s="11">
        <v>21728.98</v>
      </c>
      <c r="N4806" s="12">
        <v>8450.3700000000008</v>
      </c>
      <c r="O4806" s="12">
        <v>2167.39</v>
      </c>
    </row>
    <row r="4807" spans="1:15">
      <c r="A4807" t="s">
        <v>4981</v>
      </c>
      <c r="B4807" t="s">
        <v>446</v>
      </c>
      <c r="C4807" s="9">
        <v>33969</v>
      </c>
      <c r="D4807">
        <v>33</v>
      </c>
      <c r="E4807" t="s">
        <v>21</v>
      </c>
      <c r="F4807" t="s">
        <v>29</v>
      </c>
      <c r="G4807" s="9">
        <v>45358</v>
      </c>
      <c r="H4807" s="9">
        <v>45215</v>
      </c>
      <c r="I4807">
        <v>29</v>
      </c>
      <c r="J4807" t="s">
        <v>26</v>
      </c>
      <c r="K4807">
        <v>0</v>
      </c>
      <c r="L4807">
        <v>3</v>
      </c>
      <c r="M4807" s="11">
        <v>1055.92</v>
      </c>
      <c r="N4807" s="12">
        <v>10166.01</v>
      </c>
      <c r="O4807" s="12">
        <v>11865.93</v>
      </c>
    </row>
    <row r="4808" spans="1:15">
      <c r="A4808" t="s">
        <v>4982</v>
      </c>
      <c r="B4808" t="s">
        <v>422</v>
      </c>
      <c r="C4808" s="9">
        <v>12419</v>
      </c>
      <c r="D4808">
        <v>92</v>
      </c>
      <c r="E4808" t="s">
        <v>21</v>
      </c>
      <c r="F4808" t="s">
        <v>18</v>
      </c>
      <c r="G4808" s="9">
        <v>45594</v>
      </c>
      <c r="H4808" s="9">
        <v>45634</v>
      </c>
      <c r="I4808">
        <v>24</v>
      </c>
      <c r="J4808" t="s">
        <v>32</v>
      </c>
      <c r="K4808">
        <v>12</v>
      </c>
      <c r="L4808">
        <v>0</v>
      </c>
      <c r="M4808" s="11">
        <v>7899.62</v>
      </c>
      <c r="N4808" s="12">
        <v>3398.44</v>
      </c>
      <c r="O4808" s="12">
        <v>4196.01</v>
      </c>
    </row>
    <row r="4809" spans="1:15">
      <c r="A4809" t="s">
        <v>4983</v>
      </c>
      <c r="B4809" t="s">
        <v>546</v>
      </c>
      <c r="C4809" s="9">
        <v>28856</v>
      </c>
      <c r="D4809">
        <v>47</v>
      </c>
      <c r="E4809" t="s">
        <v>17</v>
      </c>
      <c r="F4809" t="s">
        <v>49</v>
      </c>
      <c r="G4809" s="9">
        <v>45560</v>
      </c>
      <c r="H4809" s="9">
        <v>45693</v>
      </c>
      <c r="I4809">
        <v>29</v>
      </c>
      <c r="J4809" t="s">
        <v>32</v>
      </c>
      <c r="K4809">
        <v>10</v>
      </c>
      <c r="L4809">
        <v>4</v>
      </c>
      <c r="M4809" s="11">
        <v>10333.709999999999</v>
      </c>
      <c r="N4809" s="12">
        <v>10498.89</v>
      </c>
      <c r="O4809" s="12">
        <v>10790.98</v>
      </c>
    </row>
    <row r="4810" spans="1:15">
      <c r="A4810" t="s">
        <v>4984</v>
      </c>
      <c r="B4810" t="s">
        <v>379</v>
      </c>
      <c r="C4810" s="9">
        <v>18263</v>
      </c>
      <c r="D4810">
        <v>76</v>
      </c>
      <c r="E4810" t="s">
        <v>21</v>
      </c>
      <c r="F4810" t="s">
        <v>5184</v>
      </c>
      <c r="G4810" s="9">
        <v>45189</v>
      </c>
      <c r="H4810" s="9">
        <v>45518</v>
      </c>
      <c r="I4810">
        <v>28</v>
      </c>
      <c r="J4810" t="s">
        <v>26</v>
      </c>
      <c r="K4810">
        <v>0</v>
      </c>
      <c r="L4810">
        <v>1</v>
      </c>
      <c r="M4810" s="11">
        <v>26713.360000000001</v>
      </c>
      <c r="N4810" s="12">
        <v>14931.89</v>
      </c>
      <c r="O4810" s="12">
        <v>8225.51</v>
      </c>
    </row>
    <row r="4811" spans="1:15">
      <c r="A4811" t="s">
        <v>4985</v>
      </c>
      <c r="B4811" t="s">
        <v>97</v>
      </c>
      <c r="C4811" s="9">
        <v>28856</v>
      </c>
      <c r="D4811">
        <v>47</v>
      </c>
      <c r="E4811" t="s">
        <v>21</v>
      </c>
      <c r="F4811" t="s">
        <v>25</v>
      </c>
      <c r="G4811" s="9">
        <v>45608</v>
      </c>
      <c r="H4811" s="9">
        <v>45402</v>
      </c>
      <c r="I4811">
        <v>21</v>
      </c>
      <c r="J4811" t="s">
        <v>26</v>
      </c>
      <c r="K4811">
        <v>3</v>
      </c>
      <c r="L4811">
        <v>5</v>
      </c>
      <c r="M4811" s="11">
        <v>26992.46</v>
      </c>
      <c r="N4811" s="12">
        <v>11399.32</v>
      </c>
      <c r="O4811" s="12">
        <v>15819.71</v>
      </c>
    </row>
    <row r="4812" spans="1:15">
      <c r="A4812" t="s">
        <v>4986</v>
      </c>
      <c r="B4812" t="s">
        <v>681</v>
      </c>
      <c r="C4812" s="9">
        <v>28490</v>
      </c>
      <c r="D4812">
        <v>48</v>
      </c>
      <c r="E4812" t="s">
        <v>17</v>
      </c>
      <c r="F4812" t="s">
        <v>18</v>
      </c>
      <c r="G4812" s="9">
        <v>45448</v>
      </c>
      <c r="H4812" s="9">
        <v>45683</v>
      </c>
      <c r="I4812">
        <v>32</v>
      </c>
      <c r="J4812" t="s">
        <v>26</v>
      </c>
      <c r="K4812">
        <v>5</v>
      </c>
      <c r="L4812">
        <v>0</v>
      </c>
      <c r="M4812" s="11">
        <v>7429.14</v>
      </c>
      <c r="N4812" s="12">
        <v>2606.8000000000002</v>
      </c>
      <c r="O4812" s="12">
        <v>19997.22</v>
      </c>
    </row>
    <row r="4813" spans="1:15">
      <c r="A4813" t="s">
        <v>4987</v>
      </c>
      <c r="B4813" t="s">
        <v>51</v>
      </c>
      <c r="C4813" s="9">
        <v>23012</v>
      </c>
      <c r="D4813">
        <v>63</v>
      </c>
      <c r="E4813" t="s">
        <v>21</v>
      </c>
      <c r="F4813" t="s">
        <v>49</v>
      </c>
      <c r="G4813" s="9">
        <v>45098</v>
      </c>
      <c r="H4813" s="9">
        <v>45530</v>
      </c>
      <c r="I4813">
        <v>27</v>
      </c>
      <c r="J4813" t="s">
        <v>32</v>
      </c>
      <c r="K4813">
        <v>2</v>
      </c>
      <c r="L4813">
        <v>6</v>
      </c>
      <c r="M4813" s="11">
        <v>14363.6</v>
      </c>
      <c r="N4813" s="12">
        <v>9505.43</v>
      </c>
      <c r="O4813" s="12">
        <v>9081.77</v>
      </c>
    </row>
    <row r="4814" spans="1:15">
      <c r="A4814" t="s">
        <v>4988</v>
      </c>
      <c r="B4814" t="s">
        <v>198</v>
      </c>
      <c r="C4814" s="9">
        <v>24107</v>
      </c>
      <c r="D4814">
        <v>60</v>
      </c>
      <c r="E4814" t="s">
        <v>21</v>
      </c>
      <c r="F4814" t="s">
        <v>29</v>
      </c>
      <c r="G4814" s="9">
        <v>45284</v>
      </c>
      <c r="H4814" s="9">
        <v>44933</v>
      </c>
      <c r="I4814">
        <v>30</v>
      </c>
      <c r="J4814" t="s">
        <v>32</v>
      </c>
      <c r="K4814">
        <v>11</v>
      </c>
      <c r="L4814">
        <v>6</v>
      </c>
      <c r="M4814" s="11">
        <v>12455.07</v>
      </c>
      <c r="N4814" s="12">
        <v>142.27000000000001</v>
      </c>
      <c r="O4814" s="12">
        <v>13668.85</v>
      </c>
    </row>
    <row r="4815" spans="1:15">
      <c r="A4815" t="s">
        <v>4989</v>
      </c>
      <c r="B4815" t="s">
        <v>226</v>
      </c>
      <c r="C4815" s="9">
        <v>35795</v>
      </c>
      <c r="D4815">
        <v>28</v>
      </c>
      <c r="E4815" t="s">
        <v>21</v>
      </c>
      <c r="F4815" t="s">
        <v>22</v>
      </c>
      <c r="G4815" s="9">
        <v>44939</v>
      </c>
      <c r="H4815" s="9">
        <v>45720</v>
      </c>
      <c r="I4815">
        <v>30</v>
      </c>
      <c r="J4815" t="s">
        <v>35</v>
      </c>
      <c r="K4815">
        <v>14</v>
      </c>
      <c r="L4815">
        <v>3</v>
      </c>
      <c r="M4815" s="11">
        <v>15564.58</v>
      </c>
      <c r="N4815" s="12">
        <v>7045.77</v>
      </c>
      <c r="O4815" s="12">
        <v>6770.29</v>
      </c>
    </row>
    <row r="4816" spans="1:15">
      <c r="A4816" t="s">
        <v>4990</v>
      </c>
      <c r="B4816" t="s">
        <v>39</v>
      </c>
      <c r="C4816" s="9">
        <v>32143</v>
      </c>
      <c r="D4816">
        <v>38</v>
      </c>
      <c r="E4816" t="s">
        <v>21</v>
      </c>
      <c r="F4816" t="s">
        <v>25</v>
      </c>
      <c r="G4816" s="9">
        <v>45651</v>
      </c>
      <c r="H4816" s="9">
        <v>45339</v>
      </c>
      <c r="I4816">
        <v>24</v>
      </c>
      <c r="J4816" t="s">
        <v>32</v>
      </c>
      <c r="K4816">
        <v>4</v>
      </c>
      <c r="L4816">
        <v>8</v>
      </c>
      <c r="M4816" s="11">
        <v>8226.5</v>
      </c>
      <c r="N4816" s="12">
        <v>7999.6</v>
      </c>
      <c r="O4816" s="12">
        <v>17236.28</v>
      </c>
    </row>
    <row r="4817" spans="1:15">
      <c r="A4817" t="s">
        <v>4991</v>
      </c>
      <c r="B4817" t="s">
        <v>28</v>
      </c>
      <c r="C4817" s="9">
        <v>14246</v>
      </c>
      <c r="D4817">
        <v>87</v>
      </c>
      <c r="E4817" t="s">
        <v>21</v>
      </c>
      <c r="F4817" t="s">
        <v>22</v>
      </c>
      <c r="G4817" s="9">
        <v>45599</v>
      </c>
      <c r="H4817" s="9">
        <v>45589</v>
      </c>
      <c r="I4817">
        <v>30</v>
      </c>
      <c r="J4817" t="s">
        <v>26</v>
      </c>
      <c r="K4817">
        <v>10</v>
      </c>
      <c r="L4817">
        <v>2</v>
      </c>
      <c r="M4817" s="11">
        <v>13619.11</v>
      </c>
      <c r="N4817" s="12">
        <v>14585.66</v>
      </c>
      <c r="O4817" s="12">
        <v>642.75</v>
      </c>
    </row>
    <row r="4818" spans="1:15">
      <c r="A4818" t="s">
        <v>4992</v>
      </c>
      <c r="B4818" t="s">
        <v>125</v>
      </c>
      <c r="C4818" s="9">
        <v>36891</v>
      </c>
      <c r="D4818">
        <v>25</v>
      </c>
      <c r="E4818" t="s">
        <v>21</v>
      </c>
      <c r="F4818" t="s">
        <v>5184</v>
      </c>
      <c r="G4818" s="9">
        <v>45158</v>
      </c>
      <c r="H4818" s="9">
        <v>45251</v>
      </c>
      <c r="I4818">
        <v>30</v>
      </c>
      <c r="J4818" t="s">
        <v>32</v>
      </c>
      <c r="K4818">
        <v>14</v>
      </c>
      <c r="L4818">
        <v>4</v>
      </c>
      <c r="M4818" s="11">
        <v>3933.8</v>
      </c>
      <c r="N4818" s="12">
        <v>11058.08</v>
      </c>
      <c r="O4818" s="12">
        <v>9819.7999999999993</v>
      </c>
    </row>
    <row r="4819" spans="1:15">
      <c r="A4819" t="s">
        <v>4993</v>
      </c>
      <c r="B4819" t="s">
        <v>278</v>
      </c>
      <c r="C4819" s="9">
        <v>40178</v>
      </c>
      <c r="D4819">
        <v>16</v>
      </c>
      <c r="E4819" t="s">
        <v>21</v>
      </c>
      <c r="F4819" t="s">
        <v>74</v>
      </c>
      <c r="G4819" s="9">
        <v>45402</v>
      </c>
      <c r="H4819" s="9">
        <v>45326</v>
      </c>
      <c r="I4819">
        <v>1</v>
      </c>
      <c r="J4819" t="s">
        <v>35</v>
      </c>
      <c r="K4819">
        <v>1</v>
      </c>
      <c r="L4819">
        <v>4</v>
      </c>
      <c r="M4819" s="11">
        <v>21141.29</v>
      </c>
      <c r="N4819" s="12">
        <v>10589.4</v>
      </c>
      <c r="O4819" s="12">
        <v>3453.19</v>
      </c>
    </row>
    <row r="4820" spans="1:15">
      <c r="A4820" t="s">
        <v>4994</v>
      </c>
      <c r="B4820" t="s">
        <v>84</v>
      </c>
      <c r="C4820" s="9">
        <v>20455</v>
      </c>
      <c r="D4820">
        <v>70</v>
      </c>
      <c r="E4820" t="s">
        <v>17</v>
      </c>
      <c r="F4820" t="s">
        <v>22</v>
      </c>
      <c r="G4820" s="9">
        <v>45397</v>
      </c>
      <c r="H4820" s="9">
        <v>45209</v>
      </c>
      <c r="I4820">
        <v>27</v>
      </c>
      <c r="J4820" t="s">
        <v>32</v>
      </c>
      <c r="K4820">
        <v>2</v>
      </c>
      <c r="L4820">
        <v>7</v>
      </c>
      <c r="M4820" s="11">
        <v>10777.08</v>
      </c>
      <c r="N4820" s="12">
        <v>7986.07</v>
      </c>
      <c r="O4820" s="12">
        <v>3454.55</v>
      </c>
    </row>
    <row r="4821" spans="1:15">
      <c r="A4821" t="s">
        <v>4995</v>
      </c>
      <c r="B4821" t="s">
        <v>192</v>
      </c>
      <c r="C4821" s="9">
        <v>41639</v>
      </c>
      <c r="D4821">
        <v>12</v>
      </c>
      <c r="E4821" t="s">
        <v>17</v>
      </c>
      <c r="F4821" t="s">
        <v>74</v>
      </c>
      <c r="G4821" s="9">
        <v>45086</v>
      </c>
      <c r="H4821" s="9">
        <v>45118</v>
      </c>
      <c r="I4821">
        <v>12</v>
      </c>
      <c r="J4821" t="s">
        <v>32</v>
      </c>
      <c r="K4821">
        <v>2</v>
      </c>
      <c r="L4821">
        <v>9</v>
      </c>
      <c r="M4821" s="11">
        <v>16043.71</v>
      </c>
      <c r="N4821" s="12">
        <v>7697.64</v>
      </c>
      <c r="O4821" s="12">
        <v>10613.21</v>
      </c>
    </row>
    <row r="4822" spans="1:15">
      <c r="A4822" t="s">
        <v>4996</v>
      </c>
      <c r="B4822" t="s">
        <v>24</v>
      </c>
      <c r="C4822" s="9">
        <f>DATE(2026-D4782,1,1)</f>
        <v>19725</v>
      </c>
      <c r="D4822">
        <v>68</v>
      </c>
      <c r="E4822" t="s">
        <v>21</v>
      </c>
      <c r="F4822" t="s">
        <v>5184</v>
      </c>
      <c r="G4822" s="9">
        <v>45565</v>
      </c>
      <c r="H4822" s="9">
        <v>45713</v>
      </c>
      <c r="I4822">
        <v>26</v>
      </c>
      <c r="J4822" t="s">
        <v>32</v>
      </c>
      <c r="K4822">
        <v>13</v>
      </c>
      <c r="L4822">
        <v>9</v>
      </c>
      <c r="M4822" s="11">
        <v>17940.34</v>
      </c>
      <c r="N4822" s="12">
        <v>14881.24</v>
      </c>
      <c r="O4822" s="12">
        <v>6086.76</v>
      </c>
    </row>
    <row r="4823" spans="1:15">
      <c r="A4823" t="s">
        <v>4997</v>
      </c>
      <c r="B4823" t="s">
        <v>67</v>
      </c>
      <c r="C4823" s="9">
        <v>36891</v>
      </c>
      <c r="D4823">
        <v>25</v>
      </c>
      <c r="E4823" t="s">
        <v>17</v>
      </c>
      <c r="F4823" t="s">
        <v>49</v>
      </c>
      <c r="G4823" s="9">
        <v>45486</v>
      </c>
      <c r="H4823" s="9">
        <v>45512</v>
      </c>
      <c r="I4823">
        <v>25</v>
      </c>
      <c r="J4823" t="s">
        <v>32</v>
      </c>
      <c r="K4823">
        <v>2</v>
      </c>
      <c r="L4823">
        <v>3</v>
      </c>
      <c r="M4823" s="11">
        <v>25014.03</v>
      </c>
      <c r="N4823" s="12">
        <v>319.02</v>
      </c>
      <c r="O4823" s="12">
        <v>9126</v>
      </c>
    </row>
    <row r="4824" spans="1:15">
      <c r="A4824" t="s">
        <v>4998</v>
      </c>
      <c r="B4824" t="s">
        <v>159</v>
      </c>
      <c r="C4824" s="9">
        <v>28490</v>
      </c>
      <c r="D4824">
        <v>48</v>
      </c>
      <c r="E4824" t="s">
        <v>21</v>
      </c>
      <c r="F4824" t="s">
        <v>18</v>
      </c>
      <c r="G4824" s="9">
        <v>45187</v>
      </c>
      <c r="H4824" s="9">
        <v>45757</v>
      </c>
      <c r="I4824">
        <v>29</v>
      </c>
      <c r="J4824" t="s">
        <v>26</v>
      </c>
      <c r="K4824">
        <v>10</v>
      </c>
      <c r="L4824">
        <v>0</v>
      </c>
      <c r="M4824" s="11">
        <v>1993.66</v>
      </c>
      <c r="N4824" s="12">
        <v>4548.09</v>
      </c>
      <c r="O4824" s="12">
        <v>6043.76</v>
      </c>
    </row>
    <row r="4825" spans="1:15">
      <c r="A4825" t="s">
        <v>4999</v>
      </c>
      <c r="B4825" t="s">
        <v>246</v>
      </c>
      <c r="C4825" s="9">
        <v>21916</v>
      </c>
      <c r="D4825">
        <v>66</v>
      </c>
      <c r="E4825" t="s">
        <v>21</v>
      </c>
      <c r="F4825" t="s">
        <v>29</v>
      </c>
      <c r="G4825" s="9">
        <v>45499</v>
      </c>
      <c r="H4825" s="9">
        <v>45427</v>
      </c>
      <c r="I4825">
        <v>33</v>
      </c>
      <c r="J4825" t="s">
        <v>26</v>
      </c>
      <c r="K4825">
        <v>1</v>
      </c>
      <c r="L4825">
        <v>4</v>
      </c>
      <c r="M4825" s="11">
        <v>14223.57</v>
      </c>
      <c r="N4825" s="12">
        <v>2006.76</v>
      </c>
      <c r="O4825" s="12">
        <v>9046.89</v>
      </c>
    </row>
    <row r="4826" spans="1:15">
      <c r="A4826" t="s">
        <v>5000</v>
      </c>
      <c r="B4826" t="s">
        <v>91</v>
      </c>
      <c r="C4826" s="9">
        <v>43831</v>
      </c>
      <c r="D4826">
        <v>6</v>
      </c>
      <c r="E4826" t="s">
        <v>21</v>
      </c>
      <c r="F4826" t="s">
        <v>49</v>
      </c>
      <c r="G4826" s="9">
        <v>45560</v>
      </c>
      <c r="H4826" s="9">
        <v>45507</v>
      </c>
      <c r="I4826">
        <v>27</v>
      </c>
      <c r="J4826" t="s">
        <v>32</v>
      </c>
      <c r="K4826">
        <v>11</v>
      </c>
      <c r="L4826">
        <v>0</v>
      </c>
      <c r="M4826" s="11">
        <v>26769.200000000001</v>
      </c>
      <c r="N4826" s="12">
        <v>4724.58</v>
      </c>
      <c r="O4826" s="12">
        <v>5647</v>
      </c>
    </row>
    <row r="4827" spans="1:15">
      <c r="A4827" t="s">
        <v>5001</v>
      </c>
      <c r="B4827" t="s">
        <v>204</v>
      </c>
      <c r="C4827" s="9">
        <v>25203</v>
      </c>
      <c r="D4827">
        <v>57</v>
      </c>
      <c r="E4827" t="s">
        <v>17</v>
      </c>
      <c r="F4827" t="s">
        <v>29</v>
      </c>
      <c r="G4827" s="9">
        <v>45528</v>
      </c>
      <c r="H4827" s="9">
        <v>45743</v>
      </c>
      <c r="I4827">
        <v>39</v>
      </c>
      <c r="J4827" t="s">
        <v>32</v>
      </c>
      <c r="K4827">
        <v>2</v>
      </c>
      <c r="L4827">
        <v>2</v>
      </c>
      <c r="M4827" s="11">
        <v>9558.82</v>
      </c>
      <c r="N4827" s="12">
        <v>6954.3</v>
      </c>
      <c r="O4827" s="12">
        <v>16051.38</v>
      </c>
    </row>
    <row r="4828" spans="1:15">
      <c r="A4828" t="s">
        <v>5002</v>
      </c>
      <c r="B4828" t="s">
        <v>129</v>
      </c>
      <c r="C4828" s="9">
        <v>28490</v>
      </c>
      <c r="D4828">
        <f ca="1">DATEDIF(C4779,TODAY(),"Y")</f>
        <v>9</v>
      </c>
      <c r="E4828" t="s">
        <v>17</v>
      </c>
      <c r="F4828" t="s">
        <v>22</v>
      </c>
      <c r="G4828" s="9">
        <v>45285</v>
      </c>
      <c r="H4828" s="9">
        <v>45361</v>
      </c>
      <c r="I4828">
        <v>35</v>
      </c>
      <c r="J4828" t="s">
        <v>35</v>
      </c>
      <c r="K4828">
        <v>2</v>
      </c>
      <c r="L4828">
        <v>5</v>
      </c>
      <c r="M4828" s="11">
        <v>13058.05</v>
      </c>
      <c r="N4828" s="12">
        <v>5128.99</v>
      </c>
      <c r="O4828" s="12">
        <v>11112.34</v>
      </c>
    </row>
    <row r="4829" spans="1:15">
      <c r="A4829" t="s">
        <v>5003</v>
      </c>
      <c r="B4829" t="s">
        <v>24</v>
      </c>
      <c r="C4829" s="9">
        <v>27029</v>
      </c>
      <c r="D4829">
        <v>52</v>
      </c>
      <c r="E4829" t="s">
        <v>17</v>
      </c>
      <c r="F4829" t="s">
        <v>29</v>
      </c>
      <c r="G4829" s="9">
        <v>45181</v>
      </c>
      <c r="H4829" s="9">
        <v>44990</v>
      </c>
      <c r="I4829">
        <v>39</v>
      </c>
      <c r="J4829" t="s">
        <v>35</v>
      </c>
      <c r="K4829">
        <v>4</v>
      </c>
      <c r="L4829">
        <v>0</v>
      </c>
      <c r="M4829" s="11">
        <v>2094.77</v>
      </c>
      <c r="N4829" s="12">
        <v>14440.58</v>
      </c>
      <c r="O4829" s="12">
        <v>3144.81</v>
      </c>
    </row>
    <row r="4830" spans="1:15">
      <c r="A4830" t="s">
        <v>5004</v>
      </c>
      <c r="B4830" t="s">
        <v>194</v>
      </c>
      <c r="C4830" s="9">
        <v>22646</v>
      </c>
      <c r="D4830">
        <v>64</v>
      </c>
      <c r="E4830" t="s">
        <v>21</v>
      </c>
      <c r="F4830" t="s">
        <v>22</v>
      </c>
      <c r="G4830" s="9">
        <v>45528</v>
      </c>
      <c r="H4830" s="9">
        <v>45380</v>
      </c>
      <c r="I4830">
        <v>9</v>
      </c>
      <c r="J4830" t="s">
        <v>32</v>
      </c>
      <c r="K4830">
        <v>7</v>
      </c>
      <c r="L4830">
        <v>9</v>
      </c>
      <c r="M4830" s="11">
        <v>22395.54</v>
      </c>
      <c r="N4830" s="12">
        <v>10208.82</v>
      </c>
      <c r="O4830" s="12">
        <v>70.010000000000005</v>
      </c>
    </row>
    <row r="4831" spans="1:15">
      <c r="A4831" t="s">
        <v>5005</v>
      </c>
      <c r="B4831" t="s">
        <v>153</v>
      </c>
      <c r="C4831" s="9">
        <v>23742</v>
      </c>
      <c r="D4831">
        <v>61</v>
      </c>
      <c r="E4831" t="s">
        <v>21</v>
      </c>
      <c r="F4831" t="s">
        <v>29</v>
      </c>
      <c r="G4831" s="9">
        <v>45441</v>
      </c>
      <c r="H4831" s="9">
        <v>45420</v>
      </c>
      <c r="I4831">
        <v>0</v>
      </c>
      <c r="J4831" t="s">
        <v>35</v>
      </c>
      <c r="K4831">
        <v>8</v>
      </c>
      <c r="L4831">
        <v>2</v>
      </c>
      <c r="M4831" s="11">
        <v>2093.16</v>
      </c>
      <c r="N4831" s="12">
        <v>10920.67</v>
      </c>
      <c r="O4831" s="12">
        <v>251.64</v>
      </c>
    </row>
    <row r="4832" spans="1:15">
      <c r="A4832" t="s">
        <v>5006</v>
      </c>
      <c r="B4832" t="s">
        <v>1148</v>
      </c>
      <c r="C4832" s="9">
        <v>40178</v>
      </c>
      <c r="D4832">
        <v>16</v>
      </c>
      <c r="E4832" t="s">
        <v>17</v>
      </c>
      <c r="F4832" t="s">
        <v>25</v>
      </c>
      <c r="G4832" s="9">
        <v>45206</v>
      </c>
      <c r="H4832" s="9">
        <v>45573</v>
      </c>
      <c r="I4832">
        <v>12</v>
      </c>
      <c r="J4832" t="s">
        <v>32</v>
      </c>
      <c r="K4832">
        <v>14</v>
      </c>
      <c r="L4832">
        <v>6</v>
      </c>
      <c r="M4832" s="11">
        <v>18744.830000000002</v>
      </c>
      <c r="N4832" s="12">
        <v>11134.38</v>
      </c>
      <c r="O4832" s="12">
        <v>8375.9699999999993</v>
      </c>
    </row>
    <row r="4833" spans="1:15">
      <c r="A4833" t="s">
        <v>5007</v>
      </c>
      <c r="B4833" t="s">
        <v>51</v>
      </c>
      <c r="C4833" s="9">
        <v>30682</v>
      </c>
      <c r="D4833">
        <v>42</v>
      </c>
      <c r="E4833" t="s">
        <v>21</v>
      </c>
      <c r="F4833" t="s">
        <v>49</v>
      </c>
      <c r="G4833" s="9">
        <v>45043</v>
      </c>
      <c r="H4833" s="9">
        <v>45369</v>
      </c>
      <c r="I4833">
        <v>7</v>
      </c>
      <c r="J4833" t="s">
        <v>32</v>
      </c>
      <c r="K4833">
        <v>4</v>
      </c>
      <c r="L4833">
        <v>1</v>
      </c>
      <c r="M4833" s="11">
        <v>10914.48</v>
      </c>
      <c r="N4833" s="12">
        <v>13488.4</v>
      </c>
      <c r="O4833" s="12">
        <v>6213.78</v>
      </c>
    </row>
    <row r="4834" spans="1:15">
      <c r="A4834" t="s">
        <v>5008</v>
      </c>
      <c r="B4834" t="s">
        <v>39</v>
      </c>
      <c r="C4834" s="9">
        <v>37256</v>
      </c>
      <c r="D4834">
        <v>24</v>
      </c>
      <c r="E4834" t="s">
        <v>17</v>
      </c>
      <c r="F4834" t="s">
        <v>25</v>
      </c>
      <c r="G4834" s="9">
        <v>45536</v>
      </c>
      <c r="H4834" s="9">
        <v>45234</v>
      </c>
      <c r="I4834">
        <v>19</v>
      </c>
      <c r="J4834" t="s">
        <v>35</v>
      </c>
      <c r="K4834">
        <v>4</v>
      </c>
      <c r="L4834">
        <v>5</v>
      </c>
      <c r="M4834" s="11">
        <v>9813.8700000000008</v>
      </c>
      <c r="N4834" s="12">
        <v>11520.28</v>
      </c>
      <c r="O4834" s="12">
        <v>5168.43</v>
      </c>
    </row>
    <row r="4835" spans="1:15">
      <c r="A4835" t="s">
        <v>5009</v>
      </c>
      <c r="B4835" t="s">
        <v>215</v>
      </c>
      <c r="C4835" s="9">
        <v>45292</v>
      </c>
      <c r="D4835">
        <v>2</v>
      </c>
      <c r="E4835" t="s">
        <v>17</v>
      </c>
      <c r="F4835" t="s">
        <v>18</v>
      </c>
      <c r="G4835" s="9">
        <v>45088</v>
      </c>
      <c r="H4835" s="9">
        <v>45707</v>
      </c>
      <c r="I4835">
        <v>20</v>
      </c>
      <c r="J4835" t="s">
        <v>32</v>
      </c>
      <c r="K4835">
        <v>5</v>
      </c>
      <c r="L4835">
        <v>6</v>
      </c>
      <c r="M4835" s="11">
        <v>17357.86</v>
      </c>
      <c r="N4835" s="12">
        <v>243.07</v>
      </c>
      <c r="O4835" s="12">
        <v>12420.81</v>
      </c>
    </row>
    <row r="4836" spans="1:15">
      <c r="A4836" t="s">
        <v>5010</v>
      </c>
      <c r="B4836" t="s">
        <v>479</v>
      </c>
      <c r="C4836" s="9">
        <v>17533</v>
      </c>
      <c r="D4836">
        <v>78</v>
      </c>
      <c r="E4836" t="s">
        <v>17</v>
      </c>
      <c r="F4836" t="s">
        <v>18</v>
      </c>
      <c r="G4836" s="9">
        <v>45224</v>
      </c>
      <c r="H4836" s="9">
        <v>45662</v>
      </c>
      <c r="I4836">
        <v>8</v>
      </c>
      <c r="J4836" t="s">
        <v>26</v>
      </c>
      <c r="K4836">
        <v>5</v>
      </c>
      <c r="L4836">
        <v>1</v>
      </c>
      <c r="M4836" s="11">
        <v>16813.91</v>
      </c>
      <c r="N4836" s="12">
        <v>3920.94</v>
      </c>
      <c r="O4836" s="12">
        <v>16245.29</v>
      </c>
    </row>
    <row r="4837" spans="1:15">
      <c r="A4837" t="s">
        <v>5011</v>
      </c>
      <c r="B4837" t="s">
        <v>151</v>
      </c>
      <c r="C4837" s="9">
        <v>35795</v>
      </c>
      <c r="D4837">
        <v>28</v>
      </c>
      <c r="E4837" t="s">
        <v>17</v>
      </c>
      <c r="F4837" t="s">
        <v>74</v>
      </c>
      <c r="G4837" s="9">
        <v>45223</v>
      </c>
      <c r="H4837" s="9">
        <v>45053</v>
      </c>
      <c r="I4837">
        <v>13</v>
      </c>
      <c r="J4837" t="s">
        <v>32</v>
      </c>
      <c r="K4837">
        <v>14</v>
      </c>
      <c r="L4837">
        <v>4</v>
      </c>
      <c r="M4837" s="11">
        <v>11866.32</v>
      </c>
      <c r="N4837" s="12">
        <v>14836.57</v>
      </c>
      <c r="O4837" s="12">
        <v>1173.94</v>
      </c>
    </row>
    <row r="4838" spans="1:15">
      <c r="A4838" t="s">
        <v>5012</v>
      </c>
      <c r="B4838" t="s">
        <v>671</v>
      </c>
      <c r="C4838" s="9">
        <v>34700</v>
      </c>
      <c r="D4838">
        <v>31</v>
      </c>
      <c r="E4838" t="s">
        <v>17</v>
      </c>
      <c r="F4838" t="s">
        <v>74</v>
      </c>
      <c r="G4838" s="9">
        <v>45520</v>
      </c>
      <c r="H4838" s="9">
        <v>45192</v>
      </c>
      <c r="I4838">
        <v>13</v>
      </c>
      <c r="J4838" t="s">
        <v>32</v>
      </c>
      <c r="K4838">
        <v>1</v>
      </c>
      <c r="L4838">
        <v>9</v>
      </c>
      <c r="M4838" s="11">
        <v>7989.51</v>
      </c>
      <c r="N4838" s="12">
        <v>9781.8700000000008</v>
      </c>
      <c r="O4838" s="12">
        <v>2110.4699999999998</v>
      </c>
    </row>
    <row r="4839" spans="1:15">
      <c r="A4839" t="s">
        <v>5013</v>
      </c>
      <c r="B4839" t="s">
        <v>654</v>
      </c>
      <c r="C4839" s="9">
        <v>36891</v>
      </c>
      <c r="D4839">
        <v>25</v>
      </c>
      <c r="E4839" t="s">
        <v>17</v>
      </c>
      <c r="F4839" t="s">
        <v>74</v>
      </c>
      <c r="G4839" s="9">
        <v>45284</v>
      </c>
      <c r="H4839" s="9">
        <v>44934</v>
      </c>
      <c r="I4839">
        <v>11</v>
      </c>
      <c r="J4839" t="s">
        <v>26</v>
      </c>
      <c r="K4839">
        <v>6</v>
      </c>
      <c r="L4839">
        <v>9</v>
      </c>
      <c r="M4839" s="11">
        <v>14999.15</v>
      </c>
      <c r="N4839" s="12">
        <v>1021.77</v>
      </c>
      <c r="O4839" s="12">
        <v>7311.8</v>
      </c>
    </row>
    <row r="4840" spans="1:15">
      <c r="A4840" t="s">
        <v>5014</v>
      </c>
      <c r="B4840" t="s">
        <v>338</v>
      </c>
      <c r="C4840" s="9">
        <v>40544</v>
      </c>
      <c r="D4840">
        <v>15</v>
      </c>
      <c r="E4840" t="s">
        <v>17</v>
      </c>
      <c r="F4840" t="s">
        <v>5184</v>
      </c>
      <c r="G4840" s="9">
        <v>45586</v>
      </c>
      <c r="H4840" s="9">
        <v>45340</v>
      </c>
      <c r="I4840">
        <v>3</v>
      </c>
      <c r="J4840" t="s">
        <v>32</v>
      </c>
      <c r="K4840">
        <v>1</v>
      </c>
      <c r="L4840">
        <v>0</v>
      </c>
      <c r="M4840" s="11">
        <v>7646.63</v>
      </c>
      <c r="N4840" s="12">
        <v>6999.57</v>
      </c>
      <c r="O4840" s="12">
        <v>8773.8799999999992</v>
      </c>
    </row>
    <row r="4841" spans="1:15">
      <c r="A4841" t="s">
        <v>5015</v>
      </c>
      <c r="B4841" t="s">
        <v>51</v>
      </c>
      <c r="C4841" s="9">
        <v>37256</v>
      </c>
      <c r="D4841">
        <v>24</v>
      </c>
      <c r="E4841" t="s">
        <v>21</v>
      </c>
      <c r="F4841" t="s">
        <v>18</v>
      </c>
      <c r="G4841" s="9">
        <v>45444</v>
      </c>
      <c r="H4841" s="9">
        <v>45133</v>
      </c>
      <c r="I4841">
        <v>39</v>
      </c>
      <c r="J4841" t="s">
        <v>26</v>
      </c>
      <c r="K4841">
        <v>13</v>
      </c>
      <c r="L4841">
        <v>2</v>
      </c>
      <c r="M4841" s="11">
        <v>2630.56</v>
      </c>
      <c r="N4841" s="12">
        <v>14712.52</v>
      </c>
      <c r="O4841" s="12">
        <v>7844.13</v>
      </c>
    </row>
    <row r="4842" spans="1:15">
      <c r="A4842" t="s">
        <v>5016</v>
      </c>
      <c r="B4842" t="s">
        <v>170</v>
      </c>
      <c r="C4842" s="9">
        <v>26664</v>
      </c>
      <c r="D4842">
        <v>53</v>
      </c>
      <c r="E4842" t="s">
        <v>17</v>
      </c>
      <c r="F4842" t="s">
        <v>29</v>
      </c>
      <c r="G4842" s="9">
        <v>45304</v>
      </c>
      <c r="H4842" s="9">
        <v>45106</v>
      </c>
      <c r="I4842">
        <v>14</v>
      </c>
      <c r="J4842" t="s">
        <v>35</v>
      </c>
      <c r="K4842">
        <v>7</v>
      </c>
      <c r="L4842">
        <v>0</v>
      </c>
      <c r="M4842" s="11">
        <v>23874.15</v>
      </c>
      <c r="N4842" s="12">
        <v>14892.57</v>
      </c>
      <c r="O4842" s="12">
        <v>12736.6</v>
      </c>
    </row>
    <row r="4843" spans="1:15">
      <c r="A4843" t="s">
        <v>5017</v>
      </c>
      <c r="B4843" t="s">
        <v>596</v>
      </c>
      <c r="C4843" s="9">
        <v>36161</v>
      </c>
      <c r="D4843">
        <v>27</v>
      </c>
      <c r="E4843" t="s">
        <v>21</v>
      </c>
      <c r="F4843" t="s">
        <v>22</v>
      </c>
      <c r="G4843" s="9">
        <v>45623</v>
      </c>
      <c r="H4843" s="9">
        <v>45395</v>
      </c>
      <c r="I4843">
        <v>28</v>
      </c>
      <c r="J4843" t="s">
        <v>26</v>
      </c>
      <c r="K4843">
        <v>12</v>
      </c>
      <c r="L4843">
        <v>2</v>
      </c>
      <c r="M4843" s="11">
        <v>20920.45</v>
      </c>
      <c r="N4843" s="12">
        <v>6486.7</v>
      </c>
      <c r="O4843" s="12">
        <v>1653.03</v>
      </c>
    </row>
    <row r="4844" spans="1:15">
      <c r="A4844" t="s">
        <v>5018</v>
      </c>
      <c r="B4844" t="s">
        <v>264</v>
      </c>
      <c r="C4844" s="9">
        <v>19724</v>
      </c>
      <c r="D4844">
        <v>72</v>
      </c>
      <c r="E4844" t="s">
        <v>21</v>
      </c>
      <c r="F4844" t="s">
        <v>5184</v>
      </c>
      <c r="G4844" s="9">
        <v>45352</v>
      </c>
      <c r="H4844" s="9">
        <v>45423</v>
      </c>
      <c r="I4844">
        <v>39</v>
      </c>
      <c r="J4844" t="s">
        <v>32</v>
      </c>
      <c r="K4844">
        <v>12</v>
      </c>
      <c r="L4844">
        <v>3</v>
      </c>
      <c r="M4844" s="11">
        <v>2072.6999999999998</v>
      </c>
      <c r="N4844" s="12">
        <v>13395.8</v>
      </c>
      <c r="O4844" s="12">
        <v>9844.0400000000009</v>
      </c>
    </row>
    <row r="4845" spans="1:15">
      <c r="A4845" t="s">
        <v>5019</v>
      </c>
      <c r="B4845" t="s">
        <v>73</v>
      </c>
      <c r="C4845" s="9">
        <v>25934</v>
      </c>
      <c r="D4845">
        <v>55</v>
      </c>
      <c r="E4845" t="s">
        <v>21</v>
      </c>
      <c r="F4845" t="s">
        <v>29</v>
      </c>
      <c r="G4845" s="9">
        <v>45463</v>
      </c>
      <c r="H4845" s="9">
        <v>45622</v>
      </c>
      <c r="I4845">
        <v>7</v>
      </c>
      <c r="J4845" t="s">
        <v>32</v>
      </c>
      <c r="K4845">
        <v>13</v>
      </c>
      <c r="L4845">
        <v>4</v>
      </c>
      <c r="M4845" s="11">
        <v>4459.47</v>
      </c>
      <c r="N4845" s="12">
        <v>8879.8799999999992</v>
      </c>
      <c r="O4845" s="12">
        <v>16216.06</v>
      </c>
    </row>
    <row r="4846" spans="1:15">
      <c r="A4846" t="s">
        <v>5020</v>
      </c>
      <c r="B4846" t="s">
        <v>119</v>
      </c>
      <c r="C4846" s="9">
        <v>22646</v>
      </c>
      <c r="D4846">
        <v>64</v>
      </c>
      <c r="E4846" t="s">
        <v>21</v>
      </c>
      <c r="F4846" t="s">
        <v>49</v>
      </c>
      <c r="G4846" s="9">
        <v>45479</v>
      </c>
      <c r="H4846" s="9">
        <v>45370</v>
      </c>
      <c r="I4846">
        <v>17</v>
      </c>
      <c r="J4846" t="s">
        <v>35</v>
      </c>
      <c r="K4846">
        <v>2</v>
      </c>
      <c r="L4846">
        <v>3</v>
      </c>
      <c r="M4846" s="11">
        <v>2555.08</v>
      </c>
      <c r="N4846" s="12">
        <v>7641.44</v>
      </c>
      <c r="O4846" s="12">
        <v>18562.03</v>
      </c>
    </row>
    <row r="4847" spans="1:15">
      <c r="A4847" t="s">
        <v>5021</v>
      </c>
      <c r="B4847" t="s">
        <v>194</v>
      </c>
      <c r="C4847" s="9">
        <v>12419</v>
      </c>
      <c r="D4847">
        <v>92</v>
      </c>
      <c r="E4847" t="s">
        <v>17</v>
      </c>
      <c r="F4847" t="s">
        <v>18</v>
      </c>
      <c r="G4847" s="9">
        <v>45095</v>
      </c>
      <c r="H4847" s="9">
        <v>45155</v>
      </c>
      <c r="I4847">
        <v>6</v>
      </c>
      <c r="J4847" t="s">
        <v>32</v>
      </c>
      <c r="K4847">
        <v>7</v>
      </c>
      <c r="L4847">
        <v>3</v>
      </c>
      <c r="M4847" s="11">
        <v>23616.66</v>
      </c>
      <c r="N4847" s="12">
        <v>6179.14</v>
      </c>
      <c r="O4847" s="12">
        <v>11163.56</v>
      </c>
    </row>
    <row r="4848" spans="1:15">
      <c r="A4848" t="s">
        <v>5022</v>
      </c>
      <c r="B4848" t="s">
        <v>444</v>
      </c>
      <c r="C4848" s="9">
        <v>14976</v>
      </c>
      <c r="D4848">
        <v>85</v>
      </c>
      <c r="E4848" t="s">
        <v>17</v>
      </c>
      <c r="F4848" t="s">
        <v>22</v>
      </c>
      <c r="G4848" s="9">
        <v>45441</v>
      </c>
      <c r="H4848" s="9">
        <v>45675</v>
      </c>
      <c r="I4848">
        <v>12</v>
      </c>
      <c r="J4848" t="s">
        <v>32</v>
      </c>
      <c r="K4848">
        <v>6</v>
      </c>
      <c r="L4848">
        <v>8</v>
      </c>
      <c r="M4848" s="11">
        <v>23072.560000000001</v>
      </c>
      <c r="N4848" s="12">
        <v>13381.95</v>
      </c>
      <c r="O4848" s="12">
        <v>2682.33</v>
      </c>
    </row>
    <row r="4849" spans="1:15">
      <c r="A4849" t="s">
        <v>5023</v>
      </c>
      <c r="B4849" t="s">
        <v>302</v>
      </c>
      <c r="C4849" s="9">
        <v>17168</v>
      </c>
      <c r="D4849">
        <v>79</v>
      </c>
      <c r="E4849" t="s">
        <v>21</v>
      </c>
      <c r="F4849" t="s">
        <v>22</v>
      </c>
      <c r="G4849" s="9">
        <v>45290</v>
      </c>
      <c r="H4849" s="9">
        <v>45073</v>
      </c>
      <c r="I4849">
        <v>36</v>
      </c>
      <c r="J4849" t="s">
        <v>35</v>
      </c>
      <c r="K4849">
        <v>7</v>
      </c>
      <c r="L4849">
        <v>8</v>
      </c>
      <c r="M4849" s="11">
        <v>11945.06</v>
      </c>
      <c r="N4849" s="12">
        <v>9316.9</v>
      </c>
      <c r="O4849" s="12">
        <v>14522.2</v>
      </c>
    </row>
    <row r="4850" spans="1:15">
      <c r="A4850" t="s">
        <v>5024</v>
      </c>
      <c r="B4850" t="s">
        <v>249</v>
      </c>
      <c r="C4850" s="9">
        <v>31412</v>
      </c>
      <c r="D4850">
        <v>40</v>
      </c>
      <c r="E4850" t="s">
        <v>21</v>
      </c>
      <c r="F4850" t="s">
        <v>22</v>
      </c>
      <c r="G4850" s="9">
        <v>45609</v>
      </c>
      <c r="H4850" s="9">
        <v>45497</v>
      </c>
      <c r="I4850">
        <v>1</v>
      </c>
      <c r="J4850" t="s">
        <v>32</v>
      </c>
      <c r="K4850">
        <v>13</v>
      </c>
      <c r="L4850">
        <v>8</v>
      </c>
      <c r="M4850" s="11">
        <v>24552.720000000001</v>
      </c>
      <c r="N4850" s="12">
        <v>5006.96</v>
      </c>
      <c r="O4850" s="12">
        <v>15906.26</v>
      </c>
    </row>
    <row r="4851" spans="1:15">
      <c r="A4851" t="s">
        <v>5025</v>
      </c>
      <c r="B4851" t="s">
        <v>348</v>
      </c>
      <c r="C4851" s="9">
        <f>DATE(2026-D4811,1,1)</f>
        <v>28856</v>
      </c>
      <c r="D4851">
        <v>50</v>
      </c>
      <c r="E4851" t="s">
        <v>17</v>
      </c>
      <c r="F4851" t="s">
        <v>74</v>
      </c>
      <c r="G4851" s="9">
        <v>45356</v>
      </c>
      <c r="H4851" s="9">
        <v>45223</v>
      </c>
      <c r="I4851">
        <v>1</v>
      </c>
      <c r="J4851" t="s">
        <v>35</v>
      </c>
      <c r="K4851">
        <v>12</v>
      </c>
      <c r="L4851">
        <v>4</v>
      </c>
      <c r="M4851" s="11">
        <v>29205.75</v>
      </c>
      <c r="N4851" s="12">
        <v>7378.99</v>
      </c>
      <c r="O4851" s="12">
        <v>3845.45</v>
      </c>
    </row>
    <row r="4852" spans="1:15">
      <c r="A4852" t="s">
        <v>5026</v>
      </c>
      <c r="B4852" t="s">
        <v>249</v>
      </c>
      <c r="C4852" s="9">
        <v>20455</v>
      </c>
      <c r="D4852">
        <v>70</v>
      </c>
      <c r="E4852" t="s">
        <v>17</v>
      </c>
      <c r="F4852" t="s">
        <v>22</v>
      </c>
      <c r="G4852" s="9">
        <v>45495</v>
      </c>
      <c r="H4852" s="9">
        <v>45168</v>
      </c>
      <c r="I4852">
        <v>21</v>
      </c>
      <c r="J4852" t="s">
        <v>32</v>
      </c>
      <c r="K4852">
        <v>4</v>
      </c>
      <c r="L4852">
        <v>4</v>
      </c>
      <c r="M4852" s="11">
        <v>29099.25</v>
      </c>
      <c r="N4852" s="12">
        <v>6661.19</v>
      </c>
      <c r="O4852" s="12">
        <v>13517.85</v>
      </c>
    </row>
    <row r="4853" spans="1:15">
      <c r="A4853" t="s">
        <v>5027</v>
      </c>
      <c r="B4853" t="s">
        <v>59</v>
      </c>
      <c r="C4853" s="9">
        <v>17898</v>
      </c>
      <c r="D4853">
        <v>77</v>
      </c>
      <c r="E4853" t="s">
        <v>17</v>
      </c>
      <c r="F4853" t="s">
        <v>22</v>
      </c>
      <c r="G4853" s="9">
        <v>45009</v>
      </c>
      <c r="H4853" s="9">
        <v>45784</v>
      </c>
      <c r="I4853">
        <v>15</v>
      </c>
      <c r="J4853" t="s">
        <v>35</v>
      </c>
      <c r="K4853">
        <v>7</v>
      </c>
      <c r="L4853">
        <v>1</v>
      </c>
      <c r="M4853" s="11">
        <v>29416.15</v>
      </c>
      <c r="N4853" s="12">
        <v>6767.31</v>
      </c>
      <c r="O4853" s="12">
        <v>18603.349999999999</v>
      </c>
    </row>
    <row r="4854" spans="1:15">
      <c r="A4854" t="s">
        <v>5028</v>
      </c>
      <c r="B4854" t="s">
        <v>367</v>
      </c>
      <c r="C4854" s="9">
        <v>35795</v>
      </c>
      <c r="D4854">
        <v>28</v>
      </c>
      <c r="E4854" t="s">
        <v>21</v>
      </c>
      <c r="F4854" t="s">
        <v>18</v>
      </c>
      <c r="G4854" s="9">
        <v>45256</v>
      </c>
      <c r="H4854" s="9">
        <v>45214</v>
      </c>
      <c r="I4854">
        <v>8</v>
      </c>
      <c r="J4854" t="s">
        <v>32</v>
      </c>
      <c r="K4854">
        <v>2</v>
      </c>
      <c r="L4854">
        <v>5</v>
      </c>
      <c r="M4854" s="11">
        <v>25314.73</v>
      </c>
      <c r="N4854" s="12">
        <v>4674.1499999999996</v>
      </c>
      <c r="O4854" s="12">
        <v>14348.72</v>
      </c>
    </row>
    <row r="4855" spans="1:15">
      <c r="A4855" t="s">
        <v>5029</v>
      </c>
      <c r="B4855" t="s">
        <v>412</v>
      </c>
      <c r="C4855" s="9">
        <v>16072</v>
      </c>
      <c r="D4855">
        <v>82</v>
      </c>
      <c r="E4855" t="s">
        <v>17</v>
      </c>
      <c r="F4855" t="s">
        <v>29</v>
      </c>
      <c r="G4855" s="9">
        <v>45617</v>
      </c>
      <c r="H4855" s="9">
        <v>45602</v>
      </c>
      <c r="I4855">
        <v>34</v>
      </c>
      <c r="J4855" t="s">
        <v>32</v>
      </c>
      <c r="K4855">
        <v>1</v>
      </c>
      <c r="L4855">
        <v>1</v>
      </c>
      <c r="M4855" s="11">
        <v>6118.13</v>
      </c>
      <c r="N4855" s="12">
        <v>9494.36</v>
      </c>
      <c r="O4855" s="12">
        <v>8252.92</v>
      </c>
    </row>
    <row r="4856" spans="1:15">
      <c r="A4856" t="s">
        <v>5030</v>
      </c>
      <c r="B4856" t="s">
        <v>524</v>
      </c>
      <c r="C4856" s="9">
        <v>39448</v>
      </c>
      <c r="D4856">
        <v>18</v>
      </c>
      <c r="E4856" t="s">
        <v>17</v>
      </c>
      <c r="F4856" t="s">
        <v>5184</v>
      </c>
      <c r="G4856" s="9">
        <v>45059</v>
      </c>
      <c r="H4856" s="9">
        <v>44953</v>
      </c>
      <c r="I4856">
        <v>23</v>
      </c>
      <c r="J4856" t="s">
        <v>26</v>
      </c>
      <c r="K4856">
        <v>1</v>
      </c>
      <c r="L4856">
        <v>9</v>
      </c>
      <c r="M4856" s="11">
        <v>1251.25</v>
      </c>
      <c r="N4856" s="12">
        <v>783.56</v>
      </c>
      <c r="O4856" s="12">
        <v>8799.5400000000009</v>
      </c>
    </row>
    <row r="4857" spans="1:15">
      <c r="A4857" t="s">
        <v>5031</v>
      </c>
      <c r="B4857" t="s">
        <v>176</v>
      </c>
      <c r="C4857" s="9">
        <v>22281</v>
      </c>
      <c r="D4857">
        <v>65</v>
      </c>
      <c r="E4857" t="s">
        <v>21</v>
      </c>
      <c r="F4857" t="s">
        <v>5184</v>
      </c>
      <c r="G4857" s="9">
        <v>45524</v>
      </c>
      <c r="H4857" s="9">
        <v>45379</v>
      </c>
      <c r="I4857">
        <v>5</v>
      </c>
      <c r="J4857" t="s">
        <v>32</v>
      </c>
      <c r="K4857">
        <v>6</v>
      </c>
      <c r="L4857">
        <v>4</v>
      </c>
      <c r="M4857" s="11">
        <v>24255.63</v>
      </c>
      <c r="N4857" s="12">
        <v>13292.45</v>
      </c>
      <c r="O4857" s="12">
        <v>1499.09</v>
      </c>
    </row>
    <row r="4858" spans="1:15">
      <c r="A4858" t="s">
        <v>5032</v>
      </c>
      <c r="B4858" t="s">
        <v>170</v>
      </c>
      <c r="C4858" s="9">
        <v>31412</v>
      </c>
      <c r="D4858">
        <v>40</v>
      </c>
      <c r="E4858" t="s">
        <v>21</v>
      </c>
      <c r="F4858" t="s">
        <v>29</v>
      </c>
      <c r="G4858" s="9">
        <v>45383</v>
      </c>
      <c r="H4858" s="9">
        <v>45033</v>
      </c>
      <c r="I4858">
        <v>19</v>
      </c>
      <c r="J4858" t="s">
        <v>35</v>
      </c>
      <c r="K4858">
        <v>0</v>
      </c>
      <c r="L4858">
        <v>4</v>
      </c>
      <c r="M4858" s="11">
        <v>8910.58</v>
      </c>
      <c r="N4858" s="12">
        <v>6230.95</v>
      </c>
      <c r="O4858" s="12">
        <v>10474.9</v>
      </c>
    </row>
    <row r="4859" spans="1:15">
      <c r="A4859" t="s">
        <v>5033</v>
      </c>
      <c r="B4859" t="s">
        <v>55</v>
      </c>
      <c r="C4859" s="9">
        <v>29951</v>
      </c>
      <c r="D4859">
        <f ca="1">DATEDIF(C4810,TODAY(),"Y")</f>
        <v>76</v>
      </c>
      <c r="E4859" t="s">
        <v>21</v>
      </c>
      <c r="F4859" t="s">
        <v>25</v>
      </c>
      <c r="G4859" s="9">
        <v>45279</v>
      </c>
      <c r="H4859" s="9">
        <v>45167</v>
      </c>
      <c r="I4859">
        <v>2</v>
      </c>
      <c r="J4859" t="s">
        <v>32</v>
      </c>
      <c r="K4859">
        <v>10</v>
      </c>
      <c r="L4859">
        <v>3</v>
      </c>
      <c r="M4859" s="11">
        <v>9801.49</v>
      </c>
      <c r="N4859" s="12">
        <v>12012.94</v>
      </c>
      <c r="O4859" s="12">
        <v>16033.96</v>
      </c>
    </row>
    <row r="4860" spans="1:15">
      <c r="A4860" t="s">
        <v>5034</v>
      </c>
      <c r="B4860" t="s">
        <v>261</v>
      </c>
      <c r="C4860" s="9">
        <v>40909</v>
      </c>
      <c r="D4860">
        <v>14</v>
      </c>
      <c r="E4860" t="s">
        <v>21</v>
      </c>
      <c r="F4860" t="s">
        <v>25</v>
      </c>
      <c r="G4860" s="9">
        <v>45270</v>
      </c>
      <c r="H4860" s="9">
        <v>45779</v>
      </c>
      <c r="I4860">
        <v>1</v>
      </c>
      <c r="J4860" t="s">
        <v>32</v>
      </c>
      <c r="K4860">
        <v>4</v>
      </c>
      <c r="L4860">
        <v>4</v>
      </c>
      <c r="M4860" s="11">
        <v>1726.37</v>
      </c>
      <c r="N4860" s="12">
        <v>10942.38</v>
      </c>
      <c r="O4860" s="12">
        <v>19567.78</v>
      </c>
    </row>
    <row r="4861" spans="1:15">
      <c r="A4861" t="s">
        <v>5035</v>
      </c>
      <c r="B4861" t="s">
        <v>252</v>
      </c>
      <c r="C4861" s="9">
        <v>45292</v>
      </c>
      <c r="D4861">
        <v>2</v>
      </c>
      <c r="E4861" t="s">
        <v>5185</v>
      </c>
      <c r="F4861" t="s">
        <v>49</v>
      </c>
      <c r="G4861" s="9">
        <v>45020</v>
      </c>
      <c r="H4861" s="9">
        <v>45345</v>
      </c>
      <c r="I4861">
        <v>2</v>
      </c>
      <c r="J4861" t="s">
        <v>35</v>
      </c>
      <c r="K4861">
        <v>7</v>
      </c>
      <c r="L4861">
        <v>6</v>
      </c>
      <c r="M4861" s="11">
        <v>21298.7</v>
      </c>
      <c r="N4861" s="12">
        <v>7077.77</v>
      </c>
      <c r="O4861" s="12">
        <v>7926.01</v>
      </c>
    </row>
    <row r="4862" spans="1:15">
      <c r="A4862" t="s">
        <v>5036</v>
      </c>
      <c r="B4862" t="s">
        <v>97</v>
      </c>
      <c r="C4862" s="9">
        <v>42370</v>
      </c>
      <c r="D4862">
        <v>10</v>
      </c>
      <c r="E4862" t="s">
        <v>21</v>
      </c>
      <c r="F4862" t="s">
        <v>18</v>
      </c>
      <c r="G4862" s="9">
        <v>45308</v>
      </c>
      <c r="H4862" s="9">
        <v>45259</v>
      </c>
      <c r="I4862">
        <v>32</v>
      </c>
      <c r="J4862" t="s">
        <v>26</v>
      </c>
      <c r="K4862">
        <v>13</v>
      </c>
      <c r="L4862">
        <v>9</v>
      </c>
      <c r="M4862" s="11">
        <v>12638.1</v>
      </c>
      <c r="N4862" s="12">
        <v>2980.66</v>
      </c>
      <c r="O4862" s="12">
        <v>8650.89</v>
      </c>
    </row>
    <row r="4863" spans="1:15">
      <c r="A4863" t="s">
        <v>5037</v>
      </c>
      <c r="B4863" t="s">
        <v>546</v>
      </c>
      <c r="C4863" s="9">
        <v>27029</v>
      </c>
      <c r="D4863">
        <v>52</v>
      </c>
      <c r="E4863" t="s">
        <v>21</v>
      </c>
      <c r="F4863" t="s">
        <v>25</v>
      </c>
      <c r="G4863" s="9">
        <v>45221</v>
      </c>
      <c r="H4863" s="9">
        <v>45818</v>
      </c>
      <c r="I4863">
        <v>29</v>
      </c>
      <c r="J4863" t="s">
        <v>35</v>
      </c>
      <c r="K4863">
        <v>7</v>
      </c>
      <c r="L4863">
        <v>1</v>
      </c>
      <c r="M4863" s="11">
        <v>5730.1</v>
      </c>
      <c r="N4863" s="12">
        <v>8433.18</v>
      </c>
      <c r="O4863" s="12">
        <v>1000.75</v>
      </c>
    </row>
    <row r="4864" spans="1:15">
      <c r="A4864" t="s">
        <v>5038</v>
      </c>
      <c r="B4864" t="s">
        <v>268</v>
      </c>
      <c r="C4864" s="9">
        <v>29586</v>
      </c>
      <c r="D4864">
        <v>45</v>
      </c>
      <c r="E4864" t="s">
        <v>21</v>
      </c>
      <c r="F4864" t="s">
        <v>25</v>
      </c>
      <c r="G4864" s="9">
        <v>45124</v>
      </c>
      <c r="H4864" s="9">
        <v>44969</v>
      </c>
      <c r="I4864">
        <v>16</v>
      </c>
      <c r="J4864" t="s">
        <v>32</v>
      </c>
      <c r="K4864">
        <v>6</v>
      </c>
      <c r="L4864">
        <v>0</v>
      </c>
      <c r="M4864" s="11">
        <v>19400.060000000001</v>
      </c>
      <c r="N4864" s="12">
        <v>14221.08</v>
      </c>
      <c r="O4864" s="12">
        <v>15479.94</v>
      </c>
    </row>
    <row r="4865" spans="1:15">
      <c r="A4865" t="s">
        <v>5039</v>
      </c>
      <c r="B4865" t="s">
        <v>123</v>
      </c>
      <c r="C4865" s="9">
        <v>35430</v>
      </c>
      <c r="D4865">
        <v>29</v>
      </c>
      <c r="E4865" t="s">
        <v>21</v>
      </c>
      <c r="F4865" t="s">
        <v>18</v>
      </c>
      <c r="G4865" s="9">
        <v>45005</v>
      </c>
      <c r="H4865" s="9">
        <v>45572</v>
      </c>
      <c r="I4865">
        <v>36</v>
      </c>
      <c r="J4865" t="s">
        <v>35</v>
      </c>
      <c r="K4865">
        <v>6</v>
      </c>
      <c r="L4865">
        <v>3</v>
      </c>
      <c r="M4865" s="11">
        <v>29386.46</v>
      </c>
      <c r="N4865" s="12">
        <v>2786.59</v>
      </c>
      <c r="O4865" s="12">
        <v>14304.82</v>
      </c>
    </row>
    <row r="4866" spans="1:15">
      <c r="A4866" t="s">
        <v>5040</v>
      </c>
      <c r="B4866" t="s">
        <v>97</v>
      </c>
      <c r="C4866" s="9">
        <v>25568</v>
      </c>
      <c r="D4866">
        <v>56</v>
      </c>
      <c r="E4866" t="s">
        <v>17</v>
      </c>
      <c r="F4866" t="s">
        <v>29</v>
      </c>
      <c r="G4866" s="9">
        <v>45604</v>
      </c>
      <c r="H4866" s="9">
        <v>45756</v>
      </c>
      <c r="I4866">
        <v>1</v>
      </c>
      <c r="J4866" t="s">
        <v>35</v>
      </c>
      <c r="K4866">
        <v>1</v>
      </c>
      <c r="L4866">
        <v>6</v>
      </c>
      <c r="M4866" s="11">
        <v>14701.21</v>
      </c>
      <c r="N4866" s="12">
        <v>3840.19</v>
      </c>
      <c r="O4866" s="12">
        <v>7998.81</v>
      </c>
    </row>
    <row r="4867" spans="1:15">
      <c r="A4867" t="s">
        <v>5041</v>
      </c>
      <c r="B4867" t="s">
        <v>278</v>
      </c>
      <c r="C4867" s="9">
        <v>39813</v>
      </c>
      <c r="D4867">
        <v>17</v>
      </c>
      <c r="E4867" t="s">
        <v>21</v>
      </c>
      <c r="F4867" t="s">
        <v>49</v>
      </c>
      <c r="G4867" s="9">
        <v>45477</v>
      </c>
      <c r="H4867" s="9">
        <v>45483</v>
      </c>
      <c r="I4867">
        <v>20</v>
      </c>
      <c r="J4867" t="s">
        <v>26</v>
      </c>
      <c r="K4867">
        <v>14</v>
      </c>
      <c r="L4867">
        <v>0</v>
      </c>
      <c r="M4867" s="11">
        <v>17994.29</v>
      </c>
      <c r="N4867" s="12">
        <v>14895.08</v>
      </c>
      <c r="O4867" s="12">
        <v>14156.44</v>
      </c>
    </row>
    <row r="4868" spans="1:15">
      <c r="A4868" t="s">
        <v>5042</v>
      </c>
      <c r="B4868" t="s">
        <v>97</v>
      </c>
      <c r="C4868" s="9">
        <v>27760</v>
      </c>
      <c r="D4868">
        <v>50</v>
      </c>
      <c r="E4868" t="s">
        <v>17</v>
      </c>
      <c r="F4868" t="s">
        <v>49</v>
      </c>
      <c r="G4868" s="9">
        <v>45140</v>
      </c>
      <c r="H4868" s="9">
        <v>44962</v>
      </c>
      <c r="I4868">
        <v>16</v>
      </c>
      <c r="J4868" t="s">
        <v>32</v>
      </c>
      <c r="K4868">
        <v>14</v>
      </c>
      <c r="L4868">
        <v>3</v>
      </c>
      <c r="M4868" s="11">
        <v>4467.1499999999996</v>
      </c>
      <c r="N4868" s="12">
        <v>13388.56</v>
      </c>
      <c r="O4868" s="12">
        <v>12422.81</v>
      </c>
    </row>
    <row r="4869" spans="1:15">
      <c r="A4869" t="s">
        <v>5043</v>
      </c>
      <c r="B4869" t="s">
        <v>151</v>
      </c>
      <c r="C4869" s="9">
        <v>28856</v>
      </c>
      <c r="D4869">
        <v>47</v>
      </c>
      <c r="E4869" t="s">
        <v>21</v>
      </c>
      <c r="F4869" t="s">
        <v>49</v>
      </c>
      <c r="G4869" s="9">
        <v>45569</v>
      </c>
      <c r="H4869" s="9">
        <v>45803</v>
      </c>
      <c r="I4869">
        <v>23</v>
      </c>
      <c r="J4869" t="s">
        <v>32</v>
      </c>
      <c r="K4869">
        <v>14</v>
      </c>
      <c r="L4869">
        <v>5</v>
      </c>
      <c r="M4869" s="11">
        <v>4409.2</v>
      </c>
      <c r="N4869" s="12">
        <v>8243.25</v>
      </c>
      <c r="O4869" s="12">
        <v>15356.76</v>
      </c>
    </row>
    <row r="4870" spans="1:15">
      <c r="A4870" t="s">
        <v>5044</v>
      </c>
      <c r="B4870" t="s">
        <v>192</v>
      </c>
      <c r="C4870" s="9">
        <v>22281</v>
      </c>
      <c r="D4870">
        <v>65</v>
      </c>
      <c r="E4870" t="s">
        <v>17</v>
      </c>
      <c r="F4870" t="s">
        <v>25</v>
      </c>
      <c r="G4870" s="9">
        <v>45595</v>
      </c>
      <c r="H4870" s="9">
        <v>45274</v>
      </c>
      <c r="I4870">
        <v>23</v>
      </c>
      <c r="J4870" t="s">
        <v>26</v>
      </c>
      <c r="K4870">
        <v>9</v>
      </c>
      <c r="L4870">
        <v>5</v>
      </c>
      <c r="M4870" s="11">
        <v>13476.36</v>
      </c>
      <c r="N4870" s="12">
        <v>10421.120000000001</v>
      </c>
      <c r="O4870" s="12">
        <v>6214.27</v>
      </c>
    </row>
    <row r="4871" spans="1:15">
      <c r="A4871" t="s">
        <v>5045</v>
      </c>
      <c r="B4871" t="s">
        <v>51</v>
      </c>
      <c r="C4871" s="9">
        <v>43466</v>
      </c>
      <c r="D4871">
        <v>7</v>
      </c>
      <c r="E4871" t="s">
        <v>17</v>
      </c>
      <c r="F4871" t="s">
        <v>29</v>
      </c>
      <c r="G4871" s="9">
        <v>45085</v>
      </c>
      <c r="H4871" s="9">
        <v>45311</v>
      </c>
      <c r="I4871">
        <v>4</v>
      </c>
      <c r="J4871" t="s">
        <v>32</v>
      </c>
      <c r="K4871">
        <v>5</v>
      </c>
      <c r="L4871">
        <v>0</v>
      </c>
      <c r="M4871" s="11">
        <v>25265.19</v>
      </c>
      <c r="N4871" s="12">
        <v>6645.93</v>
      </c>
      <c r="O4871" s="12">
        <v>12981.46</v>
      </c>
    </row>
    <row r="4872" spans="1:15">
      <c r="A4872" t="s">
        <v>5046</v>
      </c>
      <c r="B4872" t="s">
        <v>487</v>
      </c>
      <c r="C4872" s="9">
        <v>38352</v>
      </c>
      <c r="D4872">
        <v>21</v>
      </c>
      <c r="E4872" t="s">
        <v>17</v>
      </c>
      <c r="F4872" t="s">
        <v>49</v>
      </c>
      <c r="G4872" s="9">
        <v>45483</v>
      </c>
      <c r="H4872" s="9">
        <v>45440</v>
      </c>
      <c r="I4872">
        <v>29</v>
      </c>
      <c r="J4872" t="s">
        <v>35</v>
      </c>
      <c r="K4872">
        <v>12</v>
      </c>
      <c r="L4872">
        <v>6</v>
      </c>
      <c r="M4872" s="11">
        <v>27229.08</v>
      </c>
      <c r="N4872" s="12">
        <v>6061.39</v>
      </c>
      <c r="O4872" s="12">
        <v>12474.99</v>
      </c>
    </row>
    <row r="4873" spans="1:15">
      <c r="A4873" t="s">
        <v>5047</v>
      </c>
      <c r="B4873" t="s">
        <v>341</v>
      </c>
      <c r="C4873" s="9">
        <v>44196</v>
      </c>
      <c r="D4873">
        <v>5</v>
      </c>
      <c r="E4873" t="s">
        <v>17</v>
      </c>
      <c r="F4873" t="s">
        <v>18</v>
      </c>
      <c r="G4873" s="9">
        <v>45127</v>
      </c>
      <c r="H4873" s="9">
        <v>45665</v>
      </c>
      <c r="I4873">
        <v>30</v>
      </c>
      <c r="J4873" t="s">
        <v>35</v>
      </c>
      <c r="K4873">
        <v>13</v>
      </c>
      <c r="L4873">
        <v>4</v>
      </c>
      <c r="M4873" s="11">
        <v>19073.43</v>
      </c>
      <c r="N4873" s="12">
        <v>6647.81</v>
      </c>
      <c r="O4873" s="12">
        <v>1718.86</v>
      </c>
    </row>
    <row r="4874" spans="1:15">
      <c r="A4874" t="s">
        <v>5048</v>
      </c>
      <c r="B4874" t="s">
        <v>469</v>
      </c>
      <c r="C4874" s="9">
        <v>18629</v>
      </c>
      <c r="D4874">
        <v>75</v>
      </c>
      <c r="E4874" t="s">
        <v>17</v>
      </c>
      <c r="F4874" t="s">
        <v>49</v>
      </c>
      <c r="G4874" s="9">
        <v>44948</v>
      </c>
      <c r="H4874" s="9">
        <v>45738</v>
      </c>
      <c r="I4874">
        <v>23</v>
      </c>
      <c r="J4874" t="s">
        <v>35</v>
      </c>
      <c r="K4874">
        <v>1</v>
      </c>
      <c r="L4874">
        <v>5</v>
      </c>
      <c r="M4874" s="11">
        <v>10495.85</v>
      </c>
      <c r="N4874" s="12">
        <v>6216.25</v>
      </c>
      <c r="O4874" s="12">
        <v>5547.15</v>
      </c>
    </row>
    <row r="4875" spans="1:15">
      <c r="A4875" t="s">
        <v>5049</v>
      </c>
      <c r="B4875" t="s">
        <v>157</v>
      </c>
      <c r="C4875" s="9">
        <v>25568</v>
      </c>
      <c r="D4875">
        <v>56</v>
      </c>
      <c r="E4875" t="s">
        <v>21</v>
      </c>
      <c r="F4875" t="s">
        <v>5184</v>
      </c>
      <c r="G4875" s="9">
        <v>45265</v>
      </c>
      <c r="H4875" s="9">
        <v>45215</v>
      </c>
      <c r="I4875">
        <v>21</v>
      </c>
      <c r="J4875" t="s">
        <v>32</v>
      </c>
      <c r="K4875">
        <v>7</v>
      </c>
      <c r="L4875">
        <v>0</v>
      </c>
      <c r="M4875" s="11">
        <v>22376.2</v>
      </c>
      <c r="N4875" s="12">
        <v>10133.33</v>
      </c>
      <c r="O4875" s="12">
        <v>17190.03</v>
      </c>
    </row>
    <row r="4876" spans="1:15">
      <c r="A4876" t="s">
        <v>5050</v>
      </c>
      <c r="B4876" t="s">
        <v>153</v>
      </c>
      <c r="C4876" s="9">
        <v>33239</v>
      </c>
      <c r="D4876">
        <v>35</v>
      </c>
      <c r="E4876" t="s">
        <v>17</v>
      </c>
      <c r="F4876" t="s">
        <v>74</v>
      </c>
      <c r="G4876" s="9">
        <v>45168</v>
      </c>
      <c r="H4876" s="9">
        <v>45675</v>
      </c>
      <c r="I4876">
        <v>20</v>
      </c>
      <c r="J4876" t="s">
        <v>32</v>
      </c>
      <c r="K4876">
        <v>1</v>
      </c>
      <c r="L4876">
        <v>6</v>
      </c>
      <c r="M4876" s="11">
        <v>8404.18</v>
      </c>
      <c r="N4876" s="12">
        <v>4956.8500000000004</v>
      </c>
      <c r="O4876" s="12">
        <v>3038.26</v>
      </c>
    </row>
    <row r="4877" spans="1:15">
      <c r="A4877" t="s">
        <v>5051</v>
      </c>
      <c r="B4877" t="s">
        <v>198</v>
      </c>
      <c r="C4877" s="9">
        <v>17533</v>
      </c>
      <c r="D4877">
        <v>78</v>
      </c>
      <c r="E4877" t="s">
        <v>17</v>
      </c>
      <c r="F4877" t="s">
        <v>29</v>
      </c>
      <c r="G4877" s="9">
        <v>45164</v>
      </c>
      <c r="H4877" s="9">
        <v>45798</v>
      </c>
      <c r="I4877">
        <v>35</v>
      </c>
      <c r="J4877" t="s">
        <v>35</v>
      </c>
      <c r="K4877">
        <v>1</v>
      </c>
      <c r="L4877">
        <v>3</v>
      </c>
      <c r="M4877" s="11">
        <v>6196.37</v>
      </c>
      <c r="N4877" s="12">
        <v>2561.65</v>
      </c>
      <c r="O4877" s="12">
        <v>7529.23</v>
      </c>
    </row>
    <row r="4878" spans="1:15">
      <c r="A4878" t="s">
        <v>5052</v>
      </c>
      <c r="B4878" t="s">
        <v>108</v>
      </c>
      <c r="C4878" s="9">
        <f>DATE(2026-D4838,1,1)</f>
        <v>34700</v>
      </c>
      <c r="D4878">
        <v>91</v>
      </c>
      <c r="E4878" t="s">
        <v>17</v>
      </c>
      <c r="F4878" t="s">
        <v>74</v>
      </c>
      <c r="G4878" s="9">
        <v>45075</v>
      </c>
      <c r="H4878" s="9">
        <v>44960</v>
      </c>
      <c r="I4878">
        <v>23</v>
      </c>
      <c r="J4878" t="s">
        <v>32</v>
      </c>
      <c r="K4878">
        <v>6</v>
      </c>
      <c r="L4878">
        <v>2</v>
      </c>
      <c r="M4878" s="11">
        <v>23760.54</v>
      </c>
      <c r="N4878" s="12">
        <v>10598.51</v>
      </c>
      <c r="O4878" s="12">
        <v>4427.24</v>
      </c>
    </row>
    <row r="4879" spans="1:15">
      <c r="A4879" t="s">
        <v>5053</v>
      </c>
      <c r="B4879" t="s">
        <v>336</v>
      </c>
      <c r="C4879" s="9">
        <v>25568</v>
      </c>
      <c r="D4879">
        <v>56</v>
      </c>
      <c r="E4879" t="s">
        <v>21</v>
      </c>
      <c r="F4879" t="s">
        <v>29</v>
      </c>
      <c r="G4879" s="9">
        <v>45505</v>
      </c>
      <c r="H4879" s="9">
        <v>45022</v>
      </c>
      <c r="I4879">
        <v>28</v>
      </c>
      <c r="J4879" t="s">
        <v>26</v>
      </c>
      <c r="K4879">
        <v>5</v>
      </c>
      <c r="L4879">
        <v>3</v>
      </c>
      <c r="M4879" s="11">
        <v>22415.200000000001</v>
      </c>
      <c r="N4879" s="12">
        <v>469.46</v>
      </c>
      <c r="O4879" s="12">
        <v>2717.73</v>
      </c>
    </row>
    <row r="4880" spans="1:15">
      <c r="A4880" t="s">
        <v>5054</v>
      </c>
      <c r="B4880" t="s">
        <v>137</v>
      </c>
      <c r="C4880" s="9">
        <v>28490</v>
      </c>
      <c r="D4880">
        <v>48</v>
      </c>
      <c r="E4880" t="s">
        <v>21</v>
      </c>
      <c r="F4880" t="s">
        <v>22</v>
      </c>
      <c r="G4880" s="9">
        <v>44933</v>
      </c>
      <c r="H4880" s="9">
        <v>45132</v>
      </c>
      <c r="I4880">
        <v>3</v>
      </c>
      <c r="J4880" t="s">
        <v>26</v>
      </c>
      <c r="K4880">
        <v>0</v>
      </c>
      <c r="L4880">
        <v>8</v>
      </c>
      <c r="M4880" s="11">
        <v>26404.21</v>
      </c>
      <c r="N4880" s="12">
        <v>10781.3</v>
      </c>
      <c r="O4880" s="12">
        <v>2641.87</v>
      </c>
    </row>
    <row r="4881" spans="1:15">
      <c r="A4881" t="s">
        <v>5055</v>
      </c>
      <c r="B4881" t="s">
        <v>479</v>
      </c>
      <c r="C4881" s="9">
        <v>29951</v>
      </c>
      <c r="D4881">
        <v>44</v>
      </c>
      <c r="E4881" t="s">
        <v>17</v>
      </c>
      <c r="F4881" t="s">
        <v>18</v>
      </c>
      <c r="G4881" s="9">
        <v>45159</v>
      </c>
      <c r="H4881" s="9">
        <v>45548</v>
      </c>
      <c r="I4881">
        <v>28</v>
      </c>
      <c r="J4881" t="s">
        <v>32</v>
      </c>
      <c r="K4881">
        <v>12</v>
      </c>
      <c r="L4881">
        <v>4</v>
      </c>
      <c r="M4881" s="11">
        <v>17082.759999999998</v>
      </c>
      <c r="N4881" s="12">
        <v>3948.66</v>
      </c>
      <c r="O4881" s="12">
        <v>6893.9</v>
      </c>
    </row>
    <row r="4882" spans="1:15">
      <c r="A4882" t="s">
        <v>5056</v>
      </c>
      <c r="B4882" t="s">
        <v>300</v>
      </c>
      <c r="C4882" s="9">
        <v>16437</v>
      </c>
      <c r="D4882">
        <v>81</v>
      </c>
      <c r="E4882" t="s">
        <v>21</v>
      </c>
      <c r="F4882" t="s">
        <v>22</v>
      </c>
      <c r="G4882" s="9">
        <v>45505</v>
      </c>
      <c r="H4882" s="9">
        <v>45761</v>
      </c>
      <c r="I4882">
        <v>37</v>
      </c>
      <c r="J4882" t="s">
        <v>35</v>
      </c>
      <c r="K4882">
        <v>5</v>
      </c>
      <c r="L4882">
        <v>4</v>
      </c>
      <c r="M4882" s="11">
        <v>26849.79</v>
      </c>
      <c r="N4882" s="12">
        <v>2853.79</v>
      </c>
      <c r="O4882" s="12">
        <v>16049.82</v>
      </c>
    </row>
    <row r="4883" spans="1:15">
      <c r="A4883" t="s">
        <v>5057</v>
      </c>
      <c r="B4883" t="s">
        <v>108</v>
      </c>
      <c r="C4883" s="9">
        <v>22281</v>
      </c>
      <c r="D4883">
        <v>65</v>
      </c>
      <c r="E4883" t="s">
        <v>21</v>
      </c>
      <c r="F4883" t="s">
        <v>25</v>
      </c>
      <c r="G4883" s="9">
        <v>45003</v>
      </c>
      <c r="H4883" s="9">
        <v>44957</v>
      </c>
      <c r="I4883">
        <v>9</v>
      </c>
      <c r="J4883" t="s">
        <v>35</v>
      </c>
      <c r="K4883">
        <v>3</v>
      </c>
      <c r="L4883">
        <v>7</v>
      </c>
      <c r="M4883" s="11">
        <v>307.58999999999997</v>
      </c>
      <c r="N4883" s="12">
        <v>5684.35</v>
      </c>
      <c r="O4883" s="12">
        <v>19322.95</v>
      </c>
    </row>
    <row r="4884" spans="1:15">
      <c r="A4884" t="s">
        <v>5058</v>
      </c>
      <c r="B4884" t="s">
        <v>67</v>
      </c>
      <c r="C4884" s="9">
        <v>18263</v>
      </c>
      <c r="D4884">
        <v>76</v>
      </c>
      <c r="E4884" t="s">
        <v>21</v>
      </c>
      <c r="F4884" t="s">
        <v>25</v>
      </c>
      <c r="G4884" s="9">
        <v>45415</v>
      </c>
      <c r="H4884" s="9">
        <v>45193</v>
      </c>
      <c r="I4884">
        <v>14</v>
      </c>
      <c r="J4884" t="s">
        <v>35</v>
      </c>
      <c r="K4884">
        <v>13</v>
      </c>
      <c r="L4884">
        <v>6</v>
      </c>
      <c r="M4884" s="11">
        <v>7238.33</v>
      </c>
      <c r="N4884" s="12">
        <v>1762.5</v>
      </c>
      <c r="O4884" s="12">
        <v>11393.91</v>
      </c>
    </row>
    <row r="4885" spans="1:15">
      <c r="A4885" t="s">
        <v>5059</v>
      </c>
      <c r="B4885" t="s">
        <v>350</v>
      </c>
      <c r="C4885" s="9">
        <v>29951</v>
      </c>
      <c r="D4885">
        <v>44</v>
      </c>
      <c r="E4885" t="s">
        <v>17</v>
      </c>
      <c r="F4885" t="s">
        <v>22</v>
      </c>
      <c r="G4885" s="9">
        <v>45013</v>
      </c>
      <c r="H4885" s="9">
        <v>44950</v>
      </c>
      <c r="I4885">
        <v>23</v>
      </c>
      <c r="J4885" t="s">
        <v>35</v>
      </c>
      <c r="K4885">
        <v>5</v>
      </c>
      <c r="L4885">
        <v>2</v>
      </c>
      <c r="M4885" s="11">
        <v>24035.86</v>
      </c>
      <c r="N4885" s="12">
        <v>5767.34</v>
      </c>
      <c r="O4885" s="12">
        <v>12668.01</v>
      </c>
    </row>
    <row r="4886" spans="1:15">
      <c r="A4886" t="s">
        <v>5060</v>
      </c>
      <c r="B4886" t="s">
        <v>198</v>
      </c>
      <c r="C4886" s="9">
        <v>17533</v>
      </c>
      <c r="D4886">
        <v>78</v>
      </c>
      <c r="E4886" t="s">
        <v>5185</v>
      </c>
      <c r="F4886" t="s">
        <v>29</v>
      </c>
      <c r="G4886" s="9">
        <v>45148</v>
      </c>
      <c r="H4886" s="9">
        <v>45536</v>
      </c>
      <c r="I4886">
        <v>0</v>
      </c>
      <c r="J4886" t="s">
        <v>32</v>
      </c>
      <c r="K4886">
        <v>8</v>
      </c>
      <c r="L4886">
        <v>0</v>
      </c>
      <c r="M4886" s="11">
        <v>12421.57</v>
      </c>
      <c r="N4886" s="12">
        <v>1534.83</v>
      </c>
      <c r="O4886" s="12">
        <v>15552.75</v>
      </c>
    </row>
    <row r="4887" spans="1:15">
      <c r="A4887" t="s">
        <v>5061</v>
      </c>
      <c r="B4887" t="s">
        <v>147</v>
      </c>
      <c r="C4887" s="9">
        <v>39083</v>
      </c>
      <c r="D4887">
        <v>19</v>
      </c>
      <c r="E4887" t="s">
        <v>17</v>
      </c>
      <c r="F4887" t="s">
        <v>49</v>
      </c>
      <c r="G4887" s="9">
        <v>45339</v>
      </c>
      <c r="H4887" s="9">
        <v>44966</v>
      </c>
      <c r="I4887">
        <v>12</v>
      </c>
      <c r="J4887" t="s">
        <v>32</v>
      </c>
      <c r="K4887">
        <v>14</v>
      </c>
      <c r="L4887">
        <v>1</v>
      </c>
      <c r="M4887" s="11">
        <v>6801.37</v>
      </c>
      <c r="N4887" s="12">
        <v>7252.33</v>
      </c>
      <c r="O4887" s="12">
        <v>13202.2</v>
      </c>
    </row>
    <row r="4888" spans="1:15">
      <c r="A4888" t="s">
        <v>5062</v>
      </c>
      <c r="B4888" t="s">
        <v>204</v>
      </c>
      <c r="C4888" s="9">
        <v>23012</v>
      </c>
      <c r="D4888">
        <v>63</v>
      </c>
      <c r="E4888" t="s">
        <v>21</v>
      </c>
      <c r="F4888" t="s">
        <v>74</v>
      </c>
      <c r="G4888" s="9">
        <v>45510</v>
      </c>
      <c r="H4888" s="9">
        <v>45100</v>
      </c>
      <c r="I4888">
        <v>35</v>
      </c>
      <c r="J4888" t="s">
        <v>32</v>
      </c>
      <c r="K4888">
        <v>10</v>
      </c>
      <c r="L4888">
        <v>2</v>
      </c>
      <c r="M4888" s="11">
        <v>23782.240000000002</v>
      </c>
      <c r="N4888" s="12">
        <v>2642.55</v>
      </c>
      <c r="O4888" s="12">
        <v>16951.27</v>
      </c>
    </row>
    <row r="4889" spans="1:15">
      <c r="A4889" t="s">
        <v>5063</v>
      </c>
      <c r="B4889" t="s">
        <v>194</v>
      </c>
      <c r="C4889" s="9">
        <v>12419</v>
      </c>
      <c r="D4889">
        <v>92</v>
      </c>
      <c r="E4889" t="s">
        <v>21</v>
      </c>
      <c r="F4889" t="s">
        <v>18</v>
      </c>
      <c r="G4889" s="9">
        <v>45128</v>
      </c>
      <c r="H4889" s="9">
        <v>45687</v>
      </c>
      <c r="I4889">
        <v>21</v>
      </c>
      <c r="J4889" t="s">
        <v>35</v>
      </c>
      <c r="K4889">
        <v>5</v>
      </c>
      <c r="L4889">
        <v>0</v>
      </c>
      <c r="M4889" s="11">
        <v>24579.17</v>
      </c>
      <c r="N4889" s="12">
        <v>1949.95</v>
      </c>
      <c r="O4889" s="12">
        <v>17669.43</v>
      </c>
    </row>
    <row r="4890" spans="1:15">
      <c r="A4890" t="s">
        <v>5064</v>
      </c>
      <c r="B4890" t="s">
        <v>84</v>
      </c>
      <c r="C4890" s="9">
        <v>12419</v>
      </c>
      <c r="D4890">
        <v>92</v>
      </c>
      <c r="E4890" t="s">
        <v>21</v>
      </c>
      <c r="F4890" t="s">
        <v>49</v>
      </c>
      <c r="G4890" s="9">
        <v>45497</v>
      </c>
      <c r="H4890" s="9">
        <v>45818</v>
      </c>
      <c r="I4890">
        <v>27</v>
      </c>
      <c r="J4890" t="s">
        <v>35</v>
      </c>
      <c r="K4890">
        <v>0</v>
      </c>
      <c r="L4890">
        <v>0</v>
      </c>
      <c r="M4890" s="11">
        <v>13415.83</v>
      </c>
      <c r="N4890" s="12">
        <v>8686.64</v>
      </c>
      <c r="O4890" s="12">
        <v>12516.93</v>
      </c>
    </row>
    <row r="4891" spans="1:15">
      <c r="A4891" t="s">
        <v>5065</v>
      </c>
      <c r="B4891" t="s">
        <v>469</v>
      </c>
      <c r="C4891" s="9">
        <v>21916</v>
      </c>
      <c r="D4891">
        <v>66</v>
      </c>
      <c r="E4891" t="s">
        <v>17</v>
      </c>
      <c r="F4891" t="s">
        <v>25</v>
      </c>
      <c r="G4891" s="9">
        <v>45202</v>
      </c>
      <c r="H4891" s="9">
        <v>45340</v>
      </c>
      <c r="I4891">
        <v>33</v>
      </c>
      <c r="J4891" t="s">
        <v>35</v>
      </c>
      <c r="K4891">
        <v>0</v>
      </c>
      <c r="L4891">
        <v>7</v>
      </c>
      <c r="M4891" s="11">
        <v>13731.1</v>
      </c>
      <c r="N4891" s="12">
        <v>9378.68</v>
      </c>
      <c r="O4891" s="12">
        <v>10614.56</v>
      </c>
    </row>
    <row r="4892" spans="1:15">
      <c r="A4892" t="s">
        <v>5066</v>
      </c>
      <c r="B4892" t="s">
        <v>328</v>
      </c>
      <c r="C4892" s="9">
        <v>16072</v>
      </c>
      <c r="D4892">
        <v>82</v>
      </c>
      <c r="E4892" t="s">
        <v>17</v>
      </c>
      <c r="F4892" t="s">
        <v>49</v>
      </c>
      <c r="G4892" s="9">
        <v>45147</v>
      </c>
      <c r="H4892" s="9">
        <v>45341</v>
      </c>
      <c r="I4892">
        <v>24</v>
      </c>
      <c r="J4892" t="s">
        <v>32</v>
      </c>
      <c r="K4892">
        <v>13</v>
      </c>
      <c r="L4892">
        <v>7</v>
      </c>
      <c r="M4892" s="11">
        <v>23318.560000000001</v>
      </c>
      <c r="N4892" s="12">
        <v>82.76</v>
      </c>
      <c r="O4892" s="12">
        <v>7760.13</v>
      </c>
    </row>
    <row r="4893" spans="1:15">
      <c r="A4893" t="s">
        <v>5067</v>
      </c>
      <c r="B4893" t="s">
        <v>275</v>
      </c>
      <c r="C4893" s="9">
        <f>DATE(2026-D4853,1,1)</f>
        <v>17899</v>
      </c>
      <c r="D4893">
        <v>2</v>
      </c>
      <c r="E4893" t="s">
        <v>21</v>
      </c>
      <c r="F4893" t="s">
        <v>22</v>
      </c>
      <c r="G4893" s="9">
        <v>45083</v>
      </c>
      <c r="H4893" s="9">
        <v>45601</v>
      </c>
      <c r="I4893">
        <v>19</v>
      </c>
      <c r="J4893" t="s">
        <v>26</v>
      </c>
      <c r="K4893">
        <v>5</v>
      </c>
      <c r="L4893">
        <v>1</v>
      </c>
      <c r="M4893" s="11">
        <v>23025.59</v>
      </c>
      <c r="N4893" s="12">
        <v>5815.16</v>
      </c>
      <c r="O4893" s="12">
        <v>9177.77</v>
      </c>
    </row>
    <row r="4894" spans="1:15">
      <c r="A4894" t="s">
        <v>5068</v>
      </c>
      <c r="B4894" t="s">
        <v>31</v>
      </c>
      <c r="C4894" s="9">
        <v>26664</v>
      </c>
      <c r="D4894">
        <v>53</v>
      </c>
      <c r="E4894" t="s">
        <v>17</v>
      </c>
      <c r="F4894" t="s">
        <v>22</v>
      </c>
      <c r="G4894" s="9">
        <v>45107</v>
      </c>
      <c r="H4894" s="9">
        <v>45619</v>
      </c>
      <c r="I4894">
        <v>1</v>
      </c>
      <c r="J4894" t="s">
        <v>32</v>
      </c>
      <c r="K4894">
        <v>1</v>
      </c>
      <c r="L4894">
        <v>7</v>
      </c>
      <c r="M4894" s="11">
        <v>25930.2</v>
      </c>
      <c r="N4894" s="12">
        <v>1169.3399999999999</v>
      </c>
      <c r="O4894" s="12">
        <v>6843.7</v>
      </c>
    </row>
    <row r="4895" spans="1:15">
      <c r="A4895" t="s">
        <v>5069</v>
      </c>
      <c r="B4895" t="s">
        <v>20</v>
      </c>
      <c r="C4895" s="9">
        <v>17898</v>
      </c>
      <c r="D4895">
        <v>77</v>
      </c>
      <c r="E4895" t="s">
        <v>17</v>
      </c>
      <c r="F4895" t="s">
        <v>5184</v>
      </c>
      <c r="G4895" s="9">
        <v>45651</v>
      </c>
      <c r="H4895" s="9">
        <v>45542</v>
      </c>
      <c r="I4895">
        <v>4</v>
      </c>
      <c r="J4895" t="s">
        <v>32</v>
      </c>
      <c r="K4895">
        <v>2</v>
      </c>
      <c r="L4895">
        <v>1</v>
      </c>
      <c r="M4895" s="11">
        <v>19188.740000000002</v>
      </c>
      <c r="N4895" s="12">
        <v>11079.67</v>
      </c>
      <c r="O4895" s="12">
        <v>8482.02</v>
      </c>
    </row>
    <row r="4896" spans="1:15">
      <c r="A4896" t="s">
        <v>5070</v>
      </c>
      <c r="B4896" t="s">
        <v>170</v>
      </c>
      <c r="C4896" s="9">
        <v>23012</v>
      </c>
      <c r="D4896">
        <v>63</v>
      </c>
      <c r="E4896" t="s">
        <v>21</v>
      </c>
      <c r="F4896" t="s">
        <v>5184</v>
      </c>
      <c r="G4896" s="9">
        <v>45055</v>
      </c>
      <c r="H4896" s="9">
        <v>45136</v>
      </c>
      <c r="I4896">
        <v>13</v>
      </c>
      <c r="J4896" t="s">
        <v>32</v>
      </c>
      <c r="K4896">
        <v>13</v>
      </c>
      <c r="L4896">
        <v>4</v>
      </c>
      <c r="M4896" s="11">
        <v>5169.6899999999996</v>
      </c>
      <c r="N4896" s="12">
        <v>10222.84</v>
      </c>
      <c r="O4896" s="12">
        <v>17984.169999999998</v>
      </c>
    </row>
    <row r="4897" spans="1:15">
      <c r="A4897" t="s">
        <v>5071</v>
      </c>
      <c r="B4897" t="s">
        <v>168</v>
      </c>
      <c r="C4897" s="9">
        <v>31778</v>
      </c>
      <c r="D4897">
        <v>39</v>
      </c>
      <c r="E4897" t="s">
        <v>21</v>
      </c>
      <c r="F4897" t="s">
        <v>74</v>
      </c>
      <c r="G4897" s="9">
        <v>45169</v>
      </c>
      <c r="H4897" s="9">
        <v>44949</v>
      </c>
      <c r="I4897">
        <v>21</v>
      </c>
      <c r="J4897" t="s">
        <v>32</v>
      </c>
      <c r="K4897">
        <v>12</v>
      </c>
      <c r="L4897">
        <v>0</v>
      </c>
      <c r="M4897" s="11">
        <v>16266.24</v>
      </c>
      <c r="N4897" s="12">
        <v>745.94</v>
      </c>
      <c r="O4897" s="12">
        <v>19444.68</v>
      </c>
    </row>
    <row r="4898" spans="1:15">
      <c r="A4898" t="s">
        <v>5072</v>
      </c>
      <c r="B4898" t="s">
        <v>664</v>
      </c>
      <c r="C4898" s="9">
        <v>24838</v>
      </c>
      <c r="D4898">
        <v>58</v>
      </c>
      <c r="E4898" t="s">
        <v>5185</v>
      </c>
      <c r="F4898" t="s">
        <v>25</v>
      </c>
      <c r="G4898" s="9">
        <v>45098</v>
      </c>
      <c r="H4898" s="9">
        <v>44932</v>
      </c>
      <c r="I4898">
        <v>27</v>
      </c>
      <c r="J4898" t="s">
        <v>35</v>
      </c>
      <c r="K4898">
        <v>5</v>
      </c>
      <c r="L4898">
        <v>8</v>
      </c>
      <c r="M4898" s="11">
        <v>11162.73</v>
      </c>
      <c r="N4898" s="12">
        <v>14118.76</v>
      </c>
      <c r="O4898" s="12">
        <v>7166.83</v>
      </c>
    </row>
    <row r="4899" spans="1:15">
      <c r="A4899" t="s">
        <v>5073</v>
      </c>
      <c r="B4899" t="s">
        <v>119</v>
      </c>
      <c r="C4899" s="9">
        <v>26299</v>
      </c>
      <c r="D4899">
        <v>54</v>
      </c>
      <c r="E4899" t="s">
        <v>21</v>
      </c>
      <c r="F4899" t="s">
        <v>29</v>
      </c>
      <c r="G4899" s="9">
        <v>45429</v>
      </c>
      <c r="H4899" s="9">
        <v>45578</v>
      </c>
      <c r="I4899">
        <v>2</v>
      </c>
      <c r="J4899" t="s">
        <v>32</v>
      </c>
      <c r="K4899">
        <v>12</v>
      </c>
      <c r="L4899">
        <v>3</v>
      </c>
      <c r="M4899" s="11">
        <v>324.69</v>
      </c>
      <c r="N4899" s="12">
        <v>14399.41</v>
      </c>
      <c r="O4899" s="12">
        <v>4333.8599999999997</v>
      </c>
    </row>
    <row r="4900" spans="1:15">
      <c r="A4900" t="s">
        <v>5074</v>
      </c>
      <c r="B4900" t="s">
        <v>108</v>
      </c>
      <c r="C4900" s="9">
        <v>23742</v>
      </c>
      <c r="D4900">
        <v>61</v>
      </c>
      <c r="E4900" t="s">
        <v>17</v>
      </c>
      <c r="F4900" t="s">
        <v>18</v>
      </c>
      <c r="G4900" s="9">
        <v>45406</v>
      </c>
      <c r="H4900" s="9">
        <v>45141</v>
      </c>
      <c r="I4900">
        <v>24</v>
      </c>
      <c r="J4900" t="s">
        <v>35</v>
      </c>
      <c r="K4900">
        <v>0</v>
      </c>
      <c r="L4900">
        <v>9</v>
      </c>
      <c r="M4900" s="11">
        <v>5493.34</v>
      </c>
      <c r="N4900" s="12">
        <v>5020.07</v>
      </c>
      <c r="O4900" s="12">
        <v>1471.63</v>
      </c>
    </row>
    <row r="4901" spans="1:15">
      <c r="A4901" t="s">
        <v>5075</v>
      </c>
      <c r="B4901" t="s">
        <v>264</v>
      </c>
      <c r="C4901" s="9">
        <v>44927</v>
      </c>
      <c r="D4901">
        <v>3</v>
      </c>
      <c r="E4901" t="s">
        <v>21</v>
      </c>
      <c r="F4901" t="s">
        <v>22</v>
      </c>
      <c r="G4901" s="9">
        <v>45196</v>
      </c>
      <c r="H4901" s="9">
        <v>45599</v>
      </c>
      <c r="I4901">
        <v>6</v>
      </c>
      <c r="J4901" t="s">
        <v>26</v>
      </c>
      <c r="K4901">
        <v>11</v>
      </c>
      <c r="L4901">
        <v>1</v>
      </c>
      <c r="M4901" s="11">
        <v>5770.13</v>
      </c>
      <c r="N4901" s="12">
        <v>1959.19</v>
      </c>
      <c r="O4901" s="12">
        <v>16722.310000000001</v>
      </c>
    </row>
    <row r="4902" spans="1:15">
      <c r="A4902" t="s">
        <v>5076</v>
      </c>
      <c r="B4902" t="s">
        <v>84</v>
      </c>
      <c r="C4902" s="9">
        <v>24473</v>
      </c>
      <c r="D4902">
        <v>59</v>
      </c>
      <c r="E4902" t="s">
        <v>17</v>
      </c>
      <c r="F4902" t="s">
        <v>18</v>
      </c>
      <c r="G4902" s="9">
        <v>45347</v>
      </c>
      <c r="H4902" s="9">
        <v>45066</v>
      </c>
      <c r="I4902">
        <v>4</v>
      </c>
      <c r="J4902" t="s">
        <v>35</v>
      </c>
      <c r="K4902">
        <v>0</v>
      </c>
      <c r="L4902">
        <v>0</v>
      </c>
      <c r="M4902" s="11">
        <v>2011.26</v>
      </c>
      <c r="N4902" s="12">
        <v>1715.15</v>
      </c>
      <c r="O4902" s="12">
        <v>17400.39</v>
      </c>
    </row>
    <row r="4903" spans="1:15">
      <c r="A4903" t="s">
        <v>5077</v>
      </c>
      <c r="B4903" t="s">
        <v>412</v>
      </c>
      <c r="C4903" s="9">
        <v>18994</v>
      </c>
      <c r="D4903">
        <v>74</v>
      </c>
      <c r="E4903" t="s">
        <v>17</v>
      </c>
      <c r="F4903" t="s">
        <v>25</v>
      </c>
      <c r="G4903" s="9">
        <v>45089</v>
      </c>
      <c r="H4903" s="9">
        <v>45584</v>
      </c>
      <c r="I4903">
        <v>2</v>
      </c>
      <c r="J4903" t="s">
        <v>35</v>
      </c>
      <c r="K4903">
        <v>7</v>
      </c>
      <c r="L4903">
        <v>5</v>
      </c>
      <c r="M4903" s="11">
        <v>13326.25</v>
      </c>
      <c r="N4903" s="12">
        <v>12610.81</v>
      </c>
      <c r="O4903" s="12">
        <v>8954.49</v>
      </c>
    </row>
    <row r="4904" spans="1:15">
      <c r="A4904" t="s">
        <v>5078</v>
      </c>
      <c r="B4904" t="s">
        <v>261</v>
      </c>
      <c r="C4904" s="9">
        <v>11689</v>
      </c>
      <c r="D4904">
        <v>94</v>
      </c>
      <c r="E4904" t="s">
        <v>17</v>
      </c>
      <c r="F4904" t="s">
        <v>29</v>
      </c>
      <c r="G4904" s="9">
        <v>44950</v>
      </c>
      <c r="H4904" s="9">
        <v>45599</v>
      </c>
      <c r="I4904">
        <v>27</v>
      </c>
      <c r="J4904" t="s">
        <v>26</v>
      </c>
      <c r="K4904">
        <v>9</v>
      </c>
      <c r="L4904">
        <v>7</v>
      </c>
      <c r="M4904" s="11">
        <v>14995.07</v>
      </c>
      <c r="N4904" s="12">
        <v>6887.44</v>
      </c>
      <c r="O4904" s="12">
        <v>10802.6</v>
      </c>
    </row>
    <row r="4905" spans="1:15">
      <c r="A4905" t="s">
        <v>5079</v>
      </c>
      <c r="B4905" t="s">
        <v>31</v>
      </c>
      <c r="C4905" s="9">
        <v>13150</v>
      </c>
      <c r="D4905">
        <v>90</v>
      </c>
      <c r="E4905" t="s">
        <v>17</v>
      </c>
      <c r="F4905" t="s">
        <v>5184</v>
      </c>
      <c r="G4905" s="9">
        <v>45423</v>
      </c>
      <c r="H4905" s="9">
        <v>45522</v>
      </c>
      <c r="I4905">
        <v>39</v>
      </c>
      <c r="J4905" t="s">
        <v>35</v>
      </c>
      <c r="K4905">
        <v>1</v>
      </c>
      <c r="L4905">
        <v>3</v>
      </c>
      <c r="M4905" s="11">
        <v>9870.36</v>
      </c>
      <c r="N4905" s="12">
        <v>142.63</v>
      </c>
      <c r="O4905" s="12">
        <v>14770.41</v>
      </c>
    </row>
    <row r="4906" spans="1:15">
      <c r="A4906" t="s">
        <v>5080</v>
      </c>
      <c r="B4906" t="s">
        <v>261</v>
      </c>
      <c r="C4906" s="9">
        <v>35430</v>
      </c>
      <c r="D4906">
        <v>29</v>
      </c>
      <c r="E4906" t="s">
        <v>17</v>
      </c>
      <c r="F4906" t="s">
        <v>22</v>
      </c>
      <c r="G4906" s="9">
        <v>45119</v>
      </c>
      <c r="H4906" s="9">
        <v>45594</v>
      </c>
      <c r="I4906">
        <v>24</v>
      </c>
      <c r="J4906" t="s">
        <v>35</v>
      </c>
      <c r="K4906">
        <v>14</v>
      </c>
      <c r="L4906">
        <v>0</v>
      </c>
      <c r="M4906" s="11">
        <v>12076.96</v>
      </c>
      <c r="N4906" s="12">
        <v>13880.28</v>
      </c>
      <c r="O4906" s="12">
        <v>7454.64</v>
      </c>
    </row>
    <row r="4907" spans="1:15">
      <c r="A4907" t="s">
        <v>5081</v>
      </c>
      <c r="B4907" t="s">
        <v>671</v>
      </c>
      <c r="C4907" s="9">
        <v>45657</v>
      </c>
      <c r="D4907">
        <v>1</v>
      </c>
      <c r="E4907" t="s">
        <v>17</v>
      </c>
      <c r="F4907" t="s">
        <v>74</v>
      </c>
      <c r="G4907" s="9">
        <v>45316</v>
      </c>
      <c r="H4907" s="9">
        <v>45727</v>
      </c>
      <c r="I4907">
        <v>7</v>
      </c>
      <c r="J4907" t="s">
        <v>35</v>
      </c>
      <c r="K4907">
        <v>10</v>
      </c>
      <c r="L4907">
        <v>0</v>
      </c>
      <c r="M4907" s="11">
        <v>0</v>
      </c>
      <c r="N4907" s="12">
        <v>8891.06</v>
      </c>
      <c r="O4907" s="12">
        <v>3949.95</v>
      </c>
    </row>
    <row r="4908" spans="1:15">
      <c r="A4908" t="s">
        <v>5082</v>
      </c>
      <c r="B4908" t="s">
        <v>215</v>
      </c>
      <c r="C4908" s="9">
        <v>23742</v>
      </c>
      <c r="D4908">
        <v>61</v>
      </c>
      <c r="E4908" t="s">
        <v>21</v>
      </c>
      <c r="F4908" t="s">
        <v>18</v>
      </c>
      <c r="G4908" s="9">
        <v>45423</v>
      </c>
      <c r="H4908" s="9">
        <v>45244</v>
      </c>
      <c r="I4908">
        <v>22</v>
      </c>
      <c r="J4908" t="s">
        <v>32</v>
      </c>
      <c r="K4908">
        <v>10</v>
      </c>
      <c r="L4908">
        <v>5</v>
      </c>
      <c r="M4908" s="11">
        <v>3174.75</v>
      </c>
      <c r="N4908" s="12">
        <v>10355.950000000001</v>
      </c>
      <c r="O4908" s="12">
        <v>2205.13</v>
      </c>
    </row>
    <row r="4909" spans="1:15">
      <c r="A4909" t="s">
        <v>5083</v>
      </c>
      <c r="B4909" t="s">
        <v>93</v>
      </c>
      <c r="C4909" s="9">
        <v>28490</v>
      </c>
      <c r="D4909">
        <v>48</v>
      </c>
      <c r="E4909" t="s">
        <v>21</v>
      </c>
      <c r="F4909" t="s">
        <v>25</v>
      </c>
      <c r="G4909" s="9">
        <v>45055</v>
      </c>
      <c r="H4909" s="9">
        <v>45720</v>
      </c>
      <c r="I4909">
        <v>15</v>
      </c>
      <c r="J4909" t="s">
        <v>32</v>
      </c>
      <c r="K4909">
        <v>1</v>
      </c>
      <c r="L4909">
        <v>1</v>
      </c>
      <c r="M4909" s="11">
        <v>16649.580000000002</v>
      </c>
      <c r="N4909" s="12">
        <v>12353.31</v>
      </c>
      <c r="O4909" s="12">
        <v>4628.3500000000004</v>
      </c>
    </row>
    <row r="4910" spans="1:15">
      <c r="A4910" t="s">
        <v>5084</v>
      </c>
      <c r="B4910" t="s">
        <v>143</v>
      </c>
      <c r="C4910" s="9">
        <v>43100</v>
      </c>
      <c r="D4910">
        <v>8</v>
      </c>
      <c r="E4910" t="s">
        <v>17</v>
      </c>
      <c r="F4910" t="s">
        <v>18</v>
      </c>
      <c r="G4910" s="9">
        <v>45479</v>
      </c>
      <c r="H4910" s="9">
        <v>45503</v>
      </c>
      <c r="I4910">
        <v>4</v>
      </c>
      <c r="J4910" t="s">
        <v>35</v>
      </c>
      <c r="K4910">
        <v>8</v>
      </c>
      <c r="L4910">
        <v>4</v>
      </c>
      <c r="M4910" s="11">
        <v>21152.71</v>
      </c>
      <c r="N4910" s="12">
        <v>12278.68</v>
      </c>
      <c r="O4910" s="12">
        <v>12871.21</v>
      </c>
    </row>
    <row r="4911" spans="1:15">
      <c r="A4911" t="s">
        <v>5085</v>
      </c>
      <c r="B4911" t="s">
        <v>487</v>
      </c>
      <c r="C4911" s="9">
        <v>12785</v>
      </c>
      <c r="D4911">
        <v>91</v>
      </c>
      <c r="E4911" t="s">
        <v>17</v>
      </c>
      <c r="F4911" t="s">
        <v>5184</v>
      </c>
      <c r="G4911" s="9">
        <v>45469</v>
      </c>
      <c r="H4911" s="9">
        <v>45631</v>
      </c>
      <c r="I4911">
        <v>28</v>
      </c>
      <c r="J4911" t="s">
        <v>32</v>
      </c>
      <c r="K4911">
        <v>2</v>
      </c>
      <c r="L4911">
        <v>1</v>
      </c>
      <c r="M4911" s="11">
        <v>26180.240000000002</v>
      </c>
      <c r="N4911" s="12">
        <v>1137.07</v>
      </c>
      <c r="O4911" s="12">
        <v>6888.47</v>
      </c>
    </row>
    <row r="4912" spans="1:15">
      <c r="A4912" t="s">
        <v>5086</v>
      </c>
      <c r="B4912" t="s">
        <v>157</v>
      </c>
      <c r="C4912" s="9">
        <v>35065</v>
      </c>
      <c r="D4912">
        <v>30</v>
      </c>
      <c r="E4912" t="s">
        <v>21</v>
      </c>
      <c r="F4912" t="s">
        <v>5184</v>
      </c>
      <c r="G4912" s="9">
        <v>44962</v>
      </c>
      <c r="H4912" s="9">
        <v>45083</v>
      </c>
      <c r="I4912">
        <v>29</v>
      </c>
      <c r="J4912" t="s">
        <v>35</v>
      </c>
      <c r="K4912">
        <v>3</v>
      </c>
      <c r="L4912">
        <v>8</v>
      </c>
      <c r="M4912" s="11">
        <v>8698</v>
      </c>
      <c r="N4912" s="12">
        <v>8609.8799999999992</v>
      </c>
      <c r="O4912" s="12">
        <v>17340.84</v>
      </c>
    </row>
    <row r="4913" spans="1:15">
      <c r="A4913" t="s">
        <v>5087</v>
      </c>
      <c r="B4913" t="s">
        <v>53</v>
      </c>
      <c r="C4913" s="9">
        <v>24107</v>
      </c>
      <c r="D4913">
        <v>60</v>
      </c>
      <c r="E4913" t="s">
        <v>21</v>
      </c>
      <c r="F4913" t="s">
        <v>29</v>
      </c>
      <c r="G4913" s="9">
        <v>45383</v>
      </c>
      <c r="H4913" s="9">
        <v>45351</v>
      </c>
      <c r="I4913">
        <v>8</v>
      </c>
      <c r="J4913" t="s">
        <v>32</v>
      </c>
      <c r="K4913">
        <v>13</v>
      </c>
      <c r="L4913">
        <v>1</v>
      </c>
      <c r="M4913" s="11">
        <v>22295.99</v>
      </c>
      <c r="N4913" s="12">
        <v>10443.67</v>
      </c>
      <c r="O4913" s="12">
        <v>1659.64</v>
      </c>
    </row>
    <row r="4914" spans="1:15">
      <c r="A4914" t="s">
        <v>5088</v>
      </c>
      <c r="B4914" t="s">
        <v>123</v>
      </c>
      <c r="C4914" s="9">
        <v>17533</v>
      </c>
      <c r="D4914">
        <v>78</v>
      </c>
      <c r="E4914" t="s">
        <v>17</v>
      </c>
      <c r="F4914" t="s">
        <v>74</v>
      </c>
      <c r="G4914" s="9">
        <v>45287</v>
      </c>
      <c r="H4914" s="9">
        <v>45427</v>
      </c>
      <c r="I4914">
        <v>7</v>
      </c>
      <c r="J4914" t="s">
        <v>35</v>
      </c>
      <c r="K4914">
        <v>1</v>
      </c>
      <c r="L4914">
        <v>4</v>
      </c>
      <c r="M4914" s="11">
        <v>17983.64</v>
      </c>
      <c r="N4914" s="12">
        <v>1284.31</v>
      </c>
      <c r="O4914" s="12">
        <v>8269.0400000000009</v>
      </c>
    </row>
    <row r="4915" spans="1:15">
      <c r="A4915" t="s">
        <v>5089</v>
      </c>
      <c r="B4915" t="s">
        <v>143</v>
      </c>
      <c r="C4915" s="9">
        <v>28856</v>
      </c>
      <c r="D4915">
        <v>47</v>
      </c>
      <c r="E4915" t="s">
        <v>21</v>
      </c>
      <c r="F4915" t="s">
        <v>5184</v>
      </c>
      <c r="G4915" s="9">
        <v>45141</v>
      </c>
      <c r="H4915" s="9">
        <v>45018</v>
      </c>
      <c r="I4915">
        <v>19</v>
      </c>
      <c r="J4915" t="s">
        <v>32</v>
      </c>
      <c r="K4915">
        <v>7</v>
      </c>
      <c r="L4915">
        <v>3</v>
      </c>
      <c r="M4915" s="11">
        <v>14835.37</v>
      </c>
      <c r="N4915" s="12">
        <v>3336.01</v>
      </c>
      <c r="O4915" s="12">
        <v>5064.9399999999996</v>
      </c>
    </row>
    <row r="4916" spans="1:15">
      <c r="A4916" t="s">
        <v>5090</v>
      </c>
      <c r="B4916" t="s">
        <v>427</v>
      </c>
      <c r="C4916" s="9">
        <v>37256</v>
      </c>
      <c r="D4916">
        <v>24</v>
      </c>
      <c r="E4916" t="s">
        <v>17</v>
      </c>
      <c r="F4916" t="s">
        <v>29</v>
      </c>
      <c r="G4916" s="9">
        <v>45213</v>
      </c>
      <c r="H4916" s="9">
        <v>45581</v>
      </c>
      <c r="I4916">
        <v>28</v>
      </c>
      <c r="J4916" t="s">
        <v>32</v>
      </c>
      <c r="K4916">
        <v>3</v>
      </c>
      <c r="L4916">
        <v>0</v>
      </c>
      <c r="M4916" s="11">
        <v>27546.44</v>
      </c>
      <c r="N4916" s="12">
        <v>5937.22</v>
      </c>
      <c r="O4916" s="12">
        <v>17742.71</v>
      </c>
    </row>
    <row r="4917" spans="1:15">
      <c r="A4917" t="s">
        <v>5091</v>
      </c>
      <c r="B4917" t="s">
        <v>336</v>
      </c>
      <c r="C4917" s="9">
        <v>33239</v>
      </c>
      <c r="D4917">
        <v>35</v>
      </c>
      <c r="E4917" t="s">
        <v>17</v>
      </c>
      <c r="F4917" t="s">
        <v>5184</v>
      </c>
      <c r="G4917" s="9">
        <v>45295</v>
      </c>
      <c r="H4917" s="9">
        <v>44969</v>
      </c>
      <c r="I4917">
        <v>38</v>
      </c>
      <c r="J4917" t="s">
        <v>32</v>
      </c>
      <c r="K4917">
        <v>5</v>
      </c>
      <c r="L4917">
        <v>9</v>
      </c>
      <c r="M4917" s="11">
        <v>18410.21</v>
      </c>
      <c r="N4917" s="12">
        <v>13297.88</v>
      </c>
      <c r="O4917" s="12">
        <v>16104.9</v>
      </c>
    </row>
    <row r="4918" spans="1:15">
      <c r="A4918" t="s">
        <v>5092</v>
      </c>
      <c r="B4918" t="s">
        <v>502</v>
      </c>
      <c r="C4918" s="9">
        <v>43466</v>
      </c>
      <c r="D4918">
        <v>7</v>
      </c>
      <c r="E4918" t="s">
        <v>17</v>
      </c>
      <c r="F4918" t="s">
        <v>22</v>
      </c>
      <c r="G4918" s="9">
        <v>45395</v>
      </c>
      <c r="H4918" s="9">
        <v>45688</v>
      </c>
      <c r="I4918">
        <v>11</v>
      </c>
      <c r="J4918" t="s">
        <v>35</v>
      </c>
      <c r="K4918">
        <v>13</v>
      </c>
      <c r="L4918">
        <v>8</v>
      </c>
      <c r="M4918" s="11">
        <v>10665.12</v>
      </c>
      <c r="N4918" s="12">
        <v>12759.5</v>
      </c>
      <c r="O4918" s="12">
        <v>19684.599999999999</v>
      </c>
    </row>
    <row r="4919" spans="1:15">
      <c r="A4919" t="s">
        <v>5093</v>
      </c>
      <c r="B4919" t="s">
        <v>95</v>
      </c>
      <c r="C4919" s="9">
        <v>19724</v>
      </c>
      <c r="D4919">
        <v>72</v>
      </c>
      <c r="E4919" t="s">
        <v>21</v>
      </c>
      <c r="F4919" t="s">
        <v>49</v>
      </c>
      <c r="G4919" s="9">
        <v>45112</v>
      </c>
      <c r="H4919" s="9">
        <v>45222</v>
      </c>
      <c r="I4919">
        <v>0</v>
      </c>
      <c r="J4919" t="s">
        <v>26</v>
      </c>
      <c r="K4919">
        <v>12</v>
      </c>
      <c r="L4919">
        <v>2</v>
      </c>
      <c r="M4919" s="11">
        <v>21244.45</v>
      </c>
      <c r="N4919" s="12">
        <v>11731.55</v>
      </c>
      <c r="O4919" s="12">
        <v>2297.38</v>
      </c>
    </row>
    <row r="4920" spans="1:15">
      <c r="A4920" t="s">
        <v>5094</v>
      </c>
      <c r="B4920" t="s">
        <v>187</v>
      </c>
      <c r="C4920" s="9">
        <v>25203</v>
      </c>
      <c r="D4920">
        <v>57</v>
      </c>
      <c r="E4920" t="s">
        <v>21</v>
      </c>
      <c r="F4920" t="s">
        <v>29</v>
      </c>
      <c r="G4920" s="9">
        <v>45400</v>
      </c>
      <c r="H4920" s="9">
        <v>45697</v>
      </c>
      <c r="I4920">
        <v>21</v>
      </c>
      <c r="J4920" t="s">
        <v>32</v>
      </c>
      <c r="K4920">
        <v>9</v>
      </c>
      <c r="L4920">
        <v>9</v>
      </c>
      <c r="M4920" s="11">
        <v>28776.25</v>
      </c>
      <c r="N4920" s="12">
        <v>14854.15</v>
      </c>
      <c r="O4920" s="12">
        <v>15623.1</v>
      </c>
    </row>
    <row r="4921" spans="1:15">
      <c r="A4921" t="s">
        <v>5095</v>
      </c>
      <c r="B4921" t="s">
        <v>654</v>
      </c>
      <c r="C4921" s="9">
        <f>DATE(2026-D4881,1,1)</f>
        <v>29952</v>
      </c>
      <c r="D4921">
        <f ca="1">DATEDIF(C4872,TODAY(),"Y")</f>
        <v>21</v>
      </c>
      <c r="E4921" t="s">
        <v>21</v>
      </c>
      <c r="F4921" t="s">
        <v>29</v>
      </c>
      <c r="G4921" s="9">
        <v>44987</v>
      </c>
      <c r="H4921" s="9">
        <v>45264</v>
      </c>
      <c r="I4921">
        <v>11</v>
      </c>
      <c r="J4921" t="s">
        <v>35</v>
      </c>
      <c r="K4921">
        <v>11</v>
      </c>
      <c r="L4921">
        <v>7</v>
      </c>
      <c r="M4921" s="11">
        <v>27504.44</v>
      </c>
      <c r="N4921" s="12">
        <v>3639.85</v>
      </c>
      <c r="O4921" s="12">
        <v>2429.8200000000002</v>
      </c>
    </row>
    <row r="4922" spans="1:15">
      <c r="A4922" t="s">
        <v>5096</v>
      </c>
      <c r="B4922" t="s">
        <v>135</v>
      </c>
      <c r="C4922" s="9">
        <v>23742</v>
      </c>
      <c r="D4922">
        <v>61</v>
      </c>
      <c r="E4922" t="s">
        <v>21</v>
      </c>
      <c r="F4922" t="s">
        <v>18</v>
      </c>
      <c r="G4922" s="9">
        <v>45188</v>
      </c>
      <c r="H4922" s="9">
        <v>44928</v>
      </c>
      <c r="I4922">
        <v>13</v>
      </c>
      <c r="J4922" t="s">
        <v>32</v>
      </c>
      <c r="K4922">
        <v>5</v>
      </c>
      <c r="L4922">
        <v>3</v>
      </c>
      <c r="M4922" s="11">
        <v>29398.23</v>
      </c>
      <c r="N4922" s="12">
        <v>7017.22</v>
      </c>
      <c r="O4922" s="12">
        <v>3015.97</v>
      </c>
    </row>
    <row r="4923" spans="1:15">
      <c r="A4923" t="s">
        <v>5097</v>
      </c>
      <c r="B4923" t="s">
        <v>254</v>
      </c>
      <c r="C4923" s="9">
        <v>32143</v>
      </c>
      <c r="D4923">
        <v>38</v>
      </c>
      <c r="E4923" t="s">
        <v>17</v>
      </c>
      <c r="F4923" t="s">
        <v>5184</v>
      </c>
      <c r="G4923" s="9">
        <v>45037</v>
      </c>
      <c r="H4923" s="9">
        <v>45036</v>
      </c>
      <c r="I4923">
        <v>25</v>
      </c>
      <c r="J4923" t="s">
        <v>35</v>
      </c>
      <c r="K4923">
        <v>9</v>
      </c>
      <c r="L4923">
        <v>8</v>
      </c>
      <c r="M4923" s="11">
        <v>2400.04</v>
      </c>
      <c r="N4923" s="12">
        <v>6700.85</v>
      </c>
      <c r="O4923" s="12">
        <v>687.74</v>
      </c>
    </row>
    <row r="4924" spans="1:15">
      <c r="A4924" t="s">
        <v>5098</v>
      </c>
      <c r="B4924" t="s">
        <v>539</v>
      </c>
      <c r="C4924" s="9">
        <v>25203</v>
      </c>
      <c r="D4924">
        <v>57</v>
      </c>
      <c r="E4924" t="s">
        <v>17</v>
      </c>
      <c r="F4924" t="s">
        <v>29</v>
      </c>
      <c r="G4924" s="9">
        <v>45067</v>
      </c>
      <c r="H4924" s="9">
        <v>45052</v>
      </c>
      <c r="I4924">
        <v>32</v>
      </c>
      <c r="J4924" t="s">
        <v>32</v>
      </c>
      <c r="K4924">
        <v>7</v>
      </c>
      <c r="L4924">
        <v>4</v>
      </c>
      <c r="M4924" s="11">
        <v>13025.03</v>
      </c>
      <c r="N4924" s="12">
        <v>10184.06</v>
      </c>
      <c r="O4924" s="12">
        <v>9240.6299999999992</v>
      </c>
    </row>
    <row r="4925" spans="1:15">
      <c r="A4925" t="s">
        <v>5099</v>
      </c>
      <c r="B4925" t="s">
        <v>387</v>
      </c>
      <c r="C4925" s="9">
        <v>16802</v>
      </c>
      <c r="D4925">
        <v>80</v>
      </c>
      <c r="E4925" t="s">
        <v>21</v>
      </c>
      <c r="F4925" t="s">
        <v>25</v>
      </c>
      <c r="G4925" s="9">
        <v>45461</v>
      </c>
      <c r="H4925" s="9">
        <v>44991</v>
      </c>
      <c r="I4925">
        <v>37</v>
      </c>
      <c r="J4925" t="s">
        <v>35</v>
      </c>
      <c r="K4925">
        <v>0</v>
      </c>
      <c r="L4925">
        <v>1</v>
      </c>
      <c r="M4925" s="11">
        <v>12697.02</v>
      </c>
      <c r="N4925" s="12">
        <v>12752.3</v>
      </c>
      <c r="O4925" s="12">
        <v>2430.2199999999998</v>
      </c>
    </row>
    <row r="4926" spans="1:15">
      <c r="A4926" t="s">
        <v>5100</v>
      </c>
      <c r="B4926" t="s">
        <v>69</v>
      </c>
      <c r="C4926" s="9">
        <v>16072</v>
      </c>
      <c r="D4926">
        <v>82</v>
      </c>
      <c r="E4926" t="s">
        <v>21</v>
      </c>
      <c r="F4926" t="s">
        <v>22</v>
      </c>
      <c r="G4926" s="9">
        <v>45005</v>
      </c>
      <c r="H4926" s="9">
        <v>45133</v>
      </c>
      <c r="I4926">
        <v>1</v>
      </c>
      <c r="J4926" t="s">
        <v>32</v>
      </c>
      <c r="K4926">
        <v>1</v>
      </c>
      <c r="L4926">
        <v>7</v>
      </c>
      <c r="M4926" s="11">
        <v>11206.25</v>
      </c>
      <c r="N4926" s="12">
        <v>7375.24</v>
      </c>
      <c r="O4926" s="12">
        <v>6901.84</v>
      </c>
    </row>
    <row r="4927" spans="1:15">
      <c r="A4927" t="s">
        <v>5101</v>
      </c>
      <c r="B4927" t="s">
        <v>20</v>
      </c>
      <c r="C4927" s="9">
        <v>23012</v>
      </c>
      <c r="D4927">
        <v>63</v>
      </c>
      <c r="E4927" t="s">
        <v>21</v>
      </c>
      <c r="F4927" t="s">
        <v>18</v>
      </c>
      <c r="G4927" s="9">
        <v>45420</v>
      </c>
      <c r="H4927" s="9">
        <v>45342</v>
      </c>
      <c r="I4927">
        <v>31</v>
      </c>
      <c r="J4927" t="s">
        <v>32</v>
      </c>
      <c r="K4927">
        <v>2</v>
      </c>
      <c r="L4927">
        <v>3</v>
      </c>
      <c r="M4927" s="11">
        <v>4943.97</v>
      </c>
      <c r="N4927" s="12">
        <v>7372.98</v>
      </c>
      <c r="O4927" s="12">
        <v>5451.61</v>
      </c>
    </row>
    <row r="4928" spans="1:15">
      <c r="A4928" t="s">
        <v>5102</v>
      </c>
      <c r="B4928" t="s">
        <v>16</v>
      </c>
      <c r="C4928" s="9">
        <v>30317</v>
      </c>
      <c r="D4928">
        <v>43</v>
      </c>
      <c r="E4928" t="s">
        <v>5185</v>
      </c>
      <c r="F4928" t="s">
        <v>18</v>
      </c>
      <c r="G4928" s="9">
        <v>44957</v>
      </c>
      <c r="H4928" s="9">
        <v>45777</v>
      </c>
      <c r="I4928">
        <v>15</v>
      </c>
      <c r="J4928" t="s">
        <v>26</v>
      </c>
      <c r="K4928">
        <v>6</v>
      </c>
      <c r="L4928">
        <v>1</v>
      </c>
      <c r="M4928" s="11">
        <v>0</v>
      </c>
      <c r="N4928" s="12">
        <v>9124.77</v>
      </c>
      <c r="O4928" s="12">
        <v>19524.73</v>
      </c>
    </row>
    <row r="4929" spans="1:15">
      <c r="A4929" t="s">
        <v>5103</v>
      </c>
      <c r="B4929" t="s">
        <v>223</v>
      </c>
      <c r="C4929" s="9">
        <v>35795</v>
      </c>
      <c r="D4929">
        <v>28</v>
      </c>
      <c r="E4929" t="s">
        <v>21</v>
      </c>
      <c r="F4929" t="s">
        <v>49</v>
      </c>
      <c r="G4929" s="9">
        <v>45442</v>
      </c>
      <c r="H4929" s="9">
        <v>45171</v>
      </c>
      <c r="I4929">
        <v>4</v>
      </c>
      <c r="J4929" t="s">
        <v>26</v>
      </c>
      <c r="K4929">
        <v>1</v>
      </c>
      <c r="L4929">
        <v>5</v>
      </c>
      <c r="M4929" s="11">
        <v>20028.900000000001</v>
      </c>
      <c r="N4929" s="12">
        <v>11137.12</v>
      </c>
      <c r="O4929" s="12">
        <v>13131.08</v>
      </c>
    </row>
    <row r="4930" spans="1:15">
      <c r="A4930" t="s">
        <v>5104</v>
      </c>
      <c r="B4930" t="s">
        <v>73</v>
      </c>
      <c r="C4930" s="9">
        <v>24838</v>
      </c>
      <c r="D4930">
        <v>58</v>
      </c>
      <c r="E4930" t="s">
        <v>17</v>
      </c>
      <c r="F4930" t="s">
        <v>22</v>
      </c>
      <c r="G4930" s="9">
        <v>45435</v>
      </c>
      <c r="H4930" s="9">
        <v>45517</v>
      </c>
      <c r="I4930">
        <v>35</v>
      </c>
      <c r="J4930" t="s">
        <v>32</v>
      </c>
      <c r="K4930">
        <v>7</v>
      </c>
      <c r="L4930">
        <v>0</v>
      </c>
      <c r="M4930" s="11">
        <v>17982.71</v>
      </c>
      <c r="N4930" s="12">
        <v>3019.51</v>
      </c>
      <c r="O4930" s="12">
        <v>8150.17</v>
      </c>
    </row>
    <row r="4931" spans="1:15">
      <c r="A4931" t="s">
        <v>5105</v>
      </c>
      <c r="B4931" t="s">
        <v>240</v>
      </c>
      <c r="C4931" s="9">
        <v>20455</v>
      </c>
      <c r="D4931">
        <v>70</v>
      </c>
      <c r="E4931" t="s">
        <v>17</v>
      </c>
      <c r="F4931" t="s">
        <v>25</v>
      </c>
      <c r="G4931" s="9">
        <v>45556</v>
      </c>
      <c r="H4931" s="9">
        <v>45550</v>
      </c>
      <c r="I4931">
        <v>39</v>
      </c>
      <c r="J4931" t="s">
        <v>32</v>
      </c>
      <c r="K4931">
        <v>3</v>
      </c>
      <c r="L4931">
        <v>7</v>
      </c>
      <c r="M4931" s="11">
        <v>13129.02</v>
      </c>
      <c r="N4931" s="12">
        <v>14427.89</v>
      </c>
      <c r="O4931" s="12">
        <v>17556.919999999998</v>
      </c>
    </row>
    <row r="4932" spans="1:15">
      <c r="A4932" t="s">
        <v>5106</v>
      </c>
      <c r="B4932" t="s">
        <v>268</v>
      </c>
      <c r="C4932" s="9">
        <v>12785</v>
      </c>
      <c r="D4932">
        <v>91</v>
      </c>
      <c r="E4932" t="s">
        <v>17</v>
      </c>
      <c r="F4932" t="s">
        <v>22</v>
      </c>
      <c r="G4932" s="9">
        <v>44992</v>
      </c>
      <c r="H4932" s="9">
        <v>45581</v>
      </c>
      <c r="I4932">
        <v>4</v>
      </c>
      <c r="J4932" t="s">
        <v>35</v>
      </c>
      <c r="K4932">
        <v>2</v>
      </c>
      <c r="L4932">
        <v>8</v>
      </c>
      <c r="M4932" s="11">
        <v>11349.92</v>
      </c>
      <c r="N4932" s="12">
        <v>1380.8</v>
      </c>
      <c r="O4932" s="12">
        <v>1183.28</v>
      </c>
    </row>
    <row r="4933" spans="1:15">
      <c r="A4933" t="s">
        <v>5107</v>
      </c>
      <c r="B4933" t="s">
        <v>348</v>
      </c>
      <c r="C4933" s="9">
        <v>43100</v>
      </c>
      <c r="D4933">
        <v>8</v>
      </c>
      <c r="E4933" t="s">
        <v>17</v>
      </c>
      <c r="F4933" t="s">
        <v>29</v>
      </c>
      <c r="G4933" s="9">
        <v>45436</v>
      </c>
      <c r="H4933" s="9">
        <v>45143</v>
      </c>
      <c r="I4933">
        <v>1</v>
      </c>
      <c r="J4933" t="s">
        <v>32</v>
      </c>
      <c r="K4933">
        <v>11</v>
      </c>
      <c r="L4933">
        <v>6</v>
      </c>
      <c r="M4933" s="11">
        <v>23487.1</v>
      </c>
      <c r="N4933" s="12">
        <v>346.5</v>
      </c>
      <c r="O4933" s="12">
        <v>6618.58</v>
      </c>
    </row>
    <row r="4934" spans="1:15">
      <c r="A4934" t="s">
        <v>5108</v>
      </c>
      <c r="B4934" t="s">
        <v>131</v>
      </c>
      <c r="C4934" s="9">
        <v>12785</v>
      </c>
      <c r="D4934">
        <v>91</v>
      </c>
      <c r="E4934" t="s">
        <v>21</v>
      </c>
      <c r="F4934" t="s">
        <v>49</v>
      </c>
      <c r="G4934" s="9">
        <v>45297</v>
      </c>
      <c r="H4934" s="9">
        <v>45455</v>
      </c>
      <c r="I4934">
        <v>13</v>
      </c>
      <c r="J4934" t="s">
        <v>32</v>
      </c>
      <c r="K4934">
        <v>6</v>
      </c>
      <c r="L4934">
        <v>8</v>
      </c>
      <c r="M4934" s="11">
        <v>15568.47</v>
      </c>
      <c r="N4934" s="12">
        <v>5381.87</v>
      </c>
      <c r="O4934" s="12">
        <v>10243.31</v>
      </c>
    </row>
    <row r="4935" spans="1:15">
      <c r="A4935" t="s">
        <v>5109</v>
      </c>
      <c r="B4935" t="s">
        <v>198</v>
      </c>
      <c r="C4935" s="9">
        <v>44196</v>
      </c>
      <c r="D4935">
        <v>5</v>
      </c>
      <c r="E4935" t="s">
        <v>17</v>
      </c>
      <c r="F4935" t="s">
        <v>25</v>
      </c>
      <c r="G4935" s="9">
        <v>45213</v>
      </c>
      <c r="H4935" s="9">
        <v>45493</v>
      </c>
      <c r="I4935">
        <v>3</v>
      </c>
      <c r="J4935" t="s">
        <v>32</v>
      </c>
      <c r="K4935">
        <v>12</v>
      </c>
      <c r="L4935">
        <v>1</v>
      </c>
      <c r="M4935" s="11">
        <v>18033.38</v>
      </c>
      <c r="N4935" s="12">
        <v>10521.52</v>
      </c>
      <c r="O4935" s="12">
        <v>982.9</v>
      </c>
    </row>
    <row r="4936" spans="1:15">
      <c r="A4936" t="s">
        <v>5110</v>
      </c>
      <c r="B4936" t="s">
        <v>137</v>
      </c>
      <c r="C4936" s="9">
        <v>35795</v>
      </c>
      <c r="D4936">
        <v>28</v>
      </c>
      <c r="E4936" t="s">
        <v>21</v>
      </c>
      <c r="F4936" t="s">
        <v>49</v>
      </c>
      <c r="G4936" s="9">
        <v>45102</v>
      </c>
      <c r="H4936" s="9">
        <v>45580</v>
      </c>
      <c r="I4936">
        <v>17</v>
      </c>
      <c r="J4936" t="s">
        <v>35</v>
      </c>
      <c r="K4936">
        <v>7</v>
      </c>
      <c r="L4936">
        <v>0</v>
      </c>
      <c r="M4936" s="11">
        <v>2550.1</v>
      </c>
      <c r="N4936" s="12">
        <v>14671.12</v>
      </c>
      <c r="O4936" s="12">
        <v>2831.76</v>
      </c>
    </row>
    <row r="4937" spans="1:15">
      <c r="A4937" t="s">
        <v>5111</v>
      </c>
      <c r="B4937" t="s">
        <v>115</v>
      </c>
      <c r="C4937" s="9">
        <v>25203</v>
      </c>
      <c r="D4937">
        <v>57</v>
      </c>
      <c r="E4937" t="s">
        <v>17</v>
      </c>
      <c r="F4937" t="s">
        <v>22</v>
      </c>
      <c r="G4937" s="9">
        <v>45049</v>
      </c>
      <c r="H4937" s="9">
        <v>45307</v>
      </c>
      <c r="I4937">
        <v>28</v>
      </c>
      <c r="J4937" t="s">
        <v>32</v>
      </c>
      <c r="K4937">
        <v>1</v>
      </c>
      <c r="L4937">
        <v>6</v>
      </c>
      <c r="M4937" s="11">
        <v>0</v>
      </c>
      <c r="N4937" s="12">
        <v>13991.41</v>
      </c>
      <c r="O4937" s="12">
        <v>17890.46</v>
      </c>
    </row>
    <row r="4938" spans="1:15">
      <c r="A4938" t="s">
        <v>5112</v>
      </c>
      <c r="B4938" t="s">
        <v>654</v>
      </c>
      <c r="C4938" s="9">
        <v>40178</v>
      </c>
      <c r="D4938">
        <v>16</v>
      </c>
      <c r="E4938" t="s">
        <v>21</v>
      </c>
      <c r="F4938" t="s">
        <v>74</v>
      </c>
      <c r="G4938" s="9">
        <v>45157</v>
      </c>
      <c r="H4938" s="9">
        <v>45775</v>
      </c>
      <c r="I4938">
        <v>16</v>
      </c>
      <c r="J4938" t="s">
        <v>35</v>
      </c>
      <c r="K4938">
        <v>12</v>
      </c>
      <c r="L4938">
        <v>3</v>
      </c>
      <c r="M4938" s="11">
        <v>3474.61</v>
      </c>
      <c r="N4938" s="12">
        <v>10327.31</v>
      </c>
      <c r="O4938" s="12">
        <v>3510.48</v>
      </c>
    </row>
    <row r="4939" spans="1:15">
      <c r="A4939" t="s">
        <v>5113</v>
      </c>
      <c r="B4939" t="s">
        <v>170</v>
      </c>
      <c r="C4939" s="9">
        <v>40544</v>
      </c>
      <c r="D4939">
        <v>15</v>
      </c>
      <c r="E4939" t="s">
        <v>17</v>
      </c>
      <c r="F4939" t="s">
        <v>22</v>
      </c>
      <c r="G4939" s="9">
        <v>45481</v>
      </c>
      <c r="H4939" s="9">
        <v>45006</v>
      </c>
      <c r="I4939">
        <v>19</v>
      </c>
      <c r="J4939" t="s">
        <v>35</v>
      </c>
      <c r="K4939">
        <v>2</v>
      </c>
      <c r="L4939">
        <v>9</v>
      </c>
      <c r="M4939" s="11">
        <v>1141.93</v>
      </c>
      <c r="N4939" s="12">
        <v>6548.19</v>
      </c>
      <c r="O4939" s="12">
        <v>18425.3</v>
      </c>
    </row>
    <row r="4940" spans="1:15">
      <c r="A4940" t="s">
        <v>5114</v>
      </c>
      <c r="B4940" t="s">
        <v>176</v>
      </c>
      <c r="C4940" s="9">
        <f>DATE(2026-D4900,1,1)</f>
        <v>23743</v>
      </c>
      <c r="D4940">
        <v>86</v>
      </c>
      <c r="E4940" t="s">
        <v>21</v>
      </c>
      <c r="F4940" t="s">
        <v>29</v>
      </c>
      <c r="G4940" s="9">
        <v>44930</v>
      </c>
      <c r="H4940" s="9">
        <v>45342</v>
      </c>
      <c r="I4940">
        <v>18</v>
      </c>
      <c r="J4940" t="s">
        <v>26</v>
      </c>
      <c r="K4940">
        <v>1</v>
      </c>
      <c r="L4940">
        <v>7</v>
      </c>
      <c r="M4940" s="11">
        <v>20523.5</v>
      </c>
      <c r="N4940" s="12">
        <v>8937.0300000000007</v>
      </c>
      <c r="O4940" s="12">
        <v>1831.01</v>
      </c>
    </row>
    <row r="4941" spans="1:15">
      <c r="A4941" t="s">
        <v>5115</v>
      </c>
      <c r="B4941" t="s">
        <v>145</v>
      </c>
      <c r="C4941" s="9">
        <v>11689</v>
      </c>
      <c r="D4941">
        <v>94</v>
      </c>
      <c r="E4941" t="s">
        <v>17</v>
      </c>
      <c r="F4941" t="s">
        <v>49</v>
      </c>
      <c r="G4941" s="9">
        <v>45628</v>
      </c>
      <c r="H4941" s="9">
        <v>45380</v>
      </c>
      <c r="I4941">
        <v>15</v>
      </c>
      <c r="J4941" t="s">
        <v>26</v>
      </c>
      <c r="K4941">
        <v>13</v>
      </c>
      <c r="L4941">
        <v>2</v>
      </c>
      <c r="M4941" s="11">
        <v>7881.82</v>
      </c>
      <c r="N4941" s="12">
        <v>14529.86</v>
      </c>
      <c r="O4941" s="12">
        <v>17753.12</v>
      </c>
    </row>
    <row r="4942" spans="1:15">
      <c r="A4942" t="s">
        <v>5116</v>
      </c>
      <c r="B4942" t="s">
        <v>372</v>
      </c>
      <c r="C4942" s="9">
        <v>45292</v>
      </c>
      <c r="D4942">
        <f ca="1">DATEDIF(C4893,TODAY(),"Y")</f>
        <v>77</v>
      </c>
      <c r="E4942" t="s">
        <v>21</v>
      </c>
      <c r="F4942" t="s">
        <v>74</v>
      </c>
      <c r="G4942" s="9">
        <v>45338</v>
      </c>
      <c r="H4942" s="9">
        <v>45076</v>
      </c>
      <c r="I4942">
        <v>29</v>
      </c>
      <c r="J4942" t="s">
        <v>32</v>
      </c>
      <c r="K4942">
        <v>10</v>
      </c>
      <c r="L4942">
        <v>6</v>
      </c>
      <c r="M4942" s="11">
        <v>0</v>
      </c>
      <c r="N4942" s="12">
        <v>3982.52</v>
      </c>
      <c r="O4942" s="12">
        <v>9019.6</v>
      </c>
    </row>
    <row r="4943" spans="1:15">
      <c r="A4943" t="s">
        <v>5117</v>
      </c>
      <c r="B4943" t="s">
        <v>181</v>
      </c>
      <c r="C4943" s="9">
        <v>38717</v>
      </c>
      <c r="D4943">
        <v>20</v>
      </c>
      <c r="E4943" t="s">
        <v>17</v>
      </c>
      <c r="F4943" t="s">
        <v>29</v>
      </c>
      <c r="G4943" s="9">
        <v>45176</v>
      </c>
      <c r="H4943" s="9">
        <v>45566</v>
      </c>
      <c r="I4943">
        <v>31</v>
      </c>
      <c r="J4943" t="s">
        <v>35</v>
      </c>
      <c r="K4943">
        <v>12</v>
      </c>
      <c r="L4943">
        <v>6</v>
      </c>
      <c r="M4943" s="11">
        <v>17967.71</v>
      </c>
      <c r="N4943" s="12">
        <v>7174.21</v>
      </c>
      <c r="O4943" s="12">
        <v>11422.63</v>
      </c>
    </row>
    <row r="4944" spans="1:15">
      <c r="A4944" t="s">
        <v>5118</v>
      </c>
      <c r="B4944" t="s">
        <v>490</v>
      </c>
      <c r="C4944" s="9">
        <v>23012</v>
      </c>
      <c r="D4944">
        <v>63</v>
      </c>
      <c r="E4944" t="s">
        <v>17</v>
      </c>
      <c r="F4944" t="s">
        <v>49</v>
      </c>
      <c r="G4944" s="9">
        <v>45582</v>
      </c>
      <c r="H4944" s="9">
        <v>45597</v>
      </c>
      <c r="I4944">
        <v>24</v>
      </c>
      <c r="J4944" t="s">
        <v>32</v>
      </c>
      <c r="K4944">
        <v>1</v>
      </c>
      <c r="L4944">
        <v>9</v>
      </c>
      <c r="M4944" s="11">
        <v>19177.439999999999</v>
      </c>
      <c r="N4944" s="12">
        <v>10393.530000000001</v>
      </c>
      <c r="O4944" s="12">
        <v>5560.61</v>
      </c>
    </row>
    <row r="4945" spans="1:15">
      <c r="A4945" t="s">
        <v>5119</v>
      </c>
      <c r="B4945" t="s">
        <v>69</v>
      </c>
      <c r="C4945" s="9">
        <v>13515</v>
      </c>
      <c r="D4945">
        <v>89</v>
      </c>
      <c r="E4945" t="s">
        <v>21</v>
      </c>
      <c r="F4945" t="s">
        <v>49</v>
      </c>
      <c r="G4945" s="9">
        <v>45413</v>
      </c>
      <c r="H4945" s="9">
        <v>45718</v>
      </c>
      <c r="I4945">
        <v>35</v>
      </c>
      <c r="J4945" t="s">
        <v>32</v>
      </c>
      <c r="K4945">
        <v>8</v>
      </c>
      <c r="L4945">
        <v>8</v>
      </c>
      <c r="M4945" s="11">
        <v>5503.1</v>
      </c>
      <c r="N4945" s="12">
        <v>154.47999999999999</v>
      </c>
      <c r="O4945" s="12">
        <v>5394.13</v>
      </c>
    </row>
    <row r="4946" spans="1:15">
      <c r="A4946" t="s">
        <v>5120</v>
      </c>
      <c r="B4946" t="s">
        <v>129</v>
      </c>
      <c r="C4946" s="9">
        <v>33239</v>
      </c>
      <c r="D4946">
        <v>35</v>
      </c>
      <c r="E4946" t="s">
        <v>17</v>
      </c>
      <c r="F4946" t="s">
        <v>22</v>
      </c>
      <c r="G4946" s="9">
        <v>45271</v>
      </c>
      <c r="H4946" s="9">
        <v>44965</v>
      </c>
      <c r="I4946">
        <v>27</v>
      </c>
      <c r="J4946" t="s">
        <v>32</v>
      </c>
      <c r="K4946">
        <v>3</v>
      </c>
      <c r="L4946">
        <v>3</v>
      </c>
      <c r="M4946" s="11">
        <v>3430.93</v>
      </c>
      <c r="N4946" s="12">
        <v>5718.92</v>
      </c>
      <c r="O4946" s="12">
        <v>9791.8799999999992</v>
      </c>
    </row>
    <row r="4947" spans="1:15">
      <c r="A4947" t="s">
        <v>5121</v>
      </c>
      <c r="B4947" t="s">
        <v>28</v>
      </c>
      <c r="C4947" s="9">
        <v>14976</v>
      </c>
      <c r="D4947">
        <v>85</v>
      </c>
      <c r="E4947" t="s">
        <v>17</v>
      </c>
      <c r="F4947" t="s">
        <v>5184</v>
      </c>
      <c r="G4947" s="9">
        <v>45259</v>
      </c>
      <c r="H4947" s="9">
        <v>45084</v>
      </c>
      <c r="I4947">
        <v>30</v>
      </c>
      <c r="J4947" t="s">
        <v>32</v>
      </c>
      <c r="K4947">
        <v>13</v>
      </c>
      <c r="L4947">
        <v>9</v>
      </c>
      <c r="M4947" s="11">
        <v>15524.96</v>
      </c>
      <c r="N4947" s="12">
        <v>8518.68</v>
      </c>
      <c r="O4947" s="12">
        <v>7051.73</v>
      </c>
    </row>
    <row r="4948" spans="1:15">
      <c r="A4948" t="s">
        <v>5122</v>
      </c>
      <c r="B4948" t="s">
        <v>249</v>
      </c>
      <c r="C4948" s="9">
        <v>23742</v>
      </c>
      <c r="D4948">
        <v>61</v>
      </c>
      <c r="E4948" t="s">
        <v>21</v>
      </c>
      <c r="F4948" t="s">
        <v>49</v>
      </c>
      <c r="G4948" s="9">
        <v>45379</v>
      </c>
      <c r="H4948" s="9">
        <v>45260</v>
      </c>
      <c r="I4948">
        <v>24</v>
      </c>
      <c r="J4948" t="s">
        <v>26</v>
      </c>
      <c r="K4948">
        <v>11</v>
      </c>
      <c r="L4948">
        <v>0</v>
      </c>
      <c r="M4948" s="11">
        <v>27729.61</v>
      </c>
      <c r="N4948" s="12">
        <v>13513.77</v>
      </c>
      <c r="O4948" s="12">
        <v>1461.7</v>
      </c>
    </row>
    <row r="4949" spans="1:15">
      <c r="A4949" t="s">
        <v>5123</v>
      </c>
      <c r="B4949" t="s">
        <v>149</v>
      </c>
      <c r="C4949" s="9">
        <f>DATE(2026-D4909,1,1)</f>
        <v>28491</v>
      </c>
      <c r="D4949">
        <v>41</v>
      </c>
      <c r="E4949" t="s">
        <v>17</v>
      </c>
      <c r="F4949" t="s">
        <v>49</v>
      </c>
      <c r="G4949" s="9">
        <v>45084</v>
      </c>
      <c r="H4949" s="9">
        <v>45215</v>
      </c>
      <c r="I4949">
        <v>20</v>
      </c>
      <c r="J4949" t="s">
        <v>26</v>
      </c>
      <c r="K4949">
        <v>6</v>
      </c>
      <c r="L4949">
        <v>6</v>
      </c>
      <c r="M4949" s="11">
        <v>1200.23</v>
      </c>
      <c r="N4949" s="12">
        <v>14879.96</v>
      </c>
      <c r="O4949" s="12">
        <v>7009.03</v>
      </c>
    </row>
    <row r="4950" spans="1:15">
      <c r="A4950" t="s">
        <v>5124</v>
      </c>
      <c r="B4950" t="s">
        <v>78</v>
      </c>
      <c r="C4950" s="9">
        <v>18629</v>
      </c>
      <c r="D4950">
        <v>75</v>
      </c>
      <c r="E4950" t="s">
        <v>17</v>
      </c>
      <c r="F4950" t="s">
        <v>18</v>
      </c>
      <c r="G4950" s="9">
        <v>45503</v>
      </c>
      <c r="H4950" s="9">
        <v>45039</v>
      </c>
      <c r="I4950">
        <v>16</v>
      </c>
      <c r="J4950" t="s">
        <v>32</v>
      </c>
      <c r="K4950">
        <v>14</v>
      </c>
      <c r="L4950">
        <v>9</v>
      </c>
      <c r="M4950" s="11">
        <v>14999.24</v>
      </c>
      <c r="N4950" s="12">
        <v>8344.8700000000008</v>
      </c>
      <c r="O4950" s="12">
        <v>5019.59</v>
      </c>
    </row>
    <row r="4951" spans="1:15">
      <c r="A4951" t="s">
        <v>5125</v>
      </c>
      <c r="B4951" t="s">
        <v>39</v>
      </c>
      <c r="C4951" s="9">
        <v>31047</v>
      </c>
      <c r="D4951">
        <v>41</v>
      </c>
      <c r="E4951" t="s">
        <v>17</v>
      </c>
      <c r="F4951" t="s">
        <v>5184</v>
      </c>
      <c r="G4951" s="9">
        <v>45196</v>
      </c>
      <c r="H4951" s="9">
        <v>45629</v>
      </c>
      <c r="I4951">
        <v>28</v>
      </c>
      <c r="J4951" t="s">
        <v>32</v>
      </c>
      <c r="K4951">
        <v>12</v>
      </c>
      <c r="L4951">
        <v>5</v>
      </c>
      <c r="M4951" s="11">
        <v>5560.68</v>
      </c>
      <c r="N4951" s="12">
        <v>14168.7</v>
      </c>
      <c r="O4951" s="12">
        <v>16977.75</v>
      </c>
    </row>
    <row r="4952" spans="1:15">
      <c r="A4952" t="s">
        <v>5126</v>
      </c>
      <c r="B4952" t="s">
        <v>226</v>
      </c>
      <c r="C4952" s="9">
        <v>24107</v>
      </c>
      <c r="D4952">
        <v>60</v>
      </c>
      <c r="E4952" t="s">
        <v>21</v>
      </c>
      <c r="F4952" t="s">
        <v>49</v>
      </c>
      <c r="G4952" s="9">
        <v>45513</v>
      </c>
      <c r="H4952" s="9">
        <v>45545</v>
      </c>
      <c r="I4952">
        <v>1</v>
      </c>
      <c r="J4952" t="s">
        <v>32</v>
      </c>
      <c r="K4952">
        <v>1</v>
      </c>
      <c r="L4952">
        <v>0</v>
      </c>
      <c r="M4952" s="11">
        <v>23350.51</v>
      </c>
      <c r="N4952" s="12">
        <v>1488.98</v>
      </c>
      <c r="O4952" s="12">
        <v>16754.419999999998</v>
      </c>
    </row>
    <row r="4953" spans="1:15">
      <c r="A4953" t="s">
        <v>5127</v>
      </c>
      <c r="B4953" t="s">
        <v>163</v>
      </c>
      <c r="C4953" s="9">
        <v>41639</v>
      </c>
      <c r="D4953">
        <v>12</v>
      </c>
      <c r="E4953" t="s">
        <v>21</v>
      </c>
      <c r="F4953" t="s">
        <v>22</v>
      </c>
      <c r="G4953" s="9">
        <v>45344</v>
      </c>
      <c r="H4953" s="9">
        <v>45018</v>
      </c>
      <c r="I4953">
        <v>16</v>
      </c>
      <c r="J4953" t="s">
        <v>32</v>
      </c>
      <c r="K4953">
        <v>1</v>
      </c>
      <c r="L4953">
        <v>8</v>
      </c>
      <c r="M4953" s="11">
        <v>20299.439999999999</v>
      </c>
      <c r="N4953" s="12">
        <v>10519.06</v>
      </c>
      <c r="O4953" s="12">
        <v>2743.74</v>
      </c>
    </row>
    <row r="4954" spans="1:15">
      <c r="A4954" t="s">
        <v>5128</v>
      </c>
      <c r="B4954" t="s">
        <v>100</v>
      </c>
      <c r="C4954" s="9">
        <v>42370</v>
      </c>
      <c r="D4954">
        <v>10</v>
      </c>
      <c r="E4954" t="s">
        <v>17</v>
      </c>
      <c r="F4954" t="s">
        <v>18</v>
      </c>
      <c r="G4954" s="9">
        <v>45366</v>
      </c>
      <c r="H4954" s="9">
        <v>45793</v>
      </c>
      <c r="I4954">
        <v>35</v>
      </c>
      <c r="J4954" t="s">
        <v>32</v>
      </c>
      <c r="K4954">
        <v>1</v>
      </c>
      <c r="L4954">
        <v>9</v>
      </c>
      <c r="M4954" s="11">
        <v>2464.8000000000002</v>
      </c>
      <c r="N4954" s="12">
        <v>6008.32</v>
      </c>
      <c r="O4954" s="12">
        <v>14574.39</v>
      </c>
    </row>
    <row r="4955" spans="1:15">
      <c r="A4955" t="s">
        <v>5129</v>
      </c>
      <c r="B4955" t="s">
        <v>31</v>
      </c>
      <c r="C4955" s="9">
        <v>26664</v>
      </c>
      <c r="D4955">
        <v>53</v>
      </c>
      <c r="E4955" t="s">
        <v>21</v>
      </c>
      <c r="F4955" t="s">
        <v>18</v>
      </c>
      <c r="G4955" s="9">
        <v>44955</v>
      </c>
      <c r="H4955" s="9">
        <v>45740</v>
      </c>
      <c r="I4955">
        <v>37</v>
      </c>
      <c r="J4955" t="s">
        <v>35</v>
      </c>
      <c r="K4955">
        <v>14</v>
      </c>
      <c r="L4955">
        <v>7</v>
      </c>
      <c r="M4955" s="11">
        <v>18298.28</v>
      </c>
      <c r="N4955" s="12">
        <v>11264.6</v>
      </c>
      <c r="O4955" s="12">
        <v>8961.86</v>
      </c>
    </row>
    <row r="4956" spans="1:15">
      <c r="A4956" t="s">
        <v>5130</v>
      </c>
      <c r="B4956" t="s">
        <v>427</v>
      </c>
      <c r="C4956" s="9">
        <f>DATE(2026-D4916,1,1)</f>
        <v>37257</v>
      </c>
      <c r="D4956">
        <v>15</v>
      </c>
      <c r="E4956" t="s">
        <v>17</v>
      </c>
      <c r="F4956" t="s">
        <v>74</v>
      </c>
      <c r="G4956" s="9">
        <v>45261</v>
      </c>
      <c r="H4956" s="9">
        <v>44976</v>
      </c>
      <c r="I4956">
        <v>19</v>
      </c>
      <c r="J4956" t="s">
        <v>32</v>
      </c>
      <c r="K4956">
        <v>7</v>
      </c>
      <c r="L4956">
        <v>9</v>
      </c>
      <c r="M4956" s="11">
        <v>29499.8</v>
      </c>
      <c r="N4956" s="12">
        <v>13015.85</v>
      </c>
      <c r="O4956" s="12">
        <v>17356.98</v>
      </c>
    </row>
    <row r="4957" spans="1:15">
      <c r="A4957" t="s">
        <v>5131</v>
      </c>
      <c r="B4957" t="s">
        <v>127</v>
      </c>
      <c r="C4957" s="9">
        <v>43466</v>
      </c>
      <c r="D4957">
        <v>7</v>
      </c>
      <c r="E4957" t="s">
        <v>21</v>
      </c>
      <c r="F4957" t="s">
        <v>29</v>
      </c>
      <c r="G4957" s="9">
        <v>45164</v>
      </c>
      <c r="H4957" s="9">
        <v>45088</v>
      </c>
      <c r="I4957">
        <v>6</v>
      </c>
      <c r="J4957" t="s">
        <v>26</v>
      </c>
      <c r="K4957">
        <v>7</v>
      </c>
      <c r="L4957">
        <v>3</v>
      </c>
      <c r="M4957" s="11">
        <v>15608.24</v>
      </c>
      <c r="N4957" s="12">
        <v>805.86</v>
      </c>
      <c r="O4957" s="12">
        <v>5407.18</v>
      </c>
    </row>
    <row r="4958" spans="1:15">
      <c r="A4958" t="s">
        <v>5132</v>
      </c>
      <c r="B4958" t="s">
        <v>328</v>
      </c>
      <c r="C4958" s="9">
        <f>DATE(2026-D4918,1,1)</f>
        <v>43466</v>
      </c>
      <c r="D4958">
        <v>58</v>
      </c>
      <c r="E4958" t="s">
        <v>21</v>
      </c>
      <c r="F4958" t="s">
        <v>18</v>
      </c>
      <c r="G4958" s="9">
        <v>45079</v>
      </c>
      <c r="H4958" s="9">
        <v>45443</v>
      </c>
      <c r="I4958">
        <v>28</v>
      </c>
      <c r="J4958" t="s">
        <v>32</v>
      </c>
      <c r="K4958">
        <v>1</v>
      </c>
      <c r="L4958">
        <v>4</v>
      </c>
      <c r="M4958" s="11">
        <v>8206.19</v>
      </c>
      <c r="N4958" s="12">
        <v>14032.1</v>
      </c>
      <c r="O4958" s="12">
        <v>1671.15</v>
      </c>
    </row>
    <row r="4959" spans="1:15">
      <c r="A4959" t="s">
        <v>5133</v>
      </c>
      <c r="B4959" t="s">
        <v>139</v>
      </c>
      <c r="C4959" s="9">
        <v>25568</v>
      </c>
      <c r="D4959">
        <v>56</v>
      </c>
      <c r="E4959" t="s">
        <v>17</v>
      </c>
      <c r="F4959" t="s">
        <v>25</v>
      </c>
      <c r="G4959" s="9">
        <v>45532</v>
      </c>
      <c r="H4959" s="9">
        <v>45329</v>
      </c>
      <c r="I4959">
        <v>7</v>
      </c>
      <c r="J4959" t="s">
        <v>26</v>
      </c>
      <c r="K4959">
        <v>2</v>
      </c>
      <c r="L4959">
        <v>7</v>
      </c>
      <c r="M4959" s="11">
        <v>4140.13</v>
      </c>
      <c r="N4959" s="12">
        <v>1022.34</v>
      </c>
      <c r="O4959" s="12">
        <v>15989.99</v>
      </c>
    </row>
    <row r="4960" spans="1:15">
      <c r="A4960" t="s">
        <v>5134</v>
      </c>
      <c r="B4960" t="s">
        <v>356</v>
      </c>
      <c r="C4960" s="9">
        <v>31778</v>
      </c>
      <c r="D4960">
        <v>39</v>
      </c>
      <c r="E4960" t="s">
        <v>17</v>
      </c>
      <c r="F4960" t="s">
        <v>18</v>
      </c>
      <c r="G4960" s="9">
        <v>45041</v>
      </c>
      <c r="H4960" s="9">
        <v>45637</v>
      </c>
      <c r="I4960">
        <v>7</v>
      </c>
      <c r="J4960" t="s">
        <v>26</v>
      </c>
      <c r="K4960">
        <v>10</v>
      </c>
      <c r="L4960">
        <v>1</v>
      </c>
      <c r="M4960" s="11">
        <v>29684.09</v>
      </c>
      <c r="N4960" s="12">
        <v>11300.98</v>
      </c>
      <c r="O4960" s="12">
        <v>17354</v>
      </c>
    </row>
    <row r="4961" spans="1:15">
      <c r="A4961" t="s">
        <v>5135</v>
      </c>
      <c r="B4961" t="s">
        <v>95</v>
      </c>
      <c r="C4961" s="9">
        <v>24838</v>
      </c>
      <c r="D4961">
        <v>58</v>
      </c>
      <c r="E4961" t="s">
        <v>17</v>
      </c>
      <c r="F4961" t="s">
        <v>25</v>
      </c>
      <c r="G4961" s="9">
        <v>45325</v>
      </c>
      <c r="H4961" s="9">
        <v>45247</v>
      </c>
      <c r="I4961">
        <v>27</v>
      </c>
      <c r="J4961" t="s">
        <v>32</v>
      </c>
      <c r="K4961">
        <v>6</v>
      </c>
      <c r="L4961">
        <v>5</v>
      </c>
      <c r="M4961" s="11">
        <v>16696.38</v>
      </c>
      <c r="N4961" s="12">
        <v>1036.05</v>
      </c>
      <c r="O4961" s="12">
        <v>16794.27</v>
      </c>
    </row>
    <row r="4962" spans="1:15">
      <c r="A4962" t="s">
        <v>5136</v>
      </c>
      <c r="B4962" t="s">
        <v>275</v>
      </c>
      <c r="C4962" s="9">
        <v>45657</v>
      </c>
      <c r="D4962">
        <v>1</v>
      </c>
      <c r="E4962" t="s">
        <v>21</v>
      </c>
      <c r="F4962" t="s">
        <v>5184</v>
      </c>
      <c r="G4962" s="9">
        <v>44958</v>
      </c>
      <c r="H4962" s="9">
        <v>45291</v>
      </c>
      <c r="I4962">
        <v>7</v>
      </c>
      <c r="J4962" t="s">
        <v>32</v>
      </c>
      <c r="K4962">
        <v>0</v>
      </c>
      <c r="L4962">
        <v>9</v>
      </c>
      <c r="M4962" s="11">
        <v>10928.3</v>
      </c>
      <c r="N4962" s="12">
        <v>12925.23</v>
      </c>
      <c r="O4962" s="12">
        <v>6518.92</v>
      </c>
    </row>
    <row r="4963" spans="1:15">
      <c r="A4963" t="s">
        <v>5137</v>
      </c>
      <c r="B4963" t="s">
        <v>300</v>
      </c>
      <c r="C4963" s="9">
        <v>12054</v>
      </c>
      <c r="D4963">
        <v>93</v>
      </c>
      <c r="E4963" t="s">
        <v>21</v>
      </c>
      <c r="F4963" t="s">
        <v>74</v>
      </c>
      <c r="G4963" s="9">
        <v>45458</v>
      </c>
      <c r="H4963" s="9">
        <v>45816</v>
      </c>
      <c r="I4963">
        <v>33</v>
      </c>
      <c r="J4963" t="s">
        <v>26</v>
      </c>
      <c r="K4963">
        <v>14</v>
      </c>
      <c r="L4963">
        <v>1</v>
      </c>
      <c r="M4963" s="11">
        <v>6036.61</v>
      </c>
      <c r="N4963" s="12">
        <v>3074.72</v>
      </c>
      <c r="O4963" s="12">
        <v>520.39</v>
      </c>
    </row>
    <row r="4964" spans="1:15">
      <c r="A4964" t="s">
        <v>5138</v>
      </c>
      <c r="B4964" t="s">
        <v>71</v>
      </c>
      <c r="C4964" s="9">
        <f>DATE(2026-D4924,1,1)</f>
        <v>25204</v>
      </c>
      <c r="D4964">
        <v>93</v>
      </c>
      <c r="E4964" t="s">
        <v>21</v>
      </c>
      <c r="F4964" t="s">
        <v>25</v>
      </c>
      <c r="G4964" s="9">
        <v>44979</v>
      </c>
      <c r="H4964" s="9">
        <v>45369</v>
      </c>
      <c r="I4964">
        <v>15</v>
      </c>
      <c r="J4964" t="s">
        <v>35</v>
      </c>
      <c r="K4964">
        <v>2</v>
      </c>
      <c r="L4964">
        <v>7</v>
      </c>
      <c r="M4964" s="11">
        <v>28481.08</v>
      </c>
      <c r="N4964" s="12">
        <v>6511.05</v>
      </c>
      <c r="O4964" s="12">
        <v>2706.27</v>
      </c>
    </row>
    <row r="4965" spans="1:15">
      <c r="A4965" t="s">
        <v>5139</v>
      </c>
      <c r="B4965" t="s">
        <v>392</v>
      </c>
      <c r="C4965" s="9">
        <v>18629</v>
      </c>
      <c r="D4965">
        <v>75</v>
      </c>
      <c r="E4965" t="s">
        <v>17</v>
      </c>
      <c r="F4965" t="s">
        <v>74</v>
      </c>
      <c r="G4965" s="9">
        <v>45644</v>
      </c>
      <c r="H4965" s="9">
        <v>45402</v>
      </c>
      <c r="I4965">
        <v>16</v>
      </c>
      <c r="J4965" t="s">
        <v>32</v>
      </c>
      <c r="K4965">
        <v>14</v>
      </c>
      <c r="L4965">
        <v>4</v>
      </c>
      <c r="M4965" s="11">
        <v>18624.38</v>
      </c>
      <c r="N4965" s="12">
        <v>13989.31</v>
      </c>
      <c r="O4965" s="12">
        <v>18379.310000000001</v>
      </c>
    </row>
    <row r="4966" spans="1:15">
      <c r="A4966" t="s">
        <v>5140</v>
      </c>
      <c r="B4966" t="s">
        <v>273</v>
      </c>
      <c r="C4966" s="9">
        <v>42735</v>
      </c>
      <c r="D4966">
        <v>9</v>
      </c>
      <c r="E4966" t="s">
        <v>17</v>
      </c>
      <c r="F4966" t="s">
        <v>74</v>
      </c>
      <c r="G4966" s="9">
        <v>45121</v>
      </c>
      <c r="H4966" s="9">
        <v>45693</v>
      </c>
      <c r="I4966">
        <v>20</v>
      </c>
      <c r="J4966" t="s">
        <v>32</v>
      </c>
      <c r="K4966">
        <v>5</v>
      </c>
      <c r="L4966">
        <v>9</v>
      </c>
      <c r="M4966" s="11">
        <v>1258.8499999999999</v>
      </c>
      <c r="N4966" s="12">
        <v>11881.01</v>
      </c>
      <c r="O4966" s="12">
        <v>7217.79</v>
      </c>
    </row>
    <row r="4967" spans="1:15">
      <c r="A4967" t="s">
        <v>5141</v>
      </c>
      <c r="B4967" t="s">
        <v>490</v>
      </c>
      <c r="C4967" s="9">
        <v>30317</v>
      </c>
      <c r="D4967">
        <v>43</v>
      </c>
      <c r="E4967" t="s">
        <v>17</v>
      </c>
      <c r="F4967" t="s">
        <v>74</v>
      </c>
      <c r="G4967" s="9">
        <v>45231</v>
      </c>
      <c r="H4967" s="9">
        <v>45529</v>
      </c>
      <c r="I4967">
        <v>1</v>
      </c>
      <c r="J4967" t="s">
        <v>26</v>
      </c>
      <c r="K4967">
        <v>5</v>
      </c>
      <c r="L4967">
        <v>2</v>
      </c>
      <c r="M4967" s="11">
        <v>0</v>
      </c>
      <c r="N4967" s="12">
        <v>11786.63</v>
      </c>
      <c r="O4967" s="12">
        <v>17592.189999999999</v>
      </c>
    </row>
    <row r="4968" spans="1:15">
      <c r="A4968" t="s">
        <v>5142</v>
      </c>
      <c r="B4968" t="s">
        <v>198</v>
      </c>
      <c r="C4968" s="9">
        <v>42370</v>
      </c>
      <c r="D4968">
        <v>10</v>
      </c>
      <c r="E4968" t="s">
        <v>21</v>
      </c>
      <c r="F4968" t="s">
        <v>25</v>
      </c>
      <c r="G4968" s="9">
        <v>45633</v>
      </c>
      <c r="H4968" s="9">
        <v>45239</v>
      </c>
      <c r="I4968">
        <v>9</v>
      </c>
      <c r="J4968" t="s">
        <v>32</v>
      </c>
      <c r="K4968">
        <v>3</v>
      </c>
      <c r="L4968">
        <v>1</v>
      </c>
      <c r="M4968" s="11">
        <v>28152.799999999999</v>
      </c>
      <c r="N4968" s="12">
        <v>11449.95</v>
      </c>
      <c r="O4968" s="12">
        <v>19614.34</v>
      </c>
    </row>
    <row r="4969" spans="1:15">
      <c r="A4969" t="s">
        <v>5143</v>
      </c>
      <c r="B4969" t="s">
        <v>412</v>
      </c>
      <c r="C4969" s="9">
        <v>17533</v>
      </c>
      <c r="D4969">
        <v>78</v>
      </c>
      <c r="E4969" t="s">
        <v>17</v>
      </c>
      <c r="F4969" t="s">
        <v>25</v>
      </c>
      <c r="G4969" s="9">
        <v>45271</v>
      </c>
      <c r="H4969" s="9">
        <v>45459</v>
      </c>
      <c r="I4969">
        <v>21</v>
      </c>
      <c r="J4969" t="s">
        <v>32</v>
      </c>
      <c r="K4969">
        <v>5</v>
      </c>
      <c r="L4969">
        <v>3</v>
      </c>
      <c r="M4969" s="11">
        <v>21157.96</v>
      </c>
      <c r="N4969" s="12">
        <v>8541.5300000000007</v>
      </c>
      <c r="O4969" s="12">
        <v>7853.85</v>
      </c>
    </row>
    <row r="4970" spans="1:15">
      <c r="A4970" t="s">
        <v>5144</v>
      </c>
      <c r="B4970" t="s">
        <v>232</v>
      </c>
      <c r="C4970" s="9">
        <v>17168</v>
      </c>
      <c r="D4970">
        <v>79</v>
      </c>
      <c r="E4970" t="s">
        <v>21</v>
      </c>
      <c r="F4970" t="s">
        <v>74</v>
      </c>
      <c r="G4970" s="9">
        <v>45008</v>
      </c>
      <c r="H4970" s="9">
        <v>45516</v>
      </c>
      <c r="I4970">
        <v>10</v>
      </c>
      <c r="J4970" t="s">
        <v>32</v>
      </c>
      <c r="K4970">
        <v>4</v>
      </c>
      <c r="L4970">
        <v>7</v>
      </c>
      <c r="M4970" s="11">
        <v>2654.62</v>
      </c>
      <c r="N4970" s="12">
        <v>14271.45</v>
      </c>
      <c r="O4970" s="12">
        <v>15506.57</v>
      </c>
    </row>
    <row r="4971" spans="1:15">
      <c r="A4971" t="s">
        <v>5145</v>
      </c>
      <c r="B4971" t="s">
        <v>149</v>
      </c>
      <c r="C4971" s="9">
        <v>16802</v>
      </c>
      <c r="D4971">
        <v>80</v>
      </c>
      <c r="E4971" t="s">
        <v>17</v>
      </c>
      <c r="F4971" t="s">
        <v>5184</v>
      </c>
      <c r="G4971" s="9">
        <v>44927</v>
      </c>
      <c r="H4971" s="9">
        <v>45147</v>
      </c>
      <c r="I4971">
        <v>1</v>
      </c>
      <c r="J4971" t="s">
        <v>32</v>
      </c>
      <c r="K4971">
        <v>0</v>
      </c>
      <c r="L4971">
        <v>0</v>
      </c>
      <c r="M4971" s="11">
        <v>18524.64</v>
      </c>
      <c r="N4971" s="12">
        <v>12474.54</v>
      </c>
      <c r="O4971" s="12">
        <v>3299.2</v>
      </c>
    </row>
    <row r="4972" spans="1:15">
      <c r="A4972" t="s">
        <v>5146</v>
      </c>
      <c r="B4972" t="s">
        <v>619</v>
      </c>
      <c r="C4972" s="9">
        <v>13515</v>
      </c>
      <c r="D4972">
        <v>89</v>
      </c>
      <c r="E4972" t="s">
        <v>21</v>
      </c>
      <c r="F4972" t="s">
        <v>74</v>
      </c>
      <c r="G4972" s="9">
        <v>45093</v>
      </c>
      <c r="H4972" s="9">
        <v>45601</v>
      </c>
      <c r="I4972">
        <v>24</v>
      </c>
      <c r="J4972" t="s">
        <v>32</v>
      </c>
      <c r="K4972">
        <v>7</v>
      </c>
      <c r="L4972">
        <v>9</v>
      </c>
      <c r="M4972" s="11">
        <v>12292.66</v>
      </c>
      <c r="N4972" s="12">
        <v>6604.32</v>
      </c>
      <c r="O4972" s="12">
        <v>7613.35</v>
      </c>
    </row>
    <row r="4973" spans="1:15">
      <c r="A4973" t="s">
        <v>5147</v>
      </c>
      <c r="B4973" t="s">
        <v>397</v>
      </c>
      <c r="C4973" s="9">
        <v>45657</v>
      </c>
      <c r="D4973">
        <v>1</v>
      </c>
      <c r="E4973" t="s">
        <v>17</v>
      </c>
      <c r="F4973" t="s">
        <v>5184</v>
      </c>
      <c r="G4973" s="9">
        <v>45243</v>
      </c>
      <c r="H4973" s="9">
        <v>45424</v>
      </c>
      <c r="I4973">
        <v>35</v>
      </c>
      <c r="J4973" t="s">
        <v>32</v>
      </c>
      <c r="K4973">
        <v>3</v>
      </c>
      <c r="L4973">
        <v>2</v>
      </c>
      <c r="M4973" s="11">
        <v>23555.43</v>
      </c>
      <c r="N4973" s="12">
        <v>11138.34</v>
      </c>
      <c r="O4973" s="12">
        <v>14074.17</v>
      </c>
    </row>
    <row r="4974" spans="1:15">
      <c r="A4974" t="s">
        <v>5148</v>
      </c>
      <c r="B4974" t="s">
        <v>343</v>
      </c>
      <c r="C4974" s="9">
        <v>28125</v>
      </c>
      <c r="D4974">
        <v>49</v>
      </c>
      <c r="E4974" t="s">
        <v>21</v>
      </c>
      <c r="F4974" t="s">
        <v>29</v>
      </c>
      <c r="G4974" s="9">
        <v>45109</v>
      </c>
      <c r="H4974" s="9">
        <v>45270</v>
      </c>
      <c r="I4974">
        <v>36</v>
      </c>
      <c r="J4974" t="s">
        <v>35</v>
      </c>
      <c r="K4974">
        <v>0</v>
      </c>
      <c r="L4974">
        <v>0</v>
      </c>
      <c r="M4974" s="11">
        <v>7848.24</v>
      </c>
      <c r="N4974" s="12">
        <v>14971.61</v>
      </c>
      <c r="O4974" s="12">
        <v>4062.92</v>
      </c>
    </row>
    <row r="4975" spans="1:15">
      <c r="A4975" t="s">
        <v>5149</v>
      </c>
      <c r="B4975" t="s">
        <v>546</v>
      </c>
      <c r="C4975" s="9">
        <v>42005</v>
      </c>
      <c r="D4975">
        <v>11</v>
      </c>
      <c r="E4975" t="s">
        <v>21</v>
      </c>
      <c r="F4975" t="s">
        <v>5184</v>
      </c>
      <c r="G4975" s="9">
        <v>45199</v>
      </c>
      <c r="H4975" s="9">
        <v>45554</v>
      </c>
      <c r="I4975">
        <v>5</v>
      </c>
      <c r="J4975" t="s">
        <v>32</v>
      </c>
      <c r="K4975">
        <v>4</v>
      </c>
      <c r="L4975">
        <v>1</v>
      </c>
      <c r="M4975" s="11">
        <v>11176.83</v>
      </c>
      <c r="N4975" s="12">
        <v>13065.01</v>
      </c>
      <c r="O4975" s="12">
        <v>6327.9</v>
      </c>
    </row>
    <row r="4976" spans="1:15">
      <c r="A4976" t="s">
        <v>5150</v>
      </c>
      <c r="B4976" t="s">
        <v>41</v>
      </c>
      <c r="C4976" s="9">
        <v>13515</v>
      </c>
      <c r="D4976">
        <v>89</v>
      </c>
      <c r="E4976" t="s">
        <v>21</v>
      </c>
      <c r="F4976" t="s">
        <v>5184</v>
      </c>
      <c r="G4976" s="9">
        <v>45595</v>
      </c>
      <c r="H4976" s="9">
        <v>45021</v>
      </c>
      <c r="I4976">
        <v>23</v>
      </c>
      <c r="J4976" t="s">
        <v>32</v>
      </c>
      <c r="K4976">
        <v>8</v>
      </c>
      <c r="L4976">
        <v>9</v>
      </c>
      <c r="M4976" s="11">
        <v>4605.4399999999996</v>
      </c>
      <c r="N4976" s="12">
        <v>18.34</v>
      </c>
      <c r="O4976" s="12">
        <v>11232.93</v>
      </c>
    </row>
    <row r="4977" spans="1:15">
      <c r="A4977" t="s">
        <v>5151</v>
      </c>
      <c r="B4977" t="s">
        <v>103</v>
      </c>
      <c r="C4977" s="9">
        <v>37987</v>
      </c>
      <c r="D4977">
        <f ca="1">DATEDIF(C4928,TODAY(),"Y")</f>
        <v>43</v>
      </c>
      <c r="E4977" t="s">
        <v>21</v>
      </c>
      <c r="F4977" t="s">
        <v>5184</v>
      </c>
      <c r="G4977" s="9">
        <v>45299</v>
      </c>
      <c r="H4977" s="9">
        <v>45060</v>
      </c>
      <c r="I4977">
        <v>31</v>
      </c>
      <c r="J4977" t="s">
        <v>32</v>
      </c>
      <c r="K4977">
        <v>3</v>
      </c>
      <c r="L4977">
        <v>6</v>
      </c>
      <c r="M4977" s="11">
        <v>7200.95</v>
      </c>
      <c r="N4977" s="12">
        <v>11068.29</v>
      </c>
      <c r="O4977" s="12">
        <v>13793.35</v>
      </c>
    </row>
    <row r="4978" spans="1:15">
      <c r="A4978" t="s">
        <v>5152</v>
      </c>
      <c r="B4978" t="s">
        <v>168</v>
      </c>
      <c r="C4978" s="9">
        <v>39813</v>
      </c>
      <c r="D4978">
        <v>17</v>
      </c>
      <c r="E4978" t="s">
        <v>21</v>
      </c>
      <c r="F4978" t="s">
        <v>74</v>
      </c>
      <c r="G4978" s="9">
        <v>45288</v>
      </c>
      <c r="H4978" s="9">
        <v>45428</v>
      </c>
      <c r="I4978">
        <v>6</v>
      </c>
      <c r="J4978" t="s">
        <v>32</v>
      </c>
      <c r="K4978">
        <v>0</v>
      </c>
      <c r="L4978">
        <v>0</v>
      </c>
      <c r="M4978" s="11">
        <v>5269.16</v>
      </c>
      <c r="N4978" s="12">
        <v>13468.22</v>
      </c>
      <c r="O4978" s="12">
        <v>7073.27</v>
      </c>
    </row>
    <row r="4979" spans="1:15">
      <c r="A4979" t="s">
        <v>5153</v>
      </c>
      <c r="B4979" t="s">
        <v>145</v>
      </c>
      <c r="C4979" s="9">
        <v>23742</v>
      </c>
      <c r="D4979">
        <v>61</v>
      </c>
      <c r="E4979" t="s">
        <v>21</v>
      </c>
      <c r="F4979" t="s">
        <v>49</v>
      </c>
      <c r="G4979" s="9">
        <v>45127</v>
      </c>
      <c r="H4979" s="9">
        <v>45099</v>
      </c>
      <c r="I4979">
        <v>7</v>
      </c>
      <c r="J4979" t="s">
        <v>26</v>
      </c>
      <c r="K4979">
        <v>11</v>
      </c>
      <c r="L4979">
        <v>8</v>
      </c>
      <c r="M4979" s="11">
        <v>241.15</v>
      </c>
      <c r="N4979" s="12">
        <v>4916.29</v>
      </c>
      <c r="O4979" s="12">
        <v>7473.76</v>
      </c>
    </row>
    <row r="4980" spans="1:15">
      <c r="A4980" t="s">
        <v>5154</v>
      </c>
      <c r="B4980" t="s">
        <v>131</v>
      </c>
      <c r="C4980" s="9">
        <v>23742</v>
      </c>
      <c r="D4980">
        <v>61</v>
      </c>
      <c r="E4980" t="s">
        <v>21</v>
      </c>
      <c r="F4980" t="s">
        <v>29</v>
      </c>
      <c r="G4980" s="9">
        <v>45118</v>
      </c>
      <c r="H4980" s="9">
        <v>45553</v>
      </c>
      <c r="I4980">
        <v>2</v>
      </c>
      <c r="J4980" t="s">
        <v>35</v>
      </c>
      <c r="K4980">
        <v>8</v>
      </c>
      <c r="L4980">
        <v>7</v>
      </c>
      <c r="M4980" s="11">
        <v>908.07</v>
      </c>
      <c r="N4980" s="12">
        <v>14662.38</v>
      </c>
      <c r="O4980" s="12">
        <v>2108.35</v>
      </c>
    </row>
    <row r="4981" spans="1:15">
      <c r="A4981" t="s">
        <v>5155</v>
      </c>
      <c r="B4981" t="s">
        <v>254</v>
      </c>
      <c r="C4981" s="9">
        <f>DATE(2026-D4941,1,1)</f>
        <v>11689</v>
      </c>
      <c r="D4981">
        <v>37</v>
      </c>
      <c r="E4981" t="s">
        <v>17</v>
      </c>
      <c r="F4981" t="s">
        <v>29</v>
      </c>
      <c r="G4981" s="9">
        <v>45267</v>
      </c>
      <c r="H4981" s="9">
        <v>44936</v>
      </c>
      <c r="I4981">
        <v>5</v>
      </c>
      <c r="J4981" t="s">
        <v>32</v>
      </c>
      <c r="K4981">
        <v>8</v>
      </c>
      <c r="L4981">
        <v>0</v>
      </c>
      <c r="M4981" s="11">
        <v>24986.54</v>
      </c>
      <c r="N4981" s="12">
        <v>6019.49</v>
      </c>
      <c r="O4981" s="12">
        <v>19679.650000000001</v>
      </c>
    </row>
    <row r="4982" spans="1:15">
      <c r="A4982" t="s">
        <v>5156</v>
      </c>
      <c r="B4982" t="s">
        <v>34</v>
      </c>
      <c r="C4982" s="9">
        <v>21916</v>
      </c>
      <c r="D4982">
        <v>66</v>
      </c>
      <c r="E4982" t="s">
        <v>21</v>
      </c>
      <c r="F4982" t="s">
        <v>29</v>
      </c>
      <c r="G4982" s="9">
        <v>45225</v>
      </c>
      <c r="H4982" s="9">
        <v>45738</v>
      </c>
      <c r="I4982">
        <v>7</v>
      </c>
      <c r="J4982" t="s">
        <v>32</v>
      </c>
      <c r="K4982">
        <v>5</v>
      </c>
      <c r="L4982">
        <v>9</v>
      </c>
      <c r="M4982" s="11">
        <v>24016.02</v>
      </c>
      <c r="N4982" s="12">
        <v>6317.65</v>
      </c>
      <c r="O4982" s="12">
        <v>12205.95</v>
      </c>
    </row>
    <row r="4983" spans="1:15">
      <c r="A4983" t="s">
        <v>5157</v>
      </c>
      <c r="B4983" t="s">
        <v>115</v>
      </c>
      <c r="C4983" s="9">
        <v>32508</v>
      </c>
      <c r="D4983">
        <v>37</v>
      </c>
      <c r="E4983" t="s">
        <v>17</v>
      </c>
      <c r="F4983" t="s">
        <v>49</v>
      </c>
      <c r="G4983" s="9">
        <v>45432</v>
      </c>
      <c r="H4983" s="9">
        <v>45699</v>
      </c>
      <c r="I4983">
        <v>22</v>
      </c>
      <c r="J4983" t="s">
        <v>35</v>
      </c>
      <c r="K4983">
        <v>8</v>
      </c>
      <c r="L4983">
        <v>0</v>
      </c>
      <c r="M4983" s="11">
        <v>3792.03</v>
      </c>
      <c r="N4983" s="12">
        <v>2413.08</v>
      </c>
      <c r="O4983" s="12">
        <v>10559.58</v>
      </c>
    </row>
    <row r="4984" spans="1:15">
      <c r="A4984" t="s">
        <v>5158</v>
      </c>
      <c r="B4984" t="s">
        <v>194</v>
      </c>
      <c r="C4984" s="9">
        <v>21916</v>
      </c>
      <c r="D4984">
        <v>66</v>
      </c>
      <c r="E4984" t="s">
        <v>21</v>
      </c>
      <c r="F4984" t="s">
        <v>29</v>
      </c>
      <c r="G4984" s="9">
        <v>45514</v>
      </c>
      <c r="H4984" s="9">
        <v>45609</v>
      </c>
      <c r="I4984">
        <v>28</v>
      </c>
      <c r="J4984" t="s">
        <v>32</v>
      </c>
      <c r="K4984">
        <v>11</v>
      </c>
      <c r="L4984">
        <v>1</v>
      </c>
      <c r="M4984" s="11">
        <v>19870.810000000001</v>
      </c>
      <c r="N4984" s="12">
        <v>1448.92</v>
      </c>
      <c r="O4984" s="12">
        <v>4148.2</v>
      </c>
    </row>
    <row r="4985" spans="1:15">
      <c r="A4985" t="s">
        <v>5159</v>
      </c>
      <c r="B4985" t="s">
        <v>1148</v>
      </c>
      <c r="C4985" s="9">
        <v>12054</v>
      </c>
      <c r="D4985">
        <v>93</v>
      </c>
      <c r="E4985" t="s">
        <v>17</v>
      </c>
      <c r="F4985" t="s">
        <v>29</v>
      </c>
      <c r="G4985" s="9">
        <v>45066</v>
      </c>
      <c r="H4985" s="9">
        <v>45248</v>
      </c>
      <c r="I4985">
        <v>36</v>
      </c>
      <c r="J4985" t="s">
        <v>26</v>
      </c>
      <c r="K4985">
        <v>0</v>
      </c>
      <c r="L4985">
        <v>1</v>
      </c>
      <c r="M4985" s="11">
        <v>22242.15</v>
      </c>
      <c r="N4985" s="12">
        <v>8048.94</v>
      </c>
      <c r="O4985" s="12">
        <v>9709.41</v>
      </c>
    </row>
    <row r="4986" spans="1:15">
      <c r="A4986" t="s">
        <v>5160</v>
      </c>
      <c r="B4986" t="s">
        <v>53</v>
      </c>
      <c r="C4986" s="9">
        <v>24107</v>
      </c>
      <c r="D4986">
        <v>60</v>
      </c>
      <c r="E4986" t="s">
        <v>17</v>
      </c>
      <c r="F4986" t="s">
        <v>25</v>
      </c>
      <c r="G4986" s="9">
        <v>45232</v>
      </c>
      <c r="H4986" s="9">
        <v>45025</v>
      </c>
      <c r="I4986">
        <v>0</v>
      </c>
      <c r="J4986" t="s">
        <v>35</v>
      </c>
      <c r="K4986">
        <v>14</v>
      </c>
      <c r="L4986">
        <v>5</v>
      </c>
      <c r="M4986" s="11">
        <v>1063.8699999999999</v>
      </c>
      <c r="N4986" s="12">
        <v>9041.6299999999992</v>
      </c>
      <c r="O4986" s="12">
        <v>8890.9500000000007</v>
      </c>
    </row>
    <row r="4987" spans="1:15">
      <c r="A4987" t="s">
        <v>5161</v>
      </c>
      <c r="B4987" t="s">
        <v>174</v>
      </c>
      <c r="C4987" s="9">
        <v>46022</v>
      </c>
      <c r="D4987">
        <v>0</v>
      </c>
      <c r="E4987" t="s">
        <v>21</v>
      </c>
      <c r="F4987" t="s">
        <v>22</v>
      </c>
      <c r="G4987" s="9">
        <v>45122</v>
      </c>
      <c r="H4987" s="9">
        <v>45096</v>
      </c>
      <c r="I4987">
        <v>36</v>
      </c>
      <c r="J4987" t="s">
        <v>26</v>
      </c>
      <c r="K4987">
        <v>5</v>
      </c>
      <c r="L4987">
        <v>0</v>
      </c>
      <c r="M4987" s="11">
        <v>0</v>
      </c>
      <c r="N4987" s="12">
        <v>5503.45</v>
      </c>
      <c r="O4987" s="12">
        <v>5097.04</v>
      </c>
    </row>
    <row r="4988" spans="1:15">
      <c r="A4988" t="s">
        <v>5162</v>
      </c>
      <c r="B4988" t="s">
        <v>254</v>
      </c>
      <c r="C4988" s="9">
        <v>12054</v>
      </c>
      <c r="D4988">
        <v>93</v>
      </c>
      <c r="E4988" t="s">
        <v>17</v>
      </c>
      <c r="F4988" t="s">
        <v>25</v>
      </c>
      <c r="G4988" s="9">
        <v>44987</v>
      </c>
      <c r="H4988" s="9">
        <v>45238</v>
      </c>
      <c r="I4988">
        <v>35</v>
      </c>
      <c r="J4988" t="s">
        <v>32</v>
      </c>
      <c r="K4988">
        <v>12</v>
      </c>
      <c r="L4988">
        <v>3</v>
      </c>
      <c r="M4988" s="11">
        <v>16672.04</v>
      </c>
      <c r="N4988" s="12">
        <v>9099.14</v>
      </c>
      <c r="O4988" s="12">
        <v>8870.1200000000008</v>
      </c>
    </row>
    <row r="4989" spans="1:15">
      <c r="A4989" t="s">
        <v>5163</v>
      </c>
      <c r="B4989" t="s">
        <v>187</v>
      </c>
      <c r="C4989" s="9">
        <v>29951</v>
      </c>
      <c r="D4989">
        <v>44</v>
      </c>
      <c r="E4989" t="s">
        <v>21</v>
      </c>
      <c r="F4989" t="s">
        <v>74</v>
      </c>
      <c r="G4989" s="9">
        <v>45286</v>
      </c>
      <c r="H4989" s="9">
        <v>45657</v>
      </c>
      <c r="I4989">
        <v>32</v>
      </c>
      <c r="J4989" t="s">
        <v>26</v>
      </c>
      <c r="K4989">
        <v>4</v>
      </c>
      <c r="L4989">
        <v>6</v>
      </c>
      <c r="M4989" s="11">
        <v>10911.59</v>
      </c>
      <c r="N4989" s="12">
        <v>5920.06</v>
      </c>
      <c r="O4989" s="12">
        <v>3990.96</v>
      </c>
    </row>
    <row r="4990" spans="1:15">
      <c r="A4990" t="s">
        <v>5164</v>
      </c>
      <c r="B4990" t="s">
        <v>41</v>
      </c>
      <c r="C4990" s="9">
        <v>36161</v>
      </c>
      <c r="D4990">
        <v>27</v>
      </c>
      <c r="E4990" t="s">
        <v>17</v>
      </c>
      <c r="F4990" t="s">
        <v>74</v>
      </c>
      <c r="G4990" s="9">
        <v>45233</v>
      </c>
      <c r="H4990" s="9">
        <v>45270</v>
      </c>
      <c r="I4990">
        <v>5</v>
      </c>
      <c r="J4990" t="s">
        <v>32</v>
      </c>
      <c r="K4990">
        <v>10</v>
      </c>
      <c r="L4990">
        <v>8</v>
      </c>
      <c r="M4990" s="11">
        <v>20831.43</v>
      </c>
      <c r="N4990" s="12">
        <v>13022.77</v>
      </c>
      <c r="O4990" s="12">
        <v>14175.53</v>
      </c>
    </row>
    <row r="4991" spans="1:15">
      <c r="A4991" t="s">
        <v>5165</v>
      </c>
      <c r="B4991" t="s">
        <v>131</v>
      </c>
      <c r="C4991" s="9">
        <v>38717</v>
      </c>
      <c r="D4991">
        <v>20</v>
      </c>
      <c r="E4991" t="s">
        <v>17</v>
      </c>
      <c r="F4991" t="s">
        <v>5184</v>
      </c>
      <c r="G4991" s="9">
        <v>45406</v>
      </c>
      <c r="H4991" s="9">
        <v>45357</v>
      </c>
      <c r="I4991">
        <v>2</v>
      </c>
      <c r="J4991" t="s">
        <v>32</v>
      </c>
      <c r="K4991">
        <v>10</v>
      </c>
      <c r="L4991">
        <v>9</v>
      </c>
      <c r="M4991" s="11">
        <v>16509.490000000002</v>
      </c>
      <c r="N4991" s="12">
        <v>14307.35</v>
      </c>
      <c r="O4991" s="12">
        <v>18166.580000000002</v>
      </c>
    </row>
    <row r="4992" spans="1:15">
      <c r="A4992" t="s">
        <v>5166</v>
      </c>
      <c r="B4992" t="s">
        <v>151</v>
      </c>
      <c r="C4992" s="9">
        <v>41639</v>
      </c>
      <c r="D4992">
        <v>12</v>
      </c>
      <c r="E4992" t="s">
        <v>21</v>
      </c>
      <c r="F4992" t="s">
        <v>18</v>
      </c>
      <c r="G4992" s="9">
        <v>45259</v>
      </c>
      <c r="H4992" s="9">
        <v>45785</v>
      </c>
      <c r="I4992">
        <v>2</v>
      </c>
      <c r="J4992" t="s">
        <v>32</v>
      </c>
      <c r="K4992">
        <v>2</v>
      </c>
      <c r="L4992">
        <v>2</v>
      </c>
      <c r="M4992" s="11">
        <v>446.16</v>
      </c>
      <c r="N4992" s="12">
        <v>8903.11</v>
      </c>
      <c r="O4992" s="12">
        <v>47.96</v>
      </c>
    </row>
    <row r="4993" spans="1:15">
      <c r="A4993" t="s">
        <v>5167</v>
      </c>
      <c r="B4993" t="s">
        <v>278</v>
      </c>
      <c r="C4993" s="9">
        <v>36526</v>
      </c>
      <c r="D4993">
        <v>26</v>
      </c>
      <c r="E4993" t="s">
        <v>21</v>
      </c>
      <c r="F4993" t="s">
        <v>22</v>
      </c>
      <c r="G4993" s="9">
        <v>45009</v>
      </c>
      <c r="H4993" s="9">
        <v>45483</v>
      </c>
      <c r="I4993">
        <v>24</v>
      </c>
      <c r="J4993" t="s">
        <v>35</v>
      </c>
      <c r="K4993">
        <v>2</v>
      </c>
      <c r="L4993">
        <v>3</v>
      </c>
      <c r="M4993" s="11">
        <v>20352.2</v>
      </c>
      <c r="N4993" s="12">
        <v>12634.12</v>
      </c>
      <c r="O4993" s="12">
        <v>11080.75</v>
      </c>
    </row>
    <row r="4994" spans="1:15">
      <c r="A4994" t="s">
        <v>5168</v>
      </c>
      <c r="B4994" t="s">
        <v>176</v>
      </c>
      <c r="C4994" s="9">
        <v>43831</v>
      </c>
      <c r="D4994">
        <v>6</v>
      </c>
      <c r="E4994" t="s">
        <v>21</v>
      </c>
      <c r="F4994" t="s">
        <v>49</v>
      </c>
      <c r="G4994" s="9">
        <v>45260</v>
      </c>
      <c r="H4994" s="9">
        <v>45427</v>
      </c>
      <c r="I4994">
        <v>23</v>
      </c>
      <c r="J4994" t="s">
        <v>35</v>
      </c>
      <c r="K4994">
        <v>14</v>
      </c>
      <c r="L4994">
        <v>4</v>
      </c>
      <c r="M4994" s="11">
        <v>5719.5</v>
      </c>
      <c r="N4994" s="12">
        <v>12806.12</v>
      </c>
      <c r="O4994" s="12">
        <v>14619.62</v>
      </c>
    </row>
    <row r="4995" spans="1:15">
      <c r="A4995" t="s">
        <v>5169</v>
      </c>
      <c r="B4995" t="s">
        <v>145</v>
      </c>
      <c r="C4995" s="9">
        <v>38352</v>
      </c>
      <c r="D4995">
        <v>21</v>
      </c>
      <c r="E4995" t="s">
        <v>21</v>
      </c>
      <c r="F4995" t="s">
        <v>25</v>
      </c>
      <c r="G4995" s="9">
        <v>45443</v>
      </c>
      <c r="H4995" s="9">
        <v>45700</v>
      </c>
      <c r="I4995">
        <v>23</v>
      </c>
      <c r="J4995" t="s">
        <v>32</v>
      </c>
      <c r="K4995">
        <v>10</v>
      </c>
      <c r="L4995">
        <v>4</v>
      </c>
      <c r="M4995" s="11">
        <v>9034.2999999999993</v>
      </c>
      <c r="N4995" s="12">
        <v>10706.44</v>
      </c>
      <c r="O4995" s="12">
        <v>18134.64</v>
      </c>
    </row>
    <row r="4996" spans="1:15">
      <c r="A4996" t="s">
        <v>5170</v>
      </c>
      <c r="B4996" t="s">
        <v>117</v>
      </c>
      <c r="C4996" s="9">
        <v>19359</v>
      </c>
      <c r="D4996">
        <v>73</v>
      </c>
      <c r="E4996" t="s">
        <v>17</v>
      </c>
      <c r="F4996" t="s">
        <v>74</v>
      </c>
      <c r="G4996" s="9">
        <v>45400</v>
      </c>
      <c r="H4996" s="9">
        <v>45212</v>
      </c>
      <c r="I4996">
        <v>8</v>
      </c>
      <c r="J4996" t="s">
        <v>32</v>
      </c>
      <c r="K4996">
        <v>4</v>
      </c>
      <c r="L4996">
        <v>1</v>
      </c>
      <c r="M4996" s="11">
        <v>21959.87</v>
      </c>
      <c r="N4996" s="12">
        <v>2880.03</v>
      </c>
      <c r="O4996" s="12">
        <v>7104.26</v>
      </c>
    </row>
    <row r="4997" spans="1:15">
      <c r="A4997" t="s">
        <v>5171</v>
      </c>
      <c r="B4997" t="s">
        <v>133</v>
      </c>
      <c r="C4997" s="9">
        <v>27029</v>
      </c>
      <c r="D4997">
        <v>52</v>
      </c>
      <c r="E4997" t="s">
        <v>21</v>
      </c>
      <c r="F4997" t="s">
        <v>49</v>
      </c>
      <c r="G4997" s="9">
        <v>45320</v>
      </c>
      <c r="H4997" s="9">
        <v>45565</v>
      </c>
      <c r="I4997">
        <v>31</v>
      </c>
      <c r="J4997" t="s">
        <v>32</v>
      </c>
      <c r="K4997">
        <v>7</v>
      </c>
      <c r="L4997">
        <v>4</v>
      </c>
      <c r="M4997" s="11">
        <v>23023.23</v>
      </c>
      <c r="N4997" s="12">
        <v>2324.0700000000002</v>
      </c>
      <c r="O4997" s="12">
        <v>18133.75</v>
      </c>
    </row>
    <row r="4998" spans="1:15">
      <c r="A4998" t="s">
        <v>5172</v>
      </c>
      <c r="B4998" t="s">
        <v>502</v>
      </c>
      <c r="C4998" s="9">
        <v>17533</v>
      </c>
      <c r="D4998">
        <v>78</v>
      </c>
      <c r="E4998" t="s">
        <v>21</v>
      </c>
      <c r="F4998" t="s">
        <v>29</v>
      </c>
      <c r="G4998" s="9">
        <v>45526</v>
      </c>
      <c r="H4998" s="9">
        <v>45187</v>
      </c>
      <c r="I4998">
        <v>38</v>
      </c>
      <c r="J4998" t="s">
        <v>32</v>
      </c>
      <c r="K4998">
        <v>8</v>
      </c>
      <c r="L4998">
        <v>9</v>
      </c>
      <c r="M4998" s="11">
        <v>10047.34</v>
      </c>
      <c r="N4998" s="12">
        <v>13792.26</v>
      </c>
      <c r="O4998" s="12">
        <v>16493.61</v>
      </c>
    </row>
    <row r="4999" spans="1:15">
      <c r="A4999" t="s">
        <v>5173</v>
      </c>
      <c r="B4999" t="s">
        <v>189</v>
      </c>
      <c r="C4999" s="9">
        <v>17533</v>
      </c>
      <c r="D4999">
        <v>78</v>
      </c>
      <c r="E4999" t="s">
        <v>21</v>
      </c>
      <c r="F4999" t="s">
        <v>49</v>
      </c>
      <c r="G4999" s="9">
        <v>45647</v>
      </c>
      <c r="H4999" s="9">
        <v>45422</v>
      </c>
      <c r="I4999">
        <v>1</v>
      </c>
      <c r="J4999" t="s">
        <v>32</v>
      </c>
      <c r="K4999">
        <v>4</v>
      </c>
      <c r="L4999">
        <v>0</v>
      </c>
      <c r="M4999" s="11">
        <v>2221.4299999999998</v>
      </c>
      <c r="N4999" s="12">
        <v>3975.92</v>
      </c>
      <c r="O4999" s="12">
        <v>10456.81</v>
      </c>
    </row>
    <row r="5000" spans="1:15">
      <c r="A5000" t="s">
        <v>5174</v>
      </c>
      <c r="B5000" t="s">
        <v>37</v>
      </c>
      <c r="C5000" s="9">
        <v>44927</v>
      </c>
      <c r="D5000">
        <v>3</v>
      </c>
      <c r="E5000" t="s">
        <v>21</v>
      </c>
      <c r="F5000" t="s">
        <v>25</v>
      </c>
      <c r="G5000" s="9">
        <v>45618</v>
      </c>
      <c r="H5000" s="9">
        <v>45282</v>
      </c>
      <c r="I5000">
        <v>18</v>
      </c>
      <c r="J5000" t="s">
        <v>26</v>
      </c>
      <c r="K5000">
        <v>4</v>
      </c>
      <c r="L5000">
        <v>6</v>
      </c>
      <c r="M5000" s="11">
        <v>22975.02</v>
      </c>
      <c r="N5000" s="12">
        <v>3694.96</v>
      </c>
      <c r="O5000" s="12">
        <v>5064.55</v>
      </c>
    </row>
    <row r="5001" spans="1:15">
      <c r="A5001" t="s">
        <v>5175</v>
      </c>
      <c r="B5001" t="s">
        <v>153</v>
      </c>
      <c r="C5001" s="9">
        <v>37987</v>
      </c>
      <c r="D5001">
        <v>22</v>
      </c>
      <c r="E5001" t="s">
        <v>21</v>
      </c>
      <c r="F5001" t="s">
        <v>22</v>
      </c>
      <c r="G5001" s="9">
        <v>45646</v>
      </c>
      <c r="H5001" s="9">
        <v>45141</v>
      </c>
      <c r="I5001">
        <v>23</v>
      </c>
      <c r="J5001" t="s">
        <v>32</v>
      </c>
      <c r="K5001">
        <v>9</v>
      </c>
      <c r="L5001">
        <v>4</v>
      </c>
      <c r="M5001" s="11">
        <v>26041.41</v>
      </c>
      <c r="N5001" s="12">
        <v>2491.9299999999998</v>
      </c>
      <c r="O5001" s="12">
        <v>13021.61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0"/>
  <sheetViews>
    <sheetView workbookViewId="0">
      <selection activeCell="F34" sqref="F34"/>
    </sheetView>
  </sheetViews>
  <sheetFormatPr defaultRowHeight="13.8"/>
  <cols>
    <col min="1" max="1" width="43.3984375" bestFit="1" customWidth="1"/>
    <col min="2" max="2" width="16.8984375" customWidth="1"/>
    <col min="3" max="3" width="25.19921875" customWidth="1"/>
    <col min="4" max="4" width="0.296875" customWidth="1"/>
    <col min="5" max="5" width="8.3984375" hidden="1" customWidth="1"/>
  </cols>
  <sheetData>
    <row r="1" spans="1:5" ht="17.399999999999999">
      <c r="A1" s="18" t="s">
        <v>5176</v>
      </c>
      <c r="B1" s="19"/>
      <c r="C1" s="19"/>
      <c r="D1" s="19"/>
      <c r="E1" s="19"/>
    </row>
    <row r="3" spans="1:5">
      <c r="A3" s="6"/>
      <c r="B3" s="6"/>
      <c r="C3" s="6"/>
      <c r="D3" s="6"/>
      <c r="E3" s="6"/>
    </row>
    <row r="4" spans="1:5" ht="6.6" customHeight="1">
      <c r="B4" s="13"/>
      <c r="C4" s="7"/>
      <c r="D4" s="7"/>
      <c r="E4" s="7"/>
    </row>
    <row r="5" spans="1:5" hidden="1">
      <c r="B5" s="13"/>
      <c r="C5" s="7"/>
      <c r="D5" s="7"/>
      <c r="E5" s="7"/>
    </row>
    <row r="6" spans="1:5" hidden="1">
      <c r="B6" s="7"/>
      <c r="C6" s="7"/>
      <c r="D6" s="7"/>
      <c r="E6" s="7"/>
    </row>
    <row r="7" spans="1:5" hidden="1">
      <c r="B7" s="7"/>
      <c r="C7" s="7"/>
      <c r="D7" s="7"/>
      <c r="E7" s="7"/>
    </row>
    <row r="8" spans="1:5" hidden="1">
      <c r="B8" s="7"/>
      <c r="C8" s="7"/>
      <c r="D8" s="7"/>
      <c r="E8" s="7"/>
    </row>
    <row r="9" spans="1:5" hidden="1">
      <c r="B9" s="7"/>
      <c r="C9" s="7"/>
      <c r="D9" s="7"/>
      <c r="E9" s="7"/>
    </row>
    <row r="10" spans="1:5" hidden="1">
      <c r="B10" s="7"/>
      <c r="C10" s="7"/>
      <c r="D10" s="7"/>
      <c r="E10" s="7"/>
    </row>
    <row r="11" spans="1:5" hidden="1"/>
    <row r="12" spans="1:5" hidden="1"/>
    <row r="13" spans="1:5">
      <c r="A13" s="8" t="s">
        <v>5186</v>
      </c>
      <c r="B13" s="8" t="s">
        <v>5187</v>
      </c>
      <c r="C13" s="8" t="s">
        <v>5188</v>
      </c>
    </row>
    <row r="14" spans="1:5">
      <c r="A14" t="s">
        <v>5189</v>
      </c>
      <c r="B14" t="s">
        <v>5177</v>
      </c>
      <c r="C14">
        <f>COUNTA(DatosPacientes[NombreCompleto])</f>
        <v>5000</v>
      </c>
    </row>
    <row r="15" spans="1:5">
      <c r="A15" t="s">
        <v>5190</v>
      </c>
      <c r="B15" t="s">
        <v>5178</v>
      </c>
      <c r="C15" s="13">
        <f ca="1">AVERAGE(DatosPacientes[Edad])</f>
        <v>46.079799999999999</v>
      </c>
    </row>
    <row r="16" spans="1:5">
      <c r="A16" t="s">
        <v>5191</v>
      </c>
      <c r="B16" t="s">
        <v>5179</v>
      </c>
      <c r="C16" s="13">
        <f>MIN(DatosPacientes[DiasHospitalizado])</f>
        <v>0</v>
      </c>
    </row>
    <row r="17" spans="1:3">
      <c r="A17" t="s">
        <v>5192</v>
      </c>
      <c r="B17" s="14" t="s">
        <v>5178</v>
      </c>
      <c r="C17" s="10">
        <f>AVERAGE(DatosPacientes[CostoTratamiento_USD])</f>
        <v>14026.789393999985</v>
      </c>
    </row>
    <row r="18" spans="1:3">
      <c r="A18" t="s">
        <v>5193</v>
      </c>
      <c r="B18" s="14" t="s">
        <v>5180</v>
      </c>
      <c r="C18" s="10">
        <f>MAX(DatosPacientes[CostoEstimado_USD])</f>
        <v>19997.22</v>
      </c>
    </row>
    <row r="19" spans="1:3">
      <c r="B19" s="14"/>
    </row>
    <row r="20" spans="1:3">
      <c r="B20" s="14"/>
    </row>
  </sheetData>
  <mergeCells count="1">
    <mergeCell ref="A1:E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4"/>
  <sheetViews>
    <sheetView workbookViewId="0">
      <selection activeCell="B19" sqref="B19"/>
    </sheetView>
  </sheetViews>
  <sheetFormatPr defaultRowHeight="13.8"/>
  <cols>
    <col min="1" max="1" width="13.19921875" bestFit="1" customWidth="1"/>
    <col min="2" max="3" width="15" bestFit="1" customWidth="1"/>
    <col min="4" max="4" width="15.59765625" bestFit="1" customWidth="1"/>
    <col min="5" max="5" width="13.19921875" bestFit="1" customWidth="1"/>
    <col min="6" max="6" width="17.19921875" bestFit="1" customWidth="1"/>
    <col min="7" max="7" width="25.296875" customWidth="1"/>
    <col min="8" max="8" width="13.19921875" bestFit="1" customWidth="1"/>
    <col min="9" max="9" width="17.19921875" bestFit="1" customWidth="1"/>
    <col min="10" max="10" width="23.3984375" customWidth="1"/>
    <col min="11" max="11" width="25.69921875" customWidth="1"/>
  </cols>
  <sheetData>
    <row r="1" spans="1:6" ht="17.399999999999999">
      <c r="A1" s="18" t="s">
        <v>5181</v>
      </c>
      <c r="B1" s="19"/>
      <c r="C1" s="19"/>
      <c r="D1" s="19"/>
      <c r="E1" s="19"/>
    </row>
    <row r="3" spans="1:6">
      <c r="A3" s="20" t="s">
        <v>5196</v>
      </c>
      <c r="B3" s="20"/>
      <c r="D3" s="20" t="s">
        <v>5199</v>
      </c>
      <c r="E3" s="20"/>
    </row>
    <row r="4" spans="1:6">
      <c r="A4" s="15" t="s">
        <v>4</v>
      </c>
      <c r="B4" t="s">
        <v>5195</v>
      </c>
      <c r="D4" s="15" t="s">
        <v>9</v>
      </c>
      <c r="E4" t="s">
        <v>5195</v>
      </c>
    </row>
    <row r="5" spans="1:6">
      <c r="A5" t="s">
        <v>17</v>
      </c>
      <c r="B5">
        <v>2371</v>
      </c>
      <c r="D5" t="s">
        <v>32</v>
      </c>
      <c r="E5">
        <v>2518</v>
      </c>
    </row>
    <row r="6" spans="1:6">
      <c r="A6" t="s">
        <v>21</v>
      </c>
      <c r="B6">
        <v>2428</v>
      </c>
      <c r="D6" t="s">
        <v>35</v>
      </c>
      <c r="E6">
        <v>1259</v>
      </c>
    </row>
    <row r="7" spans="1:6">
      <c r="A7" t="s">
        <v>5185</v>
      </c>
      <c r="B7">
        <v>201</v>
      </c>
      <c r="D7" t="s">
        <v>26</v>
      </c>
      <c r="E7">
        <v>1223</v>
      </c>
    </row>
    <row r="8" spans="1:6">
      <c r="A8" t="s">
        <v>5194</v>
      </c>
      <c r="B8">
        <v>5000</v>
      </c>
      <c r="D8" t="s">
        <v>5194</v>
      </c>
      <c r="E8">
        <v>5000</v>
      </c>
    </row>
    <row r="15" spans="1:6">
      <c r="A15" s="21" t="s">
        <v>5197</v>
      </c>
      <c r="B15" s="21"/>
      <c r="E15" s="20" t="s">
        <v>5182</v>
      </c>
      <c r="F15" s="20"/>
    </row>
    <row r="16" spans="1:6">
      <c r="A16" s="15" t="s">
        <v>5</v>
      </c>
      <c r="B16" t="s">
        <v>5198</v>
      </c>
      <c r="E16" s="15" t="s">
        <v>5</v>
      </c>
      <c r="F16" t="s">
        <v>5195</v>
      </c>
    </row>
    <row r="17" spans="1:6">
      <c r="A17" t="s">
        <v>25</v>
      </c>
      <c r="B17" s="12">
        <v>14194.585847953218</v>
      </c>
      <c r="E17" t="s">
        <v>25</v>
      </c>
      <c r="F17" s="22">
        <v>684</v>
      </c>
    </row>
    <row r="18" spans="1:6">
      <c r="A18" t="s">
        <v>18</v>
      </c>
      <c r="B18" s="12">
        <v>14066.887624999994</v>
      </c>
      <c r="E18" t="s">
        <v>18</v>
      </c>
      <c r="F18" s="22">
        <v>720</v>
      </c>
    </row>
    <row r="19" spans="1:6">
      <c r="A19" t="s">
        <v>29</v>
      </c>
      <c r="B19" s="12">
        <v>13741.229165580184</v>
      </c>
      <c r="E19" t="s">
        <v>29</v>
      </c>
      <c r="F19" s="22">
        <v>767</v>
      </c>
    </row>
    <row r="20" spans="1:6">
      <c r="A20" t="s">
        <v>49</v>
      </c>
      <c r="B20" s="12">
        <v>13792.098154311636</v>
      </c>
      <c r="E20" t="s">
        <v>49</v>
      </c>
      <c r="F20" s="22">
        <v>661</v>
      </c>
    </row>
    <row r="21" spans="1:6">
      <c r="A21" t="s">
        <v>74</v>
      </c>
      <c r="B21" s="12">
        <v>13822.423283378739</v>
      </c>
      <c r="E21" t="s">
        <v>74</v>
      </c>
      <c r="F21" s="22">
        <v>734</v>
      </c>
    </row>
    <row r="22" spans="1:6">
      <c r="A22" t="s">
        <v>22</v>
      </c>
      <c r="B22" s="12">
        <v>14425.795612104539</v>
      </c>
      <c r="E22" t="s">
        <v>22</v>
      </c>
      <c r="F22" s="22">
        <v>727</v>
      </c>
    </row>
    <row r="23" spans="1:6">
      <c r="A23" t="s">
        <v>5184</v>
      </c>
      <c r="B23" s="12">
        <v>14154.709207920794</v>
      </c>
      <c r="E23" t="s">
        <v>5184</v>
      </c>
      <c r="F23" s="22">
        <v>707</v>
      </c>
    </row>
    <row r="24" spans="1:6">
      <c r="A24" t="s">
        <v>5194</v>
      </c>
      <c r="B24" s="12">
        <v>14026.789394000021</v>
      </c>
      <c r="E24" t="s">
        <v>5194</v>
      </c>
      <c r="F24" s="22">
        <v>5000</v>
      </c>
    </row>
  </sheetData>
  <mergeCells count="4">
    <mergeCell ref="A1:E1"/>
    <mergeCell ref="E15:F15"/>
    <mergeCell ref="A3:B3"/>
    <mergeCell ref="D3:E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4CFD8E-68C5-46B1-916D-233D10F905E5}">
  <dimension ref="A1:M24"/>
  <sheetViews>
    <sheetView tabSelected="1" workbookViewId="0">
      <selection activeCell="X25" sqref="X25"/>
    </sheetView>
  </sheetViews>
  <sheetFormatPr defaultRowHeight="13.8"/>
  <cols>
    <col min="4" max="4" width="12.796875" customWidth="1"/>
    <col min="13" max="13" width="15.69921875" customWidth="1"/>
  </cols>
  <sheetData>
    <row r="1" spans="1:13" ht="21">
      <c r="A1" s="16" t="s">
        <v>5183</v>
      </c>
      <c r="B1" s="16"/>
      <c r="C1" s="16"/>
      <c r="D1" s="16"/>
    </row>
    <row r="4" spans="1:13" ht="17.399999999999999">
      <c r="B4" s="17" t="s">
        <v>5196</v>
      </c>
      <c r="C4" s="17"/>
      <c r="D4" s="17"/>
      <c r="E4" s="17"/>
      <c r="J4" s="17" t="s">
        <v>5199</v>
      </c>
      <c r="K4" s="17"/>
      <c r="L4" s="17"/>
      <c r="M4" s="17"/>
    </row>
    <row r="24" spans="1:13" ht="17.399999999999999">
      <c r="A24" s="17" t="s">
        <v>5197</v>
      </c>
      <c r="B24" s="17"/>
      <c r="C24" s="17"/>
      <c r="D24" s="17"/>
      <c r="E24" s="17"/>
      <c r="F24" s="17"/>
      <c r="I24" s="17" t="s">
        <v>5200</v>
      </c>
      <c r="J24" s="17"/>
      <c r="K24" s="17"/>
      <c r="L24" s="17"/>
      <c r="M24" s="17"/>
    </row>
  </sheetData>
  <mergeCells count="5">
    <mergeCell ref="A1:D1"/>
    <mergeCell ref="B4:E4"/>
    <mergeCell ref="J4:M4"/>
    <mergeCell ref="I24:M24"/>
    <mergeCell ref="A24:F2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Datos</vt:lpstr>
      <vt:lpstr>Estadísticas Básicas</vt:lpstr>
      <vt:lpstr>Tablas Resumen</vt:lpstr>
      <vt:lpstr>Graficos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Bryan rigo</dc:creator>
  <cp:lastModifiedBy>Bryan Rigoberto Bodegas Bodegas</cp:lastModifiedBy>
  <dcterms:created xsi:type="dcterms:W3CDTF">2026-05-04T05:53:24Z</dcterms:created>
  <dcterms:modified xsi:type="dcterms:W3CDTF">2026-07-03T08:23:13Z</dcterms:modified>
</cp:coreProperties>
</file>